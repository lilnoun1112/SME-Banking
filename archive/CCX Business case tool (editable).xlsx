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https://ccxinclusivebiz.sharepoint.com/sites/DALARG/Freigegebene Dokumente/General/01 SME Tools/20 FINAL SME Banking Toolkit Tools/"/>
    </mc:Choice>
  </mc:AlternateContent>
  <xr:revisionPtr revIDLastSave="1" documentId="8_{4930BCC6-6165-0642-849B-B1FC1CA3F228}" xr6:coauthVersionLast="47" xr6:coauthVersionMax="47" xr10:uidLastSave="{DFA8A4CE-CFAA-4321-99AF-3EA103AD740F}"/>
  <bookViews>
    <workbookView xWindow="-100" yWindow="760" windowWidth="21800" windowHeight="13880" firstSheet="8" xr2:uid="{09FA5ECE-487C-4900-97F6-5ABF63D64A34}"/>
  </bookViews>
  <sheets>
    <sheet name="Instructions &amp; Overview" sheetId="11" r:id="rId1"/>
    <sheet name="Assumptions" sheetId="2" r:id="rId2"/>
    <sheet name="Outputs overview " sheetId="9" r:id="rId3"/>
    <sheet name="Sensitivity analysis" sheetId="14" r:id="rId4"/>
    <sheet name="Key financial and ops fig.s LCY" sheetId="7" r:id="rId5"/>
    <sheet name="Alt. scenario LCY" sheetId="12" r:id="rId6"/>
    <sheet name="Key financial and ops fig.s COM" sheetId="10" r:id="rId7"/>
    <sheet name="Alt. scenario COM" sheetId="13" r:id="rId8"/>
    <sheet name="All scenarios" sheetId="15" r:id="rId9"/>
    <sheet name="Baseline Headcount Estimates" sheetId="6" r:id="rId10"/>
    <sheet name="Lists" sheetId="5" r:id="rId11"/>
  </sheets>
  <externalReferences>
    <externalReference r:id="rId12"/>
    <externalReference r:id="rId13"/>
    <externalReference r:id="rId14"/>
  </externalReferences>
  <definedNames>
    <definedName name="_xlnm._FilterDatabase" localSheetId="8" hidden="1">'All scenarios'!$A$7:$BP$51</definedName>
    <definedName name="_xlnm._FilterDatabase" localSheetId="7" hidden="1">'Alt. scenario COM'!$A$5:$AL$49</definedName>
    <definedName name="_xlnm._FilterDatabase" localSheetId="5" hidden="1">'Alt. scenario LCY'!$A$5:$AL$49</definedName>
    <definedName name="_xlnm._FilterDatabase" localSheetId="6" hidden="1">'Key financial and ops fig.s COM'!$A$5:$AL$49</definedName>
    <definedName name="_xlnm._FilterDatabase" localSheetId="4" hidden="1">'Key financial and ops fig.s LCY'!$A$5:$AL$49</definedName>
    <definedName name="Choice">'[1]Lists (2)'!$B$5:$B$7</definedName>
    <definedName name="CodeCountries" localSheetId="0">[2]Lists!$C$212:$C$242</definedName>
    <definedName name="CodeCountries">[1]Lists!$C$212:$C$242</definedName>
    <definedName name="country">'[3]Pull-down menus'!$C$38:$C$236</definedName>
    <definedName name="Input" localSheetId="0">[2]Lists!$C$6:$C$7</definedName>
    <definedName name="Input">[1]Lists!$C$6:$C$7</definedName>
    <definedName name="Type" localSheetId="0">[2]Lists!$C$247:$C$248</definedName>
    <definedName name="Type">[1]Lists!$C$247:$C$248</definedName>
    <definedName name="YesNo" localSheetId="0">[2]Lists!$C$252:$C$253</definedName>
    <definedName name="YesNo">[1]Lists!$C$252:$C$253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0" i="15" l="1"/>
  <c r="E152" i="15" s="1"/>
  <c r="F140" i="15"/>
  <c r="F152" i="15" s="1"/>
  <c r="G140" i="15"/>
  <c r="G152" i="15" s="1"/>
  <c r="H140" i="15"/>
  <c r="H152" i="15" s="1"/>
  <c r="L140" i="15"/>
  <c r="L152" i="15" s="1"/>
  <c r="N140" i="15"/>
  <c r="N152" i="15" s="1"/>
  <c r="O140" i="15"/>
  <c r="O152" i="15" s="1"/>
  <c r="P140" i="15"/>
  <c r="P152" i="15" s="1"/>
  <c r="Q140" i="15"/>
  <c r="Q152" i="15" s="1"/>
  <c r="R140" i="15"/>
  <c r="R152" i="15" s="1"/>
  <c r="S140" i="15"/>
  <c r="S152" i="15" s="1"/>
  <c r="T140" i="15"/>
  <c r="T152" i="15" s="1"/>
  <c r="U140" i="15"/>
  <c r="U152" i="15" s="1"/>
  <c r="V140" i="15"/>
  <c r="V152" i="15" s="1"/>
  <c r="X140" i="15"/>
  <c r="X152" i="15" s="1"/>
  <c r="Y140" i="15"/>
  <c r="Y152" i="15" s="1"/>
  <c r="Z140" i="15"/>
  <c r="Z152" i="15" s="1"/>
  <c r="AA140" i="15"/>
  <c r="AA152" i="15" s="1"/>
  <c r="AB140" i="15"/>
  <c r="AB152" i="15" s="1"/>
  <c r="AF140" i="15"/>
  <c r="AF152" i="15" s="1"/>
  <c r="AH140" i="15"/>
  <c r="AH152" i="15" s="1"/>
  <c r="AI140" i="15"/>
  <c r="AI152" i="15" s="1"/>
  <c r="AJ140" i="15"/>
  <c r="AJ152" i="15" s="1"/>
  <c r="AK140" i="15"/>
  <c r="AK152" i="15" s="1"/>
  <c r="AL140" i="15"/>
  <c r="AL152" i="15" s="1"/>
  <c r="AM140" i="15"/>
  <c r="AM152" i="15" s="1"/>
  <c r="AN140" i="15"/>
  <c r="AN152" i="15" s="1"/>
  <c r="AO140" i="15"/>
  <c r="AO152" i="15" s="1"/>
  <c r="AP140" i="15"/>
  <c r="AP152" i="15" s="1"/>
  <c r="AR140" i="15"/>
  <c r="AR152" i="15" s="1"/>
  <c r="AS140" i="15"/>
  <c r="AS152" i="15" s="1"/>
  <c r="AT140" i="15"/>
  <c r="AT152" i="15" s="1"/>
  <c r="AU140" i="15"/>
  <c r="AU152" i="15" s="1"/>
  <c r="AV140" i="15"/>
  <c r="AV152" i="15" s="1"/>
  <c r="AZ140" i="15"/>
  <c r="AZ152" i="15" s="1"/>
  <c r="BB140" i="15"/>
  <c r="BB152" i="15" s="1"/>
  <c r="BC140" i="15"/>
  <c r="BC152" i="15" s="1"/>
  <c r="BD140" i="15"/>
  <c r="BD152" i="15" s="1"/>
  <c r="BE140" i="15"/>
  <c r="BE152" i="15" s="1"/>
  <c r="BF140" i="15"/>
  <c r="BF152" i="15" s="1"/>
  <c r="BG140" i="15"/>
  <c r="BG152" i="15" s="1"/>
  <c r="BH140" i="15"/>
  <c r="BH152" i="15" s="1"/>
  <c r="BI140" i="15"/>
  <c r="BI152" i="15" s="1"/>
  <c r="BJ140" i="15"/>
  <c r="BJ152" i="15" s="1"/>
  <c r="BL140" i="15"/>
  <c r="BL152" i="15" s="1"/>
  <c r="BM140" i="15"/>
  <c r="BM152" i="15" s="1"/>
  <c r="BN140" i="15"/>
  <c r="BN152" i="15" s="1"/>
  <c r="BO140" i="15"/>
  <c r="BO152" i="15" s="1"/>
  <c r="BP140" i="15"/>
  <c r="BP152" i="15" s="1"/>
  <c r="BT140" i="15"/>
  <c r="BT152" i="15" s="1"/>
  <c r="D140" i="15"/>
  <c r="D152" i="15" s="1"/>
  <c r="BQ96" i="15"/>
  <c r="BR96" i="15"/>
  <c r="BS96" i="15"/>
  <c r="BT96" i="15"/>
  <c r="BU96" i="15"/>
  <c r="BQ97" i="15"/>
  <c r="BR97" i="15"/>
  <c r="BS97" i="15"/>
  <c r="BT97" i="15"/>
  <c r="BU97" i="15"/>
  <c r="BQ98" i="15"/>
  <c r="BR98" i="15"/>
  <c r="BS98" i="15"/>
  <c r="BT98" i="15"/>
  <c r="BU98" i="15"/>
  <c r="BQ99" i="15"/>
  <c r="BR99" i="15"/>
  <c r="BS99" i="15"/>
  <c r="BT99" i="15"/>
  <c r="BU99" i="15"/>
  <c r="BQ100" i="15"/>
  <c r="BR100" i="15"/>
  <c r="BS100" i="15"/>
  <c r="BT100" i="15"/>
  <c r="BU100" i="15"/>
  <c r="BQ101" i="15"/>
  <c r="BR101" i="15"/>
  <c r="BS101" i="15"/>
  <c r="BT101" i="15"/>
  <c r="BU101" i="15"/>
  <c r="BQ102" i="15"/>
  <c r="BR102" i="15"/>
  <c r="BS102" i="15"/>
  <c r="BT102" i="15"/>
  <c r="BU102" i="15"/>
  <c r="BQ103" i="15"/>
  <c r="BR103" i="15"/>
  <c r="BS103" i="15"/>
  <c r="BT103" i="15"/>
  <c r="BU103" i="15"/>
  <c r="BQ104" i="15"/>
  <c r="BR104" i="15"/>
  <c r="BS104" i="15"/>
  <c r="BT104" i="15"/>
  <c r="BU104" i="15"/>
  <c r="BQ105" i="15"/>
  <c r="BR105" i="15"/>
  <c r="BS105" i="15"/>
  <c r="BT105" i="15"/>
  <c r="BU105" i="15"/>
  <c r="BQ106" i="15"/>
  <c r="BR106" i="15"/>
  <c r="BS106" i="15"/>
  <c r="BT106" i="15"/>
  <c r="BU106" i="15"/>
  <c r="BQ107" i="15"/>
  <c r="BR107" i="15"/>
  <c r="BS107" i="15"/>
  <c r="BT107" i="15"/>
  <c r="BU107" i="15"/>
  <c r="BQ108" i="15"/>
  <c r="BR108" i="15"/>
  <c r="BS108" i="15"/>
  <c r="BT108" i="15"/>
  <c r="BU108" i="15"/>
  <c r="BQ109" i="15"/>
  <c r="BR109" i="15"/>
  <c r="BS109" i="15"/>
  <c r="BT109" i="15"/>
  <c r="BU109" i="15"/>
  <c r="BQ110" i="15"/>
  <c r="BR110" i="15"/>
  <c r="BS110" i="15"/>
  <c r="BT110" i="15"/>
  <c r="BU110" i="15"/>
  <c r="BQ111" i="15"/>
  <c r="BR111" i="15"/>
  <c r="BS111" i="15"/>
  <c r="BT111" i="15"/>
  <c r="BU111" i="15"/>
  <c r="BQ112" i="15"/>
  <c r="BR112" i="15"/>
  <c r="BS112" i="15"/>
  <c r="BT112" i="15"/>
  <c r="BU112" i="15"/>
  <c r="BQ113" i="15"/>
  <c r="BR113" i="15"/>
  <c r="BS113" i="15"/>
  <c r="BT113" i="15"/>
  <c r="BU113" i="15"/>
  <c r="BQ114" i="15"/>
  <c r="BR114" i="15"/>
  <c r="BS114" i="15"/>
  <c r="BT114" i="15"/>
  <c r="BU114" i="15"/>
  <c r="BQ115" i="15"/>
  <c r="BR115" i="15"/>
  <c r="BS115" i="15"/>
  <c r="BT115" i="15"/>
  <c r="BU115" i="15"/>
  <c r="BQ116" i="15"/>
  <c r="BR116" i="15"/>
  <c r="BS116" i="15"/>
  <c r="BT116" i="15"/>
  <c r="BU116" i="15"/>
  <c r="BQ117" i="15"/>
  <c r="BR117" i="15"/>
  <c r="BS117" i="15"/>
  <c r="BT117" i="15"/>
  <c r="BU117" i="15"/>
  <c r="BQ118" i="15"/>
  <c r="BR118" i="15"/>
  <c r="BS118" i="15"/>
  <c r="BT118" i="15"/>
  <c r="BU118" i="15"/>
  <c r="BQ119" i="15"/>
  <c r="BR119" i="15"/>
  <c r="BS119" i="15"/>
  <c r="BT119" i="15"/>
  <c r="BU119" i="15"/>
  <c r="BQ120" i="15"/>
  <c r="BR120" i="15"/>
  <c r="BS120" i="15"/>
  <c r="BT120" i="15"/>
  <c r="BU120" i="15"/>
  <c r="BQ121" i="15"/>
  <c r="BR121" i="15"/>
  <c r="BS121" i="15"/>
  <c r="BT121" i="15"/>
  <c r="BU121" i="15"/>
  <c r="BQ122" i="15"/>
  <c r="BR122" i="15"/>
  <c r="BS122" i="15"/>
  <c r="BT122" i="15"/>
  <c r="BU122" i="15"/>
  <c r="BQ123" i="15"/>
  <c r="BR123" i="15"/>
  <c r="BS123" i="15"/>
  <c r="BT123" i="15"/>
  <c r="BU123" i="15"/>
  <c r="BQ124" i="15"/>
  <c r="BR124" i="15"/>
  <c r="BS124" i="15"/>
  <c r="BT124" i="15"/>
  <c r="BU124" i="15"/>
  <c r="BQ125" i="15"/>
  <c r="BR125" i="15"/>
  <c r="BS125" i="15"/>
  <c r="BT125" i="15"/>
  <c r="BU125" i="15"/>
  <c r="BQ126" i="15"/>
  <c r="BR126" i="15"/>
  <c r="BS126" i="15"/>
  <c r="BT126" i="15"/>
  <c r="BU126" i="15"/>
  <c r="BQ127" i="15"/>
  <c r="BR127" i="15"/>
  <c r="BS127" i="15"/>
  <c r="BT127" i="15"/>
  <c r="BU127" i="15"/>
  <c r="BQ128" i="15"/>
  <c r="BR128" i="15"/>
  <c r="BS128" i="15"/>
  <c r="BT128" i="15"/>
  <c r="BU128" i="15"/>
  <c r="BQ129" i="15"/>
  <c r="BR129" i="15"/>
  <c r="BS129" i="15"/>
  <c r="BT129" i="15"/>
  <c r="BU129" i="15"/>
  <c r="BQ130" i="15"/>
  <c r="BR130" i="15"/>
  <c r="BS130" i="15"/>
  <c r="BT130" i="15"/>
  <c r="BU130" i="15"/>
  <c r="BQ131" i="15"/>
  <c r="BR131" i="15"/>
  <c r="BS131" i="15"/>
  <c r="BT131" i="15"/>
  <c r="BU131" i="15"/>
  <c r="BQ132" i="15"/>
  <c r="BR132" i="15"/>
  <c r="BS132" i="15"/>
  <c r="BT132" i="15"/>
  <c r="BU132" i="15"/>
  <c r="BQ133" i="15"/>
  <c r="BR133" i="15"/>
  <c r="BS133" i="15"/>
  <c r="BT133" i="15"/>
  <c r="BU133" i="15"/>
  <c r="BQ134" i="15"/>
  <c r="BR134" i="15"/>
  <c r="BS134" i="15"/>
  <c r="BT134" i="15"/>
  <c r="BU134" i="15"/>
  <c r="BU136" i="15"/>
  <c r="BU137" i="15"/>
  <c r="BU138" i="15"/>
  <c r="BQ141" i="15"/>
  <c r="BR141" i="15"/>
  <c r="BS141" i="15"/>
  <c r="BT141" i="15"/>
  <c r="BU141" i="15"/>
  <c r="BQ142" i="15"/>
  <c r="BR142" i="15"/>
  <c r="BS142" i="15"/>
  <c r="BT142" i="15"/>
  <c r="BU142" i="15"/>
  <c r="BQ143" i="15"/>
  <c r="BR143" i="15"/>
  <c r="BS143" i="15"/>
  <c r="BT143" i="15"/>
  <c r="BU143" i="15"/>
  <c r="BQ144" i="15"/>
  <c r="BR144" i="15"/>
  <c r="BS144" i="15"/>
  <c r="BT144" i="15"/>
  <c r="BU144" i="15"/>
  <c r="BQ145" i="15"/>
  <c r="BR145" i="15"/>
  <c r="BS145" i="15"/>
  <c r="BT145" i="15"/>
  <c r="BU145" i="15"/>
  <c r="BQ146" i="15"/>
  <c r="BR146" i="15"/>
  <c r="BS146" i="15"/>
  <c r="BT146" i="15"/>
  <c r="BU146" i="15"/>
  <c r="BQ147" i="15"/>
  <c r="BR147" i="15"/>
  <c r="BS147" i="15"/>
  <c r="BT147" i="15"/>
  <c r="BU147" i="15"/>
  <c r="BQ148" i="15"/>
  <c r="BR148" i="15"/>
  <c r="BS148" i="15"/>
  <c r="BT148" i="15"/>
  <c r="BU148" i="15"/>
  <c r="BQ149" i="15"/>
  <c r="BR149" i="15"/>
  <c r="BS149" i="15"/>
  <c r="BT149" i="15"/>
  <c r="BU149" i="15"/>
  <c r="BQ150" i="15"/>
  <c r="BR150" i="15"/>
  <c r="BS150" i="15"/>
  <c r="BT150" i="15"/>
  <c r="BU150" i="15"/>
  <c r="BQ153" i="15"/>
  <c r="BR153" i="15"/>
  <c r="BS153" i="15"/>
  <c r="BT153" i="15"/>
  <c r="BU153" i="15"/>
  <c r="BQ154" i="15"/>
  <c r="BR154" i="15"/>
  <c r="BS154" i="15"/>
  <c r="BT154" i="15"/>
  <c r="BU154" i="15"/>
  <c r="BQ155" i="15"/>
  <c r="BR155" i="15"/>
  <c r="BS155" i="15"/>
  <c r="BT155" i="15"/>
  <c r="BU155" i="15"/>
  <c r="BQ156" i="15"/>
  <c r="BR156" i="15"/>
  <c r="BS156" i="15"/>
  <c r="BT156" i="15"/>
  <c r="BU156" i="15"/>
  <c r="BQ157" i="15"/>
  <c r="BR157" i="15"/>
  <c r="BS157" i="15"/>
  <c r="BT157" i="15"/>
  <c r="BU157" i="15"/>
  <c r="BQ158" i="15"/>
  <c r="BR158" i="15"/>
  <c r="BS158" i="15"/>
  <c r="BT158" i="15"/>
  <c r="BU158" i="15"/>
  <c r="BQ159" i="15"/>
  <c r="BR159" i="15"/>
  <c r="BS159" i="15"/>
  <c r="BT159" i="15"/>
  <c r="BU159" i="15"/>
  <c r="BQ160" i="15"/>
  <c r="BR160" i="15"/>
  <c r="BS160" i="15"/>
  <c r="BT160" i="15"/>
  <c r="BU160" i="15"/>
  <c r="BQ161" i="15"/>
  <c r="BR161" i="15"/>
  <c r="BS161" i="15"/>
  <c r="BT161" i="15"/>
  <c r="BU161" i="15"/>
  <c r="BQ162" i="15"/>
  <c r="BR162" i="15"/>
  <c r="BS162" i="15"/>
  <c r="BT162" i="15"/>
  <c r="BU162" i="15"/>
  <c r="BQ163" i="15"/>
  <c r="BR163" i="15"/>
  <c r="BS163" i="15"/>
  <c r="BT163" i="15"/>
  <c r="BU163" i="15"/>
  <c r="BQ164" i="15"/>
  <c r="BR164" i="15"/>
  <c r="BS164" i="15"/>
  <c r="BT164" i="15"/>
  <c r="BU164" i="15"/>
  <c r="BQ165" i="15"/>
  <c r="BR165" i="15"/>
  <c r="BS165" i="15"/>
  <c r="BT165" i="15"/>
  <c r="BU165" i="15"/>
  <c r="BQ166" i="15"/>
  <c r="BR166" i="15"/>
  <c r="BS166" i="15"/>
  <c r="BT166" i="15"/>
  <c r="BU166" i="15"/>
  <c r="BQ167" i="15"/>
  <c r="BR167" i="15"/>
  <c r="BS167" i="15"/>
  <c r="BT167" i="15"/>
  <c r="BU167" i="15"/>
  <c r="BQ168" i="15"/>
  <c r="BR168" i="15"/>
  <c r="BS168" i="15"/>
  <c r="BT168" i="15"/>
  <c r="BU168" i="15"/>
  <c r="BQ169" i="15"/>
  <c r="BR169" i="15"/>
  <c r="BS169" i="15"/>
  <c r="BT169" i="15"/>
  <c r="BU169" i="15"/>
  <c r="BQ170" i="15"/>
  <c r="BR170" i="15"/>
  <c r="BS170" i="15"/>
  <c r="BT170" i="15"/>
  <c r="BU170" i="15"/>
  <c r="BQ171" i="15"/>
  <c r="BR171" i="15"/>
  <c r="BS171" i="15"/>
  <c r="BT171" i="15"/>
  <c r="BU171" i="15"/>
  <c r="BQ172" i="15"/>
  <c r="BR172" i="15"/>
  <c r="BS172" i="15"/>
  <c r="BT172" i="15"/>
  <c r="BU172" i="15"/>
  <c r="BQ173" i="15"/>
  <c r="BR173" i="15"/>
  <c r="BS173" i="15"/>
  <c r="BT173" i="15"/>
  <c r="BU173" i="15"/>
  <c r="BQ174" i="15"/>
  <c r="BR174" i="15"/>
  <c r="BS174" i="15"/>
  <c r="BT174" i="15"/>
  <c r="BU174" i="15"/>
  <c r="BQ175" i="15"/>
  <c r="BR175" i="15"/>
  <c r="BS175" i="15"/>
  <c r="BT175" i="15"/>
  <c r="BU175" i="15"/>
  <c r="BQ176" i="15"/>
  <c r="BR176" i="15"/>
  <c r="BS176" i="15"/>
  <c r="BT176" i="15"/>
  <c r="BU176" i="15"/>
  <c r="BQ177" i="15"/>
  <c r="BR177" i="15"/>
  <c r="BS177" i="15"/>
  <c r="BT177" i="15"/>
  <c r="BU177" i="15"/>
  <c r="BQ178" i="15"/>
  <c r="BR178" i="15"/>
  <c r="BS178" i="15"/>
  <c r="BT178" i="15"/>
  <c r="BU178" i="15"/>
  <c r="BQ179" i="15"/>
  <c r="BR179" i="15"/>
  <c r="BS179" i="15"/>
  <c r="BT179" i="15"/>
  <c r="BU179" i="15"/>
  <c r="BR95" i="15"/>
  <c r="BS95" i="15"/>
  <c r="BT95" i="15"/>
  <c r="BU95" i="15"/>
  <c r="BQ95" i="15"/>
  <c r="BG96" i="15"/>
  <c r="BH96" i="15"/>
  <c r="BI96" i="15"/>
  <c r="BJ96" i="15"/>
  <c r="BK96" i="15"/>
  <c r="BG97" i="15"/>
  <c r="BH97" i="15"/>
  <c r="BI97" i="15"/>
  <c r="BJ97" i="15"/>
  <c r="BK97" i="15"/>
  <c r="BG98" i="15"/>
  <c r="BH98" i="15"/>
  <c r="BI98" i="15"/>
  <c r="BJ98" i="15"/>
  <c r="BK98" i="15"/>
  <c r="BG99" i="15"/>
  <c r="BH99" i="15"/>
  <c r="BI99" i="15"/>
  <c r="BJ99" i="15"/>
  <c r="BK99" i="15"/>
  <c r="BG100" i="15"/>
  <c r="BH100" i="15"/>
  <c r="BI100" i="15"/>
  <c r="BJ100" i="15"/>
  <c r="BK100" i="15"/>
  <c r="BG101" i="15"/>
  <c r="BH101" i="15"/>
  <c r="BI101" i="15"/>
  <c r="BJ101" i="15"/>
  <c r="BK101" i="15"/>
  <c r="BG102" i="15"/>
  <c r="BH102" i="15"/>
  <c r="BI102" i="15"/>
  <c r="BJ102" i="15"/>
  <c r="BK102" i="15"/>
  <c r="BG103" i="15"/>
  <c r="BH103" i="15"/>
  <c r="BI103" i="15"/>
  <c r="BJ103" i="15"/>
  <c r="BK103" i="15"/>
  <c r="BG104" i="15"/>
  <c r="BH104" i="15"/>
  <c r="BI104" i="15"/>
  <c r="BJ104" i="15"/>
  <c r="BK104" i="15"/>
  <c r="BG105" i="15"/>
  <c r="BH105" i="15"/>
  <c r="BI105" i="15"/>
  <c r="BJ105" i="15"/>
  <c r="BK105" i="15"/>
  <c r="BG106" i="15"/>
  <c r="BH106" i="15"/>
  <c r="BI106" i="15"/>
  <c r="BJ106" i="15"/>
  <c r="BK106" i="15"/>
  <c r="BG107" i="15"/>
  <c r="BH107" i="15"/>
  <c r="BI107" i="15"/>
  <c r="BJ107" i="15"/>
  <c r="BK107" i="15"/>
  <c r="BG108" i="15"/>
  <c r="BH108" i="15"/>
  <c r="BI108" i="15"/>
  <c r="BJ108" i="15"/>
  <c r="BK108" i="15"/>
  <c r="BG109" i="15"/>
  <c r="BH109" i="15"/>
  <c r="BI109" i="15"/>
  <c r="BJ109" i="15"/>
  <c r="BK109" i="15"/>
  <c r="BG110" i="15"/>
  <c r="BH110" i="15"/>
  <c r="BI110" i="15"/>
  <c r="BJ110" i="15"/>
  <c r="BK110" i="15"/>
  <c r="BG111" i="15"/>
  <c r="BH111" i="15"/>
  <c r="BI111" i="15"/>
  <c r="BJ111" i="15"/>
  <c r="BK111" i="15"/>
  <c r="BG112" i="15"/>
  <c r="BH112" i="15"/>
  <c r="BI112" i="15"/>
  <c r="BJ112" i="15"/>
  <c r="BK112" i="15"/>
  <c r="BG113" i="15"/>
  <c r="BH113" i="15"/>
  <c r="BI113" i="15"/>
  <c r="BJ113" i="15"/>
  <c r="BK113" i="15"/>
  <c r="BG114" i="15"/>
  <c r="BH114" i="15"/>
  <c r="BI114" i="15"/>
  <c r="BJ114" i="15"/>
  <c r="BK114" i="15"/>
  <c r="BG115" i="15"/>
  <c r="BH115" i="15"/>
  <c r="BI115" i="15"/>
  <c r="BJ115" i="15"/>
  <c r="BK115" i="15"/>
  <c r="BG116" i="15"/>
  <c r="BH116" i="15"/>
  <c r="BI116" i="15"/>
  <c r="BJ116" i="15"/>
  <c r="BK116" i="15"/>
  <c r="BG117" i="15"/>
  <c r="BH117" i="15"/>
  <c r="BI117" i="15"/>
  <c r="BJ117" i="15"/>
  <c r="BK117" i="15"/>
  <c r="BG118" i="15"/>
  <c r="BH118" i="15"/>
  <c r="BI118" i="15"/>
  <c r="BJ118" i="15"/>
  <c r="BK118" i="15"/>
  <c r="BG119" i="15"/>
  <c r="BH119" i="15"/>
  <c r="BI119" i="15"/>
  <c r="BJ119" i="15"/>
  <c r="BK119" i="15"/>
  <c r="BG120" i="15"/>
  <c r="BH120" i="15"/>
  <c r="BI120" i="15"/>
  <c r="BJ120" i="15"/>
  <c r="BK120" i="15"/>
  <c r="BG121" i="15"/>
  <c r="BH121" i="15"/>
  <c r="BI121" i="15"/>
  <c r="BJ121" i="15"/>
  <c r="BK121" i="15"/>
  <c r="BG122" i="15"/>
  <c r="BH122" i="15"/>
  <c r="BI122" i="15"/>
  <c r="BJ122" i="15"/>
  <c r="BK122" i="15"/>
  <c r="BG123" i="15"/>
  <c r="BH123" i="15"/>
  <c r="BI123" i="15"/>
  <c r="BJ123" i="15"/>
  <c r="BK123" i="15"/>
  <c r="BG124" i="15"/>
  <c r="BH124" i="15"/>
  <c r="BI124" i="15"/>
  <c r="BJ124" i="15"/>
  <c r="BK124" i="15"/>
  <c r="BG125" i="15"/>
  <c r="BH125" i="15"/>
  <c r="BI125" i="15"/>
  <c r="BJ125" i="15"/>
  <c r="BK125" i="15"/>
  <c r="BG126" i="15"/>
  <c r="BH126" i="15"/>
  <c r="BI126" i="15"/>
  <c r="BJ126" i="15"/>
  <c r="BK126" i="15"/>
  <c r="BG127" i="15"/>
  <c r="BH127" i="15"/>
  <c r="BI127" i="15"/>
  <c r="BJ127" i="15"/>
  <c r="BK127" i="15"/>
  <c r="BG128" i="15"/>
  <c r="BH128" i="15"/>
  <c r="BI128" i="15"/>
  <c r="BJ128" i="15"/>
  <c r="BK128" i="15"/>
  <c r="BG129" i="15"/>
  <c r="BH129" i="15"/>
  <c r="BI129" i="15"/>
  <c r="BJ129" i="15"/>
  <c r="BK129" i="15"/>
  <c r="BG130" i="15"/>
  <c r="BH130" i="15"/>
  <c r="BI130" i="15"/>
  <c r="BJ130" i="15"/>
  <c r="BK130" i="15"/>
  <c r="BG131" i="15"/>
  <c r="BH131" i="15"/>
  <c r="BI131" i="15"/>
  <c r="BJ131" i="15"/>
  <c r="BK131" i="15"/>
  <c r="BG132" i="15"/>
  <c r="BH132" i="15"/>
  <c r="BI132" i="15"/>
  <c r="BJ132" i="15"/>
  <c r="BK132" i="15"/>
  <c r="BG133" i="15"/>
  <c r="BH133" i="15"/>
  <c r="BI133" i="15"/>
  <c r="BJ133" i="15"/>
  <c r="BK133" i="15"/>
  <c r="BG134" i="15"/>
  <c r="BH134" i="15"/>
  <c r="BI134" i="15"/>
  <c r="BJ134" i="15"/>
  <c r="BK134" i="15"/>
  <c r="BK136" i="15"/>
  <c r="BK137" i="15"/>
  <c r="BK138" i="15"/>
  <c r="BG141" i="15"/>
  <c r="BH141" i="15"/>
  <c r="BI141" i="15"/>
  <c r="BJ141" i="15"/>
  <c r="BK141" i="15"/>
  <c r="BG142" i="15"/>
  <c r="BH142" i="15"/>
  <c r="BI142" i="15"/>
  <c r="BJ142" i="15"/>
  <c r="BK142" i="15"/>
  <c r="BG143" i="15"/>
  <c r="BH143" i="15"/>
  <c r="BI143" i="15"/>
  <c r="BJ143" i="15"/>
  <c r="BK143" i="15"/>
  <c r="BG144" i="15"/>
  <c r="BH144" i="15"/>
  <c r="BI144" i="15"/>
  <c r="BJ144" i="15"/>
  <c r="BK144" i="15"/>
  <c r="BG145" i="15"/>
  <c r="BH145" i="15"/>
  <c r="BI145" i="15"/>
  <c r="BJ145" i="15"/>
  <c r="BK145" i="15"/>
  <c r="BG146" i="15"/>
  <c r="BH146" i="15"/>
  <c r="BI146" i="15"/>
  <c r="BJ146" i="15"/>
  <c r="BK146" i="15"/>
  <c r="BG147" i="15"/>
  <c r="BH147" i="15"/>
  <c r="BI147" i="15"/>
  <c r="BJ147" i="15"/>
  <c r="BK147" i="15"/>
  <c r="BG148" i="15"/>
  <c r="BH148" i="15"/>
  <c r="BI148" i="15"/>
  <c r="BJ148" i="15"/>
  <c r="BK148" i="15"/>
  <c r="BG149" i="15"/>
  <c r="BH149" i="15"/>
  <c r="BI149" i="15"/>
  <c r="BJ149" i="15"/>
  <c r="BK149" i="15"/>
  <c r="BG150" i="15"/>
  <c r="BH150" i="15"/>
  <c r="BI150" i="15"/>
  <c r="BJ150" i="15"/>
  <c r="BK150" i="15"/>
  <c r="BG153" i="15"/>
  <c r="BH153" i="15"/>
  <c r="BI153" i="15"/>
  <c r="BJ153" i="15"/>
  <c r="BK153" i="15"/>
  <c r="BG154" i="15"/>
  <c r="BH154" i="15"/>
  <c r="BI154" i="15"/>
  <c r="BJ154" i="15"/>
  <c r="BK154" i="15"/>
  <c r="BG155" i="15"/>
  <c r="BH155" i="15"/>
  <c r="BI155" i="15"/>
  <c r="BJ155" i="15"/>
  <c r="BK155" i="15"/>
  <c r="BG156" i="15"/>
  <c r="BH156" i="15"/>
  <c r="BI156" i="15"/>
  <c r="BJ156" i="15"/>
  <c r="BK156" i="15"/>
  <c r="BG157" i="15"/>
  <c r="BH157" i="15"/>
  <c r="BI157" i="15"/>
  <c r="BJ157" i="15"/>
  <c r="BK157" i="15"/>
  <c r="BG158" i="15"/>
  <c r="BH158" i="15"/>
  <c r="BI158" i="15"/>
  <c r="BJ158" i="15"/>
  <c r="BK158" i="15"/>
  <c r="BG159" i="15"/>
  <c r="BH159" i="15"/>
  <c r="BI159" i="15"/>
  <c r="BJ159" i="15"/>
  <c r="BK159" i="15"/>
  <c r="BG160" i="15"/>
  <c r="BH160" i="15"/>
  <c r="BI160" i="15"/>
  <c r="BJ160" i="15"/>
  <c r="BK160" i="15"/>
  <c r="BG161" i="15"/>
  <c r="BH161" i="15"/>
  <c r="BI161" i="15"/>
  <c r="BJ161" i="15"/>
  <c r="BK161" i="15"/>
  <c r="BG162" i="15"/>
  <c r="BH162" i="15"/>
  <c r="BI162" i="15"/>
  <c r="BJ162" i="15"/>
  <c r="BK162" i="15"/>
  <c r="BG163" i="15"/>
  <c r="BH163" i="15"/>
  <c r="BI163" i="15"/>
  <c r="BJ163" i="15"/>
  <c r="BK163" i="15"/>
  <c r="BG164" i="15"/>
  <c r="BH164" i="15"/>
  <c r="BI164" i="15"/>
  <c r="BJ164" i="15"/>
  <c r="BK164" i="15"/>
  <c r="BG165" i="15"/>
  <c r="BH165" i="15"/>
  <c r="BI165" i="15"/>
  <c r="BJ165" i="15"/>
  <c r="BK165" i="15"/>
  <c r="BG166" i="15"/>
  <c r="BH166" i="15"/>
  <c r="BI166" i="15"/>
  <c r="BJ166" i="15"/>
  <c r="BK166" i="15"/>
  <c r="BG167" i="15"/>
  <c r="BH167" i="15"/>
  <c r="BI167" i="15"/>
  <c r="BJ167" i="15"/>
  <c r="BK167" i="15"/>
  <c r="BG168" i="15"/>
  <c r="BH168" i="15"/>
  <c r="BI168" i="15"/>
  <c r="BJ168" i="15"/>
  <c r="BK168" i="15"/>
  <c r="BG169" i="15"/>
  <c r="BH169" i="15"/>
  <c r="BI169" i="15"/>
  <c r="BJ169" i="15"/>
  <c r="BK169" i="15"/>
  <c r="BG170" i="15"/>
  <c r="BH170" i="15"/>
  <c r="BI170" i="15"/>
  <c r="BJ170" i="15"/>
  <c r="BK170" i="15"/>
  <c r="BG171" i="15"/>
  <c r="BH171" i="15"/>
  <c r="BI171" i="15"/>
  <c r="BJ171" i="15"/>
  <c r="BK171" i="15"/>
  <c r="BG172" i="15"/>
  <c r="BH172" i="15"/>
  <c r="BI172" i="15"/>
  <c r="BJ172" i="15"/>
  <c r="BK172" i="15"/>
  <c r="BG173" i="15"/>
  <c r="BH173" i="15"/>
  <c r="BI173" i="15"/>
  <c r="BJ173" i="15"/>
  <c r="BK173" i="15"/>
  <c r="BG174" i="15"/>
  <c r="BH174" i="15"/>
  <c r="BI174" i="15"/>
  <c r="BJ174" i="15"/>
  <c r="BK174" i="15"/>
  <c r="BG175" i="15"/>
  <c r="BH175" i="15"/>
  <c r="BI175" i="15"/>
  <c r="BJ175" i="15"/>
  <c r="BK175" i="15"/>
  <c r="BG176" i="15"/>
  <c r="BH176" i="15"/>
  <c r="BI176" i="15"/>
  <c r="BJ176" i="15"/>
  <c r="BK176" i="15"/>
  <c r="BG177" i="15"/>
  <c r="BH177" i="15"/>
  <c r="BI177" i="15"/>
  <c r="BJ177" i="15"/>
  <c r="BK177" i="15"/>
  <c r="BG178" i="15"/>
  <c r="BH178" i="15"/>
  <c r="BI178" i="15"/>
  <c r="BJ178" i="15"/>
  <c r="BK178" i="15"/>
  <c r="BG179" i="15"/>
  <c r="BH179" i="15"/>
  <c r="BI179" i="15"/>
  <c r="BJ179" i="15"/>
  <c r="BK179" i="15"/>
  <c r="BH95" i="15"/>
  <c r="BI95" i="15"/>
  <c r="BJ95" i="15"/>
  <c r="BK95" i="15"/>
  <c r="BG95" i="15"/>
  <c r="AW96" i="15"/>
  <c r="AX96" i="15"/>
  <c r="AY96" i="15"/>
  <c r="AZ96" i="15"/>
  <c r="BA96" i="15"/>
  <c r="AW97" i="15"/>
  <c r="AX97" i="15"/>
  <c r="AY97" i="15"/>
  <c r="AZ97" i="15"/>
  <c r="BA97" i="15"/>
  <c r="AW98" i="15"/>
  <c r="AX98" i="15"/>
  <c r="AY98" i="15"/>
  <c r="AZ98" i="15"/>
  <c r="BA98" i="15"/>
  <c r="AW99" i="15"/>
  <c r="AX99" i="15"/>
  <c r="AY99" i="15"/>
  <c r="AZ99" i="15"/>
  <c r="BA99" i="15"/>
  <c r="AW100" i="15"/>
  <c r="AX100" i="15"/>
  <c r="AY100" i="15"/>
  <c r="AZ100" i="15"/>
  <c r="BA100" i="15"/>
  <c r="AW101" i="15"/>
  <c r="AX101" i="15"/>
  <c r="AY101" i="15"/>
  <c r="AZ101" i="15"/>
  <c r="BA101" i="15"/>
  <c r="AW102" i="15"/>
  <c r="AX102" i="15"/>
  <c r="AY102" i="15"/>
  <c r="AZ102" i="15"/>
  <c r="BA102" i="15"/>
  <c r="AW103" i="15"/>
  <c r="AX103" i="15"/>
  <c r="AY103" i="15"/>
  <c r="AZ103" i="15"/>
  <c r="BA103" i="15"/>
  <c r="AW104" i="15"/>
  <c r="AX104" i="15"/>
  <c r="AY104" i="15"/>
  <c r="AZ104" i="15"/>
  <c r="BA104" i="15"/>
  <c r="AW105" i="15"/>
  <c r="AX105" i="15"/>
  <c r="AY105" i="15"/>
  <c r="AZ105" i="15"/>
  <c r="BA105" i="15"/>
  <c r="AW106" i="15"/>
  <c r="AX106" i="15"/>
  <c r="AY106" i="15"/>
  <c r="AZ106" i="15"/>
  <c r="BA106" i="15"/>
  <c r="AW107" i="15"/>
  <c r="AX107" i="15"/>
  <c r="AY107" i="15"/>
  <c r="AZ107" i="15"/>
  <c r="BA107" i="15"/>
  <c r="AW108" i="15"/>
  <c r="AX108" i="15"/>
  <c r="AY108" i="15"/>
  <c r="AZ108" i="15"/>
  <c r="BA108" i="15"/>
  <c r="AW109" i="15"/>
  <c r="AX109" i="15"/>
  <c r="AY109" i="15"/>
  <c r="AZ109" i="15"/>
  <c r="BA109" i="15"/>
  <c r="AW110" i="15"/>
  <c r="AX110" i="15"/>
  <c r="AY110" i="15"/>
  <c r="AZ110" i="15"/>
  <c r="BA110" i="15"/>
  <c r="AW111" i="15"/>
  <c r="AX111" i="15"/>
  <c r="AY111" i="15"/>
  <c r="AZ111" i="15"/>
  <c r="BA111" i="15"/>
  <c r="AW112" i="15"/>
  <c r="AX112" i="15"/>
  <c r="AY112" i="15"/>
  <c r="AZ112" i="15"/>
  <c r="BA112" i="15"/>
  <c r="AW113" i="15"/>
  <c r="AX113" i="15"/>
  <c r="AY113" i="15"/>
  <c r="AZ113" i="15"/>
  <c r="BA113" i="15"/>
  <c r="AW114" i="15"/>
  <c r="AX114" i="15"/>
  <c r="AY114" i="15"/>
  <c r="AZ114" i="15"/>
  <c r="BA114" i="15"/>
  <c r="AW115" i="15"/>
  <c r="AX115" i="15"/>
  <c r="AY115" i="15"/>
  <c r="AZ115" i="15"/>
  <c r="BA115" i="15"/>
  <c r="AW116" i="15"/>
  <c r="AX116" i="15"/>
  <c r="AY116" i="15"/>
  <c r="AZ116" i="15"/>
  <c r="BA116" i="15"/>
  <c r="AW117" i="15"/>
  <c r="AX117" i="15"/>
  <c r="AY117" i="15"/>
  <c r="AZ117" i="15"/>
  <c r="BA117" i="15"/>
  <c r="AW118" i="15"/>
  <c r="AX118" i="15"/>
  <c r="AY118" i="15"/>
  <c r="AZ118" i="15"/>
  <c r="BA118" i="15"/>
  <c r="AW119" i="15"/>
  <c r="AX119" i="15"/>
  <c r="AY119" i="15"/>
  <c r="AZ119" i="15"/>
  <c r="BA119" i="15"/>
  <c r="AW120" i="15"/>
  <c r="AX120" i="15"/>
  <c r="AY120" i="15"/>
  <c r="AZ120" i="15"/>
  <c r="BA120" i="15"/>
  <c r="AW121" i="15"/>
  <c r="AX121" i="15"/>
  <c r="AY121" i="15"/>
  <c r="AZ121" i="15"/>
  <c r="BA121" i="15"/>
  <c r="AW122" i="15"/>
  <c r="AX122" i="15"/>
  <c r="AY122" i="15"/>
  <c r="AZ122" i="15"/>
  <c r="BA122" i="15"/>
  <c r="AW123" i="15"/>
  <c r="AX123" i="15"/>
  <c r="AY123" i="15"/>
  <c r="AZ123" i="15"/>
  <c r="BA123" i="15"/>
  <c r="AW124" i="15"/>
  <c r="AX124" i="15"/>
  <c r="AY124" i="15"/>
  <c r="AZ124" i="15"/>
  <c r="BA124" i="15"/>
  <c r="AW125" i="15"/>
  <c r="AX125" i="15"/>
  <c r="AY125" i="15"/>
  <c r="AZ125" i="15"/>
  <c r="BA125" i="15"/>
  <c r="AW126" i="15"/>
  <c r="AX126" i="15"/>
  <c r="AY126" i="15"/>
  <c r="AZ126" i="15"/>
  <c r="BA126" i="15"/>
  <c r="AW127" i="15"/>
  <c r="AX127" i="15"/>
  <c r="AY127" i="15"/>
  <c r="AZ127" i="15"/>
  <c r="BA127" i="15"/>
  <c r="AW128" i="15"/>
  <c r="AX128" i="15"/>
  <c r="AY128" i="15"/>
  <c r="AZ128" i="15"/>
  <c r="BA128" i="15"/>
  <c r="AW129" i="15"/>
  <c r="AX129" i="15"/>
  <c r="AY129" i="15"/>
  <c r="AZ129" i="15"/>
  <c r="BA129" i="15"/>
  <c r="AW130" i="15"/>
  <c r="AX130" i="15"/>
  <c r="AY130" i="15"/>
  <c r="AZ130" i="15"/>
  <c r="BA130" i="15"/>
  <c r="AW131" i="15"/>
  <c r="AX131" i="15"/>
  <c r="AY131" i="15"/>
  <c r="AZ131" i="15"/>
  <c r="BA131" i="15"/>
  <c r="AW132" i="15"/>
  <c r="AX132" i="15"/>
  <c r="AY132" i="15"/>
  <c r="AZ132" i="15"/>
  <c r="BA132" i="15"/>
  <c r="AW133" i="15"/>
  <c r="AX133" i="15"/>
  <c r="AY133" i="15"/>
  <c r="AZ133" i="15"/>
  <c r="BA133" i="15"/>
  <c r="AW134" i="15"/>
  <c r="AX134" i="15"/>
  <c r="AY134" i="15"/>
  <c r="AZ134" i="15"/>
  <c r="BA134" i="15"/>
  <c r="AW136" i="15"/>
  <c r="AX136" i="15"/>
  <c r="AY136" i="15"/>
  <c r="AZ136" i="15"/>
  <c r="BA136" i="15"/>
  <c r="AW137" i="15"/>
  <c r="AX137" i="15"/>
  <c r="AY137" i="15"/>
  <c r="AZ137" i="15"/>
  <c r="BA137" i="15"/>
  <c r="AW138" i="15"/>
  <c r="AX138" i="15"/>
  <c r="AY138" i="15"/>
  <c r="AZ138" i="15"/>
  <c r="BA138" i="15"/>
  <c r="AW141" i="15"/>
  <c r="AX141" i="15"/>
  <c r="AY141" i="15"/>
  <c r="AZ141" i="15"/>
  <c r="BA141" i="15"/>
  <c r="AW142" i="15"/>
  <c r="AX142" i="15"/>
  <c r="AY142" i="15"/>
  <c r="AZ142" i="15"/>
  <c r="BA142" i="15"/>
  <c r="AW143" i="15"/>
  <c r="AX143" i="15"/>
  <c r="AY143" i="15"/>
  <c r="AZ143" i="15"/>
  <c r="BA143" i="15"/>
  <c r="AW144" i="15"/>
  <c r="AX144" i="15"/>
  <c r="AY144" i="15"/>
  <c r="AZ144" i="15"/>
  <c r="BA144" i="15"/>
  <c r="AW145" i="15"/>
  <c r="AX145" i="15"/>
  <c r="AY145" i="15"/>
  <c r="AZ145" i="15"/>
  <c r="BA145" i="15"/>
  <c r="AW146" i="15"/>
  <c r="AX146" i="15"/>
  <c r="AY146" i="15"/>
  <c r="AZ146" i="15"/>
  <c r="BA146" i="15"/>
  <c r="AW147" i="15"/>
  <c r="AX147" i="15"/>
  <c r="AY147" i="15"/>
  <c r="AZ147" i="15"/>
  <c r="BA147" i="15"/>
  <c r="AW148" i="15"/>
  <c r="AX148" i="15"/>
  <c r="AY148" i="15"/>
  <c r="AZ148" i="15"/>
  <c r="BA148" i="15"/>
  <c r="AW149" i="15"/>
  <c r="AX149" i="15"/>
  <c r="AY149" i="15"/>
  <c r="AZ149" i="15"/>
  <c r="BA149" i="15"/>
  <c r="AW150" i="15"/>
  <c r="AX150" i="15"/>
  <c r="AY150" i="15"/>
  <c r="AZ150" i="15"/>
  <c r="BA150" i="15"/>
  <c r="AW153" i="15"/>
  <c r="AX153" i="15"/>
  <c r="AY153" i="15"/>
  <c r="AZ153" i="15"/>
  <c r="BA153" i="15"/>
  <c r="AW154" i="15"/>
  <c r="AX154" i="15"/>
  <c r="AY154" i="15"/>
  <c r="AZ154" i="15"/>
  <c r="BA154" i="15"/>
  <c r="AW155" i="15"/>
  <c r="AX155" i="15"/>
  <c r="AY155" i="15"/>
  <c r="AZ155" i="15"/>
  <c r="BA155" i="15"/>
  <c r="AW156" i="15"/>
  <c r="AX156" i="15"/>
  <c r="AY156" i="15"/>
  <c r="AZ156" i="15"/>
  <c r="BA156" i="15"/>
  <c r="AW157" i="15"/>
  <c r="AX157" i="15"/>
  <c r="AY157" i="15"/>
  <c r="AZ157" i="15"/>
  <c r="BA157" i="15"/>
  <c r="AW158" i="15"/>
  <c r="AX158" i="15"/>
  <c r="AY158" i="15"/>
  <c r="AZ158" i="15"/>
  <c r="BA158" i="15"/>
  <c r="AW159" i="15"/>
  <c r="AX159" i="15"/>
  <c r="AY159" i="15"/>
  <c r="AZ159" i="15"/>
  <c r="BA159" i="15"/>
  <c r="AW160" i="15"/>
  <c r="AX160" i="15"/>
  <c r="AY160" i="15"/>
  <c r="AZ160" i="15"/>
  <c r="BA160" i="15"/>
  <c r="AW161" i="15"/>
  <c r="AX161" i="15"/>
  <c r="AY161" i="15"/>
  <c r="AZ161" i="15"/>
  <c r="BA161" i="15"/>
  <c r="AW162" i="15"/>
  <c r="AX162" i="15"/>
  <c r="AY162" i="15"/>
  <c r="AZ162" i="15"/>
  <c r="BA162" i="15"/>
  <c r="AW163" i="15"/>
  <c r="AX163" i="15"/>
  <c r="AY163" i="15"/>
  <c r="AZ163" i="15"/>
  <c r="BA163" i="15"/>
  <c r="AW164" i="15"/>
  <c r="AX164" i="15"/>
  <c r="AY164" i="15"/>
  <c r="AZ164" i="15"/>
  <c r="BA164" i="15"/>
  <c r="AW165" i="15"/>
  <c r="AX165" i="15"/>
  <c r="AY165" i="15"/>
  <c r="AZ165" i="15"/>
  <c r="BA165" i="15"/>
  <c r="AW166" i="15"/>
  <c r="AX166" i="15"/>
  <c r="AY166" i="15"/>
  <c r="AZ166" i="15"/>
  <c r="BA166" i="15"/>
  <c r="AW167" i="15"/>
  <c r="AX167" i="15"/>
  <c r="AY167" i="15"/>
  <c r="AZ167" i="15"/>
  <c r="BA167" i="15"/>
  <c r="AW168" i="15"/>
  <c r="AX168" i="15"/>
  <c r="AY168" i="15"/>
  <c r="AZ168" i="15"/>
  <c r="BA168" i="15"/>
  <c r="AW169" i="15"/>
  <c r="AX169" i="15"/>
  <c r="AY169" i="15"/>
  <c r="AZ169" i="15"/>
  <c r="BA169" i="15"/>
  <c r="AW170" i="15"/>
  <c r="AX170" i="15"/>
  <c r="AY170" i="15"/>
  <c r="AZ170" i="15"/>
  <c r="BA170" i="15"/>
  <c r="AW171" i="15"/>
  <c r="AX171" i="15"/>
  <c r="AY171" i="15"/>
  <c r="AZ171" i="15"/>
  <c r="BA171" i="15"/>
  <c r="AW172" i="15"/>
  <c r="AX172" i="15"/>
  <c r="AY172" i="15"/>
  <c r="AZ172" i="15"/>
  <c r="BA172" i="15"/>
  <c r="AW173" i="15"/>
  <c r="AX173" i="15"/>
  <c r="AY173" i="15"/>
  <c r="AZ173" i="15"/>
  <c r="BA173" i="15"/>
  <c r="AW174" i="15"/>
  <c r="AX174" i="15"/>
  <c r="AY174" i="15"/>
  <c r="AZ174" i="15"/>
  <c r="BA174" i="15"/>
  <c r="AW175" i="15"/>
  <c r="AX175" i="15"/>
  <c r="AY175" i="15"/>
  <c r="AZ175" i="15"/>
  <c r="BA175" i="15"/>
  <c r="AW176" i="15"/>
  <c r="AX176" i="15"/>
  <c r="AY176" i="15"/>
  <c r="AZ176" i="15"/>
  <c r="BA176" i="15"/>
  <c r="AW177" i="15"/>
  <c r="AX177" i="15"/>
  <c r="AY177" i="15"/>
  <c r="AZ177" i="15"/>
  <c r="BA177" i="15"/>
  <c r="AW178" i="15"/>
  <c r="AX178" i="15"/>
  <c r="AY178" i="15"/>
  <c r="AZ178" i="15"/>
  <c r="BA178" i="15"/>
  <c r="AW179" i="15"/>
  <c r="AX179" i="15"/>
  <c r="AY179" i="15"/>
  <c r="AZ179" i="15"/>
  <c r="BA179" i="15"/>
  <c r="AX95" i="15"/>
  <c r="AY95" i="15"/>
  <c r="AZ95" i="15"/>
  <c r="BA95" i="15"/>
  <c r="AW95" i="15"/>
  <c r="AM96" i="15"/>
  <c r="AN96" i="15"/>
  <c r="AO96" i="15"/>
  <c r="AP96" i="15"/>
  <c r="AQ96" i="15"/>
  <c r="AM97" i="15"/>
  <c r="AN97" i="15"/>
  <c r="AO97" i="15"/>
  <c r="AP97" i="15"/>
  <c r="AQ97" i="15"/>
  <c r="AM98" i="15"/>
  <c r="AN98" i="15"/>
  <c r="AO98" i="15"/>
  <c r="AP98" i="15"/>
  <c r="AQ98" i="15"/>
  <c r="AM99" i="15"/>
  <c r="AN99" i="15"/>
  <c r="AO99" i="15"/>
  <c r="AP99" i="15"/>
  <c r="AQ99" i="15"/>
  <c r="AM100" i="15"/>
  <c r="AN100" i="15"/>
  <c r="AO100" i="15"/>
  <c r="AP100" i="15"/>
  <c r="AQ100" i="15"/>
  <c r="AM101" i="15"/>
  <c r="AN101" i="15"/>
  <c r="AO101" i="15"/>
  <c r="AP101" i="15"/>
  <c r="AQ101" i="15"/>
  <c r="AM102" i="15"/>
  <c r="AN102" i="15"/>
  <c r="AO102" i="15"/>
  <c r="AP102" i="15"/>
  <c r="AQ102" i="15"/>
  <c r="AM103" i="15"/>
  <c r="AN103" i="15"/>
  <c r="AO103" i="15"/>
  <c r="AP103" i="15"/>
  <c r="AQ103" i="15"/>
  <c r="AM104" i="15"/>
  <c r="AN104" i="15"/>
  <c r="AO104" i="15"/>
  <c r="AP104" i="15"/>
  <c r="AQ104" i="15"/>
  <c r="AM105" i="15"/>
  <c r="AN105" i="15"/>
  <c r="AO105" i="15"/>
  <c r="AP105" i="15"/>
  <c r="AQ105" i="15"/>
  <c r="AM106" i="15"/>
  <c r="AN106" i="15"/>
  <c r="AO106" i="15"/>
  <c r="AP106" i="15"/>
  <c r="AQ106" i="15"/>
  <c r="AM107" i="15"/>
  <c r="AN107" i="15"/>
  <c r="AO107" i="15"/>
  <c r="AP107" i="15"/>
  <c r="AQ107" i="15"/>
  <c r="AM108" i="15"/>
  <c r="AN108" i="15"/>
  <c r="AO108" i="15"/>
  <c r="AP108" i="15"/>
  <c r="AQ108" i="15"/>
  <c r="AM109" i="15"/>
  <c r="AN109" i="15"/>
  <c r="AO109" i="15"/>
  <c r="AP109" i="15"/>
  <c r="AQ109" i="15"/>
  <c r="AM110" i="15"/>
  <c r="AN110" i="15"/>
  <c r="AO110" i="15"/>
  <c r="AP110" i="15"/>
  <c r="AQ110" i="15"/>
  <c r="AM111" i="15"/>
  <c r="AN111" i="15"/>
  <c r="AO111" i="15"/>
  <c r="AP111" i="15"/>
  <c r="AQ111" i="15"/>
  <c r="AM112" i="15"/>
  <c r="AN112" i="15"/>
  <c r="AO112" i="15"/>
  <c r="AP112" i="15"/>
  <c r="AQ112" i="15"/>
  <c r="AM113" i="15"/>
  <c r="AN113" i="15"/>
  <c r="AO113" i="15"/>
  <c r="AP113" i="15"/>
  <c r="AQ113" i="15"/>
  <c r="AM114" i="15"/>
  <c r="AN114" i="15"/>
  <c r="AO114" i="15"/>
  <c r="AP114" i="15"/>
  <c r="AQ114" i="15"/>
  <c r="AM115" i="15"/>
  <c r="AN115" i="15"/>
  <c r="AO115" i="15"/>
  <c r="AP115" i="15"/>
  <c r="AQ115" i="15"/>
  <c r="AM116" i="15"/>
  <c r="AN116" i="15"/>
  <c r="AO116" i="15"/>
  <c r="AP116" i="15"/>
  <c r="AQ116" i="15"/>
  <c r="AM117" i="15"/>
  <c r="AN117" i="15"/>
  <c r="AO117" i="15"/>
  <c r="AP117" i="15"/>
  <c r="AQ117" i="15"/>
  <c r="AM118" i="15"/>
  <c r="AN118" i="15"/>
  <c r="AO118" i="15"/>
  <c r="AP118" i="15"/>
  <c r="AQ118" i="15"/>
  <c r="AM119" i="15"/>
  <c r="AN119" i="15"/>
  <c r="AO119" i="15"/>
  <c r="AP119" i="15"/>
  <c r="AQ119" i="15"/>
  <c r="AM120" i="15"/>
  <c r="AN120" i="15"/>
  <c r="AO120" i="15"/>
  <c r="AP120" i="15"/>
  <c r="AQ120" i="15"/>
  <c r="AM121" i="15"/>
  <c r="AN121" i="15"/>
  <c r="AO121" i="15"/>
  <c r="AP121" i="15"/>
  <c r="AQ121" i="15"/>
  <c r="AM122" i="15"/>
  <c r="AN122" i="15"/>
  <c r="AO122" i="15"/>
  <c r="AP122" i="15"/>
  <c r="AQ122" i="15"/>
  <c r="AM123" i="15"/>
  <c r="AN123" i="15"/>
  <c r="AO123" i="15"/>
  <c r="AP123" i="15"/>
  <c r="AQ123" i="15"/>
  <c r="AM124" i="15"/>
  <c r="AN124" i="15"/>
  <c r="AO124" i="15"/>
  <c r="AP124" i="15"/>
  <c r="AQ124" i="15"/>
  <c r="AM125" i="15"/>
  <c r="AN125" i="15"/>
  <c r="AO125" i="15"/>
  <c r="AP125" i="15"/>
  <c r="AQ125" i="15"/>
  <c r="AM126" i="15"/>
  <c r="AN126" i="15"/>
  <c r="AO126" i="15"/>
  <c r="AP126" i="15"/>
  <c r="AQ126" i="15"/>
  <c r="AM127" i="15"/>
  <c r="AN127" i="15"/>
  <c r="AO127" i="15"/>
  <c r="AP127" i="15"/>
  <c r="AQ127" i="15"/>
  <c r="AM128" i="15"/>
  <c r="AN128" i="15"/>
  <c r="AO128" i="15"/>
  <c r="AP128" i="15"/>
  <c r="AQ128" i="15"/>
  <c r="AM129" i="15"/>
  <c r="AN129" i="15"/>
  <c r="AO129" i="15"/>
  <c r="AP129" i="15"/>
  <c r="AQ129" i="15"/>
  <c r="AM130" i="15"/>
  <c r="AN130" i="15"/>
  <c r="AO130" i="15"/>
  <c r="AP130" i="15"/>
  <c r="AQ130" i="15"/>
  <c r="AM131" i="15"/>
  <c r="AN131" i="15"/>
  <c r="AO131" i="15"/>
  <c r="AP131" i="15"/>
  <c r="AQ131" i="15"/>
  <c r="AM132" i="15"/>
  <c r="AN132" i="15"/>
  <c r="AO132" i="15"/>
  <c r="AP132" i="15"/>
  <c r="AQ132" i="15"/>
  <c r="AM133" i="15"/>
  <c r="AN133" i="15"/>
  <c r="AO133" i="15"/>
  <c r="AP133" i="15"/>
  <c r="AQ133" i="15"/>
  <c r="AM134" i="15"/>
  <c r="AN134" i="15"/>
  <c r="AO134" i="15"/>
  <c r="AP134" i="15"/>
  <c r="AQ134" i="15"/>
  <c r="AM136" i="15"/>
  <c r="AN136" i="15"/>
  <c r="AO136" i="15"/>
  <c r="AP136" i="15"/>
  <c r="AQ136" i="15"/>
  <c r="AM137" i="15"/>
  <c r="AN137" i="15"/>
  <c r="AO137" i="15"/>
  <c r="AP137" i="15"/>
  <c r="AQ137" i="15"/>
  <c r="AM138" i="15"/>
  <c r="AN138" i="15"/>
  <c r="AO138" i="15"/>
  <c r="AP138" i="15"/>
  <c r="AQ138" i="15"/>
  <c r="AM141" i="15"/>
  <c r="AN141" i="15"/>
  <c r="AO141" i="15"/>
  <c r="AP141" i="15"/>
  <c r="AQ141" i="15"/>
  <c r="AM142" i="15"/>
  <c r="AN142" i="15"/>
  <c r="AO142" i="15"/>
  <c r="AP142" i="15"/>
  <c r="AQ142" i="15"/>
  <c r="AM143" i="15"/>
  <c r="AN143" i="15"/>
  <c r="AO143" i="15"/>
  <c r="AP143" i="15"/>
  <c r="AQ143" i="15"/>
  <c r="AM144" i="15"/>
  <c r="AN144" i="15"/>
  <c r="AO144" i="15"/>
  <c r="AP144" i="15"/>
  <c r="AQ144" i="15"/>
  <c r="AM145" i="15"/>
  <c r="AN145" i="15"/>
  <c r="AO145" i="15"/>
  <c r="AP145" i="15"/>
  <c r="AQ145" i="15"/>
  <c r="AM146" i="15"/>
  <c r="AN146" i="15"/>
  <c r="AO146" i="15"/>
  <c r="AP146" i="15"/>
  <c r="AQ146" i="15"/>
  <c r="AM147" i="15"/>
  <c r="AN147" i="15"/>
  <c r="AO147" i="15"/>
  <c r="AP147" i="15"/>
  <c r="AQ147" i="15"/>
  <c r="AM148" i="15"/>
  <c r="AN148" i="15"/>
  <c r="AO148" i="15"/>
  <c r="AP148" i="15"/>
  <c r="AQ148" i="15"/>
  <c r="AM149" i="15"/>
  <c r="AN149" i="15"/>
  <c r="AO149" i="15"/>
  <c r="AP149" i="15"/>
  <c r="AQ149" i="15"/>
  <c r="AM150" i="15"/>
  <c r="AN150" i="15"/>
  <c r="AO150" i="15"/>
  <c r="AP150" i="15"/>
  <c r="AQ150" i="15"/>
  <c r="AM153" i="15"/>
  <c r="AN153" i="15"/>
  <c r="AO153" i="15"/>
  <c r="AP153" i="15"/>
  <c r="AQ153" i="15"/>
  <c r="AM154" i="15"/>
  <c r="AN154" i="15"/>
  <c r="AO154" i="15"/>
  <c r="AP154" i="15"/>
  <c r="AQ154" i="15"/>
  <c r="AM155" i="15"/>
  <c r="AN155" i="15"/>
  <c r="AO155" i="15"/>
  <c r="AP155" i="15"/>
  <c r="AQ155" i="15"/>
  <c r="AM156" i="15"/>
  <c r="AN156" i="15"/>
  <c r="AO156" i="15"/>
  <c r="AP156" i="15"/>
  <c r="AQ156" i="15"/>
  <c r="AM157" i="15"/>
  <c r="AN157" i="15"/>
  <c r="AO157" i="15"/>
  <c r="AP157" i="15"/>
  <c r="AQ157" i="15"/>
  <c r="AM158" i="15"/>
  <c r="AN158" i="15"/>
  <c r="AO158" i="15"/>
  <c r="AP158" i="15"/>
  <c r="AQ158" i="15"/>
  <c r="AM159" i="15"/>
  <c r="AN159" i="15"/>
  <c r="AO159" i="15"/>
  <c r="AP159" i="15"/>
  <c r="AQ159" i="15"/>
  <c r="AM160" i="15"/>
  <c r="AN160" i="15"/>
  <c r="AO160" i="15"/>
  <c r="AP160" i="15"/>
  <c r="AQ160" i="15"/>
  <c r="AM161" i="15"/>
  <c r="AN161" i="15"/>
  <c r="AO161" i="15"/>
  <c r="AP161" i="15"/>
  <c r="AQ161" i="15"/>
  <c r="AM162" i="15"/>
  <c r="AN162" i="15"/>
  <c r="AO162" i="15"/>
  <c r="AP162" i="15"/>
  <c r="AQ162" i="15"/>
  <c r="AM163" i="15"/>
  <c r="AN163" i="15"/>
  <c r="AO163" i="15"/>
  <c r="AP163" i="15"/>
  <c r="AQ163" i="15"/>
  <c r="AM164" i="15"/>
  <c r="AN164" i="15"/>
  <c r="AO164" i="15"/>
  <c r="AP164" i="15"/>
  <c r="AQ164" i="15"/>
  <c r="AM165" i="15"/>
  <c r="AN165" i="15"/>
  <c r="AO165" i="15"/>
  <c r="AP165" i="15"/>
  <c r="AQ165" i="15"/>
  <c r="AM166" i="15"/>
  <c r="AN166" i="15"/>
  <c r="AO166" i="15"/>
  <c r="AP166" i="15"/>
  <c r="AQ166" i="15"/>
  <c r="AM167" i="15"/>
  <c r="AN167" i="15"/>
  <c r="AO167" i="15"/>
  <c r="AP167" i="15"/>
  <c r="AQ167" i="15"/>
  <c r="AM168" i="15"/>
  <c r="AN168" i="15"/>
  <c r="AO168" i="15"/>
  <c r="AP168" i="15"/>
  <c r="AQ168" i="15"/>
  <c r="AM169" i="15"/>
  <c r="AN169" i="15"/>
  <c r="AO169" i="15"/>
  <c r="AP169" i="15"/>
  <c r="AQ169" i="15"/>
  <c r="AM170" i="15"/>
  <c r="AN170" i="15"/>
  <c r="AO170" i="15"/>
  <c r="AP170" i="15"/>
  <c r="AQ170" i="15"/>
  <c r="AM171" i="15"/>
  <c r="AN171" i="15"/>
  <c r="AO171" i="15"/>
  <c r="AP171" i="15"/>
  <c r="AQ171" i="15"/>
  <c r="AM172" i="15"/>
  <c r="AN172" i="15"/>
  <c r="AO172" i="15"/>
  <c r="AP172" i="15"/>
  <c r="AQ172" i="15"/>
  <c r="AM173" i="15"/>
  <c r="AN173" i="15"/>
  <c r="AO173" i="15"/>
  <c r="AP173" i="15"/>
  <c r="AQ173" i="15"/>
  <c r="AM174" i="15"/>
  <c r="AN174" i="15"/>
  <c r="AO174" i="15"/>
  <c r="AP174" i="15"/>
  <c r="AQ174" i="15"/>
  <c r="AM175" i="15"/>
  <c r="AN175" i="15"/>
  <c r="AO175" i="15"/>
  <c r="AP175" i="15"/>
  <c r="AQ175" i="15"/>
  <c r="AM176" i="15"/>
  <c r="AN176" i="15"/>
  <c r="AO176" i="15"/>
  <c r="AP176" i="15"/>
  <c r="AQ176" i="15"/>
  <c r="AM177" i="15"/>
  <c r="AN177" i="15"/>
  <c r="AO177" i="15"/>
  <c r="AP177" i="15"/>
  <c r="AQ177" i="15"/>
  <c r="AM178" i="15"/>
  <c r="AN178" i="15"/>
  <c r="AO178" i="15"/>
  <c r="AP178" i="15"/>
  <c r="AQ178" i="15"/>
  <c r="AM179" i="15"/>
  <c r="AN179" i="15"/>
  <c r="AO179" i="15"/>
  <c r="AP179" i="15"/>
  <c r="AQ179" i="15"/>
  <c r="AN95" i="15"/>
  <c r="AO95" i="15"/>
  <c r="AP95" i="15"/>
  <c r="AQ95" i="15"/>
  <c r="AM95" i="15"/>
  <c r="AC96" i="15"/>
  <c r="AD96" i="15"/>
  <c r="AE96" i="15"/>
  <c r="AF96" i="15"/>
  <c r="AG96" i="15"/>
  <c r="AC97" i="15"/>
  <c r="AD97" i="15"/>
  <c r="AE97" i="15"/>
  <c r="AF97" i="15"/>
  <c r="AG97" i="15"/>
  <c r="AC98" i="15"/>
  <c r="AD98" i="15"/>
  <c r="AE98" i="15"/>
  <c r="AF98" i="15"/>
  <c r="AG98" i="15"/>
  <c r="AC99" i="15"/>
  <c r="AD99" i="15"/>
  <c r="AE99" i="15"/>
  <c r="AF99" i="15"/>
  <c r="AG99" i="15"/>
  <c r="AC100" i="15"/>
  <c r="AD100" i="15"/>
  <c r="AE100" i="15"/>
  <c r="AF100" i="15"/>
  <c r="AG100" i="15"/>
  <c r="AC101" i="15"/>
  <c r="AD101" i="15"/>
  <c r="AE101" i="15"/>
  <c r="AF101" i="15"/>
  <c r="AG101" i="15"/>
  <c r="AC102" i="15"/>
  <c r="AD102" i="15"/>
  <c r="AE102" i="15"/>
  <c r="AF102" i="15"/>
  <c r="AG102" i="15"/>
  <c r="AC103" i="15"/>
  <c r="AD103" i="15"/>
  <c r="AE103" i="15"/>
  <c r="AF103" i="15"/>
  <c r="AG103" i="15"/>
  <c r="AC104" i="15"/>
  <c r="AD104" i="15"/>
  <c r="AE104" i="15"/>
  <c r="AF104" i="15"/>
  <c r="AG104" i="15"/>
  <c r="AC105" i="15"/>
  <c r="AD105" i="15"/>
  <c r="AE105" i="15"/>
  <c r="AF105" i="15"/>
  <c r="AG105" i="15"/>
  <c r="AC106" i="15"/>
  <c r="AD106" i="15"/>
  <c r="AE106" i="15"/>
  <c r="AF106" i="15"/>
  <c r="AG106" i="15"/>
  <c r="AC107" i="15"/>
  <c r="AD107" i="15"/>
  <c r="AE107" i="15"/>
  <c r="AF107" i="15"/>
  <c r="AG107" i="15"/>
  <c r="AC108" i="15"/>
  <c r="AD108" i="15"/>
  <c r="AE108" i="15"/>
  <c r="AF108" i="15"/>
  <c r="AG108" i="15"/>
  <c r="AC109" i="15"/>
  <c r="AD109" i="15"/>
  <c r="AE109" i="15"/>
  <c r="AF109" i="15"/>
  <c r="AG109" i="15"/>
  <c r="AC110" i="15"/>
  <c r="AD110" i="15"/>
  <c r="AE110" i="15"/>
  <c r="AF110" i="15"/>
  <c r="AG110" i="15"/>
  <c r="AC111" i="15"/>
  <c r="AD111" i="15"/>
  <c r="AE111" i="15"/>
  <c r="AF111" i="15"/>
  <c r="AG111" i="15"/>
  <c r="AC112" i="15"/>
  <c r="AD112" i="15"/>
  <c r="AE112" i="15"/>
  <c r="AF112" i="15"/>
  <c r="AG112" i="15"/>
  <c r="AC113" i="15"/>
  <c r="AD113" i="15"/>
  <c r="AE113" i="15"/>
  <c r="AF113" i="15"/>
  <c r="AG113" i="15"/>
  <c r="AC114" i="15"/>
  <c r="AD114" i="15"/>
  <c r="AE114" i="15"/>
  <c r="AF114" i="15"/>
  <c r="AG114" i="15"/>
  <c r="AC115" i="15"/>
  <c r="AD115" i="15"/>
  <c r="AE115" i="15"/>
  <c r="AF115" i="15"/>
  <c r="AG115" i="15"/>
  <c r="AC116" i="15"/>
  <c r="AD116" i="15"/>
  <c r="AE116" i="15"/>
  <c r="AF116" i="15"/>
  <c r="AG116" i="15"/>
  <c r="AC117" i="15"/>
  <c r="AD117" i="15"/>
  <c r="AE117" i="15"/>
  <c r="AF117" i="15"/>
  <c r="AG117" i="15"/>
  <c r="AC118" i="15"/>
  <c r="AD118" i="15"/>
  <c r="AE118" i="15"/>
  <c r="AF118" i="15"/>
  <c r="AG118" i="15"/>
  <c r="AC119" i="15"/>
  <c r="AD119" i="15"/>
  <c r="AE119" i="15"/>
  <c r="AF119" i="15"/>
  <c r="AG119" i="15"/>
  <c r="AC120" i="15"/>
  <c r="AD120" i="15"/>
  <c r="AE120" i="15"/>
  <c r="AF120" i="15"/>
  <c r="AG120" i="15"/>
  <c r="AC121" i="15"/>
  <c r="AD121" i="15"/>
  <c r="AE121" i="15"/>
  <c r="AF121" i="15"/>
  <c r="AG121" i="15"/>
  <c r="AC122" i="15"/>
  <c r="AD122" i="15"/>
  <c r="AE122" i="15"/>
  <c r="AF122" i="15"/>
  <c r="AG122" i="15"/>
  <c r="AC123" i="15"/>
  <c r="AD123" i="15"/>
  <c r="AE123" i="15"/>
  <c r="AF123" i="15"/>
  <c r="AG123" i="15"/>
  <c r="AC124" i="15"/>
  <c r="AD124" i="15"/>
  <c r="AE124" i="15"/>
  <c r="AF124" i="15"/>
  <c r="AG124" i="15"/>
  <c r="AC125" i="15"/>
  <c r="AD125" i="15"/>
  <c r="AE125" i="15"/>
  <c r="AF125" i="15"/>
  <c r="AG125" i="15"/>
  <c r="AC126" i="15"/>
  <c r="AD126" i="15"/>
  <c r="AE126" i="15"/>
  <c r="AF126" i="15"/>
  <c r="AG126" i="15"/>
  <c r="AC127" i="15"/>
  <c r="AD127" i="15"/>
  <c r="AE127" i="15"/>
  <c r="AF127" i="15"/>
  <c r="AG127" i="15"/>
  <c r="AC128" i="15"/>
  <c r="AD128" i="15"/>
  <c r="AE128" i="15"/>
  <c r="AF128" i="15"/>
  <c r="AG128" i="15"/>
  <c r="AC129" i="15"/>
  <c r="AD129" i="15"/>
  <c r="AE129" i="15"/>
  <c r="AF129" i="15"/>
  <c r="AG129" i="15"/>
  <c r="AC130" i="15"/>
  <c r="AD130" i="15"/>
  <c r="AE130" i="15"/>
  <c r="AF130" i="15"/>
  <c r="AG130" i="15"/>
  <c r="AC131" i="15"/>
  <c r="AD131" i="15"/>
  <c r="AE131" i="15"/>
  <c r="AF131" i="15"/>
  <c r="AG131" i="15"/>
  <c r="AC132" i="15"/>
  <c r="AD132" i="15"/>
  <c r="AE132" i="15"/>
  <c r="AF132" i="15"/>
  <c r="AG132" i="15"/>
  <c r="AC133" i="15"/>
  <c r="AD133" i="15"/>
  <c r="AE133" i="15"/>
  <c r="AF133" i="15"/>
  <c r="AG133" i="15"/>
  <c r="AC134" i="15"/>
  <c r="AD134" i="15"/>
  <c r="AE134" i="15"/>
  <c r="AF134" i="15"/>
  <c r="AG134" i="15"/>
  <c r="AC136" i="15"/>
  <c r="AD136" i="15"/>
  <c r="AE136" i="15"/>
  <c r="AF136" i="15"/>
  <c r="AG136" i="15"/>
  <c r="AC137" i="15"/>
  <c r="AD137" i="15"/>
  <c r="AE137" i="15"/>
  <c r="AF137" i="15"/>
  <c r="AG137" i="15"/>
  <c r="AC138" i="15"/>
  <c r="AD138" i="15"/>
  <c r="AE138" i="15"/>
  <c r="AF138" i="15"/>
  <c r="AG138" i="15"/>
  <c r="AC141" i="15"/>
  <c r="AD141" i="15"/>
  <c r="AE141" i="15"/>
  <c r="AF141" i="15"/>
  <c r="AG141" i="15"/>
  <c r="AC142" i="15"/>
  <c r="AD142" i="15"/>
  <c r="AE142" i="15"/>
  <c r="AF142" i="15"/>
  <c r="AG142" i="15"/>
  <c r="AC143" i="15"/>
  <c r="AD143" i="15"/>
  <c r="AE143" i="15"/>
  <c r="AF143" i="15"/>
  <c r="AG143" i="15"/>
  <c r="AC144" i="15"/>
  <c r="AD144" i="15"/>
  <c r="AE144" i="15"/>
  <c r="AF144" i="15"/>
  <c r="AG144" i="15"/>
  <c r="AC145" i="15"/>
  <c r="AD145" i="15"/>
  <c r="AE145" i="15"/>
  <c r="AF145" i="15"/>
  <c r="AG145" i="15"/>
  <c r="AC146" i="15"/>
  <c r="AD146" i="15"/>
  <c r="AE146" i="15"/>
  <c r="AF146" i="15"/>
  <c r="AG146" i="15"/>
  <c r="AC147" i="15"/>
  <c r="AD147" i="15"/>
  <c r="AE147" i="15"/>
  <c r="AF147" i="15"/>
  <c r="AG147" i="15"/>
  <c r="AC148" i="15"/>
  <c r="AD148" i="15"/>
  <c r="AE148" i="15"/>
  <c r="AF148" i="15"/>
  <c r="AG148" i="15"/>
  <c r="AC149" i="15"/>
  <c r="AD149" i="15"/>
  <c r="AE149" i="15"/>
  <c r="AF149" i="15"/>
  <c r="AG149" i="15"/>
  <c r="AC150" i="15"/>
  <c r="AD150" i="15"/>
  <c r="AE150" i="15"/>
  <c r="AF150" i="15"/>
  <c r="AG150" i="15"/>
  <c r="AC153" i="15"/>
  <c r="AD153" i="15"/>
  <c r="AE153" i="15"/>
  <c r="AF153" i="15"/>
  <c r="AG153" i="15"/>
  <c r="AC154" i="15"/>
  <c r="AD154" i="15"/>
  <c r="AE154" i="15"/>
  <c r="AF154" i="15"/>
  <c r="AG154" i="15"/>
  <c r="AC155" i="15"/>
  <c r="AD155" i="15"/>
  <c r="AE155" i="15"/>
  <c r="AF155" i="15"/>
  <c r="AG155" i="15"/>
  <c r="AC156" i="15"/>
  <c r="AD156" i="15"/>
  <c r="AE156" i="15"/>
  <c r="AF156" i="15"/>
  <c r="AG156" i="15"/>
  <c r="AC157" i="15"/>
  <c r="AD157" i="15"/>
  <c r="AE157" i="15"/>
  <c r="AF157" i="15"/>
  <c r="AG157" i="15"/>
  <c r="AC158" i="15"/>
  <c r="AD158" i="15"/>
  <c r="AE158" i="15"/>
  <c r="AF158" i="15"/>
  <c r="AG158" i="15"/>
  <c r="AC159" i="15"/>
  <c r="AD159" i="15"/>
  <c r="AE159" i="15"/>
  <c r="AF159" i="15"/>
  <c r="AG159" i="15"/>
  <c r="AC160" i="15"/>
  <c r="AD160" i="15"/>
  <c r="AE160" i="15"/>
  <c r="AF160" i="15"/>
  <c r="AG160" i="15"/>
  <c r="AC161" i="15"/>
  <c r="AD161" i="15"/>
  <c r="AE161" i="15"/>
  <c r="AF161" i="15"/>
  <c r="AG161" i="15"/>
  <c r="AC162" i="15"/>
  <c r="AD162" i="15"/>
  <c r="AE162" i="15"/>
  <c r="AF162" i="15"/>
  <c r="AG162" i="15"/>
  <c r="AC163" i="15"/>
  <c r="AD163" i="15"/>
  <c r="AE163" i="15"/>
  <c r="AF163" i="15"/>
  <c r="AG163" i="15"/>
  <c r="AC164" i="15"/>
  <c r="AD164" i="15"/>
  <c r="AE164" i="15"/>
  <c r="AF164" i="15"/>
  <c r="AG164" i="15"/>
  <c r="AC165" i="15"/>
  <c r="AD165" i="15"/>
  <c r="AE165" i="15"/>
  <c r="AF165" i="15"/>
  <c r="AG165" i="15"/>
  <c r="AC166" i="15"/>
  <c r="AD166" i="15"/>
  <c r="AE166" i="15"/>
  <c r="AF166" i="15"/>
  <c r="AG166" i="15"/>
  <c r="AC167" i="15"/>
  <c r="AD167" i="15"/>
  <c r="AE167" i="15"/>
  <c r="AF167" i="15"/>
  <c r="AG167" i="15"/>
  <c r="AC168" i="15"/>
  <c r="AD168" i="15"/>
  <c r="AE168" i="15"/>
  <c r="AF168" i="15"/>
  <c r="AG168" i="15"/>
  <c r="AC169" i="15"/>
  <c r="AD169" i="15"/>
  <c r="AE169" i="15"/>
  <c r="AF169" i="15"/>
  <c r="AG169" i="15"/>
  <c r="AC170" i="15"/>
  <c r="AD170" i="15"/>
  <c r="AE170" i="15"/>
  <c r="AF170" i="15"/>
  <c r="AG170" i="15"/>
  <c r="AC171" i="15"/>
  <c r="AD171" i="15"/>
  <c r="AE171" i="15"/>
  <c r="AF171" i="15"/>
  <c r="AG171" i="15"/>
  <c r="AC172" i="15"/>
  <c r="AD172" i="15"/>
  <c r="AE172" i="15"/>
  <c r="AF172" i="15"/>
  <c r="AG172" i="15"/>
  <c r="AC173" i="15"/>
  <c r="AD173" i="15"/>
  <c r="AE173" i="15"/>
  <c r="AF173" i="15"/>
  <c r="AG173" i="15"/>
  <c r="AC174" i="15"/>
  <c r="AD174" i="15"/>
  <c r="AE174" i="15"/>
  <c r="AF174" i="15"/>
  <c r="AG174" i="15"/>
  <c r="AC175" i="15"/>
  <c r="AD175" i="15"/>
  <c r="AE175" i="15"/>
  <c r="AF175" i="15"/>
  <c r="AG175" i="15"/>
  <c r="AC176" i="15"/>
  <c r="AD176" i="15"/>
  <c r="AE176" i="15"/>
  <c r="AF176" i="15"/>
  <c r="AG176" i="15"/>
  <c r="AC177" i="15"/>
  <c r="AD177" i="15"/>
  <c r="AE177" i="15"/>
  <c r="AF177" i="15"/>
  <c r="AG177" i="15"/>
  <c r="AC178" i="15"/>
  <c r="AD178" i="15"/>
  <c r="AE178" i="15"/>
  <c r="AF178" i="15"/>
  <c r="AG178" i="15"/>
  <c r="AC179" i="15"/>
  <c r="AD179" i="15"/>
  <c r="AE179" i="15"/>
  <c r="AF179" i="15"/>
  <c r="AG179" i="15"/>
  <c r="AD95" i="15"/>
  <c r="AE95" i="15"/>
  <c r="AF95" i="15"/>
  <c r="AG95" i="15"/>
  <c r="AC95" i="15"/>
  <c r="S96" i="15"/>
  <c r="T96" i="15"/>
  <c r="U96" i="15"/>
  <c r="V96" i="15"/>
  <c r="W96" i="15"/>
  <c r="S97" i="15"/>
  <c r="T97" i="15"/>
  <c r="U97" i="15"/>
  <c r="V97" i="15"/>
  <c r="W97" i="15"/>
  <c r="S98" i="15"/>
  <c r="T98" i="15"/>
  <c r="U98" i="15"/>
  <c r="V98" i="15"/>
  <c r="W98" i="15"/>
  <c r="S99" i="15"/>
  <c r="T99" i="15"/>
  <c r="U99" i="15"/>
  <c r="V99" i="15"/>
  <c r="W99" i="15"/>
  <c r="S100" i="15"/>
  <c r="T100" i="15"/>
  <c r="U100" i="15"/>
  <c r="V100" i="15"/>
  <c r="W100" i="15"/>
  <c r="S101" i="15"/>
  <c r="T101" i="15"/>
  <c r="U101" i="15"/>
  <c r="V101" i="15"/>
  <c r="W101" i="15"/>
  <c r="S102" i="15"/>
  <c r="T102" i="15"/>
  <c r="U102" i="15"/>
  <c r="V102" i="15"/>
  <c r="W102" i="15"/>
  <c r="S103" i="15"/>
  <c r="T103" i="15"/>
  <c r="U103" i="15"/>
  <c r="V103" i="15"/>
  <c r="W103" i="15"/>
  <c r="S104" i="15"/>
  <c r="T104" i="15"/>
  <c r="U104" i="15"/>
  <c r="V104" i="15"/>
  <c r="W104" i="15"/>
  <c r="S105" i="15"/>
  <c r="T105" i="15"/>
  <c r="U105" i="15"/>
  <c r="V105" i="15"/>
  <c r="W105" i="15"/>
  <c r="S106" i="15"/>
  <c r="T106" i="15"/>
  <c r="U106" i="15"/>
  <c r="V106" i="15"/>
  <c r="W106" i="15"/>
  <c r="S107" i="15"/>
  <c r="T107" i="15"/>
  <c r="U107" i="15"/>
  <c r="V107" i="15"/>
  <c r="W107" i="15"/>
  <c r="S108" i="15"/>
  <c r="T108" i="15"/>
  <c r="U108" i="15"/>
  <c r="V108" i="15"/>
  <c r="W108" i="15"/>
  <c r="S109" i="15"/>
  <c r="T109" i="15"/>
  <c r="U109" i="15"/>
  <c r="V109" i="15"/>
  <c r="W109" i="15"/>
  <c r="S110" i="15"/>
  <c r="T110" i="15"/>
  <c r="U110" i="15"/>
  <c r="V110" i="15"/>
  <c r="W110" i="15"/>
  <c r="S111" i="15"/>
  <c r="T111" i="15"/>
  <c r="U111" i="15"/>
  <c r="V111" i="15"/>
  <c r="W111" i="15"/>
  <c r="S112" i="15"/>
  <c r="T112" i="15"/>
  <c r="U112" i="15"/>
  <c r="V112" i="15"/>
  <c r="W112" i="15"/>
  <c r="S113" i="15"/>
  <c r="T113" i="15"/>
  <c r="U113" i="15"/>
  <c r="V113" i="15"/>
  <c r="W113" i="15"/>
  <c r="S114" i="15"/>
  <c r="T114" i="15"/>
  <c r="U114" i="15"/>
  <c r="V114" i="15"/>
  <c r="W114" i="15"/>
  <c r="S115" i="15"/>
  <c r="T115" i="15"/>
  <c r="U115" i="15"/>
  <c r="V115" i="15"/>
  <c r="W115" i="15"/>
  <c r="S116" i="15"/>
  <c r="T116" i="15"/>
  <c r="U116" i="15"/>
  <c r="V116" i="15"/>
  <c r="W116" i="15"/>
  <c r="S117" i="15"/>
  <c r="T117" i="15"/>
  <c r="U117" i="15"/>
  <c r="V117" i="15"/>
  <c r="W117" i="15"/>
  <c r="S118" i="15"/>
  <c r="T118" i="15"/>
  <c r="U118" i="15"/>
  <c r="V118" i="15"/>
  <c r="W118" i="15"/>
  <c r="S119" i="15"/>
  <c r="T119" i="15"/>
  <c r="U119" i="15"/>
  <c r="V119" i="15"/>
  <c r="W119" i="15"/>
  <c r="S120" i="15"/>
  <c r="T120" i="15"/>
  <c r="U120" i="15"/>
  <c r="V120" i="15"/>
  <c r="W120" i="15"/>
  <c r="S121" i="15"/>
  <c r="T121" i="15"/>
  <c r="U121" i="15"/>
  <c r="V121" i="15"/>
  <c r="W121" i="15"/>
  <c r="S122" i="15"/>
  <c r="T122" i="15"/>
  <c r="U122" i="15"/>
  <c r="V122" i="15"/>
  <c r="W122" i="15"/>
  <c r="S123" i="15"/>
  <c r="T123" i="15"/>
  <c r="U123" i="15"/>
  <c r="V123" i="15"/>
  <c r="W123" i="15"/>
  <c r="S124" i="15"/>
  <c r="T124" i="15"/>
  <c r="U124" i="15"/>
  <c r="V124" i="15"/>
  <c r="W124" i="15"/>
  <c r="S125" i="15"/>
  <c r="T125" i="15"/>
  <c r="U125" i="15"/>
  <c r="V125" i="15"/>
  <c r="W125" i="15"/>
  <c r="S126" i="15"/>
  <c r="T126" i="15"/>
  <c r="U126" i="15"/>
  <c r="V126" i="15"/>
  <c r="W126" i="15"/>
  <c r="S127" i="15"/>
  <c r="T127" i="15"/>
  <c r="U127" i="15"/>
  <c r="V127" i="15"/>
  <c r="W127" i="15"/>
  <c r="S128" i="15"/>
  <c r="T128" i="15"/>
  <c r="U128" i="15"/>
  <c r="V128" i="15"/>
  <c r="W128" i="15"/>
  <c r="S129" i="15"/>
  <c r="T129" i="15"/>
  <c r="U129" i="15"/>
  <c r="V129" i="15"/>
  <c r="W129" i="15"/>
  <c r="S130" i="15"/>
  <c r="T130" i="15"/>
  <c r="U130" i="15"/>
  <c r="V130" i="15"/>
  <c r="W130" i="15"/>
  <c r="S131" i="15"/>
  <c r="T131" i="15"/>
  <c r="U131" i="15"/>
  <c r="V131" i="15"/>
  <c r="W131" i="15"/>
  <c r="S132" i="15"/>
  <c r="T132" i="15"/>
  <c r="U132" i="15"/>
  <c r="V132" i="15"/>
  <c r="W132" i="15"/>
  <c r="S133" i="15"/>
  <c r="T133" i="15"/>
  <c r="U133" i="15"/>
  <c r="V133" i="15"/>
  <c r="W133" i="15"/>
  <c r="S134" i="15"/>
  <c r="T134" i="15"/>
  <c r="U134" i="15"/>
  <c r="V134" i="15"/>
  <c r="W134" i="15"/>
  <c r="S136" i="15"/>
  <c r="T136" i="15"/>
  <c r="U136" i="15"/>
  <c r="V136" i="15"/>
  <c r="W136" i="15"/>
  <c r="S137" i="15"/>
  <c r="T137" i="15"/>
  <c r="U137" i="15"/>
  <c r="V137" i="15"/>
  <c r="W137" i="15"/>
  <c r="S138" i="15"/>
  <c r="T138" i="15"/>
  <c r="U138" i="15"/>
  <c r="V138" i="15"/>
  <c r="W138" i="15"/>
  <c r="S141" i="15"/>
  <c r="T141" i="15"/>
  <c r="U141" i="15"/>
  <c r="V141" i="15"/>
  <c r="W141" i="15"/>
  <c r="S142" i="15"/>
  <c r="T142" i="15"/>
  <c r="U142" i="15"/>
  <c r="V142" i="15"/>
  <c r="W142" i="15"/>
  <c r="S143" i="15"/>
  <c r="T143" i="15"/>
  <c r="U143" i="15"/>
  <c r="V143" i="15"/>
  <c r="W143" i="15"/>
  <c r="S144" i="15"/>
  <c r="T144" i="15"/>
  <c r="U144" i="15"/>
  <c r="V144" i="15"/>
  <c r="W144" i="15"/>
  <c r="S145" i="15"/>
  <c r="T145" i="15"/>
  <c r="U145" i="15"/>
  <c r="V145" i="15"/>
  <c r="W145" i="15"/>
  <c r="S146" i="15"/>
  <c r="T146" i="15"/>
  <c r="U146" i="15"/>
  <c r="V146" i="15"/>
  <c r="W146" i="15"/>
  <c r="S147" i="15"/>
  <c r="T147" i="15"/>
  <c r="U147" i="15"/>
  <c r="V147" i="15"/>
  <c r="W147" i="15"/>
  <c r="S148" i="15"/>
  <c r="T148" i="15"/>
  <c r="U148" i="15"/>
  <c r="V148" i="15"/>
  <c r="W148" i="15"/>
  <c r="S149" i="15"/>
  <c r="T149" i="15"/>
  <c r="U149" i="15"/>
  <c r="V149" i="15"/>
  <c r="W149" i="15"/>
  <c r="S150" i="15"/>
  <c r="T150" i="15"/>
  <c r="U150" i="15"/>
  <c r="V150" i="15"/>
  <c r="W150" i="15"/>
  <c r="S153" i="15"/>
  <c r="T153" i="15"/>
  <c r="U153" i="15"/>
  <c r="V153" i="15"/>
  <c r="W153" i="15"/>
  <c r="S154" i="15"/>
  <c r="T154" i="15"/>
  <c r="U154" i="15"/>
  <c r="V154" i="15"/>
  <c r="W154" i="15"/>
  <c r="S155" i="15"/>
  <c r="T155" i="15"/>
  <c r="U155" i="15"/>
  <c r="V155" i="15"/>
  <c r="W155" i="15"/>
  <c r="S156" i="15"/>
  <c r="T156" i="15"/>
  <c r="U156" i="15"/>
  <c r="V156" i="15"/>
  <c r="W156" i="15"/>
  <c r="S157" i="15"/>
  <c r="T157" i="15"/>
  <c r="U157" i="15"/>
  <c r="V157" i="15"/>
  <c r="W157" i="15"/>
  <c r="S158" i="15"/>
  <c r="T158" i="15"/>
  <c r="U158" i="15"/>
  <c r="V158" i="15"/>
  <c r="W158" i="15"/>
  <c r="S159" i="15"/>
  <c r="T159" i="15"/>
  <c r="U159" i="15"/>
  <c r="V159" i="15"/>
  <c r="W159" i="15"/>
  <c r="S160" i="15"/>
  <c r="T160" i="15"/>
  <c r="U160" i="15"/>
  <c r="V160" i="15"/>
  <c r="W160" i="15"/>
  <c r="S161" i="15"/>
  <c r="T161" i="15"/>
  <c r="U161" i="15"/>
  <c r="V161" i="15"/>
  <c r="W161" i="15"/>
  <c r="S162" i="15"/>
  <c r="T162" i="15"/>
  <c r="U162" i="15"/>
  <c r="V162" i="15"/>
  <c r="W162" i="15"/>
  <c r="S163" i="15"/>
  <c r="T163" i="15"/>
  <c r="U163" i="15"/>
  <c r="V163" i="15"/>
  <c r="W163" i="15"/>
  <c r="S164" i="15"/>
  <c r="T164" i="15"/>
  <c r="U164" i="15"/>
  <c r="V164" i="15"/>
  <c r="W164" i="15"/>
  <c r="S165" i="15"/>
  <c r="T165" i="15"/>
  <c r="U165" i="15"/>
  <c r="V165" i="15"/>
  <c r="W165" i="15"/>
  <c r="S166" i="15"/>
  <c r="T166" i="15"/>
  <c r="U166" i="15"/>
  <c r="V166" i="15"/>
  <c r="W166" i="15"/>
  <c r="S167" i="15"/>
  <c r="T167" i="15"/>
  <c r="U167" i="15"/>
  <c r="V167" i="15"/>
  <c r="W167" i="15"/>
  <c r="S168" i="15"/>
  <c r="T168" i="15"/>
  <c r="U168" i="15"/>
  <c r="V168" i="15"/>
  <c r="W168" i="15"/>
  <c r="S169" i="15"/>
  <c r="T169" i="15"/>
  <c r="U169" i="15"/>
  <c r="V169" i="15"/>
  <c r="W169" i="15"/>
  <c r="S170" i="15"/>
  <c r="T170" i="15"/>
  <c r="U170" i="15"/>
  <c r="V170" i="15"/>
  <c r="W170" i="15"/>
  <c r="S171" i="15"/>
  <c r="T171" i="15"/>
  <c r="U171" i="15"/>
  <c r="V171" i="15"/>
  <c r="W171" i="15"/>
  <c r="S172" i="15"/>
  <c r="T172" i="15"/>
  <c r="U172" i="15"/>
  <c r="V172" i="15"/>
  <c r="W172" i="15"/>
  <c r="S173" i="15"/>
  <c r="T173" i="15"/>
  <c r="U173" i="15"/>
  <c r="V173" i="15"/>
  <c r="W173" i="15"/>
  <c r="S174" i="15"/>
  <c r="T174" i="15"/>
  <c r="U174" i="15"/>
  <c r="V174" i="15"/>
  <c r="W174" i="15"/>
  <c r="S175" i="15"/>
  <c r="T175" i="15"/>
  <c r="U175" i="15"/>
  <c r="V175" i="15"/>
  <c r="W175" i="15"/>
  <c r="S176" i="15"/>
  <c r="T176" i="15"/>
  <c r="U176" i="15"/>
  <c r="V176" i="15"/>
  <c r="W176" i="15"/>
  <c r="S177" i="15"/>
  <c r="T177" i="15"/>
  <c r="U177" i="15"/>
  <c r="V177" i="15"/>
  <c r="W177" i="15"/>
  <c r="S178" i="15"/>
  <c r="T178" i="15"/>
  <c r="U178" i="15"/>
  <c r="V178" i="15"/>
  <c r="W178" i="15"/>
  <c r="S179" i="15"/>
  <c r="T179" i="15"/>
  <c r="U179" i="15"/>
  <c r="V179" i="15"/>
  <c r="W179" i="15"/>
  <c r="T95" i="15"/>
  <c r="U95" i="15"/>
  <c r="V95" i="15"/>
  <c r="W95" i="15"/>
  <c r="S95" i="15"/>
  <c r="I96" i="15"/>
  <c r="J96" i="15"/>
  <c r="K96" i="15"/>
  <c r="L96" i="15"/>
  <c r="M96" i="15"/>
  <c r="I97" i="15"/>
  <c r="J97" i="15"/>
  <c r="K97" i="15"/>
  <c r="L97" i="15"/>
  <c r="M97" i="15"/>
  <c r="I98" i="15"/>
  <c r="J98" i="15"/>
  <c r="K98" i="15"/>
  <c r="L98" i="15"/>
  <c r="M98" i="15"/>
  <c r="I99" i="15"/>
  <c r="J99" i="15"/>
  <c r="K99" i="15"/>
  <c r="L99" i="15"/>
  <c r="M99" i="15"/>
  <c r="I100" i="15"/>
  <c r="J100" i="15"/>
  <c r="K100" i="15"/>
  <c r="L100" i="15"/>
  <c r="M100" i="15"/>
  <c r="I101" i="15"/>
  <c r="J101" i="15"/>
  <c r="K101" i="15"/>
  <c r="L101" i="15"/>
  <c r="M101" i="15"/>
  <c r="I102" i="15"/>
  <c r="J102" i="15"/>
  <c r="K102" i="15"/>
  <c r="L102" i="15"/>
  <c r="M102" i="15"/>
  <c r="I103" i="15"/>
  <c r="J103" i="15"/>
  <c r="K103" i="15"/>
  <c r="L103" i="15"/>
  <c r="M103" i="15"/>
  <c r="I104" i="15"/>
  <c r="J104" i="15"/>
  <c r="K104" i="15"/>
  <c r="L104" i="15"/>
  <c r="M104" i="15"/>
  <c r="I105" i="15"/>
  <c r="J105" i="15"/>
  <c r="K105" i="15"/>
  <c r="L105" i="15"/>
  <c r="M105" i="15"/>
  <c r="I106" i="15"/>
  <c r="J106" i="15"/>
  <c r="K106" i="15"/>
  <c r="L106" i="15"/>
  <c r="M106" i="15"/>
  <c r="I107" i="15"/>
  <c r="J107" i="15"/>
  <c r="K107" i="15"/>
  <c r="L107" i="15"/>
  <c r="M107" i="15"/>
  <c r="I108" i="15"/>
  <c r="J108" i="15"/>
  <c r="K108" i="15"/>
  <c r="L108" i="15"/>
  <c r="M108" i="15"/>
  <c r="I109" i="15"/>
  <c r="J109" i="15"/>
  <c r="K109" i="15"/>
  <c r="L109" i="15"/>
  <c r="M109" i="15"/>
  <c r="I110" i="15"/>
  <c r="J110" i="15"/>
  <c r="K110" i="15"/>
  <c r="L110" i="15"/>
  <c r="M110" i="15"/>
  <c r="I111" i="15"/>
  <c r="J111" i="15"/>
  <c r="K111" i="15"/>
  <c r="L111" i="15"/>
  <c r="M111" i="15"/>
  <c r="I112" i="15"/>
  <c r="J112" i="15"/>
  <c r="K112" i="15"/>
  <c r="L112" i="15"/>
  <c r="M112" i="15"/>
  <c r="I113" i="15"/>
  <c r="J113" i="15"/>
  <c r="K113" i="15"/>
  <c r="L113" i="15"/>
  <c r="M113" i="15"/>
  <c r="I114" i="15"/>
  <c r="J114" i="15"/>
  <c r="K114" i="15"/>
  <c r="L114" i="15"/>
  <c r="M114" i="15"/>
  <c r="I115" i="15"/>
  <c r="J115" i="15"/>
  <c r="K115" i="15"/>
  <c r="L115" i="15"/>
  <c r="M115" i="15"/>
  <c r="I116" i="15"/>
  <c r="J116" i="15"/>
  <c r="K116" i="15"/>
  <c r="L116" i="15"/>
  <c r="M116" i="15"/>
  <c r="I117" i="15"/>
  <c r="J117" i="15"/>
  <c r="K117" i="15"/>
  <c r="L117" i="15"/>
  <c r="M117" i="15"/>
  <c r="I118" i="15"/>
  <c r="J118" i="15"/>
  <c r="K118" i="15"/>
  <c r="L118" i="15"/>
  <c r="M118" i="15"/>
  <c r="I119" i="15"/>
  <c r="J119" i="15"/>
  <c r="K119" i="15"/>
  <c r="L119" i="15"/>
  <c r="M119" i="15"/>
  <c r="I120" i="15"/>
  <c r="J120" i="15"/>
  <c r="K120" i="15"/>
  <c r="L120" i="15"/>
  <c r="M120" i="15"/>
  <c r="I121" i="15"/>
  <c r="J121" i="15"/>
  <c r="K121" i="15"/>
  <c r="L121" i="15"/>
  <c r="M121" i="15"/>
  <c r="I122" i="15"/>
  <c r="J122" i="15"/>
  <c r="K122" i="15"/>
  <c r="L122" i="15"/>
  <c r="M122" i="15"/>
  <c r="I123" i="15"/>
  <c r="J123" i="15"/>
  <c r="K123" i="15"/>
  <c r="L123" i="15"/>
  <c r="M123" i="15"/>
  <c r="I124" i="15"/>
  <c r="J124" i="15"/>
  <c r="K124" i="15"/>
  <c r="L124" i="15"/>
  <c r="M124" i="15"/>
  <c r="I125" i="15"/>
  <c r="J125" i="15"/>
  <c r="K125" i="15"/>
  <c r="L125" i="15"/>
  <c r="M125" i="15"/>
  <c r="I126" i="15"/>
  <c r="J126" i="15"/>
  <c r="K126" i="15"/>
  <c r="L126" i="15"/>
  <c r="M126" i="15"/>
  <c r="I127" i="15"/>
  <c r="J127" i="15"/>
  <c r="K127" i="15"/>
  <c r="L127" i="15"/>
  <c r="M127" i="15"/>
  <c r="I128" i="15"/>
  <c r="J128" i="15"/>
  <c r="K128" i="15"/>
  <c r="L128" i="15"/>
  <c r="M128" i="15"/>
  <c r="I129" i="15"/>
  <c r="J129" i="15"/>
  <c r="K129" i="15"/>
  <c r="L129" i="15"/>
  <c r="M129" i="15"/>
  <c r="I130" i="15"/>
  <c r="J130" i="15"/>
  <c r="K130" i="15"/>
  <c r="L130" i="15"/>
  <c r="M130" i="15"/>
  <c r="I131" i="15"/>
  <c r="J131" i="15"/>
  <c r="K131" i="15"/>
  <c r="L131" i="15"/>
  <c r="M131" i="15"/>
  <c r="I132" i="15"/>
  <c r="J132" i="15"/>
  <c r="K132" i="15"/>
  <c r="L132" i="15"/>
  <c r="M132" i="15"/>
  <c r="I133" i="15"/>
  <c r="J133" i="15"/>
  <c r="K133" i="15"/>
  <c r="L133" i="15"/>
  <c r="M133" i="15"/>
  <c r="I134" i="15"/>
  <c r="J134" i="15"/>
  <c r="K134" i="15"/>
  <c r="L134" i="15"/>
  <c r="M134" i="15"/>
  <c r="I136" i="15"/>
  <c r="J136" i="15"/>
  <c r="K136" i="15"/>
  <c r="L136" i="15"/>
  <c r="M136" i="15"/>
  <c r="I137" i="15"/>
  <c r="J137" i="15"/>
  <c r="K137" i="15"/>
  <c r="L137" i="15"/>
  <c r="M137" i="15"/>
  <c r="I138" i="15"/>
  <c r="J138" i="15"/>
  <c r="K138" i="15"/>
  <c r="L138" i="15"/>
  <c r="M138" i="15"/>
  <c r="I141" i="15"/>
  <c r="J141" i="15"/>
  <c r="K141" i="15"/>
  <c r="L141" i="15"/>
  <c r="M141" i="15"/>
  <c r="I142" i="15"/>
  <c r="J142" i="15"/>
  <c r="K142" i="15"/>
  <c r="L142" i="15"/>
  <c r="M142" i="15"/>
  <c r="I143" i="15"/>
  <c r="J143" i="15"/>
  <c r="K143" i="15"/>
  <c r="L143" i="15"/>
  <c r="M143" i="15"/>
  <c r="I144" i="15"/>
  <c r="J144" i="15"/>
  <c r="K144" i="15"/>
  <c r="L144" i="15"/>
  <c r="M144" i="15"/>
  <c r="I145" i="15"/>
  <c r="J145" i="15"/>
  <c r="K145" i="15"/>
  <c r="L145" i="15"/>
  <c r="M145" i="15"/>
  <c r="I146" i="15"/>
  <c r="J146" i="15"/>
  <c r="K146" i="15"/>
  <c r="L146" i="15"/>
  <c r="M146" i="15"/>
  <c r="I147" i="15"/>
  <c r="J147" i="15"/>
  <c r="K147" i="15"/>
  <c r="L147" i="15"/>
  <c r="M147" i="15"/>
  <c r="I148" i="15"/>
  <c r="J148" i="15"/>
  <c r="K148" i="15"/>
  <c r="L148" i="15"/>
  <c r="M148" i="15"/>
  <c r="I149" i="15"/>
  <c r="J149" i="15"/>
  <c r="K149" i="15"/>
  <c r="L149" i="15"/>
  <c r="M149" i="15"/>
  <c r="I150" i="15"/>
  <c r="J150" i="15"/>
  <c r="K150" i="15"/>
  <c r="L150" i="15"/>
  <c r="M150" i="15"/>
  <c r="I153" i="15"/>
  <c r="J153" i="15"/>
  <c r="K153" i="15"/>
  <c r="L153" i="15"/>
  <c r="M153" i="15"/>
  <c r="I154" i="15"/>
  <c r="J154" i="15"/>
  <c r="K154" i="15"/>
  <c r="L154" i="15"/>
  <c r="M154" i="15"/>
  <c r="I155" i="15"/>
  <c r="J155" i="15"/>
  <c r="K155" i="15"/>
  <c r="L155" i="15"/>
  <c r="M155" i="15"/>
  <c r="I156" i="15"/>
  <c r="J156" i="15"/>
  <c r="K156" i="15"/>
  <c r="L156" i="15"/>
  <c r="M156" i="15"/>
  <c r="I157" i="15"/>
  <c r="J157" i="15"/>
  <c r="K157" i="15"/>
  <c r="L157" i="15"/>
  <c r="M157" i="15"/>
  <c r="I158" i="15"/>
  <c r="J158" i="15"/>
  <c r="K158" i="15"/>
  <c r="L158" i="15"/>
  <c r="M158" i="15"/>
  <c r="I159" i="15"/>
  <c r="J159" i="15"/>
  <c r="K159" i="15"/>
  <c r="L159" i="15"/>
  <c r="M159" i="15"/>
  <c r="I160" i="15"/>
  <c r="J160" i="15"/>
  <c r="K160" i="15"/>
  <c r="L160" i="15"/>
  <c r="M160" i="15"/>
  <c r="I161" i="15"/>
  <c r="J161" i="15"/>
  <c r="K161" i="15"/>
  <c r="L161" i="15"/>
  <c r="M161" i="15"/>
  <c r="I162" i="15"/>
  <c r="J162" i="15"/>
  <c r="K162" i="15"/>
  <c r="L162" i="15"/>
  <c r="M162" i="15"/>
  <c r="I163" i="15"/>
  <c r="J163" i="15"/>
  <c r="K163" i="15"/>
  <c r="L163" i="15"/>
  <c r="M163" i="15"/>
  <c r="I164" i="15"/>
  <c r="J164" i="15"/>
  <c r="K164" i="15"/>
  <c r="L164" i="15"/>
  <c r="M164" i="15"/>
  <c r="I165" i="15"/>
  <c r="J165" i="15"/>
  <c r="K165" i="15"/>
  <c r="L165" i="15"/>
  <c r="M165" i="15"/>
  <c r="I166" i="15"/>
  <c r="J166" i="15"/>
  <c r="K166" i="15"/>
  <c r="L166" i="15"/>
  <c r="M166" i="15"/>
  <c r="I167" i="15"/>
  <c r="J167" i="15"/>
  <c r="K167" i="15"/>
  <c r="L167" i="15"/>
  <c r="M167" i="15"/>
  <c r="I168" i="15"/>
  <c r="J168" i="15"/>
  <c r="K168" i="15"/>
  <c r="L168" i="15"/>
  <c r="M168" i="15"/>
  <c r="I169" i="15"/>
  <c r="J169" i="15"/>
  <c r="K169" i="15"/>
  <c r="L169" i="15"/>
  <c r="M169" i="15"/>
  <c r="I170" i="15"/>
  <c r="J170" i="15"/>
  <c r="K170" i="15"/>
  <c r="L170" i="15"/>
  <c r="M170" i="15"/>
  <c r="I171" i="15"/>
  <c r="J171" i="15"/>
  <c r="K171" i="15"/>
  <c r="L171" i="15"/>
  <c r="M171" i="15"/>
  <c r="I172" i="15"/>
  <c r="J172" i="15"/>
  <c r="K172" i="15"/>
  <c r="L172" i="15"/>
  <c r="M172" i="15"/>
  <c r="I173" i="15"/>
  <c r="J173" i="15"/>
  <c r="K173" i="15"/>
  <c r="L173" i="15"/>
  <c r="M173" i="15"/>
  <c r="I174" i="15"/>
  <c r="J174" i="15"/>
  <c r="K174" i="15"/>
  <c r="L174" i="15"/>
  <c r="M174" i="15"/>
  <c r="I175" i="15"/>
  <c r="J175" i="15"/>
  <c r="K175" i="15"/>
  <c r="L175" i="15"/>
  <c r="M175" i="15"/>
  <c r="I176" i="15"/>
  <c r="J176" i="15"/>
  <c r="K176" i="15"/>
  <c r="L176" i="15"/>
  <c r="M176" i="15"/>
  <c r="I177" i="15"/>
  <c r="J177" i="15"/>
  <c r="K177" i="15"/>
  <c r="L177" i="15"/>
  <c r="M177" i="15"/>
  <c r="I178" i="15"/>
  <c r="J178" i="15"/>
  <c r="K178" i="15"/>
  <c r="L178" i="15"/>
  <c r="M178" i="15"/>
  <c r="I179" i="15"/>
  <c r="J179" i="15"/>
  <c r="K179" i="15"/>
  <c r="L179" i="15"/>
  <c r="M179" i="15"/>
  <c r="J95" i="15"/>
  <c r="K95" i="15"/>
  <c r="L95" i="15"/>
  <c r="M95" i="15"/>
  <c r="I95" i="15"/>
  <c r="BL96" i="15"/>
  <c r="BM96" i="15"/>
  <c r="BN96" i="15"/>
  <c r="BO96" i="15"/>
  <c r="BP96" i="15"/>
  <c r="BL97" i="15"/>
  <c r="BM97" i="15"/>
  <c r="BN97" i="15"/>
  <c r="BO97" i="15"/>
  <c r="BP97" i="15"/>
  <c r="BL98" i="15"/>
  <c r="BM98" i="15"/>
  <c r="BN98" i="15"/>
  <c r="BO98" i="15"/>
  <c r="BP98" i="15"/>
  <c r="BL99" i="15"/>
  <c r="BM99" i="15"/>
  <c r="BN99" i="15"/>
  <c r="BO99" i="15"/>
  <c r="BP99" i="15"/>
  <c r="BL100" i="15"/>
  <c r="BM100" i="15"/>
  <c r="BN100" i="15"/>
  <c r="BO100" i="15"/>
  <c r="BP100" i="15"/>
  <c r="BL101" i="15"/>
  <c r="BM101" i="15"/>
  <c r="BN101" i="15"/>
  <c r="BO101" i="15"/>
  <c r="BP101" i="15"/>
  <c r="BL102" i="15"/>
  <c r="BM102" i="15"/>
  <c r="BN102" i="15"/>
  <c r="BO102" i="15"/>
  <c r="BP102" i="15"/>
  <c r="BL103" i="15"/>
  <c r="BM103" i="15"/>
  <c r="BN103" i="15"/>
  <c r="BO103" i="15"/>
  <c r="BP103" i="15"/>
  <c r="BL104" i="15"/>
  <c r="BM104" i="15"/>
  <c r="BN104" i="15"/>
  <c r="BO104" i="15"/>
  <c r="BP104" i="15"/>
  <c r="BL105" i="15"/>
  <c r="BM105" i="15"/>
  <c r="BN105" i="15"/>
  <c r="BO105" i="15"/>
  <c r="BP105" i="15"/>
  <c r="BL106" i="15"/>
  <c r="BM106" i="15"/>
  <c r="BN106" i="15"/>
  <c r="BO106" i="15"/>
  <c r="BP106" i="15"/>
  <c r="BL107" i="15"/>
  <c r="BM107" i="15"/>
  <c r="BN107" i="15"/>
  <c r="BO107" i="15"/>
  <c r="BP107" i="15"/>
  <c r="BL108" i="15"/>
  <c r="BM108" i="15"/>
  <c r="BN108" i="15"/>
  <c r="BO108" i="15"/>
  <c r="BP108" i="15"/>
  <c r="BL109" i="15"/>
  <c r="BM109" i="15"/>
  <c r="BN109" i="15"/>
  <c r="BO109" i="15"/>
  <c r="BP109" i="15"/>
  <c r="BL110" i="15"/>
  <c r="BM110" i="15"/>
  <c r="BN110" i="15"/>
  <c r="BO110" i="15"/>
  <c r="BP110" i="15"/>
  <c r="BL111" i="15"/>
  <c r="BM111" i="15"/>
  <c r="BN111" i="15"/>
  <c r="BO111" i="15"/>
  <c r="BP111" i="15"/>
  <c r="BL112" i="15"/>
  <c r="BM112" i="15"/>
  <c r="BN112" i="15"/>
  <c r="BO112" i="15"/>
  <c r="BP112" i="15"/>
  <c r="BL113" i="15"/>
  <c r="BM113" i="15"/>
  <c r="BN113" i="15"/>
  <c r="BO113" i="15"/>
  <c r="BP113" i="15"/>
  <c r="BL114" i="15"/>
  <c r="BM114" i="15"/>
  <c r="BN114" i="15"/>
  <c r="BO114" i="15"/>
  <c r="BP114" i="15"/>
  <c r="BL115" i="15"/>
  <c r="BM115" i="15"/>
  <c r="BN115" i="15"/>
  <c r="BO115" i="15"/>
  <c r="BP115" i="15"/>
  <c r="BL116" i="15"/>
  <c r="BM116" i="15"/>
  <c r="BN116" i="15"/>
  <c r="BO116" i="15"/>
  <c r="BP116" i="15"/>
  <c r="BL117" i="15"/>
  <c r="BM117" i="15"/>
  <c r="BN117" i="15"/>
  <c r="BO117" i="15"/>
  <c r="BP117" i="15"/>
  <c r="BL118" i="15"/>
  <c r="BM118" i="15"/>
  <c r="BN118" i="15"/>
  <c r="BO118" i="15"/>
  <c r="BP118" i="15"/>
  <c r="BL119" i="15"/>
  <c r="BM119" i="15"/>
  <c r="BN119" i="15"/>
  <c r="BO119" i="15"/>
  <c r="BP119" i="15"/>
  <c r="BL120" i="15"/>
  <c r="BM120" i="15"/>
  <c r="BN120" i="15"/>
  <c r="BO120" i="15"/>
  <c r="BP120" i="15"/>
  <c r="BL121" i="15"/>
  <c r="BM121" i="15"/>
  <c r="BN121" i="15"/>
  <c r="BO121" i="15"/>
  <c r="BP121" i="15"/>
  <c r="BL122" i="15"/>
  <c r="BM122" i="15"/>
  <c r="BN122" i="15"/>
  <c r="BO122" i="15"/>
  <c r="BP122" i="15"/>
  <c r="BL123" i="15"/>
  <c r="BM123" i="15"/>
  <c r="BN123" i="15"/>
  <c r="BO123" i="15"/>
  <c r="BP123" i="15"/>
  <c r="BL124" i="15"/>
  <c r="BM124" i="15"/>
  <c r="BN124" i="15"/>
  <c r="BO124" i="15"/>
  <c r="BP124" i="15"/>
  <c r="BL125" i="15"/>
  <c r="BM125" i="15"/>
  <c r="BN125" i="15"/>
  <c r="BO125" i="15"/>
  <c r="BP125" i="15"/>
  <c r="BL126" i="15"/>
  <c r="BM126" i="15"/>
  <c r="BN126" i="15"/>
  <c r="BO126" i="15"/>
  <c r="BP126" i="15"/>
  <c r="BL127" i="15"/>
  <c r="BM127" i="15"/>
  <c r="BN127" i="15"/>
  <c r="BO127" i="15"/>
  <c r="BP127" i="15"/>
  <c r="BL128" i="15"/>
  <c r="BM128" i="15"/>
  <c r="BN128" i="15"/>
  <c r="BO128" i="15"/>
  <c r="BP128" i="15"/>
  <c r="BL129" i="15"/>
  <c r="BM129" i="15"/>
  <c r="BN129" i="15"/>
  <c r="BO129" i="15"/>
  <c r="BP129" i="15"/>
  <c r="BL130" i="15"/>
  <c r="BM130" i="15"/>
  <c r="BN130" i="15"/>
  <c r="BO130" i="15"/>
  <c r="BP130" i="15"/>
  <c r="BL131" i="15"/>
  <c r="BM131" i="15"/>
  <c r="BN131" i="15"/>
  <c r="BO131" i="15"/>
  <c r="BP131" i="15"/>
  <c r="BL132" i="15"/>
  <c r="BM132" i="15"/>
  <c r="BN132" i="15"/>
  <c r="BO132" i="15"/>
  <c r="BP132" i="15"/>
  <c r="BL133" i="15"/>
  <c r="BM133" i="15"/>
  <c r="BN133" i="15"/>
  <c r="BO133" i="15"/>
  <c r="BP133" i="15"/>
  <c r="BL134" i="15"/>
  <c r="BM134" i="15"/>
  <c r="BN134" i="15"/>
  <c r="BO134" i="15"/>
  <c r="BP134" i="15"/>
  <c r="BP136" i="15"/>
  <c r="BP137" i="15"/>
  <c r="BP138" i="15"/>
  <c r="BL141" i="15"/>
  <c r="BM141" i="15"/>
  <c r="BN141" i="15"/>
  <c r="BO141" i="15"/>
  <c r="BP141" i="15"/>
  <c r="BL142" i="15"/>
  <c r="BM142" i="15"/>
  <c r="BN142" i="15"/>
  <c r="BO142" i="15"/>
  <c r="BP142" i="15"/>
  <c r="BL143" i="15"/>
  <c r="BM143" i="15"/>
  <c r="BN143" i="15"/>
  <c r="BO143" i="15"/>
  <c r="BP143" i="15"/>
  <c r="BL144" i="15"/>
  <c r="BM144" i="15"/>
  <c r="BN144" i="15"/>
  <c r="BO144" i="15"/>
  <c r="BP144" i="15"/>
  <c r="BL145" i="15"/>
  <c r="BM145" i="15"/>
  <c r="BN145" i="15"/>
  <c r="BO145" i="15"/>
  <c r="BP145" i="15"/>
  <c r="BL146" i="15"/>
  <c r="BM146" i="15"/>
  <c r="BN146" i="15"/>
  <c r="BO146" i="15"/>
  <c r="BP146" i="15"/>
  <c r="BL147" i="15"/>
  <c r="BM147" i="15"/>
  <c r="BN147" i="15"/>
  <c r="BO147" i="15"/>
  <c r="BP147" i="15"/>
  <c r="BL148" i="15"/>
  <c r="BM148" i="15"/>
  <c r="BN148" i="15"/>
  <c r="BO148" i="15"/>
  <c r="BP148" i="15"/>
  <c r="BL149" i="15"/>
  <c r="BM149" i="15"/>
  <c r="BN149" i="15"/>
  <c r="BO149" i="15"/>
  <c r="BP149" i="15"/>
  <c r="BL150" i="15"/>
  <c r="BM150" i="15"/>
  <c r="BN150" i="15"/>
  <c r="BO150" i="15"/>
  <c r="BP150" i="15"/>
  <c r="BL153" i="15"/>
  <c r="BM153" i="15"/>
  <c r="BN153" i="15"/>
  <c r="BO153" i="15"/>
  <c r="BP153" i="15"/>
  <c r="BL154" i="15"/>
  <c r="BM154" i="15"/>
  <c r="BN154" i="15"/>
  <c r="BO154" i="15"/>
  <c r="BP154" i="15"/>
  <c r="BL155" i="15"/>
  <c r="BM155" i="15"/>
  <c r="BN155" i="15"/>
  <c r="BO155" i="15"/>
  <c r="BP155" i="15"/>
  <c r="BL156" i="15"/>
  <c r="BM156" i="15"/>
  <c r="BN156" i="15"/>
  <c r="BO156" i="15"/>
  <c r="BP156" i="15"/>
  <c r="BL157" i="15"/>
  <c r="BM157" i="15"/>
  <c r="BN157" i="15"/>
  <c r="BO157" i="15"/>
  <c r="BP157" i="15"/>
  <c r="BL158" i="15"/>
  <c r="BM158" i="15"/>
  <c r="BN158" i="15"/>
  <c r="BO158" i="15"/>
  <c r="BP158" i="15"/>
  <c r="BL159" i="15"/>
  <c r="BM159" i="15"/>
  <c r="BN159" i="15"/>
  <c r="BO159" i="15"/>
  <c r="BP159" i="15"/>
  <c r="BL160" i="15"/>
  <c r="BM160" i="15"/>
  <c r="BN160" i="15"/>
  <c r="BO160" i="15"/>
  <c r="BP160" i="15"/>
  <c r="BL161" i="15"/>
  <c r="BM161" i="15"/>
  <c r="BN161" i="15"/>
  <c r="BO161" i="15"/>
  <c r="BP161" i="15"/>
  <c r="BL162" i="15"/>
  <c r="BM162" i="15"/>
  <c r="BN162" i="15"/>
  <c r="BO162" i="15"/>
  <c r="BP162" i="15"/>
  <c r="BL163" i="15"/>
  <c r="BM163" i="15"/>
  <c r="BN163" i="15"/>
  <c r="BO163" i="15"/>
  <c r="BP163" i="15"/>
  <c r="BL164" i="15"/>
  <c r="BM164" i="15"/>
  <c r="BN164" i="15"/>
  <c r="BO164" i="15"/>
  <c r="BP164" i="15"/>
  <c r="BL165" i="15"/>
  <c r="BM165" i="15"/>
  <c r="BN165" i="15"/>
  <c r="BO165" i="15"/>
  <c r="BP165" i="15"/>
  <c r="BL166" i="15"/>
  <c r="BM166" i="15"/>
  <c r="BN166" i="15"/>
  <c r="BO166" i="15"/>
  <c r="BP166" i="15"/>
  <c r="BL167" i="15"/>
  <c r="BM167" i="15"/>
  <c r="BN167" i="15"/>
  <c r="BO167" i="15"/>
  <c r="BP167" i="15"/>
  <c r="BL168" i="15"/>
  <c r="BM168" i="15"/>
  <c r="BN168" i="15"/>
  <c r="BO168" i="15"/>
  <c r="BP168" i="15"/>
  <c r="BL169" i="15"/>
  <c r="BM169" i="15"/>
  <c r="BN169" i="15"/>
  <c r="BO169" i="15"/>
  <c r="BP169" i="15"/>
  <c r="BL170" i="15"/>
  <c r="BM170" i="15"/>
  <c r="BN170" i="15"/>
  <c r="BO170" i="15"/>
  <c r="BP170" i="15"/>
  <c r="BL171" i="15"/>
  <c r="BM171" i="15"/>
  <c r="BN171" i="15"/>
  <c r="BO171" i="15"/>
  <c r="BP171" i="15"/>
  <c r="BL172" i="15"/>
  <c r="BM172" i="15"/>
  <c r="BN172" i="15"/>
  <c r="BO172" i="15"/>
  <c r="BP172" i="15"/>
  <c r="BL173" i="15"/>
  <c r="BM173" i="15"/>
  <c r="BN173" i="15"/>
  <c r="BO173" i="15"/>
  <c r="BP173" i="15"/>
  <c r="BL174" i="15"/>
  <c r="BM174" i="15"/>
  <c r="BN174" i="15"/>
  <c r="BO174" i="15"/>
  <c r="BP174" i="15"/>
  <c r="BL175" i="15"/>
  <c r="BM175" i="15"/>
  <c r="BN175" i="15"/>
  <c r="BO175" i="15"/>
  <c r="BP175" i="15"/>
  <c r="BL176" i="15"/>
  <c r="BM176" i="15"/>
  <c r="BN176" i="15"/>
  <c r="BO176" i="15"/>
  <c r="BP176" i="15"/>
  <c r="BL177" i="15"/>
  <c r="BM177" i="15"/>
  <c r="BN177" i="15"/>
  <c r="BO177" i="15"/>
  <c r="BP177" i="15"/>
  <c r="BL178" i="15"/>
  <c r="BM178" i="15"/>
  <c r="BN178" i="15"/>
  <c r="BO178" i="15"/>
  <c r="BP178" i="15"/>
  <c r="BL179" i="15"/>
  <c r="BM179" i="15"/>
  <c r="BN179" i="15"/>
  <c r="BO179" i="15"/>
  <c r="BP179" i="15"/>
  <c r="BM95" i="15"/>
  <c r="BN95" i="15"/>
  <c r="BO95" i="15"/>
  <c r="BP95" i="15"/>
  <c r="BL95" i="15"/>
  <c r="BB96" i="15"/>
  <c r="BC96" i="15"/>
  <c r="BD96" i="15"/>
  <c r="BE96" i="15"/>
  <c r="BF96" i="15"/>
  <c r="BB97" i="15"/>
  <c r="BC97" i="15"/>
  <c r="BD97" i="15"/>
  <c r="BE97" i="15"/>
  <c r="BF97" i="15"/>
  <c r="BB98" i="15"/>
  <c r="BC98" i="15"/>
  <c r="BD98" i="15"/>
  <c r="BE98" i="15"/>
  <c r="BF98" i="15"/>
  <c r="BB99" i="15"/>
  <c r="BC99" i="15"/>
  <c r="BD99" i="15"/>
  <c r="BE99" i="15"/>
  <c r="BF99" i="15"/>
  <c r="BB100" i="15"/>
  <c r="BC100" i="15"/>
  <c r="BD100" i="15"/>
  <c r="BE100" i="15"/>
  <c r="BF100" i="15"/>
  <c r="BB101" i="15"/>
  <c r="BC101" i="15"/>
  <c r="BD101" i="15"/>
  <c r="BE101" i="15"/>
  <c r="BF101" i="15"/>
  <c r="BB102" i="15"/>
  <c r="BC102" i="15"/>
  <c r="BD102" i="15"/>
  <c r="BE102" i="15"/>
  <c r="BF102" i="15"/>
  <c r="BB103" i="15"/>
  <c r="BC103" i="15"/>
  <c r="BD103" i="15"/>
  <c r="BE103" i="15"/>
  <c r="BF103" i="15"/>
  <c r="BB104" i="15"/>
  <c r="BC104" i="15"/>
  <c r="BD104" i="15"/>
  <c r="BE104" i="15"/>
  <c r="BF104" i="15"/>
  <c r="BB105" i="15"/>
  <c r="BC105" i="15"/>
  <c r="BD105" i="15"/>
  <c r="BE105" i="15"/>
  <c r="BF105" i="15"/>
  <c r="BB106" i="15"/>
  <c r="BC106" i="15"/>
  <c r="BD106" i="15"/>
  <c r="BE106" i="15"/>
  <c r="BF106" i="15"/>
  <c r="BB107" i="15"/>
  <c r="BC107" i="15"/>
  <c r="BD107" i="15"/>
  <c r="BE107" i="15"/>
  <c r="BF107" i="15"/>
  <c r="BB108" i="15"/>
  <c r="BC108" i="15"/>
  <c r="BD108" i="15"/>
  <c r="BE108" i="15"/>
  <c r="BF108" i="15"/>
  <c r="BB109" i="15"/>
  <c r="BC109" i="15"/>
  <c r="BD109" i="15"/>
  <c r="BE109" i="15"/>
  <c r="BF109" i="15"/>
  <c r="BB110" i="15"/>
  <c r="BC110" i="15"/>
  <c r="BD110" i="15"/>
  <c r="BE110" i="15"/>
  <c r="BF110" i="15"/>
  <c r="BB111" i="15"/>
  <c r="BC111" i="15"/>
  <c r="BD111" i="15"/>
  <c r="BE111" i="15"/>
  <c r="BF111" i="15"/>
  <c r="BB112" i="15"/>
  <c r="BC112" i="15"/>
  <c r="BD112" i="15"/>
  <c r="BE112" i="15"/>
  <c r="BF112" i="15"/>
  <c r="BB113" i="15"/>
  <c r="BC113" i="15"/>
  <c r="BD113" i="15"/>
  <c r="BE113" i="15"/>
  <c r="BF113" i="15"/>
  <c r="BB114" i="15"/>
  <c r="BC114" i="15"/>
  <c r="BD114" i="15"/>
  <c r="BE114" i="15"/>
  <c r="BF114" i="15"/>
  <c r="BB115" i="15"/>
  <c r="BC115" i="15"/>
  <c r="BD115" i="15"/>
  <c r="BE115" i="15"/>
  <c r="BF115" i="15"/>
  <c r="BB116" i="15"/>
  <c r="BC116" i="15"/>
  <c r="BD116" i="15"/>
  <c r="BE116" i="15"/>
  <c r="BF116" i="15"/>
  <c r="BB117" i="15"/>
  <c r="BC117" i="15"/>
  <c r="BD117" i="15"/>
  <c r="BE117" i="15"/>
  <c r="BF117" i="15"/>
  <c r="BB118" i="15"/>
  <c r="BC118" i="15"/>
  <c r="BD118" i="15"/>
  <c r="BE118" i="15"/>
  <c r="BF118" i="15"/>
  <c r="BB119" i="15"/>
  <c r="BC119" i="15"/>
  <c r="BD119" i="15"/>
  <c r="BE119" i="15"/>
  <c r="BF119" i="15"/>
  <c r="BB120" i="15"/>
  <c r="BC120" i="15"/>
  <c r="BD120" i="15"/>
  <c r="BE120" i="15"/>
  <c r="BF120" i="15"/>
  <c r="BB121" i="15"/>
  <c r="BC121" i="15"/>
  <c r="BD121" i="15"/>
  <c r="BE121" i="15"/>
  <c r="BF121" i="15"/>
  <c r="BB122" i="15"/>
  <c r="BC122" i="15"/>
  <c r="BD122" i="15"/>
  <c r="BE122" i="15"/>
  <c r="BF122" i="15"/>
  <c r="BB123" i="15"/>
  <c r="BC123" i="15"/>
  <c r="BD123" i="15"/>
  <c r="BE123" i="15"/>
  <c r="BF123" i="15"/>
  <c r="BB124" i="15"/>
  <c r="BC124" i="15"/>
  <c r="BD124" i="15"/>
  <c r="BE124" i="15"/>
  <c r="BF124" i="15"/>
  <c r="BB125" i="15"/>
  <c r="BC125" i="15"/>
  <c r="BD125" i="15"/>
  <c r="BE125" i="15"/>
  <c r="BF125" i="15"/>
  <c r="BB126" i="15"/>
  <c r="BC126" i="15"/>
  <c r="BD126" i="15"/>
  <c r="BE126" i="15"/>
  <c r="BF126" i="15"/>
  <c r="BB127" i="15"/>
  <c r="BC127" i="15"/>
  <c r="BD127" i="15"/>
  <c r="BE127" i="15"/>
  <c r="BF127" i="15"/>
  <c r="BB128" i="15"/>
  <c r="BC128" i="15"/>
  <c r="BD128" i="15"/>
  <c r="BE128" i="15"/>
  <c r="BF128" i="15"/>
  <c r="BB129" i="15"/>
  <c r="BC129" i="15"/>
  <c r="BD129" i="15"/>
  <c r="BE129" i="15"/>
  <c r="BF129" i="15"/>
  <c r="BB130" i="15"/>
  <c r="BC130" i="15"/>
  <c r="BD130" i="15"/>
  <c r="BE130" i="15"/>
  <c r="BF130" i="15"/>
  <c r="BB131" i="15"/>
  <c r="BC131" i="15"/>
  <c r="BD131" i="15"/>
  <c r="BE131" i="15"/>
  <c r="BF131" i="15"/>
  <c r="BB132" i="15"/>
  <c r="BC132" i="15"/>
  <c r="BD132" i="15"/>
  <c r="BE132" i="15"/>
  <c r="BF132" i="15"/>
  <c r="BB133" i="15"/>
  <c r="BC133" i="15"/>
  <c r="BD133" i="15"/>
  <c r="BE133" i="15"/>
  <c r="BF133" i="15"/>
  <c r="BB134" i="15"/>
  <c r="BC134" i="15"/>
  <c r="BD134" i="15"/>
  <c r="BE134" i="15"/>
  <c r="BF134" i="15"/>
  <c r="BB136" i="15"/>
  <c r="BC136" i="15"/>
  <c r="BD136" i="15"/>
  <c r="BE136" i="15"/>
  <c r="BF136" i="15"/>
  <c r="BB137" i="15"/>
  <c r="BC137" i="15"/>
  <c r="BD137" i="15"/>
  <c r="BE137" i="15"/>
  <c r="BF137" i="15"/>
  <c r="BB138" i="15"/>
  <c r="BC138" i="15"/>
  <c r="BD138" i="15"/>
  <c r="BE138" i="15"/>
  <c r="BF138" i="15"/>
  <c r="BB141" i="15"/>
  <c r="BC141" i="15"/>
  <c r="BD141" i="15"/>
  <c r="BE141" i="15"/>
  <c r="BF141" i="15"/>
  <c r="BB142" i="15"/>
  <c r="BC142" i="15"/>
  <c r="BD142" i="15"/>
  <c r="BE142" i="15"/>
  <c r="BF142" i="15"/>
  <c r="BB143" i="15"/>
  <c r="BC143" i="15"/>
  <c r="BD143" i="15"/>
  <c r="BE143" i="15"/>
  <c r="BF143" i="15"/>
  <c r="BB144" i="15"/>
  <c r="BC144" i="15"/>
  <c r="BD144" i="15"/>
  <c r="BE144" i="15"/>
  <c r="BF144" i="15"/>
  <c r="BB145" i="15"/>
  <c r="BC145" i="15"/>
  <c r="BD145" i="15"/>
  <c r="BE145" i="15"/>
  <c r="BF145" i="15"/>
  <c r="BB146" i="15"/>
  <c r="BC146" i="15"/>
  <c r="BD146" i="15"/>
  <c r="BE146" i="15"/>
  <c r="BF146" i="15"/>
  <c r="BB147" i="15"/>
  <c r="BC147" i="15"/>
  <c r="BD147" i="15"/>
  <c r="BE147" i="15"/>
  <c r="BF147" i="15"/>
  <c r="BB148" i="15"/>
  <c r="BC148" i="15"/>
  <c r="BD148" i="15"/>
  <c r="BE148" i="15"/>
  <c r="BF148" i="15"/>
  <c r="BB149" i="15"/>
  <c r="BC149" i="15"/>
  <c r="BD149" i="15"/>
  <c r="BE149" i="15"/>
  <c r="BF149" i="15"/>
  <c r="BB150" i="15"/>
  <c r="BC150" i="15"/>
  <c r="BD150" i="15"/>
  <c r="BE150" i="15"/>
  <c r="BF150" i="15"/>
  <c r="BB153" i="15"/>
  <c r="BC153" i="15"/>
  <c r="BD153" i="15"/>
  <c r="BE153" i="15"/>
  <c r="BF153" i="15"/>
  <c r="BB154" i="15"/>
  <c r="BC154" i="15"/>
  <c r="BD154" i="15"/>
  <c r="BE154" i="15"/>
  <c r="BF154" i="15"/>
  <c r="BB155" i="15"/>
  <c r="BC155" i="15"/>
  <c r="BD155" i="15"/>
  <c r="BE155" i="15"/>
  <c r="BF155" i="15"/>
  <c r="BB156" i="15"/>
  <c r="BC156" i="15"/>
  <c r="BD156" i="15"/>
  <c r="BE156" i="15"/>
  <c r="BF156" i="15"/>
  <c r="BB157" i="15"/>
  <c r="BC157" i="15"/>
  <c r="BD157" i="15"/>
  <c r="BE157" i="15"/>
  <c r="BF157" i="15"/>
  <c r="BB158" i="15"/>
  <c r="BC158" i="15"/>
  <c r="BD158" i="15"/>
  <c r="BE158" i="15"/>
  <c r="BF158" i="15"/>
  <c r="BB159" i="15"/>
  <c r="BC159" i="15"/>
  <c r="BD159" i="15"/>
  <c r="BE159" i="15"/>
  <c r="BF159" i="15"/>
  <c r="BB160" i="15"/>
  <c r="BC160" i="15"/>
  <c r="BD160" i="15"/>
  <c r="BE160" i="15"/>
  <c r="BF160" i="15"/>
  <c r="BB161" i="15"/>
  <c r="BC161" i="15"/>
  <c r="BD161" i="15"/>
  <c r="BE161" i="15"/>
  <c r="BF161" i="15"/>
  <c r="BB162" i="15"/>
  <c r="BC162" i="15"/>
  <c r="BD162" i="15"/>
  <c r="BE162" i="15"/>
  <c r="BF162" i="15"/>
  <c r="BB163" i="15"/>
  <c r="BC163" i="15"/>
  <c r="BD163" i="15"/>
  <c r="BE163" i="15"/>
  <c r="BF163" i="15"/>
  <c r="BB164" i="15"/>
  <c r="BC164" i="15"/>
  <c r="BD164" i="15"/>
  <c r="BE164" i="15"/>
  <c r="BF164" i="15"/>
  <c r="BB165" i="15"/>
  <c r="BC165" i="15"/>
  <c r="BD165" i="15"/>
  <c r="BE165" i="15"/>
  <c r="BF165" i="15"/>
  <c r="BB166" i="15"/>
  <c r="BC166" i="15"/>
  <c r="BD166" i="15"/>
  <c r="BE166" i="15"/>
  <c r="BF166" i="15"/>
  <c r="BB167" i="15"/>
  <c r="BC167" i="15"/>
  <c r="BD167" i="15"/>
  <c r="BE167" i="15"/>
  <c r="BF167" i="15"/>
  <c r="BB168" i="15"/>
  <c r="BC168" i="15"/>
  <c r="BD168" i="15"/>
  <c r="BE168" i="15"/>
  <c r="BF168" i="15"/>
  <c r="BB169" i="15"/>
  <c r="BC169" i="15"/>
  <c r="BD169" i="15"/>
  <c r="BE169" i="15"/>
  <c r="BF169" i="15"/>
  <c r="BB170" i="15"/>
  <c r="BC170" i="15"/>
  <c r="BD170" i="15"/>
  <c r="BE170" i="15"/>
  <c r="BF170" i="15"/>
  <c r="BB171" i="15"/>
  <c r="BC171" i="15"/>
  <c r="BD171" i="15"/>
  <c r="BE171" i="15"/>
  <c r="BF171" i="15"/>
  <c r="BB172" i="15"/>
  <c r="BC172" i="15"/>
  <c r="BD172" i="15"/>
  <c r="BE172" i="15"/>
  <c r="BF172" i="15"/>
  <c r="BB173" i="15"/>
  <c r="BC173" i="15"/>
  <c r="BD173" i="15"/>
  <c r="BE173" i="15"/>
  <c r="BF173" i="15"/>
  <c r="BB174" i="15"/>
  <c r="BC174" i="15"/>
  <c r="BD174" i="15"/>
  <c r="BE174" i="15"/>
  <c r="BF174" i="15"/>
  <c r="BB175" i="15"/>
  <c r="BC175" i="15"/>
  <c r="BD175" i="15"/>
  <c r="BE175" i="15"/>
  <c r="BF175" i="15"/>
  <c r="BB176" i="15"/>
  <c r="BC176" i="15"/>
  <c r="BD176" i="15"/>
  <c r="BE176" i="15"/>
  <c r="BF176" i="15"/>
  <c r="BB177" i="15"/>
  <c r="BC177" i="15"/>
  <c r="BD177" i="15"/>
  <c r="BE177" i="15"/>
  <c r="BF177" i="15"/>
  <c r="BB178" i="15"/>
  <c r="BC178" i="15"/>
  <c r="BD178" i="15"/>
  <c r="BE178" i="15"/>
  <c r="BF178" i="15"/>
  <c r="BB179" i="15"/>
  <c r="BC179" i="15"/>
  <c r="BD179" i="15"/>
  <c r="BE179" i="15"/>
  <c r="BF179" i="15"/>
  <c r="BC95" i="15"/>
  <c r="BD95" i="15"/>
  <c r="BE95" i="15"/>
  <c r="BF95" i="15"/>
  <c r="BB95" i="15"/>
  <c r="AR96" i="15"/>
  <c r="AS96" i="15"/>
  <c r="AT96" i="15"/>
  <c r="AU96" i="15"/>
  <c r="AV96" i="15"/>
  <c r="AR97" i="15"/>
  <c r="AS97" i="15"/>
  <c r="AT97" i="15"/>
  <c r="AU97" i="15"/>
  <c r="AV97" i="15"/>
  <c r="AR98" i="15"/>
  <c r="AS98" i="15"/>
  <c r="AT98" i="15"/>
  <c r="AU98" i="15"/>
  <c r="AV98" i="15"/>
  <c r="AR99" i="15"/>
  <c r="AS99" i="15"/>
  <c r="AT99" i="15"/>
  <c r="AU99" i="15"/>
  <c r="AV99" i="15"/>
  <c r="AR100" i="15"/>
  <c r="AS100" i="15"/>
  <c r="AT100" i="15"/>
  <c r="AU100" i="15"/>
  <c r="AV100" i="15"/>
  <c r="AR101" i="15"/>
  <c r="AS101" i="15"/>
  <c r="AT101" i="15"/>
  <c r="AU101" i="15"/>
  <c r="AV101" i="15"/>
  <c r="AR102" i="15"/>
  <c r="AS102" i="15"/>
  <c r="AT102" i="15"/>
  <c r="AU102" i="15"/>
  <c r="AV102" i="15"/>
  <c r="AR103" i="15"/>
  <c r="AS103" i="15"/>
  <c r="AT103" i="15"/>
  <c r="AU103" i="15"/>
  <c r="AV103" i="15"/>
  <c r="AR104" i="15"/>
  <c r="AS104" i="15"/>
  <c r="AT104" i="15"/>
  <c r="AU104" i="15"/>
  <c r="AV104" i="15"/>
  <c r="AR105" i="15"/>
  <c r="AS105" i="15"/>
  <c r="AT105" i="15"/>
  <c r="AU105" i="15"/>
  <c r="AV105" i="15"/>
  <c r="AR106" i="15"/>
  <c r="AS106" i="15"/>
  <c r="AT106" i="15"/>
  <c r="AU106" i="15"/>
  <c r="AV106" i="15"/>
  <c r="AR107" i="15"/>
  <c r="AS107" i="15"/>
  <c r="AT107" i="15"/>
  <c r="AU107" i="15"/>
  <c r="AV107" i="15"/>
  <c r="AR108" i="15"/>
  <c r="AS108" i="15"/>
  <c r="AT108" i="15"/>
  <c r="AU108" i="15"/>
  <c r="AV108" i="15"/>
  <c r="AR109" i="15"/>
  <c r="AS109" i="15"/>
  <c r="AT109" i="15"/>
  <c r="AU109" i="15"/>
  <c r="AV109" i="15"/>
  <c r="AR110" i="15"/>
  <c r="AS110" i="15"/>
  <c r="AT110" i="15"/>
  <c r="AU110" i="15"/>
  <c r="AV110" i="15"/>
  <c r="AR111" i="15"/>
  <c r="AS111" i="15"/>
  <c r="AT111" i="15"/>
  <c r="AU111" i="15"/>
  <c r="AV111" i="15"/>
  <c r="AR112" i="15"/>
  <c r="AS112" i="15"/>
  <c r="AT112" i="15"/>
  <c r="AU112" i="15"/>
  <c r="AV112" i="15"/>
  <c r="AR113" i="15"/>
  <c r="AS113" i="15"/>
  <c r="AT113" i="15"/>
  <c r="AU113" i="15"/>
  <c r="AV113" i="15"/>
  <c r="AR114" i="15"/>
  <c r="AS114" i="15"/>
  <c r="AT114" i="15"/>
  <c r="AU114" i="15"/>
  <c r="AV114" i="15"/>
  <c r="AR115" i="15"/>
  <c r="AS115" i="15"/>
  <c r="AT115" i="15"/>
  <c r="AU115" i="15"/>
  <c r="AV115" i="15"/>
  <c r="AR116" i="15"/>
  <c r="AS116" i="15"/>
  <c r="AT116" i="15"/>
  <c r="AU116" i="15"/>
  <c r="AV116" i="15"/>
  <c r="AR117" i="15"/>
  <c r="AS117" i="15"/>
  <c r="AT117" i="15"/>
  <c r="AU117" i="15"/>
  <c r="AV117" i="15"/>
  <c r="AR118" i="15"/>
  <c r="AS118" i="15"/>
  <c r="AT118" i="15"/>
  <c r="AU118" i="15"/>
  <c r="AV118" i="15"/>
  <c r="AR119" i="15"/>
  <c r="AS119" i="15"/>
  <c r="AT119" i="15"/>
  <c r="AU119" i="15"/>
  <c r="AV119" i="15"/>
  <c r="AR120" i="15"/>
  <c r="AS120" i="15"/>
  <c r="AT120" i="15"/>
  <c r="AU120" i="15"/>
  <c r="AV120" i="15"/>
  <c r="AR121" i="15"/>
  <c r="AS121" i="15"/>
  <c r="AT121" i="15"/>
  <c r="AU121" i="15"/>
  <c r="AV121" i="15"/>
  <c r="AR122" i="15"/>
  <c r="AS122" i="15"/>
  <c r="AT122" i="15"/>
  <c r="AU122" i="15"/>
  <c r="AV122" i="15"/>
  <c r="AR123" i="15"/>
  <c r="AS123" i="15"/>
  <c r="AT123" i="15"/>
  <c r="AU123" i="15"/>
  <c r="AV123" i="15"/>
  <c r="AR124" i="15"/>
  <c r="AS124" i="15"/>
  <c r="AT124" i="15"/>
  <c r="AU124" i="15"/>
  <c r="AV124" i="15"/>
  <c r="AR125" i="15"/>
  <c r="AS125" i="15"/>
  <c r="AT125" i="15"/>
  <c r="AU125" i="15"/>
  <c r="AV125" i="15"/>
  <c r="AR126" i="15"/>
  <c r="AS126" i="15"/>
  <c r="AT126" i="15"/>
  <c r="AU126" i="15"/>
  <c r="AV126" i="15"/>
  <c r="AR127" i="15"/>
  <c r="AS127" i="15"/>
  <c r="AT127" i="15"/>
  <c r="AU127" i="15"/>
  <c r="AV127" i="15"/>
  <c r="AR128" i="15"/>
  <c r="AS128" i="15"/>
  <c r="AT128" i="15"/>
  <c r="AU128" i="15"/>
  <c r="AV128" i="15"/>
  <c r="AR129" i="15"/>
  <c r="AS129" i="15"/>
  <c r="AT129" i="15"/>
  <c r="AU129" i="15"/>
  <c r="AV129" i="15"/>
  <c r="AR130" i="15"/>
  <c r="AS130" i="15"/>
  <c r="AT130" i="15"/>
  <c r="AU130" i="15"/>
  <c r="AV130" i="15"/>
  <c r="AR131" i="15"/>
  <c r="AS131" i="15"/>
  <c r="AT131" i="15"/>
  <c r="AU131" i="15"/>
  <c r="AV131" i="15"/>
  <c r="AR132" i="15"/>
  <c r="AS132" i="15"/>
  <c r="AT132" i="15"/>
  <c r="AU132" i="15"/>
  <c r="AV132" i="15"/>
  <c r="AR133" i="15"/>
  <c r="AS133" i="15"/>
  <c r="AT133" i="15"/>
  <c r="AU133" i="15"/>
  <c r="AV133" i="15"/>
  <c r="AR134" i="15"/>
  <c r="AS134" i="15"/>
  <c r="AT134" i="15"/>
  <c r="AU134" i="15"/>
  <c r="AV134" i="15"/>
  <c r="AR136" i="15"/>
  <c r="AS136" i="15"/>
  <c r="AT136" i="15"/>
  <c r="AU136" i="15"/>
  <c r="AV136" i="15"/>
  <c r="AR137" i="15"/>
  <c r="AS137" i="15"/>
  <c r="AT137" i="15"/>
  <c r="AU137" i="15"/>
  <c r="AV137" i="15"/>
  <c r="AR138" i="15"/>
  <c r="AS138" i="15"/>
  <c r="AT138" i="15"/>
  <c r="AU138" i="15"/>
  <c r="AV138" i="15"/>
  <c r="AR141" i="15"/>
  <c r="AS141" i="15"/>
  <c r="AT141" i="15"/>
  <c r="AU141" i="15"/>
  <c r="AV141" i="15"/>
  <c r="AR142" i="15"/>
  <c r="AS142" i="15"/>
  <c r="AT142" i="15"/>
  <c r="AU142" i="15"/>
  <c r="AV142" i="15"/>
  <c r="AR143" i="15"/>
  <c r="AS143" i="15"/>
  <c r="AT143" i="15"/>
  <c r="AU143" i="15"/>
  <c r="AV143" i="15"/>
  <c r="AR144" i="15"/>
  <c r="AS144" i="15"/>
  <c r="AT144" i="15"/>
  <c r="AU144" i="15"/>
  <c r="AV144" i="15"/>
  <c r="AR145" i="15"/>
  <c r="AS145" i="15"/>
  <c r="AT145" i="15"/>
  <c r="AU145" i="15"/>
  <c r="AV145" i="15"/>
  <c r="AR146" i="15"/>
  <c r="AS146" i="15"/>
  <c r="AT146" i="15"/>
  <c r="AU146" i="15"/>
  <c r="AV146" i="15"/>
  <c r="AR147" i="15"/>
  <c r="AS147" i="15"/>
  <c r="AT147" i="15"/>
  <c r="AU147" i="15"/>
  <c r="AV147" i="15"/>
  <c r="AR148" i="15"/>
  <c r="AS148" i="15"/>
  <c r="AT148" i="15"/>
  <c r="AU148" i="15"/>
  <c r="AV148" i="15"/>
  <c r="AR149" i="15"/>
  <c r="AS149" i="15"/>
  <c r="AT149" i="15"/>
  <c r="AU149" i="15"/>
  <c r="AV149" i="15"/>
  <c r="AR150" i="15"/>
  <c r="AS150" i="15"/>
  <c r="AT150" i="15"/>
  <c r="AU150" i="15"/>
  <c r="AV150" i="15"/>
  <c r="AR153" i="15"/>
  <c r="AS153" i="15"/>
  <c r="AT153" i="15"/>
  <c r="AU153" i="15"/>
  <c r="AV153" i="15"/>
  <c r="AR154" i="15"/>
  <c r="AS154" i="15"/>
  <c r="AT154" i="15"/>
  <c r="AU154" i="15"/>
  <c r="AV154" i="15"/>
  <c r="AR155" i="15"/>
  <c r="AS155" i="15"/>
  <c r="AT155" i="15"/>
  <c r="AU155" i="15"/>
  <c r="AV155" i="15"/>
  <c r="AR156" i="15"/>
  <c r="AS156" i="15"/>
  <c r="AT156" i="15"/>
  <c r="AU156" i="15"/>
  <c r="AV156" i="15"/>
  <c r="AR157" i="15"/>
  <c r="AS157" i="15"/>
  <c r="AT157" i="15"/>
  <c r="AU157" i="15"/>
  <c r="AV157" i="15"/>
  <c r="AR158" i="15"/>
  <c r="AS158" i="15"/>
  <c r="AT158" i="15"/>
  <c r="AU158" i="15"/>
  <c r="AV158" i="15"/>
  <c r="AR159" i="15"/>
  <c r="AS159" i="15"/>
  <c r="AT159" i="15"/>
  <c r="AU159" i="15"/>
  <c r="AV159" i="15"/>
  <c r="AR160" i="15"/>
  <c r="AS160" i="15"/>
  <c r="AT160" i="15"/>
  <c r="AU160" i="15"/>
  <c r="AV160" i="15"/>
  <c r="AR161" i="15"/>
  <c r="AS161" i="15"/>
  <c r="AT161" i="15"/>
  <c r="AU161" i="15"/>
  <c r="AV161" i="15"/>
  <c r="AR162" i="15"/>
  <c r="AS162" i="15"/>
  <c r="AT162" i="15"/>
  <c r="AU162" i="15"/>
  <c r="AV162" i="15"/>
  <c r="AR163" i="15"/>
  <c r="AS163" i="15"/>
  <c r="AT163" i="15"/>
  <c r="AU163" i="15"/>
  <c r="AV163" i="15"/>
  <c r="AR164" i="15"/>
  <c r="AS164" i="15"/>
  <c r="AT164" i="15"/>
  <c r="AU164" i="15"/>
  <c r="AV164" i="15"/>
  <c r="AR165" i="15"/>
  <c r="AS165" i="15"/>
  <c r="AT165" i="15"/>
  <c r="AU165" i="15"/>
  <c r="AV165" i="15"/>
  <c r="AR166" i="15"/>
  <c r="AS166" i="15"/>
  <c r="AT166" i="15"/>
  <c r="AU166" i="15"/>
  <c r="AV166" i="15"/>
  <c r="AR167" i="15"/>
  <c r="AS167" i="15"/>
  <c r="AT167" i="15"/>
  <c r="AU167" i="15"/>
  <c r="AV167" i="15"/>
  <c r="AR168" i="15"/>
  <c r="AS168" i="15"/>
  <c r="AT168" i="15"/>
  <c r="AU168" i="15"/>
  <c r="AV168" i="15"/>
  <c r="AR169" i="15"/>
  <c r="AS169" i="15"/>
  <c r="AT169" i="15"/>
  <c r="AU169" i="15"/>
  <c r="AV169" i="15"/>
  <c r="AR170" i="15"/>
  <c r="AS170" i="15"/>
  <c r="AT170" i="15"/>
  <c r="AU170" i="15"/>
  <c r="AV170" i="15"/>
  <c r="AR171" i="15"/>
  <c r="AS171" i="15"/>
  <c r="AT171" i="15"/>
  <c r="AU171" i="15"/>
  <c r="AV171" i="15"/>
  <c r="AR172" i="15"/>
  <c r="AS172" i="15"/>
  <c r="AT172" i="15"/>
  <c r="AU172" i="15"/>
  <c r="AV172" i="15"/>
  <c r="AR173" i="15"/>
  <c r="AS173" i="15"/>
  <c r="AT173" i="15"/>
  <c r="AU173" i="15"/>
  <c r="AV173" i="15"/>
  <c r="AR174" i="15"/>
  <c r="AS174" i="15"/>
  <c r="AT174" i="15"/>
  <c r="AU174" i="15"/>
  <c r="AV174" i="15"/>
  <c r="AR175" i="15"/>
  <c r="AS175" i="15"/>
  <c r="AT175" i="15"/>
  <c r="AU175" i="15"/>
  <c r="AV175" i="15"/>
  <c r="AR176" i="15"/>
  <c r="AS176" i="15"/>
  <c r="AT176" i="15"/>
  <c r="AU176" i="15"/>
  <c r="AV176" i="15"/>
  <c r="AR177" i="15"/>
  <c r="AS177" i="15"/>
  <c r="AT177" i="15"/>
  <c r="AU177" i="15"/>
  <c r="AV177" i="15"/>
  <c r="AR178" i="15"/>
  <c r="AS178" i="15"/>
  <c r="AT178" i="15"/>
  <c r="AU178" i="15"/>
  <c r="AV178" i="15"/>
  <c r="AR179" i="15"/>
  <c r="AS179" i="15"/>
  <c r="AT179" i="15"/>
  <c r="AU179" i="15"/>
  <c r="AV179" i="15"/>
  <c r="AS95" i="15"/>
  <c r="AT95" i="15"/>
  <c r="AU95" i="15"/>
  <c r="AV95" i="15"/>
  <c r="AR95" i="15"/>
  <c r="AH96" i="15"/>
  <c r="AI96" i="15"/>
  <c r="AJ96" i="15"/>
  <c r="AK96" i="15"/>
  <c r="AL96" i="15"/>
  <c r="AH97" i="15"/>
  <c r="AI97" i="15"/>
  <c r="AJ97" i="15"/>
  <c r="AK97" i="15"/>
  <c r="AL97" i="15"/>
  <c r="AH98" i="15"/>
  <c r="AI98" i="15"/>
  <c r="AJ98" i="15"/>
  <c r="AK98" i="15"/>
  <c r="AL98" i="15"/>
  <c r="AH99" i="15"/>
  <c r="AI99" i="15"/>
  <c r="AJ99" i="15"/>
  <c r="AK99" i="15"/>
  <c r="AL99" i="15"/>
  <c r="AH100" i="15"/>
  <c r="AI100" i="15"/>
  <c r="AJ100" i="15"/>
  <c r="AK100" i="15"/>
  <c r="AL100" i="15"/>
  <c r="AH101" i="15"/>
  <c r="AI101" i="15"/>
  <c r="AJ101" i="15"/>
  <c r="AK101" i="15"/>
  <c r="AL101" i="15"/>
  <c r="AH102" i="15"/>
  <c r="AI102" i="15"/>
  <c r="AJ102" i="15"/>
  <c r="AK102" i="15"/>
  <c r="AL102" i="15"/>
  <c r="AH103" i="15"/>
  <c r="AI103" i="15"/>
  <c r="AJ103" i="15"/>
  <c r="AK103" i="15"/>
  <c r="AL103" i="15"/>
  <c r="AH104" i="15"/>
  <c r="AI104" i="15"/>
  <c r="AJ104" i="15"/>
  <c r="AK104" i="15"/>
  <c r="AL104" i="15"/>
  <c r="AH105" i="15"/>
  <c r="AI105" i="15"/>
  <c r="AJ105" i="15"/>
  <c r="AK105" i="15"/>
  <c r="AL105" i="15"/>
  <c r="AH106" i="15"/>
  <c r="AI106" i="15"/>
  <c r="AJ106" i="15"/>
  <c r="AK106" i="15"/>
  <c r="AL106" i="15"/>
  <c r="AH107" i="15"/>
  <c r="AI107" i="15"/>
  <c r="AJ107" i="15"/>
  <c r="AK107" i="15"/>
  <c r="AL107" i="15"/>
  <c r="AH108" i="15"/>
  <c r="AI108" i="15"/>
  <c r="AJ108" i="15"/>
  <c r="AK108" i="15"/>
  <c r="AL108" i="15"/>
  <c r="AH109" i="15"/>
  <c r="AI109" i="15"/>
  <c r="AJ109" i="15"/>
  <c r="AK109" i="15"/>
  <c r="AL109" i="15"/>
  <c r="AH110" i="15"/>
  <c r="AI110" i="15"/>
  <c r="AJ110" i="15"/>
  <c r="AK110" i="15"/>
  <c r="AL110" i="15"/>
  <c r="AH111" i="15"/>
  <c r="AI111" i="15"/>
  <c r="AJ111" i="15"/>
  <c r="AK111" i="15"/>
  <c r="AL111" i="15"/>
  <c r="AH112" i="15"/>
  <c r="AI112" i="15"/>
  <c r="AJ112" i="15"/>
  <c r="AK112" i="15"/>
  <c r="AL112" i="15"/>
  <c r="AH113" i="15"/>
  <c r="AI113" i="15"/>
  <c r="AJ113" i="15"/>
  <c r="AK113" i="15"/>
  <c r="AL113" i="15"/>
  <c r="AH114" i="15"/>
  <c r="AI114" i="15"/>
  <c r="AJ114" i="15"/>
  <c r="AK114" i="15"/>
  <c r="AL114" i="15"/>
  <c r="AH115" i="15"/>
  <c r="AI115" i="15"/>
  <c r="AJ115" i="15"/>
  <c r="AK115" i="15"/>
  <c r="AL115" i="15"/>
  <c r="AH116" i="15"/>
  <c r="AI116" i="15"/>
  <c r="AJ116" i="15"/>
  <c r="AK116" i="15"/>
  <c r="AL116" i="15"/>
  <c r="AH117" i="15"/>
  <c r="AI117" i="15"/>
  <c r="AJ117" i="15"/>
  <c r="AK117" i="15"/>
  <c r="AL117" i="15"/>
  <c r="AH118" i="15"/>
  <c r="AI118" i="15"/>
  <c r="AJ118" i="15"/>
  <c r="AK118" i="15"/>
  <c r="AL118" i="15"/>
  <c r="AH119" i="15"/>
  <c r="AI119" i="15"/>
  <c r="AJ119" i="15"/>
  <c r="AK119" i="15"/>
  <c r="AL119" i="15"/>
  <c r="AH120" i="15"/>
  <c r="AI120" i="15"/>
  <c r="AJ120" i="15"/>
  <c r="AK120" i="15"/>
  <c r="AL120" i="15"/>
  <c r="AH121" i="15"/>
  <c r="AI121" i="15"/>
  <c r="AJ121" i="15"/>
  <c r="AK121" i="15"/>
  <c r="AL121" i="15"/>
  <c r="AH122" i="15"/>
  <c r="AI122" i="15"/>
  <c r="AJ122" i="15"/>
  <c r="AK122" i="15"/>
  <c r="AL122" i="15"/>
  <c r="AH123" i="15"/>
  <c r="AI123" i="15"/>
  <c r="AJ123" i="15"/>
  <c r="AK123" i="15"/>
  <c r="AL123" i="15"/>
  <c r="AH124" i="15"/>
  <c r="AI124" i="15"/>
  <c r="AJ124" i="15"/>
  <c r="AK124" i="15"/>
  <c r="AL124" i="15"/>
  <c r="AH125" i="15"/>
  <c r="AI125" i="15"/>
  <c r="AJ125" i="15"/>
  <c r="AK125" i="15"/>
  <c r="AL125" i="15"/>
  <c r="AH126" i="15"/>
  <c r="AI126" i="15"/>
  <c r="AJ126" i="15"/>
  <c r="AK126" i="15"/>
  <c r="AL126" i="15"/>
  <c r="AH127" i="15"/>
  <c r="AI127" i="15"/>
  <c r="AJ127" i="15"/>
  <c r="AK127" i="15"/>
  <c r="AL127" i="15"/>
  <c r="AH128" i="15"/>
  <c r="AI128" i="15"/>
  <c r="AJ128" i="15"/>
  <c r="AK128" i="15"/>
  <c r="AL128" i="15"/>
  <c r="AH129" i="15"/>
  <c r="AI129" i="15"/>
  <c r="AJ129" i="15"/>
  <c r="AK129" i="15"/>
  <c r="AL129" i="15"/>
  <c r="AH130" i="15"/>
  <c r="AI130" i="15"/>
  <c r="AJ130" i="15"/>
  <c r="AK130" i="15"/>
  <c r="AL130" i="15"/>
  <c r="AH131" i="15"/>
  <c r="AI131" i="15"/>
  <c r="AJ131" i="15"/>
  <c r="AK131" i="15"/>
  <c r="AL131" i="15"/>
  <c r="AH132" i="15"/>
  <c r="AI132" i="15"/>
  <c r="AJ132" i="15"/>
  <c r="AK132" i="15"/>
  <c r="AL132" i="15"/>
  <c r="AH133" i="15"/>
  <c r="AI133" i="15"/>
  <c r="AJ133" i="15"/>
  <c r="AK133" i="15"/>
  <c r="AL133" i="15"/>
  <c r="AH134" i="15"/>
  <c r="AI134" i="15"/>
  <c r="AJ134" i="15"/>
  <c r="AK134" i="15"/>
  <c r="AL134" i="15"/>
  <c r="AH136" i="15"/>
  <c r="AI136" i="15"/>
  <c r="AJ136" i="15"/>
  <c r="AK136" i="15"/>
  <c r="AL136" i="15"/>
  <c r="AH137" i="15"/>
  <c r="AI137" i="15"/>
  <c r="AJ137" i="15"/>
  <c r="AK137" i="15"/>
  <c r="AL137" i="15"/>
  <c r="AH138" i="15"/>
  <c r="AI138" i="15"/>
  <c r="AJ138" i="15"/>
  <c r="AK138" i="15"/>
  <c r="AL138" i="15"/>
  <c r="AH141" i="15"/>
  <c r="AI141" i="15"/>
  <c r="AJ141" i="15"/>
  <c r="AK141" i="15"/>
  <c r="AL141" i="15"/>
  <c r="AH142" i="15"/>
  <c r="AI142" i="15"/>
  <c r="AJ142" i="15"/>
  <c r="AK142" i="15"/>
  <c r="AL142" i="15"/>
  <c r="AH143" i="15"/>
  <c r="AI143" i="15"/>
  <c r="AJ143" i="15"/>
  <c r="AK143" i="15"/>
  <c r="AL143" i="15"/>
  <c r="AH144" i="15"/>
  <c r="AI144" i="15"/>
  <c r="AJ144" i="15"/>
  <c r="AK144" i="15"/>
  <c r="AL144" i="15"/>
  <c r="AH145" i="15"/>
  <c r="AI145" i="15"/>
  <c r="AJ145" i="15"/>
  <c r="AK145" i="15"/>
  <c r="AL145" i="15"/>
  <c r="AH146" i="15"/>
  <c r="AI146" i="15"/>
  <c r="AJ146" i="15"/>
  <c r="AK146" i="15"/>
  <c r="AL146" i="15"/>
  <c r="AH147" i="15"/>
  <c r="AI147" i="15"/>
  <c r="AJ147" i="15"/>
  <c r="AK147" i="15"/>
  <c r="AL147" i="15"/>
  <c r="AH148" i="15"/>
  <c r="AI148" i="15"/>
  <c r="AJ148" i="15"/>
  <c r="AK148" i="15"/>
  <c r="AL148" i="15"/>
  <c r="AH149" i="15"/>
  <c r="AI149" i="15"/>
  <c r="AJ149" i="15"/>
  <c r="AK149" i="15"/>
  <c r="AL149" i="15"/>
  <c r="AH150" i="15"/>
  <c r="AI150" i="15"/>
  <c r="AJ150" i="15"/>
  <c r="AK150" i="15"/>
  <c r="AL150" i="15"/>
  <c r="AH153" i="15"/>
  <c r="AI153" i="15"/>
  <c r="AJ153" i="15"/>
  <c r="AK153" i="15"/>
  <c r="AL153" i="15"/>
  <c r="AH154" i="15"/>
  <c r="AI154" i="15"/>
  <c r="AJ154" i="15"/>
  <c r="AK154" i="15"/>
  <c r="AL154" i="15"/>
  <c r="AH155" i="15"/>
  <c r="AI155" i="15"/>
  <c r="AJ155" i="15"/>
  <c r="AK155" i="15"/>
  <c r="AL155" i="15"/>
  <c r="AH156" i="15"/>
  <c r="AI156" i="15"/>
  <c r="AJ156" i="15"/>
  <c r="AK156" i="15"/>
  <c r="AL156" i="15"/>
  <c r="AH157" i="15"/>
  <c r="AI157" i="15"/>
  <c r="AJ157" i="15"/>
  <c r="AK157" i="15"/>
  <c r="AL157" i="15"/>
  <c r="AH158" i="15"/>
  <c r="AI158" i="15"/>
  <c r="AJ158" i="15"/>
  <c r="AK158" i="15"/>
  <c r="AL158" i="15"/>
  <c r="AH159" i="15"/>
  <c r="AI159" i="15"/>
  <c r="AJ159" i="15"/>
  <c r="AK159" i="15"/>
  <c r="AL159" i="15"/>
  <c r="AH160" i="15"/>
  <c r="AI160" i="15"/>
  <c r="AJ160" i="15"/>
  <c r="AK160" i="15"/>
  <c r="AL160" i="15"/>
  <c r="AH161" i="15"/>
  <c r="AI161" i="15"/>
  <c r="AJ161" i="15"/>
  <c r="AK161" i="15"/>
  <c r="AL161" i="15"/>
  <c r="AH162" i="15"/>
  <c r="AI162" i="15"/>
  <c r="AJ162" i="15"/>
  <c r="AK162" i="15"/>
  <c r="AL162" i="15"/>
  <c r="AH163" i="15"/>
  <c r="AI163" i="15"/>
  <c r="AJ163" i="15"/>
  <c r="AK163" i="15"/>
  <c r="AL163" i="15"/>
  <c r="AH164" i="15"/>
  <c r="AI164" i="15"/>
  <c r="AJ164" i="15"/>
  <c r="AK164" i="15"/>
  <c r="AL164" i="15"/>
  <c r="AH165" i="15"/>
  <c r="AI165" i="15"/>
  <c r="AJ165" i="15"/>
  <c r="AK165" i="15"/>
  <c r="AL165" i="15"/>
  <c r="AH166" i="15"/>
  <c r="AI166" i="15"/>
  <c r="AJ166" i="15"/>
  <c r="AK166" i="15"/>
  <c r="AL166" i="15"/>
  <c r="AH167" i="15"/>
  <c r="AI167" i="15"/>
  <c r="AJ167" i="15"/>
  <c r="AK167" i="15"/>
  <c r="AL167" i="15"/>
  <c r="AH168" i="15"/>
  <c r="AI168" i="15"/>
  <c r="AJ168" i="15"/>
  <c r="AK168" i="15"/>
  <c r="AL168" i="15"/>
  <c r="AH169" i="15"/>
  <c r="AI169" i="15"/>
  <c r="AJ169" i="15"/>
  <c r="AK169" i="15"/>
  <c r="AL169" i="15"/>
  <c r="AH170" i="15"/>
  <c r="AI170" i="15"/>
  <c r="AJ170" i="15"/>
  <c r="AK170" i="15"/>
  <c r="AL170" i="15"/>
  <c r="AH171" i="15"/>
  <c r="AI171" i="15"/>
  <c r="AJ171" i="15"/>
  <c r="AK171" i="15"/>
  <c r="AL171" i="15"/>
  <c r="AH172" i="15"/>
  <c r="AI172" i="15"/>
  <c r="AJ172" i="15"/>
  <c r="AK172" i="15"/>
  <c r="AL172" i="15"/>
  <c r="AH173" i="15"/>
  <c r="AI173" i="15"/>
  <c r="AJ173" i="15"/>
  <c r="AK173" i="15"/>
  <c r="AL173" i="15"/>
  <c r="AH174" i="15"/>
  <c r="AI174" i="15"/>
  <c r="AJ174" i="15"/>
  <c r="AK174" i="15"/>
  <c r="AL174" i="15"/>
  <c r="AH175" i="15"/>
  <c r="AI175" i="15"/>
  <c r="AJ175" i="15"/>
  <c r="AK175" i="15"/>
  <c r="AL175" i="15"/>
  <c r="AH176" i="15"/>
  <c r="AI176" i="15"/>
  <c r="AJ176" i="15"/>
  <c r="AK176" i="15"/>
  <c r="AL176" i="15"/>
  <c r="AH177" i="15"/>
  <c r="AI177" i="15"/>
  <c r="AJ177" i="15"/>
  <c r="AK177" i="15"/>
  <c r="AL177" i="15"/>
  <c r="AH178" i="15"/>
  <c r="AI178" i="15"/>
  <c r="AJ178" i="15"/>
  <c r="AK178" i="15"/>
  <c r="AL178" i="15"/>
  <c r="AH179" i="15"/>
  <c r="AI179" i="15"/>
  <c r="AJ179" i="15"/>
  <c r="AK179" i="15"/>
  <c r="AL179" i="15"/>
  <c r="AI95" i="15"/>
  <c r="AJ95" i="15"/>
  <c r="AK95" i="15"/>
  <c r="AL95" i="15"/>
  <c r="AH95" i="15"/>
  <c r="X96" i="15"/>
  <c r="Y96" i="15"/>
  <c r="Z96" i="15"/>
  <c r="AA96" i="15"/>
  <c r="AB96" i="15"/>
  <c r="X97" i="15"/>
  <c r="Y97" i="15"/>
  <c r="Z97" i="15"/>
  <c r="AA97" i="15"/>
  <c r="AB97" i="15"/>
  <c r="X98" i="15"/>
  <c r="Y98" i="15"/>
  <c r="Z98" i="15"/>
  <c r="AA98" i="15"/>
  <c r="AB98" i="15"/>
  <c r="X99" i="15"/>
  <c r="Y99" i="15"/>
  <c r="Z99" i="15"/>
  <c r="AA99" i="15"/>
  <c r="AB99" i="15"/>
  <c r="X100" i="15"/>
  <c r="Y100" i="15"/>
  <c r="Z100" i="15"/>
  <c r="AA100" i="15"/>
  <c r="AB100" i="15"/>
  <c r="X101" i="15"/>
  <c r="Y101" i="15"/>
  <c r="Z101" i="15"/>
  <c r="AA101" i="15"/>
  <c r="AB101" i="15"/>
  <c r="X102" i="15"/>
  <c r="Y102" i="15"/>
  <c r="Z102" i="15"/>
  <c r="AA102" i="15"/>
  <c r="AB102" i="15"/>
  <c r="X103" i="15"/>
  <c r="Y103" i="15"/>
  <c r="Z103" i="15"/>
  <c r="AA103" i="15"/>
  <c r="AB103" i="15"/>
  <c r="X104" i="15"/>
  <c r="Y104" i="15"/>
  <c r="Z104" i="15"/>
  <c r="AA104" i="15"/>
  <c r="AB104" i="15"/>
  <c r="X105" i="15"/>
  <c r="Y105" i="15"/>
  <c r="Z105" i="15"/>
  <c r="AA105" i="15"/>
  <c r="AB105" i="15"/>
  <c r="X106" i="15"/>
  <c r="Y106" i="15"/>
  <c r="Z106" i="15"/>
  <c r="AA106" i="15"/>
  <c r="AB106" i="15"/>
  <c r="X107" i="15"/>
  <c r="Y107" i="15"/>
  <c r="Z107" i="15"/>
  <c r="AA107" i="15"/>
  <c r="AB107" i="15"/>
  <c r="X108" i="15"/>
  <c r="Y108" i="15"/>
  <c r="Z108" i="15"/>
  <c r="AA108" i="15"/>
  <c r="AB108" i="15"/>
  <c r="X109" i="15"/>
  <c r="Y109" i="15"/>
  <c r="Z109" i="15"/>
  <c r="AA109" i="15"/>
  <c r="AB109" i="15"/>
  <c r="X110" i="15"/>
  <c r="Y110" i="15"/>
  <c r="Z110" i="15"/>
  <c r="AA110" i="15"/>
  <c r="AB110" i="15"/>
  <c r="X111" i="15"/>
  <c r="Y111" i="15"/>
  <c r="Z111" i="15"/>
  <c r="AA111" i="15"/>
  <c r="AB111" i="15"/>
  <c r="X112" i="15"/>
  <c r="Y112" i="15"/>
  <c r="Z112" i="15"/>
  <c r="AA112" i="15"/>
  <c r="AB112" i="15"/>
  <c r="X113" i="15"/>
  <c r="Y113" i="15"/>
  <c r="Z113" i="15"/>
  <c r="AA113" i="15"/>
  <c r="AB113" i="15"/>
  <c r="X114" i="15"/>
  <c r="Y114" i="15"/>
  <c r="Z114" i="15"/>
  <c r="AA114" i="15"/>
  <c r="AB114" i="15"/>
  <c r="X115" i="15"/>
  <c r="Y115" i="15"/>
  <c r="Z115" i="15"/>
  <c r="AA115" i="15"/>
  <c r="AB115" i="15"/>
  <c r="X116" i="15"/>
  <c r="Y116" i="15"/>
  <c r="Z116" i="15"/>
  <c r="AA116" i="15"/>
  <c r="AB116" i="15"/>
  <c r="X117" i="15"/>
  <c r="Y117" i="15"/>
  <c r="Z117" i="15"/>
  <c r="AA117" i="15"/>
  <c r="AB117" i="15"/>
  <c r="X118" i="15"/>
  <c r="Y118" i="15"/>
  <c r="Z118" i="15"/>
  <c r="AA118" i="15"/>
  <c r="AB118" i="15"/>
  <c r="X119" i="15"/>
  <c r="Y119" i="15"/>
  <c r="Z119" i="15"/>
  <c r="AA119" i="15"/>
  <c r="AB119" i="15"/>
  <c r="X120" i="15"/>
  <c r="Y120" i="15"/>
  <c r="Z120" i="15"/>
  <c r="AA120" i="15"/>
  <c r="AB120" i="15"/>
  <c r="X121" i="15"/>
  <c r="Y121" i="15"/>
  <c r="Z121" i="15"/>
  <c r="AA121" i="15"/>
  <c r="AB121" i="15"/>
  <c r="X122" i="15"/>
  <c r="Y122" i="15"/>
  <c r="Z122" i="15"/>
  <c r="AA122" i="15"/>
  <c r="AB122" i="15"/>
  <c r="X123" i="15"/>
  <c r="Y123" i="15"/>
  <c r="Z123" i="15"/>
  <c r="AA123" i="15"/>
  <c r="AB123" i="15"/>
  <c r="X124" i="15"/>
  <c r="Y124" i="15"/>
  <c r="Z124" i="15"/>
  <c r="AA124" i="15"/>
  <c r="AB124" i="15"/>
  <c r="X125" i="15"/>
  <c r="Y125" i="15"/>
  <c r="Z125" i="15"/>
  <c r="AA125" i="15"/>
  <c r="AB125" i="15"/>
  <c r="X126" i="15"/>
  <c r="Y126" i="15"/>
  <c r="Z126" i="15"/>
  <c r="AA126" i="15"/>
  <c r="AB126" i="15"/>
  <c r="X127" i="15"/>
  <c r="Y127" i="15"/>
  <c r="Z127" i="15"/>
  <c r="AA127" i="15"/>
  <c r="AB127" i="15"/>
  <c r="X128" i="15"/>
  <c r="Y128" i="15"/>
  <c r="Z128" i="15"/>
  <c r="AA128" i="15"/>
  <c r="AB128" i="15"/>
  <c r="X129" i="15"/>
  <c r="Y129" i="15"/>
  <c r="Z129" i="15"/>
  <c r="AA129" i="15"/>
  <c r="AB129" i="15"/>
  <c r="X130" i="15"/>
  <c r="Y130" i="15"/>
  <c r="Z130" i="15"/>
  <c r="AA130" i="15"/>
  <c r="AB130" i="15"/>
  <c r="X131" i="15"/>
  <c r="Y131" i="15"/>
  <c r="Z131" i="15"/>
  <c r="AA131" i="15"/>
  <c r="AB131" i="15"/>
  <c r="X132" i="15"/>
  <c r="Y132" i="15"/>
  <c r="Z132" i="15"/>
  <c r="AA132" i="15"/>
  <c r="AB132" i="15"/>
  <c r="X133" i="15"/>
  <c r="Y133" i="15"/>
  <c r="Z133" i="15"/>
  <c r="AA133" i="15"/>
  <c r="AB133" i="15"/>
  <c r="X134" i="15"/>
  <c r="Y134" i="15"/>
  <c r="Z134" i="15"/>
  <c r="AA134" i="15"/>
  <c r="AB134" i="15"/>
  <c r="X136" i="15"/>
  <c r="Y136" i="15"/>
  <c r="Z136" i="15"/>
  <c r="AA136" i="15"/>
  <c r="AB136" i="15"/>
  <c r="X137" i="15"/>
  <c r="Y137" i="15"/>
  <c r="Z137" i="15"/>
  <c r="AA137" i="15"/>
  <c r="AB137" i="15"/>
  <c r="X138" i="15"/>
  <c r="Y138" i="15"/>
  <c r="Z138" i="15"/>
  <c r="AA138" i="15"/>
  <c r="AB138" i="15"/>
  <c r="X141" i="15"/>
  <c r="Y141" i="15"/>
  <c r="Z141" i="15"/>
  <c r="AA141" i="15"/>
  <c r="AB141" i="15"/>
  <c r="X142" i="15"/>
  <c r="Y142" i="15"/>
  <c r="Z142" i="15"/>
  <c r="AA142" i="15"/>
  <c r="AB142" i="15"/>
  <c r="X143" i="15"/>
  <c r="Y143" i="15"/>
  <c r="Z143" i="15"/>
  <c r="AA143" i="15"/>
  <c r="AB143" i="15"/>
  <c r="X144" i="15"/>
  <c r="Y144" i="15"/>
  <c r="Z144" i="15"/>
  <c r="AA144" i="15"/>
  <c r="AB144" i="15"/>
  <c r="X145" i="15"/>
  <c r="Y145" i="15"/>
  <c r="Z145" i="15"/>
  <c r="AA145" i="15"/>
  <c r="AB145" i="15"/>
  <c r="X146" i="15"/>
  <c r="Y146" i="15"/>
  <c r="Z146" i="15"/>
  <c r="AA146" i="15"/>
  <c r="AB146" i="15"/>
  <c r="X147" i="15"/>
  <c r="Y147" i="15"/>
  <c r="Z147" i="15"/>
  <c r="AA147" i="15"/>
  <c r="AB147" i="15"/>
  <c r="X148" i="15"/>
  <c r="Y148" i="15"/>
  <c r="Z148" i="15"/>
  <c r="AA148" i="15"/>
  <c r="AB148" i="15"/>
  <c r="X149" i="15"/>
  <c r="Y149" i="15"/>
  <c r="Z149" i="15"/>
  <c r="AA149" i="15"/>
  <c r="AB149" i="15"/>
  <c r="X150" i="15"/>
  <c r="Y150" i="15"/>
  <c r="Z150" i="15"/>
  <c r="AA150" i="15"/>
  <c r="AB150" i="15"/>
  <c r="X153" i="15"/>
  <c r="Y153" i="15"/>
  <c r="Z153" i="15"/>
  <c r="AA153" i="15"/>
  <c r="AB153" i="15"/>
  <c r="X154" i="15"/>
  <c r="Y154" i="15"/>
  <c r="Z154" i="15"/>
  <c r="AA154" i="15"/>
  <c r="AB154" i="15"/>
  <c r="X155" i="15"/>
  <c r="Y155" i="15"/>
  <c r="Z155" i="15"/>
  <c r="AA155" i="15"/>
  <c r="AB155" i="15"/>
  <c r="X156" i="15"/>
  <c r="Y156" i="15"/>
  <c r="Z156" i="15"/>
  <c r="AA156" i="15"/>
  <c r="AB156" i="15"/>
  <c r="X157" i="15"/>
  <c r="Y157" i="15"/>
  <c r="Z157" i="15"/>
  <c r="AA157" i="15"/>
  <c r="AB157" i="15"/>
  <c r="X158" i="15"/>
  <c r="Y158" i="15"/>
  <c r="Z158" i="15"/>
  <c r="AA158" i="15"/>
  <c r="AB158" i="15"/>
  <c r="X159" i="15"/>
  <c r="Y159" i="15"/>
  <c r="Z159" i="15"/>
  <c r="AA159" i="15"/>
  <c r="AB159" i="15"/>
  <c r="X160" i="15"/>
  <c r="Y160" i="15"/>
  <c r="Z160" i="15"/>
  <c r="AA160" i="15"/>
  <c r="AB160" i="15"/>
  <c r="X161" i="15"/>
  <c r="Y161" i="15"/>
  <c r="Z161" i="15"/>
  <c r="AA161" i="15"/>
  <c r="AB161" i="15"/>
  <c r="X162" i="15"/>
  <c r="Y162" i="15"/>
  <c r="Z162" i="15"/>
  <c r="AA162" i="15"/>
  <c r="AB162" i="15"/>
  <c r="X163" i="15"/>
  <c r="Y163" i="15"/>
  <c r="Z163" i="15"/>
  <c r="AA163" i="15"/>
  <c r="AB163" i="15"/>
  <c r="X164" i="15"/>
  <c r="Y164" i="15"/>
  <c r="Z164" i="15"/>
  <c r="AA164" i="15"/>
  <c r="AB164" i="15"/>
  <c r="X165" i="15"/>
  <c r="Y165" i="15"/>
  <c r="Z165" i="15"/>
  <c r="AA165" i="15"/>
  <c r="AB165" i="15"/>
  <c r="X166" i="15"/>
  <c r="Y166" i="15"/>
  <c r="Z166" i="15"/>
  <c r="AA166" i="15"/>
  <c r="AB166" i="15"/>
  <c r="X167" i="15"/>
  <c r="Y167" i="15"/>
  <c r="Z167" i="15"/>
  <c r="AA167" i="15"/>
  <c r="AB167" i="15"/>
  <c r="X168" i="15"/>
  <c r="Y168" i="15"/>
  <c r="Z168" i="15"/>
  <c r="AA168" i="15"/>
  <c r="AB168" i="15"/>
  <c r="X169" i="15"/>
  <c r="Y169" i="15"/>
  <c r="Z169" i="15"/>
  <c r="AA169" i="15"/>
  <c r="AB169" i="15"/>
  <c r="X170" i="15"/>
  <c r="Y170" i="15"/>
  <c r="Z170" i="15"/>
  <c r="AA170" i="15"/>
  <c r="AB170" i="15"/>
  <c r="X171" i="15"/>
  <c r="Y171" i="15"/>
  <c r="Z171" i="15"/>
  <c r="AA171" i="15"/>
  <c r="AB171" i="15"/>
  <c r="X172" i="15"/>
  <c r="Y172" i="15"/>
  <c r="Z172" i="15"/>
  <c r="AA172" i="15"/>
  <c r="AB172" i="15"/>
  <c r="X173" i="15"/>
  <c r="Y173" i="15"/>
  <c r="Z173" i="15"/>
  <c r="AA173" i="15"/>
  <c r="AB173" i="15"/>
  <c r="X174" i="15"/>
  <c r="Y174" i="15"/>
  <c r="Z174" i="15"/>
  <c r="AA174" i="15"/>
  <c r="AB174" i="15"/>
  <c r="X175" i="15"/>
  <c r="Y175" i="15"/>
  <c r="Z175" i="15"/>
  <c r="AA175" i="15"/>
  <c r="AB175" i="15"/>
  <c r="X176" i="15"/>
  <c r="Y176" i="15"/>
  <c r="Z176" i="15"/>
  <c r="AA176" i="15"/>
  <c r="AB176" i="15"/>
  <c r="X177" i="15"/>
  <c r="Y177" i="15"/>
  <c r="Z177" i="15"/>
  <c r="AA177" i="15"/>
  <c r="AB177" i="15"/>
  <c r="X178" i="15"/>
  <c r="Y178" i="15"/>
  <c r="Z178" i="15"/>
  <c r="AA178" i="15"/>
  <c r="AB178" i="15"/>
  <c r="X179" i="15"/>
  <c r="Y179" i="15"/>
  <c r="Z179" i="15"/>
  <c r="AA179" i="15"/>
  <c r="AB179" i="15"/>
  <c r="Y95" i="15"/>
  <c r="Z95" i="15"/>
  <c r="AA95" i="15"/>
  <c r="AB95" i="15"/>
  <c r="X95" i="15"/>
  <c r="N96" i="15"/>
  <c r="O96" i="15"/>
  <c r="P96" i="15"/>
  <c r="Q96" i="15"/>
  <c r="R96" i="15"/>
  <c r="N97" i="15"/>
  <c r="O97" i="15"/>
  <c r="P97" i="15"/>
  <c r="Q97" i="15"/>
  <c r="R97" i="15"/>
  <c r="N98" i="15"/>
  <c r="O98" i="15"/>
  <c r="P98" i="15"/>
  <c r="Q98" i="15"/>
  <c r="R98" i="15"/>
  <c r="N99" i="15"/>
  <c r="O99" i="15"/>
  <c r="P99" i="15"/>
  <c r="Q99" i="15"/>
  <c r="R99" i="15"/>
  <c r="N100" i="15"/>
  <c r="O100" i="15"/>
  <c r="P100" i="15"/>
  <c r="Q100" i="15"/>
  <c r="R100" i="15"/>
  <c r="N101" i="15"/>
  <c r="O101" i="15"/>
  <c r="P101" i="15"/>
  <c r="Q101" i="15"/>
  <c r="R101" i="15"/>
  <c r="N102" i="15"/>
  <c r="O102" i="15"/>
  <c r="P102" i="15"/>
  <c r="Q102" i="15"/>
  <c r="R102" i="15"/>
  <c r="N103" i="15"/>
  <c r="O103" i="15"/>
  <c r="P103" i="15"/>
  <c r="Q103" i="15"/>
  <c r="R103" i="15"/>
  <c r="N104" i="15"/>
  <c r="O104" i="15"/>
  <c r="P104" i="15"/>
  <c r="Q104" i="15"/>
  <c r="R104" i="15"/>
  <c r="N105" i="15"/>
  <c r="O105" i="15"/>
  <c r="P105" i="15"/>
  <c r="Q105" i="15"/>
  <c r="R105" i="15"/>
  <c r="N106" i="15"/>
  <c r="O106" i="15"/>
  <c r="P106" i="15"/>
  <c r="Q106" i="15"/>
  <c r="R106" i="15"/>
  <c r="N107" i="15"/>
  <c r="O107" i="15"/>
  <c r="P107" i="15"/>
  <c r="Q107" i="15"/>
  <c r="R107" i="15"/>
  <c r="N108" i="15"/>
  <c r="O108" i="15"/>
  <c r="P108" i="15"/>
  <c r="Q108" i="15"/>
  <c r="R108" i="15"/>
  <c r="N109" i="15"/>
  <c r="O109" i="15"/>
  <c r="P109" i="15"/>
  <c r="Q109" i="15"/>
  <c r="R109" i="15"/>
  <c r="N110" i="15"/>
  <c r="O110" i="15"/>
  <c r="P110" i="15"/>
  <c r="Q110" i="15"/>
  <c r="R110" i="15"/>
  <c r="N111" i="15"/>
  <c r="O111" i="15"/>
  <c r="P111" i="15"/>
  <c r="Q111" i="15"/>
  <c r="R111" i="15"/>
  <c r="N112" i="15"/>
  <c r="O112" i="15"/>
  <c r="P112" i="15"/>
  <c r="Q112" i="15"/>
  <c r="R112" i="15"/>
  <c r="N113" i="15"/>
  <c r="O113" i="15"/>
  <c r="P113" i="15"/>
  <c r="Q113" i="15"/>
  <c r="R113" i="15"/>
  <c r="N114" i="15"/>
  <c r="O114" i="15"/>
  <c r="P114" i="15"/>
  <c r="Q114" i="15"/>
  <c r="R114" i="15"/>
  <c r="N115" i="15"/>
  <c r="O115" i="15"/>
  <c r="P115" i="15"/>
  <c r="Q115" i="15"/>
  <c r="R115" i="15"/>
  <c r="N116" i="15"/>
  <c r="O116" i="15"/>
  <c r="P116" i="15"/>
  <c r="Q116" i="15"/>
  <c r="R116" i="15"/>
  <c r="N117" i="15"/>
  <c r="O117" i="15"/>
  <c r="P117" i="15"/>
  <c r="Q117" i="15"/>
  <c r="R117" i="15"/>
  <c r="N118" i="15"/>
  <c r="O118" i="15"/>
  <c r="P118" i="15"/>
  <c r="Q118" i="15"/>
  <c r="R118" i="15"/>
  <c r="N119" i="15"/>
  <c r="O119" i="15"/>
  <c r="P119" i="15"/>
  <c r="Q119" i="15"/>
  <c r="R119" i="15"/>
  <c r="N120" i="15"/>
  <c r="O120" i="15"/>
  <c r="P120" i="15"/>
  <c r="Q120" i="15"/>
  <c r="R120" i="15"/>
  <c r="N121" i="15"/>
  <c r="O121" i="15"/>
  <c r="P121" i="15"/>
  <c r="Q121" i="15"/>
  <c r="R121" i="15"/>
  <c r="N122" i="15"/>
  <c r="O122" i="15"/>
  <c r="P122" i="15"/>
  <c r="Q122" i="15"/>
  <c r="R122" i="15"/>
  <c r="N123" i="15"/>
  <c r="O123" i="15"/>
  <c r="P123" i="15"/>
  <c r="Q123" i="15"/>
  <c r="R123" i="15"/>
  <c r="N124" i="15"/>
  <c r="O124" i="15"/>
  <c r="P124" i="15"/>
  <c r="Q124" i="15"/>
  <c r="R124" i="15"/>
  <c r="N125" i="15"/>
  <c r="O125" i="15"/>
  <c r="P125" i="15"/>
  <c r="Q125" i="15"/>
  <c r="R125" i="15"/>
  <c r="N126" i="15"/>
  <c r="O126" i="15"/>
  <c r="P126" i="15"/>
  <c r="Q126" i="15"/>
  <c r="R126" i="15"/>
  <c r="N127" i="15"/>
  <c r="O127" i="15"/>
  <c r="P127" i="15"/>
  <c r="Q127" i="15"/>
  <c r="R127" i="15"/>
  <c r="N128" i="15"/>
  <c r="O128" i="15"/>
  <c r="P128" i="15"/>
  <c r="Q128" i="15"/>
  <c r="R128" i="15"/>
  <c r="N129" i="15"/>
  <c r="O129" i="15"/>
  <c r="P129" i="15"/>
  <c r="Q129" i="15"/>
  <c r="R129" i="15"/>
  <c r="N130" i="15"/>
  <c r="O130" i="15"/>
  <c r="P130" i="15"/>
  <c r="Q130" i="15"/>
  <c r="R130" i="15"/>
  <c r="N131" i="15"/>
  <c r="O131" i="15"/>
  <c r="P131" i="15"/>
  <c r="Q131" i="15"/>
  <c r="R131" i="15"/>
  <c r="N132" i="15"/>
  <c r="O132" i="15"/>
  <c r="P132" i="15"/>
  <c r="Q132" i="15"/>
  <c r="R132" i="15"/>
  <c r="N133" i="15"/>
  <c r="O133" i="15"/>
  <c r="P133" i="15"/>
  <c r="Q133" i="15"/>
  <c r="R133" i="15"/>
  <c r="N134" i="15"/>
  <c r="O134" i="15"/>
  <c r="P134" i="15"/>
  <c r="Q134" i="15"/>
  <c r="R134" i="15"/>
  <c r="N136" i="15"/>
  <c r="O136" i="15"/>
  <c r="P136" i="15"/>
  <c r="Q136" i="15"/>
  <c r="R136" i="15"/>
  <c r="N137" i="15"/>
  <c r="O137" i="15"/>
  <c r="P137" i="15"/>
  <c r="Q137" i="15"/>
  <c r="R137" i="15"/>
  <c r="N138" i="15"/>
  <c r="O138" i="15"/>
  <c r="P138" i="15"/>
  <c r="Q138" i="15"/>
  <c r="R138" i="15"/>
  <c r="N141" i="15"/>
  <c r="O141" i="15"/>
  <c r="P141" i="15"/>
  <c r="Q141" i="15"/>
  <c r="R141" i="15"/>
  <c r="N142" i="15"/>
  <c r="O142" i="15"/>
  <c r="P142" i="15"/>
  <c r="Q142" i="15"/>
  <c r="R142" i="15"/>
  <c r="N143" i="15"/>
  <c r="O143" i="15"/>
  <c r="P143" i="15"/>
  <c r="Q143" i="15"/>
  <c r="R143" i="15"/>
  <c r="N144" i="15"/>
  <c r="O144" i="15"/>
  <c r="P144" i="15"/>
  <c r="Q144" i="15"/>
  <c r="R144" i="15"/>
  <c r="N145" i="15"/>
  <c r="O145" i="15"/>
  <c r="P145" i="15"/>
  <c r="Q145" i="15"/>
  <c r="R145" i="15"/>
  <c r="N146" i="15"/>
  <c r="O146" i="15"/>
  <c r="P146" i="15"/>
  <c r="Q146" i="15"/>
  <c r="R146" i="15"/>
  <c r="N147" i="15"/>
  <c r="O147" i="15"/>
  <c r="P147" i="15"/>
  <c r="Q147" i="15"/>
  <c r="R147" i="15"/>
  <c r="N148" i="15"/>
  <c r="O148" i="15"/>
  <c r="P148" i="15"/>
  <c r="Q148" i="15"/>
  <c r="R148" i="15"/>
  <c r="N149" i="15"/>
  <c r="O149" i="15"/>
  <c r="P149" i="15"/>
  <c r="Q149" i="15"/>
  <c r="R149" i="15"/>
  <c r="N150" i="15"/>
  <c r="O150" i="15"/>
  <c r="P150" i="15"/>
  <c r="Q150" i="15"/>
  <c r="R150" i="15"/>
  <c r="N153" i="15"/>
  <c r="O153" i="15"/>
  <c r="P153" i="15"/>
  <c r="Q153" i="15"/>
  <c r="R153" i="15"/>
  <c r="N154" i="15"/>
  <c r="O154" i="15"/>
  <c r="P154" i="15"/>
  <c r="Q154" i="15"/>
  <c r="R154" i="15"/>
  <c r="N155" i="15"/>
  <c r="O155" i="15"/>
  <c r="P155" i="15"/>
  <c r="Q155" i="15"/>
  <c r="R155" i="15"/>
  <c r="N156" i="15"/>
  <c r="O156" i="15"/>
  <c r="P156" i="15"/>
  <c r="Q156" i="15"/>
  <c r="R156" i="15"/>
  <c r="N157" i="15"/>
  <c r="O157" i="15"/>
  <c r="P157" i="15"/>
  <c r="Q157" i="15"/>
  <c r="R157" i="15"/>
  <c r="N158" i="15"/>
  <c r="O158" i="15"/>
  <c r="P158" i="15"/>
  <c r="Q158" i="15"/>
  <c r="R158" i="15"/>
  <c r="N159" i="15"/>
  <c r="O159" i="15"/>
  <c r="P159" i="15"/>
  <c r="Q159" i="15"/>
  <c r="R159" i="15"/>
  <c r="N160" i="15"/>
  <c r="O160" i="15"/>
  <c r="P160" i="15"/>
  <c r="Q160" i="15"/>
  <c r="R160" i="15"/>
  <c r="N161" i="15"/>
  <c r="O161" i="15"/>
  <c r="P161" i="15"/>
  <c r="Q161" i="15"/>
  <c r="R161" i="15"/>
  <c r="N162" i="15"/>
  <c r="O162" i="15"/>
  <c r="P162" i="15"/>
  <c r="Q162" i="15"/>
  <c r="R162" i="15"/>
  <c r="N163" i="15"/>
  <c r="O163" i="15"/>
  <c r="P163" i="15"/>
  <c r="Q163" i="15"/>
  <c r="R163" i="15"/>
  <c r="N164" i="15"/>
  <c r="O164" i="15"/>
  <c r="P164" i="15"/>
  <c r="Q164" i="15"/>
  <c r="R164" i="15"/>
  <c r="N165" i="15"/>
  <c r="O165" i="15"/>
  <c r="P165" i="15"/>
  <c r="Q165" i="15"/>
  <c r="R165" i="15"/>
  <c r="N166" i="15"/>
  <c r="O166" i="15"/>
  <c r="P166" i="15"/>
  <c r="Q166" i="15"/>
  <c r="R166" i="15"/>
  <c r="N167" i="15"/>
  <c r="O167" i="15"/>
  <c r="P167" i="15"/>
  <c r="Q167" i="15"/>
  <c r="R167" i="15"/>
  <c r="N168" i="15"/>
  <c r="O168" i="15"/>
  <c r="P168" i="15"/>
  <c r="Q168" i="15"/>
  <c r="R168" i="15"/>
  <c r="N169" i="15"/>
  <c r="O169" i="15"/>
  <c r="P169" i="15"/>
  <c r="Q169" i="15"/>
  <c r="R169" i="15"/>
  <c r="N170" i="15"/>
  <c r="O170" i="15"/>
  <c r="P170" i="15"/>
  <c r="Q170" i="15"/>
  <c r="R170" i="15"/>
  <c r="N171" i="15"/>
  <c r="O171" i="15"/>
  <c r="P171" i="15"/>
  <c r="Q171" i="15"/>
  <c r="R171" i="15"/>
  <c r="N172" i="15"/>
  <c r="O172" i="15"/>
  <c r="P172" i="15"/>
  <c r="Q172" i="15"/>
  <c r="R172" i="15"/>
  <c r="N173" i="15"/>
  <c r="O173" i="15"/>
  <c r="P173" i="15"/>
  <c r="Q173" i="15"/>
  <c r="R173" i="15"/>
  <c r="N174" i="15"/>
  <c r="O174" i="15"/>
  <c r="P174" i="15"/>
  <c r="Q174" i="15"/>
  <c r="R174" i="15"/>
  <c r="N175" i="15"/>
  <c r="O175" i="15"/>
  <c r="P175" i="15"/>
  <c r="Q175" i="15"/>
  <c r="R175" i="15"/>
  <c r="N176" i="15"/>
  <c r="O176" i="15"/>
  <c r="P176" i="15"/>
  <c r="Q176" i="15"/>
  <c r="R176" i="15"/>
  <c r="N177" i="15"/>
  <c r="O177" i="15"/>
  <c r="P177" i="15"/>
  <c r="Q177" i="15"/>
  <c r="R177" i="15"/>
  <c r="N178" i="15"/>
  <c r="O178" i="15"/>
  <c r="P178" i="15"/>
  <c r="Q178" i="15"/>
  <c r="R178" i="15"/>
  <c r="N179" i="15"/>
  <c r="O179" i="15"/>
  <c r="P179" i="15"/>
  <c r="Q179" i="15"/>
  <c r="R179" i="15"/>
  <c r="O95" i="15"/>
  <c r="P95" i="15"/>
  <c r="Q95" i="15"/>
  <c r="R95" i="15"/>
  <c r="N95" i="15"/>
  <c r="D96" i="15"/>
  <c r="E96" i="15"/>
  <c r="F96" i="15"/>
  <c r="G96" i="15"/>
  <c r="H96" i="15"/>
  <c r="D97" i="15"/>
  <c r="E97" i="15"/>
  <c r="F97" i="15"/>
  <c r="G97" i="15"/>
  <c r="H97" i="15"/>
  <c r="D98" i="15"/>
  <c r="E98" i="15"/>
  <c r="F98" i="15"/>
  <c r="G98" i="15"/>
  <c r="H98" i="15"/>
  <c r="D99" i="15"/>
  <c r="E99" i="15"/>
  <c r="F99" i="15"/>
  <c r="G99" i="15"/>
  <c r="H99" i="15"/>
  <c r="D100" i="15"/>
  <c r="E100" i="15"/>
  <c r="F100" i="15"/>
  <c r="G100" i="15"/>
  <c r="H100" i="15"/>
  <c r="D101" i="15"/>
  <c r="E101" i="15"/>
  <c r="F101" i="15"/>
  <c r="G101" i="15"/>
  <c r="H101" i="15"/>
  <c r="D102" i="15"/>
  <c r="E102" i="15"/>
  <c r="F102" i="15"/>
  <c r="G102" i="15"/>
  <c r="H102" i="15"/>
  <c r="D103" i="15"/>
  <c r="E103" i="15"/>
  <c r="F103" i="15"/>
  <c r="G103" i="15"/>
  <c r="H103" i="15"/>
  <c r="D104" i="15"/>
  <c r="E104" i="15"/>
  <c r="F104" i="15"/>
  <c r="G104" i="15"/>
  <c r="H104" i="15"/>
  <c r="D105" i="15"/>
  <c r="E105" i="15"/>
  <c r="F105" i="15"/>
  <c r="G105" i="15"/>
  <c r="H105" i="15"/>
  <c r="D106" i="15"/>
  <c r="E106" i="15"/>
  <c r="F106" i="15"/>
  <c r="G106" i="15"/>
  <c r="H106" i="15"/>
  <c r="D107" i="15"/>
  <c r="E107" i="15"/>
  <c r="F107" i="15"/>
  <c r="G107" i="15"/>
  <c r="H107" i="15"/>
  <c r="D108" i="15"/>
  <c r="E108" i="15"/>
  <c r="F108" i="15"/>
  <c r="G108" i="15"/>
  <c r="H108" i="15"/>
  <c r="D109" i="15"/>
  <c r="E109" i="15"/>
  <c r="F109" i="15"/>
  <c r="G109" i="15"/>
  <c r="H109" i="15"/>
  <c r="D110" i="15"/>
  <c r="E110" i="15"/>
  <c r="F110" i="15"/>
  <c r="G110" i="15"/>
  <c r="H110" i="15"/>
  <c r="D111" i="15"/>
  <c r="E111" i="15"/>
  <c r="F111" i="15"/>
  <c r="G111" i="15"/>
  <c r="H111" i="15"/>
  <c r="D112" i="15"/>
  <c r="E112" i="15"/>
  <c r="F112" i="15"/>
  <c r="G112" i="15"/>
  <c r="H112" i="15"/>
  <c r="D113" i="15"/>
  <c r="E113" i="15"/>
  <c r="F113" i="15"/>
  <c r="G113" i="15"/>
  <c r="H113" i="15"/>
  <c r="D114" i="15"/>
  <c r="E114" i="15"/>
  <c r="F114" i="15"/>
  <c r="G114" i="15"/>
  <c r="H114" i="15"/>
  <c r="D115" i="15"/>
  <c r="E115" i="15"/>
  <c r="F115" i="15"/>
  <c r="G115" i="15"/>
  <c r="H115" i="15"/>
  <c r="D116" i="15"/>
  <c r="E116" i="15"/>
  <c r="F116" i="15"/>
  <c r="G116" i="15"/>
  <c r="H116" i="15"/>
  <c r="D117" i="15"/>
  <c r="E117" i="15"/>
  <c r="F117" i="15"/>
  <c r="G117" i="15"/>
  <c r="H117" i="15"/>
  <c r="D118" i="15"/>
  <c r="E118" i="15"/>
  <c r="F118" i="15"/>
  <c r="G118" i="15"/>
  <c r="H118" i="15"/>
  <c r="D119" i="15"/>
  <c r="E119" i="15"/>
  <c r="F119" i="15"/>
  <c r="G119" i="15"/>
  <c r="H119" i="15"/>
  <c r="D120" i="15"/>
  <c r="E120" i="15"/>
  <c r="F120" i="15"/>
  <c r="G120" i="15"/>
  <c r="H120" i="15"/>
  <c r="D121" i="15"/>
  <c r="E121" i="15"/>
  <c r="F121" i="15"/>
  <c r="G121" i="15"/>
  <c r="H121" i="15"/>
  <c r="D122" i="15"/>
  <c r="E122" i="15"/>
  <c r="F122" i="15"/>
  <c r="G122" i="15"/>
  <c r="H122" i="15"/>
  <c r="D123" i="15"/>
  <c r="E123" i="15"/>
  <c r="F123" i="15"/>
  <c r="G123" i="15"/>
  <c r="H123" i="15"/>
  <c r="D124" i="15"/>
  <c r="E124" i="15"/>
  <c r="F124" i="15"/>
  <c r="G124" i="15"/>
  <c r="H124" i="15"/>
  <c r="D125" i="15"/>
  <c r="E125" i="15"/>
  <c r="F125" i="15"/>
  <c r="G125" i="15"/>
  <c r="H125" i="15"/>
  <c r="D126" i="15"/>
  <c r="E126" i="15"/>
  <c r="F126" i="15"/>
  <c r="G126" i="15"/>
  <c r="H126" i="15"/>
  <c r="D127" i="15"/>
  <c r="E127" i="15"/>
  <c r="F127" i="15"/>
  <c r="G127" i="15"/>
  <c r="H127" i="15"/>
  <c r="D128" i="15"/>
  <c r="E128" i="15"/>
  <c r="F128" i="15"/>
  <c r="G128" i="15"/>
  <c r="H128" i="15"/>
  <c r="D129" i="15"/>
  <c r="E129" i="15"/>
  <c r="F129" i="15"/>
  <c r="G129" i="15"/>
  <c r="H129" i="15"/>
  <c r="D130" i="15"/>
  <c r="E130" i="15"/>
  <c r="F130" i="15"/>
  <c r="G130" i="15"/>
  <c r="H130" i="15"/>
  <c r="D131" i="15"/>
  <c r="E131" i="15"/>
  <c r="F131" i="15"/>
  <c r="G131" i="15"/>
  <c r="H131" i="15"/>
  <c r="D132" i="15"/>
  <c r="E132" i="15"/>
  <c r="F132" i="15"/>
  <c r="G132" i="15"/>
  <c r="H132" i="15"/>
  <c r="D133" i="15"/>
  <c r="E133" i="15"/>
  <c r="F133" i="15"/>
  <c r="G133" i="15"/>
  <c r="H133" i="15"/>
  <c r="D134" i="15"/>
  <c r="E134" i="15"/>
  <c r="F134" i="15"/>
  <c r="G134" i="15"/>
  <c r="H134" i="15"/>
  <c r="H136" i="15"/>
  <c r="H137" i="15"/>
  <c r="H138" i="15"/>
  <c r="D141" i="15"/>
  <c r="E141" i="15"/>
  <c r="F141" i="15"/>
  <c r="G141" i="15"/>
  <c r="H141" i="15"/>
  <c r="D142" i="15"/>
  <c r="E142" i="15"/>
  <c r="F142" i="15"/>
  <c r="G142" i="15"/>
  <c r="H142" i="15"/>
  <c r="D143" i="15"/>
  <c r="E143" i="15"/>
  <c r="F143" i="15"/>
  <c r="G143" i="15"/>
  <c r="H143" i="15"/>
  <c r="D144" i="15"/>
  <c r="E144" i="15"/>
  <c r="F144" i="15"/>
  <c r="G144" i="15"/>
  <c r="H144" i="15"/>
  <c r="D145" i="15"/>
  <c r="E145" i="15"/>
  <c r="F145" i="15"/>
  <c r="G145" i="15"/>
  <c r="H145" i="15"/>
  <c r="D146" i="15"/>
  <c r="E146" i="15"/>
  <c r="F146" i="15"/>
  <c r="G146" i="15"/>
  <c r="H146" i="15"/>
  <c r="D147" i="15"/>
  <c r="E147" i="15"/>
  <c r="F147" i="15"/>
  <c r="G147" i="15"/>
  <c r="H147" i="15"/>
  <c r="D148" i="15"/>
  <c r="E148" i="15"/>
  <c r="F148" i="15"/>
  <c r="G148" i="15"/>
  <c r="H148" i="15"/>
  <c r="D149" i="15"/>
  <c r="E149" i="15"/>
  <c r="F149" i="15"/>
  <c r="G149" i="15"/>
  <c r="H149" i="15"/>
  <c r="D150" i="15"/>
  <c r="E150" i="15"/>
  <c r="F150" i="15"/>
  <c r="G150" i="15"/>
  <c r="H150" i="15"/>
  <c r="D153" i="15"/>
  <c r="E153" i="15"/>
  <c r="F153" i="15"/>
  <c r="G153" i="15"/>
  <c r="H153" i="15"/>
  <c r="D154" i="15"/>
  <c r="E154" i="15"/>
  <c r="F154" i="15"/>
  <c r="G154" i="15"/>
  <c r="H154" i="15"/>
  <c r="D155" i="15"/>
  <c r="E155" i="15"/>
  <c r="F155" i="15"/>
  <c r="G155" i="15"/>
  <c r="H155" i="15"/>
  <c r="D156" i="15"/>
  <c r="E156" i="15"/>
  <c r="F156" i="15"/>
  <c r="G156" i="15"/>
  <c r="H156" i="15"/>
  <c r="D157" i="15"/>
  <c r="E157" i="15"/>
  <c r="F157" i="15"/>
  <c r="G157" i="15"/>
  <c r="H157" i="15"/>
  <c r="D158" i="15"/>
  <c r="E158" i="15"/>
  <c r="F158" i="15"/>
  <c r="G158" i="15"/>
  <c r="H158" i="15"/>
  <c r="D159" i="15"/>
  <c r="E159" i="15"/>
  <c r="F159" i="15"/>
  <c r="G159" i="15"/>
  <c r="H159" i="15"/>
  <c r="D160" i="15"/>
  <c r="E160" i="15"/>
  <c r="F160" i="15"/>
  <c r="G160" i="15"/>
  <c r="H160" i="15"/>
  <c r="D161" i="15"/>
  <c r="E161" i="15"/>
  <c r="F161" i="15"/>
  <c r="G161" i="15"/>
  <c r="H161" i="15"/>
  <c r="D162" i="15"/>
  <c r="E162" i="15"/>
  <c r="F162" i="15"/>
  <c r="G162" i="15"/>
  <c r="H162" i="15"/>
  <c r="D163" i="15"/>
  <c r="E163" i="15"/>
  <c r="F163" i="15"/>
  <c r="G163" i="15"/>
  <c r="H163" i="15"/>
  <c r="D164" i="15"/>
  <c r="E164" i="15"/>
  <c r="F164" i="15"/>
  <c r="G164" i="15"/>
  <c r="H164" i="15"/>
  <c r="D165" i="15"/>
  <c r="E165" i="15"/>
  <c r="F165" i="15"/>
  <c r="G165" i="15"/>
  <c r="H165" i="15"/>
  <c r="D166" i="15"/>
  <c r="E166" i="15"/>
  <c r="F166" i="15"/>
  <c r="G166" i="15"/>
  <c r="H166" i="15"/>
  <c r="D167" i="15"/>
  <c r="E167" i="15"/>
  <c r="F167" i="15"/>
  <c r="G167" i="15"/>
  <c r="H167" i="15"/>
  <c r="D168" i="15"/>
  <c r="E168" i="15"/>
  <c r="F168" i="15"/>
  <c r="G168" i="15"/>
  <c r="H168" i="15"/>
  <c r="D169" i="15"/>
  <c r="E169" i="15"/>
  <c r="F169" i="15"/>
  <c r="G169" i="15"/>
  <c r="H169" i="15"/>
  <c r="D170" i="15"/>
  <c r="E170" i="15"/>
  <c r="F170" i="15"/>
  <c r="G170" i="15"/>
  <c r="H170" i="15"/>
  <c r="D171" i="15"/>
  <c r="E171" i="15"/>
  <c r="F171" i="15"/>
  <c r="G171" i="15"/>
  <c r="H171" i="15"/>
  <c r="D172" i="15"/>
  <c r="E172" i="15"/>
  <c r="F172" i="15"/>
  <c r="G172" i="15"/>
  <c r="H172" i="15"/>
  <c r="D173" i="15"/>
  <c r="E173" i="15"/>
  <c r="F173" i="15"/>
  <c r="G173" i="15"/>
  <c r="H173" i="15"/>
  <c r="D174" i="15"/>
  <c r="E174" i="15"/>
  <c r="F174" i="15"/>
  <c r="G174" i="15"/>
  <c r="H174" i="15"/>
  <c r="D175" i="15"/>
  <c r="E175" i="15"/>
  <c r="F175" i="15"/>
  <c r="G175" i="15"/>
  <c r="H175" i="15"/>
  <c r="D176" i="15"/>
  <c r="E176" i="15"/>
  <c r="F176" i="15"/>
  <c r="G176" i="15"/>
  <c r="H176" i="15"/>
  <c r="D177" i="15"/>
  <c r="E177" i="15"/>
  <c r="F177" i="15"/>
  <c r="G177" i="15"/>
  <c r="H177" i="15"/>
  <c r="D178" i="15"/>
  <c r="E178" i="15"/>
  <c r="F178" i="15"/>
  <c r="G178" i="15"/>
  <c r="H178" i="15"/>
  <c r="D179" i="15"/>
  <c r="E179" i="15"/>
  <c r="F179" i="15"/>
  <c r="G179" i="15"/>
  <c r="H179" i="15"/>
  <c r="E95" i="15"/>
  <c r="F95" i="15"/>
  <c r="G95" i="15"/>
  <c r="H95" i="15"/>
  <c r="D95" i="15"/>
  <c r="A6" i="15"/>
  <c r="A93" i="15"/>
  <c r="BU94" i="15"/>
  <c r="BU140" i="15" s="1"/>
  <c r="BU152" i="15" s="1"/>
  <c r="BT94" i="15"/>
  <c r="BS94" i="15"/>
  <c r="BS140" i="15" s="1"/>
  <c r="BS152" i="15" s="1"/>
  <c r="BR94" i="15"/>
  <c r="BR140" i="15" s="1"/>
  <c r="BR152" i="15" s="1"/>
  <c r="BQ94" i="15"/>
  <c r="BQ140" i="15" s="1"/>
  <c r="BQ152" i="15" s="1"/>
  <c r="BK94" i="15"/>
  <c r="BK140" i="15" s="1"/>
  <c r="BK152" i="15" s="1"/>
  <c r="BJ94" i="15"/>
  <c r="BI94" i="15"/>
  <c r="BH94" i="15"/>
  <c r="BG94" i="15"/>
  <c r="BA94" i="15"/>
  <c r="BA140" i="15" s="1"/>
  <c r="BA152" i="15" s="1"/>
  <c r="AZ94" i="15"/>
  <c r="AY94" i="15"/>
  <c r="AY140" i="15" s="1"/>
  <c r="AY152" i="15" s="1"/>
  <c r="AX94" i="15"/>
  <c r="AX140" i="15" s="1"/>
  <c r="AX152" i="15" s="1"/>
  <c r="AW94" i="15"/>
  <c r="AW140" i="15" s="1"/>
  <c r="AW152" i="15" s="1"/>
  <c r="AQ94" i="15"/>
  <c r="AQ140" i="15" s="1"/>
  <c r="AQ152" i="15" s="1"/>
  <c r="AP94" i="15"/>
  <c r="AO94" i="15"/>
  <c r="AN94" i="15"/>
  <c r="AM94" i="15"/>
  <c r="AG94" i="15"/>
  <c r="AG140" i="15" s="1"/>
  <c r="AG152" i="15" s="1"/>
  <c r="AF94" i="15"/>
  <c r="AE94" i="15"/>
  <c r="AE140" i="15" s="1"/>
  <c r="AE152" i="15" s="1"/>
  <c r="AD94" i="15"/>
  <c r="AD140" i="15" s="1"/>
  <c r="AD152" i="15" s="1"/>
  <c r="AC94" i="15"/>
  <c r="AC140" i="15" s="1"/>
  <c r="AC152" i="15" s="1"/>
  <c r="W94" i="15"/>
  <c r="W140" i="15" s="1"/>
  <c r="W152" i="15" s="1"/>
  <c r="V94" i="15"/>
  <c r="U94" i="15"/>
  <c r="T94" i="15"/>
  <c r="S94" i="15"/>
  <c r="M94" i="15"/>
  <c r="M140" i="15" s="1"/>
  <c r="M152" i="15" s="1"/>
  <c r="L94" i="15"/>
  <c r="K94" i="15"/>
  <c r="K140" i="15" s="1"/>
  <c r="K152" i="15" s="1"/>
  <c r="J94" i="15"/>
  <c r="J140" i="15" s="1"/>
  <c r="J152" i="15" s="1"/>
  <c r="I94" i="15"/>
  <c r="I140" i="15" s="1"/>
  <c r="I152" i="15" s="1"/>
  <c r="E53" i="15"/>
  <c r="E65" i="15" s="1"/>
  <c r="F53" i="15"/>
  <c r="F65" i="15" s="1"/>
  <c r="G53" i="15"/>
  <c r="G65" i="15" s="1"/>
  <c r="H53" i="15"/>
  <c r="H65" i="15" s="1"/>
  <c r="N53" i="15"/>
  <c r="N65" i="15" s="1"/>
  <c r="O53" i="15"/>
  <c r="O65" i="15" s="1"/>
  <c r="P53" i="15"/>
  <c r="P65" i="15" s="1"/>
  <c r="Q53" i="15"/>
  <c r="Q65" i="15" s="1"/>
  <c r="R53" i="15"/>
  <c r="R65" i="15" s="1"/>
  <c r="X53" i="15"/>
  <c r="X65" i="15" s="1"/>
  <c r="Y53" i="15"/>
  <c r="Y65" i="15" s="1"/>
  <c r="Z53" i="15"/>
  <c r="Z65" i="15" s="1"/>
  <c r="AA53" i="15"/>
  <c r="AA65" i="15" s="1"/>
  <c r="AB53" i="15"/>
  <c r="AB65" i="15" s="1"/>
  <c r="AH53" i="15"/>
  <c r="AH65" i="15" s="1"/>
  <c r="AI53" i="15"/>
  <c r="AI65" i="15" s="1"/>
  <c r="AJ53" i="15"/>
  <c r="AJ65" i="15" s="1"/>
  <c r="AK53" i="15"/>
  <c r="AK65" i="15" s="1"/>
  <c r="AL53" i="15"/>
  <c r="AL65" i="15" s="1"/>
  <c r="AR53" i="15"/>
  <c r="AR65" i="15" s="1"/>
  <c r="AS53" i="15"/>
  <c r="AS65" i="15" s="1"/>
  <c r="AT53" i="15"/>
  <c r="AT65" i="15" s="1"/>
  <c r="AU53" i="15"/>
  <c r="AU65" i="15" s="1"/>
  <c r="AV53" i="15"/>
  <c r="AV65" i="15" s="1"/>
  <c r="BB53" i="15"/>
  <c r="BB65" i="15" s="1"/>
  <c r="BC53" i="15"/>
  <c r="BC65" i="15" s="1"/>
  <c r="BD53" i="15"/>
  <c r="BD65" i="15" s="1"/>
  <c r="BE53" i="15"/>
  <c r="BE65" i="15" s="1"/>
  <c r="BF53" i="15"/>
  <c r="BF65" i="15" s="1"/>
  <c r="BL53" i="15"/>
  <c r="BL65" i="15" s="1"/>
  <c r="BM53" i="15"/>
  <c r="BM65" i="15" s="1"/>
  <c r="BN53" i="15"/>
  <c r="BN65" i="15" s="1"/>
  <c r="BO53" i="15"/>
  <c r="BO65" i="15" s="1"/>
  <c r="BP53" i="15"/>
  <c r="BP65" i="15" s="1"/>
  <c r="D53" i="15"/>
  <c r="D65" i="15" s="1"/>
  <c r="BQ9" i="15"/>
  <c r="BR9" i="15"/>
  <c r="BS9" i="15"/>
  <c r="BT9" i="15"/>
  <c r="BU9" i="15"/>
  <c r="BQ10" i="15"/>
  <c r="BR10" i="15"/>
  <c r="BS10" i="15"/>
  <c r="BT10" i="15"/>
  <c r="BU10" i="15"/>
  <c r="BQ11" i="15"/>
  <c r="BR11" i="15"/>
  <c r="BS11" i="15"/>
  <c r="BT11" i="15"/>
  <c r="BU11" i="15"/>
  <c r="BQ12" i="15"/>
  <c r="BR12" i="15"/>
  <c r="BS12" i="15"/>
  <c r="BT12" i="15"/>
  <c r="BU12" i="15"/>
  <c r="BQ13" i="15"/>
  <c r="BR13" i="15"/>
  <c r="BS13" i="15"/>
  <c r="BT13" i="15"/>
  <c r="BU13" i="15"/>
  <c r="BQ14" i="15"/>
  <c r="BR14" i="15"/>
  <c r="BS14" i="15"/>
  <c r="BT14" i="15"/>
  <c r="BU14" i="15"/>
  <c r="BQ15" i="15"/>
  <c r="BR15" i="15"/>
  <c r="BS15" i="15"/>
  <c r="BT15" i="15"/>
  <c r="BU15" i="15"/>
  <c r="BQ16" i="15"/>
  <c r="BR16" i="15"/>
  <c r="BS16" i="15"/>
  <c r="BT16" i="15"/>
  <c r="BU16" i="15"/>
  <c r="BQ17" i="15"/>
  <c r="BR17" i="15"/>
  <c r="BS17" i="15"/>
  <c r="BT17" i="15"/>
  <c r="BU17" i="15"/>
  <c r="BQ18" i="15"/>
  <c r="BR18" i="15"/>
  <c r="BS18" i="15"/>
  <c r="BT18" i="15"/>
  <c r="BU18" i="15"/>
  <c r="BQ19" i="15"/>
  <c r="BR19" i="15"/>
  <c r="BS19" i="15"/>
  <c r="BT19" i="15"/>
  <c r="BU19" i="15"/>
  <c r="BQ20" i="15"/>
  <c r="BR20" i="15"/>
  <c r="BS20" i="15"/>
  <c r="BT20" i="15"/>
  <c r="BU20" i="15"/>
  <c r="BQ21" i="15"/>
  <c r="BR21" i="15"/>
  <c r="BS21" i="15"/>
  <c r="BT21" i="15"/>
  <c r="BU21" i="15"/>
  <c r="BQ22" i="15"/>
  <c r="BR22" i="15"/>
  <c r="BS22" i="15"/>
  <c r="BT22" i="15"/>
  <c r="BU22" i="15"/>
  <c r="BQ23" i="15"/>
  <c r="BR23" i="15"/>
  <c r="BS23" i="15"/>
  <c r="BT23" i="15"/>
  <c r="BU23" i="15"/>
  <c r="BQ24" i="15"/>
  <c r="BR24" i="15"/>
  <c r="BS24" i="15"/>
  <c r="BT24" i="15"/>
  <c r="BU24" i="15"/>
  <c r="BQ25" i="15"/>
  <c r="BR25" i="15"/>
  <c r="BS25" i="15"/>
  <c r="BT25" i="15"/>
  <c r="BU25" i="15"/>
  <c r="BQ26" i="15"/>
  <c r="BR26" i="15"/>
  <c r="BS26" i="15"/>
  <c r="BT26" i="15"/>
  <c r="BU26" i="15"/>
  <c r="BQ27" i="15"/>
  <c r="BR27" i="15"/>
  <c r="BS27" i="15"/>
  <c r="BT27" i="15"/>
  <c r="BU27" i="15"/>
  <c r="BQ28" i="15"/>
  <c r="BR28" i="15"/>
  <c r="BS28" i="15"/>
  <c r="BT28" i="15"/>
  <c r="BU28" i="15"/>
  <c r="BQ29" i="15"/>
  <c r="BR29" i="15"/>
  <c r="BS29" i="15"/>
  <c r="BT29" i="15"/>
  <c r="BU29" i="15"/>
  <c r="BQ30" i="15"/>
  <c r="BR30" i="15"/>
  <c r="BS30" i="15"/>
  <c r="BT30" i="15"/>
  <c r="BU30" i="15"/>
  <c r="BQ31" i="15"/>
  <c r="BR31" i="15"/>
  <c r="BS31" i="15"/>
  <c r="BT31" i="15"/>
  <c r="BU31" i="15"/>
  <c r="BQ32" i="15"/>
  <c r="BR32" i="15"/>
  <c r="BS32" i="15"/>
  <c r="BT32" i="15"/>
  <c r="BU32" i="15"/>
  <c r="BQ33" i="15"/>
  <c r="BR33" i="15"/>
  <c r="BS33" i="15"/>
  <c r="BT33" i="15"/>
  <c r="BU33" i="15"/>
  <c r="BQ34" i="15"/>
  <c r="BR34" i="15"/>
  <c r="BS34" i="15"/>
  <c r="BT34" i="15"/>
  <c r="BU34" i="15"/>
  <c r="BQ35" i="15"/>
  <c r="BR35" i="15"/>
  <c r="BS35" i="15"/>
  <c r="BT35" i="15"/>
  <c r="BU35" i="15"/>
  <c r="BQ36" i="15"/>
  <c r="BR36" i="15"/>
  <c r="BS36" i="15"/>
  <c r="BT36" i="15"/>
  <c r="BU36" i="15"/>
  <c r="BQ37" i="15"/>
  <c r="BR37" i="15"/>
  <c r="BS37" i="15"/>
  <c r="BT37" i="15"/>
  <c r="BU37" i="15"/>
  <c r="BQ38" i="15"/>
  <c r="BR38" i="15"/>
  <c r="BS38" i="15"/>
  <c r="BT38" i="15"/>
  <c r="BU38" i="15"/>
  <c r="BQ39" i="15"/>
  <c r="BR39" i="15"/>
  <c r="BS39" i="15"/>
  <c r="BT39" i="15"/>
  <c r="BU39" i="15"/>
  <c r="BQ40" i="15"/>
  <c r="BR40" i="15"/>
  <c r="BS40" i="15"/>
  <c r="BT40" i="15"/>
  <c r="BU40" i="15"/>
  <c r="BQ41" i="15"/>
  <c r="BR41" i="15"/>
  <c r="BS41" i="15"/>
  <c r="BT41" i="15"/>
  <c r="BU41" i="15"/>
  <c r="BQ42" i="15"/>
  <c r="BR42" i="15"/>
  <c r="BS42" i="15"/>
  <c r="BT42" i="15"/>
  <c r="BU42" i="15"/>
  <c r="BQ43" i="15"/>
  <c r="BR43" i="15"/>
  <c r="BS43" i="15"/>
  <c r="BT43" i="15"/>
  <c r="BU43" i="15"/>
  <c r="BQ44" i="15"/>
  <c r="BR44" i="15"/>
  <c r="BS44" i="15"/>
  <c r="BT44" i="15"/>
  <c r="BU44" i="15"/>
  <c r="BQ45" i="15"/>
  <c r="BR45" i="15"/>
  <c r="BS45" i="15"/>
  <c r="BT45" i="15"/>
  <c r="BU45" i="15"/>
  <c r="BQ46" i="15"/>
  <c r="BR46" i="15"/>
  <c r="BS46" i="15"/>
  <c r="BT46" i="15"/>
  <c r="BU46" i="15"/>
  <c r="BQ47" i="15"/>
  <c r="BR47" i="15"/>
  <c r="BS47" i="15"/>
  <c r="BT47" i="15"/>
  <c r="BU47" i="15"/>
  <c r="BU49" i="15"/>
  <c r="BU50" i="15"/>
  <c r="BU51" i="15"/>
  <c r="BQ54" i="15"/>
  <c r="BR54" i="15"/>
  <c r="BS54" i="15"/>
  <c r="BT54" i="15"/>
  <c r="BU54" i="15"/>
  <c r="BQ55" i="15"/>
  <c r="BR55" i="15"/>
  <c r="BS55" i="15"/>
  <c r="BT55" i="15"/>
  <c r="BU55" i="15"/>
  <c r="BQ56" i="15"/>
  <c r="BR56" i="15"/>
  <c r="BS56" i="15"/>
  <c r="BT56" i="15"/>
  <c r="BU56" i="15"/>
  <c r="BQ57" i="15"/>
  <c r="BR57" i="15"/>
  <c r="BS57" i="15"/>
  <c r="BT57" i="15"/>
  <c r="BU57" i="15"/>
  <c r="BQ58" i="15"/>
  <c r="BR58" i="15"/>
  <c r="BS58" i="15"/>
  <c r="BT58" i="15"/>
  <c r="BU58" i="15"/>
  <c r="BQ59" i="15"/>
  <c r="BR59" i="15"/>
  <c r="BS59" i="15"/>
  <c r="BT59" i="15"/>
  <c r="BU59" i="15"/>
  <c r="BQ60" i="15"/>
  <c r="BR60" i="15"/>
  <c r="BS60" i="15"/>
  <c r="BT60" i="15"/>
  <c r="BU60" i="15"/>
  <c r="BQ61" i="15"/>
  <c r="BR61" i="15"/>
  <c r="BS61" i="15"/>
  <c r="BT61" i="15"/>
  <c r="BU61" i="15"/>
  <c r="BQ62" i="15"/>
  <c r="BR62" i="15"/>
  <c r="BS62" i="15"/>
  <c r="BT62" i="15"/>
  <c r="BU62" i="15"/>
  <c r="BQ63" i="15"/>
  <c r="BR63" i="15"/>
  <c r="BS63" i="15"/>
  <c r="BT63" i="15"/>
  <c r="BU63" i="15"/>
  <c r="BQ66" i="15"/>
  <c r="BR66" i="15"/>
  <c r="BS66" i="15"/>
  <c r="BT66" i="15"/>
  <c r="BU66" i="15"/>
  <c r="BQ67" i="15"/>
  <c r="BR67" i="15"/>
  <c r="BS67" i="15"/>
  <c r="BT67" i="15"/>
  <c r="BU67" i="15"/>
  <c r="BQ68" i="15"/>
  <c r="BR68" i="15"/>
  <c r="BS68" i="15"/>
  <c r="BT68" i="15"/>
  <c r="BU68" i="15"/>
  <c r="BQ69" i="15"/>
  <c r="BR69" i="15"/>
  <c r="BS69" i="15"/>
  <c r="BT69" i="15"/>
  <c r="BU69" i="15"/>
  <c r="BQ70" i="15"/>
  <c r="BR70" i="15"/>
  <c r="BS70" i="15"/>
  <c r="BT70" i="15"/>
  <c r="BU70" i="15"/>
  <c r="BQ71" i="15"/>
  <c r="BR71" i="15"/>
  <c r="BS71" i="15"/>
  <c r="BT71" i="15"/>
  <c r="BU71" i="15"/>
  <c r="BQ72" i="15"/>
  <c r="BR72" i="15"/>
  <c r="BS72" i="15"/>
  <c r="BT72" i="15"/>
  <c r="BU72" i="15"/>
  <c r="BQ73" i="15"/>
  <c r="BR73" i="15"/>
  <c r="BS73" i="15"/>
  <c r="BT73" i="15"/>
  <c r="BU73" i="15"/>
  <c r="BQ74" i="15"/>
  <c r="BR74" i="15"/>
  <c r="BS74" i="15"/>
  <c r="BT74" i="15"/>
  <c r="BU74" i="15"/>
  <c r="BQ75" i="15"/>
  <c r="BR75" i="15"/>
  <c r="BS75" i="15"/>
  <c r="BT75" i="15"/>
  <c r="BU75" i="15"/>
  <c r="BQ76" i="15"/>
  <c r="BR76" i="15"/>
  <c r="BS76" i="15"/>
  <c r="BT76" i="15"/>
  <c r="BU76" i="15"/>
  <c r="BQ77" i="15"/>
  <c r="BR77" i="15"/>
  <c r="BS77" i="15"/>
  <c r="BT77" i="15"/>
  <c r="BU77" i="15"/>
  <c r="BQ78" i="15"/>
  <c r="BR78" i="15"/>
  <c r="BS78" i="15"/>
  <c r="BT78" i="15"/>
  <c r="BU78" i="15"/>
  <c r="BQ79" i="15"/>
  <c r="BR79" i="15"/>
  <c r="BS79" i="15"/>
  <c r="BT79" i="15"/>
  <c r="BU79" i="15"/>
  <c r="BQ80" i="15"/>
  <c r="BR80" i="15"/>
  <c r="BS80" i="15"/>
  <c r="BT80" i="15"/>
  <c r="BU80" i="15"/>
  <c r="BQ81" i="15"/>
  <c r="BR81" i="15"/>
  <c r="BS81" i="15"/>
  <c r="BT81" i="15"/>
  <c r="BU81" i="15"/>
  <c r="BQ82" i="15"/>
  <c r="BR82" i="15"/>
  <c r="BS82" i="15"/>
  <c r="BT82" i="15"/>
  <c r="BU82" i="15"/>
  <c r="BQ83" i="15"/>
  <c r="BR83" i="15"/>
  <c r="BS83" i="15"/>
  <c r="BT83" i="15"/>
  <c r="BU83" i="15"/>
  <c r="BQ84" i="15"/>
  <c r="BR84" i="15"/>
  <c r="BS84" i="15"/>
  <c r="BT84" i="15"/>
  <c r="BU84" i="15"/>
  <c r="BQ85" i="15"/>
  <c r="BR85" i="15"/>
  <c r="BS85" i="15"/>
  <c r="BT85" i="15"/>
  <c r="BU85" i="15"/>
  <c r="BQ86" i="15"/>
  <c r="BR86" i="15"/>
  <c r="BS86" i="15"/>
  <c r="BT86" i="15"/>
  <c r="BU86" i="15"/>
  <c r="BQ87" i="15"/>
  <c r="BR87" i="15"/>
  <c r="BS87" i="15"/>
  <c r="BT87" i="15"/>
  <c r="BU87" i="15"/>
  <c r="BQ88" i="15"/>
  <c r="BR88" i="15"/>
  <c r="BS88" i="15"/>
  <c r="BT88" i="15"/>
  <c r="BU88" i="15"/>
  <c r="BQ89" i="15"/>
  <c r="BR89" i="15"/>
  <c r="BS89" i="15"/>
  <c r="BT89" i="15"/>
  <c r="BU89" i="15"/>
  <c r="BQ90" i="15"/>
  <c r="BR90" i="15"/>
  <c r="BS90" i="15"/>
  <c r="BT90" i="15"/>
  <c r="BU90" i="15"/>
  <c r="BQ91" i="15"/>
  <c r="BR91" i="15"/>
  <c r="BS91" i="15"/>
  <c r="BT91" i="15"/>
  <c r="BU91" i="15"/>
  <c r="BQ92" i="15"/>
  <c r="BR92" i="15"/>
  <c r="BS92" i="15"/>
  <c r="BT92" i="15"/>
  <c r="BU92" i="15"/>
  <c r="BR8" i="15"/>
  <c r="BS8" i="15"/>
  <c r="BT8" i="15"/>
  <c r="BU8" i="15"/>
  <c r="BQ8" i="15"/>
  <c r="BG9" i="15"/>
  <c r="BH9" i="15"/>
  <c r="BI9" i="15"/>
  <c r="BJ9" i="15"/>
  <c r="BK9" i="15"/>
  <c r="BG10" i="15"/>
  <c r="BH10" i="15"/>
  <c r="BI10" i="15"/>
  <c r="BJ10" i="15"/>
  <c r="BK10" i="15"/>
  <c r="BG11" i="15"/>
  <c r="BH11" i="15"/>
  <c r="BI11" i="15"/>
  <c r="BJ11" i="15"/>
  <c r="BK11" i="15"/>
  <c r="BG12" i="15"/>
  <c r="BH12" i="15"/>
  <c r="BI12" i="15"/>
  <c r="BJ12" i="15"/>
  <c r="BK12" i="15"/>
  <c r="BG13" i="15"/>
  <c r="BH13" i="15"/>
  <c r="BI13" i="15"/>
  <c r="BJ13" i="15"/>
  <c r="BK13" i="15"/>
  <c r="BG14" i="15"/>
  <c r="BH14" i="15"/>
  <c r="BI14" i="15"/>
  <c r="BJ14" i="15"/>
  <c r="BK14" i="15"/>
  <c r="BG15" i="15"/>
  <c r="BH15" i="15"/>
  <c r="BI15" i="15"/>
  <c r="BJ15" i="15"/>
  <c r="BK15" i="15"/>
  <c r="BG16" i="15"/>
  <c r="BH16" i="15"/>
  <c r="BI16" i="15"/>
  <c r="BJ16" i="15"/>
  <c r="BK16" i="15"/>
  <c r="BG17" i="15"/>
  <c r="BH17" i="15"/>
  <c r="BI17" i="15"/>
  <c r="BJ17" i="15"/>
  <c r="BK17" i="15"/>
  <c r="BG18" i="15"/>
  <c r="BH18" i="15"/>
  <c r="BI18" i="15"/>
  <c r="BJ18" i="15"/>
  <c r="BK18" i="15"/>
  <c r="BG19" i="15"/>
  <c r="BH19" i="15"/>
  <c r="BI19" i="15"/>
  <c r="BJ19" i="15"/>
  <c r="BK19" i="15"/>
  <c r="BG20" i="15"/>
  <c r="BH20" i="15"/>
  <c r="BI20" i="15"/>
  <c r="BJ20" i="15"/>
  <c r="BK20" i="15"/>
  <c r="BG21" i="15"/>
  <c r="BH21" i="15"/>
  <c r="BI21" i="15"/>
  <c r="BJ21" i="15"/>
  <c r="BK21" i="15"/>
  <c r="BG22" i="15"/>
  <c r="BH22" i="15"/>
  <c r="BI22" i="15"/>
  <c r="BJ22" i="15"/>
  <c r="BK22" i="15"/>
  <c r="BG23" i="15"/>
  <c r="BH23" i="15"/>
  <c r="BI23" i="15"/>
  <c r="BJ23" i="15"/>
  <c r="BK23" i="15"/>
  <c r="BG24" i="15"/>
  <c r="BH24" i="15"/>
  <c r="BI24" i="15"/>
  <c r="BJ24" i="15"/>
  <c r="BK24" i="15"/>
  <c r="BG25" i="15"/>
  <c r="BH25" i="15"/>
  <c r="BI25" i="15"/>
  <c r="BJ25" i="15"/>
  <c r="BK25" i="15"/>
  <c r="BG26" i="15"/>
  <c r="BH26" i="15"/>
  <c r="BI26" i="15"/>
  <c r="BJ26" i="15"/>
  <c r="BK26" i="15"/>
  <c r="BG27" i="15"/>
  <c r="BH27" i="15"/>
  <c r="BI27" i="15"/>
  <c r="BJ27" i="15"/>
  <c r="BK27" i="15"/>
  <c r="BG28" i="15"/>
  <c r="BH28" i="15"/>
  <c r="BI28" i="15"/>
  <c r="BJ28" i="15"/>
  <c r="BK28" i="15"/>
  <c r="BG29" i="15"/>
  <c r="BH29" i="15"/>
  <c r="BI29" i="15"/>
  <c r="BJ29" i="15"/>
  <c r="BK29" i="15"/>
  <c r="BG30" i="15"/>
  <c r="BH30" i="15"/>
  <c r="BI30" i="15"/>
  <c r="BJ30" i="15"/>
  <c r="BK30" i="15"/>
  <c r="BG31" i="15"/>
  <c r="BH31" i="15"/>
  <c r="BI31" i="15"/>
  <c r="BJ31" i="15"/>
  <c r="BK31" i="15"/>
  <c r="BG32" i="15"/>
  <c r="BH32" i="15"/>
  <c r="BI32" i="15"/>
  <c r="BJ32" i="15"/>
  <c r="BK32" i="15"/>
  <c r="BG33" i="15"/>
  <c r="BH33" i="15"/>
  <c r="BI33" i="15"/>
  <c r="BJ33" i="15"/>
  <c r="BK33" i="15"/>
  <c r="BG34" i="15"/>
  <c r="BH34" i="15"/>
  <c r="BI34" i="15"/>
  <c r="BJ34" i="15"/>
  <c r="BK34" i="15"/>
  <c r="BG35" i="15"/>
  <c r="BH35" i="15"/>
  <c r="BI35" i="15"/>
  <c r="BJ35" i="15"/>
  <c r="BK35" i="15"/>
  <c r="BG36" i="15"/>
  <c r="BH36" i="15"/>
  <c r="BI36" i="15"/>
  <c r="BJ36" i="15"/>
  <c r="BK36" i="15"/>
  <c r="BG37" i="15"/>
  <c r="BH37" i="15"/>
  <c r="BI37" i="15"/>
  <c r="BJ37" i="15"/>
  <c r="BK37" i="15"/>
  <c r="BG38" i="15"/>
  <c r="BH38" i="15"/>
  <c r="BI38" i="15"/>
  <c r="BJ38" i="15"/>
  <c r="BK38" i="15"/>
  <c r="BG39" i="15"/>
  <c r="BH39" i="15"/>
  <c r="BI39" i="15"/>
  <c r="BJ39" i="15"/>
  <c r="BK39" i="15"/>
  <c r="BG40" i="15"/>
  <c r="BH40" i="15"/>
  <c r="BI40" i="15"/>
  <c r="BJ40" i="15"/>
  <c r="BK40" i="15"/>
  <c r="BG41" i="15"/>
  <c r="BH41" i="15"/>
  <c r="BI41" i="15"/>
  <c r="BJ41" i="15"/>
  <c r="BK41" i="15"/>
  <c r="BG42" i="15"/>
  <c r="BH42" i="15"/>
  <c r="BI42" i="15"/>
  <c r="BJ42" i="15"/>
  <c r="BK42" i="15"/>
  <c r="BG43" i="15"/>
  <c r="BH43" i="15"/>
  <c r="BI43" i="15"/>
  <c r="BJ43" i="15"/>
  <c r="BK43" i="15"/>
  <c r="BG44" i="15"/>
  <c r="BH44" i="15"/>
  <c r="BI44" i="15"/>
  <c r="BJ44" i="15"/>
  <c r="BK44" i="15"/>
  <c r="BG45" i="15"/>
  <c r="BH45" i="15"/>
  <c r="BI45" i="15"/>
  <c r="BJ45" i="15"/>
  <c r="BK45" i="15"/>
  <c r="BG46" i="15"/>
  <c r="BH46" i="15"/>
  <c r="BI46" i="15"/>
  <c r="BJ46" i="15"/>
  <c r="BK46" i="15"/>
  <c r="BG47" i="15"/>
  <c r="BH47" i="15"/>
  <c r="BI47" i="15"/>
  <c r="BJ47" i="15"/>
  <c r="BK47" i="15"/>
  <c r="BG49" i="15"/>
  <c r="BH49" i="15"/>
  <c r="BI49" i="15"/>
  <c r="BJ49" i="15"/>
  <c r="BK49" i="15"/>
  <c r="BG50" i="15"/>
  <c r="BH50" i="15"/>
  <c r="BI50" i="15"/>
  <c r="BJ50" i="15"/>
  <c r="BK50" i="15"/>
  <c r="BG51" i="15"/>
  <c r="BH51" i="15"/>
  <c r="BI51" i="15"/>
  <c r="BJ51" i="15"/>
  <c r="BK51" i="15"/>
  <c r="BG54" i="15"/>
  <c r="BH54" i="15"/>
  <c r="BI54" i="15"/>
  <c r="BJ54" i="15"/>
  <c r="BK54" i="15"/>
  <c r="BG55" i="15"/>
  <c r="BH55" i="15"/>
  <c r="BI55" i="15"/>
  <c r="BJ55" i="15"/>
  <c r="BK55" i="15"/>
  <c r="BG56" i="15"/>
  <c r="BH56" i="15"/>
  <c r="BI56" i="15"/>
  <c r="BJ56" i="15"/>
  <c r="BK56" i="15"/>
  <c r="BG57" i="15"/>
  <c r="BH57" i="15"/>
  <c r="BI57" i="15"/>
  <c r="BJ57" i="15"/>
  <c r="BK57" i="15"/>
  <c r="BG58" i="15"/>
  <c r="BH58" i="15"/>
  <c r="BI58" i="15"/>
  <c r="BJ58" i="15"/>
  <c r="BK58" i="15"/>
  <c r="BG59" i="15"/>
  <c r="BH59" i="15"/>
  <c r="BI59" i="15"/>
  <c r="BJ59" i="15"/>
  <c r="BK59" i="15"/>
  <c r="BG60" i="15"/>
  <c r="BH60" i="15"/>
  <c r="BI60" i="15"/>
  <c r="BJ60" i="15"/>
  <c r="BK60" i="15"/>
  <c r="BG61" i="15"/>
  <c r="BH61" i="15"/>
  <c r="BI61" i="15"/>
  <c r="BJ61" i="15"/>
  <c r="BK61" i="15"/>
  <c r="BG62" i="15"/>
  <c r="BH62" i="15"/>
  <c r="BI62" i="15"/>
  <c r="BJ62" i="15"/>
  <c r="BK62" i="15"/>
  <c r="BG63" i="15"/>
  <c r="BH63" i="15"/>
  <c r="BI63" i="15"/>
  <c r="BJ63" i="15"/>
  <c r="BK63" i="15"/>
  <c r="BG66" i="15"/>
  <c r="BH66" i="15"/>
  <c r="BI66" i="15"/>
  <c r="BJ66" i="15"/>
  <c r="BK66" i="15"/>
  <c r="BG67" i="15"/>
  <c r="BH67" i="15"/>
  <c r="BI67" i="15"/>
  <c r="BJ67" i="15"/>
  <c r="BK67" i="15"/>
  <c r="BG68" i="15"/>
  <c r="BH68" i="15"/>
  <c r="BI68" i="15"/>
  <c r="BJ68" i="15"/>
  <c r="BK68" i="15"/>
  <c r="BG69" i="15"/>
  <c r="BH69" i="15"/>
  <c r="BI69" i="15"/>
  <c r="BJ69" i="15"/>
  <c r="BK69" i="15"/>
  <c r="BG70" i="15"/>
  <c r="BH70" i="15"/>
  <c r="BI70" i="15"/>
  <c r="BJ70" i="15"/>
  <c r="BK70" i="15"/>
  <c r="BG71" i="15"/>
  <c r="BH71" i="15"/>
  <c r="BI71" i="15"/>
  <c r="BJ71" i="15"/>
  <c r="BK71" i="15"/>
  <c r="BG72" i="15"/>
  <c r="BH72" i="15"/>
  <c r="BI72" i="15"/>
  <c r="BJ72" i="15"/>
  <c r="BK72" i="15"/>
  <c r="BG73" i="15"/>
  <c r="BH73" i="15"/>
  <c r="BI73" i="15"/>
  <c r="BJ73" i="15"/>
  <c r="BK73" i="15"/>
  <c r="BG74" i="15"/>
  <c r="BH74" i="15"/>
  <c r="BI74" i="15"/>
  <c r="BJ74" i="15"/>
  <c r="BK74" i="15"/>
  <c r="BG75" i="15"/>
  <c r="BH75" i="15"/>
  <c r="BI75" i="15"/>
  <c r="BJ75" i="15"/>
  <c r="BK75" i="15"/>
  <c r="BG76" i="15"/>
  <c r="BH76" i="15"/>
  <c r="BI76" i="15"/>
  <c r="BJ76" i="15"/>
  <c r="BK76" i="15"/>
  <c r="BG77" i="15"/>
  <c r="BH77" i="15"/>
  <c r="BI77" i="15"/>
  <c r="BJ77" i="15"/>
  <c r="BK77" i="15"/>
  <c r="BG78" i="15"/>
  <c r="BH78" i="15"/>
  <c r="BI78" i="15"/>
  <c r="BJ78" i="15"/>
  <c r="BK78" i="15"/>
  <c r="BG79" i="15"/>
  <c r="BH79" i="15"/>
  <c r="BI79" i="15"/>
  <c r="BJ79" i="15"/>
  <c r="BK79" i="15"/>
  <c r="BG80" i="15"/>
  <c r="BH80" i="15"/>
  <c r="BI80" i="15"/>
  <c r="BJ80" i="15"/>
  <c r="BK80" i="15"/>
  <c r="BG81" i="15"/>
  <c r="BH81" i="15"/>
  <c r="BI81" i="15"/>
  <c r="BJ81" i="15"/>
  <c r="BK81" i="15"/>
  <c r="BG82" i="15"/>
  <c r="BH82" i="15"/>
  <c r="BI82" i="15"/>
  <c r="BJ82" i="15"/>
  <c r="BK82" i="15"/>
  <c r="BG83" i="15"/>
  <c r="BH83" i="15"/>
  <c r="BI83" i="15"/>
  <c r="BJ83" i="15"/>
  <c r="BK83" i="15"/>
  <c r="BG84" i="15"/>
  <c r="BH84" i="15"/>
  <c r="BI84" i="15"/>
  <c r="BJ84" i="15"/>
  <c r="BK84" i="15"/>
  <c r="BG85" i="15"/>
  <c r="BH85" i="15"/>
  <c r="BI85" i="15"/>
  <c r="BJ85" i="15"/>
  <c r="BK85" i="15"/>
  <c r="BG86" i="15"/>
  <c r="BH86" i="15"/>
  <c r="BI86" i="15"/>
  <c r="BJ86" i="15"/>
  <c r="BK86" i="15"/>
  <c r="BG87" i="15"/>
  <c r="BH87" i="15"/>
  <c r="BI87" i="15"/>
  <c r="BJ87" i="15"/>
  <c r="BK87" i="15"/>
  <c r="BG88" i="15"/>
  <c r="BH88" i="15"/>
  <c r="BI88" i="15"/>
  <c r="BJ88" i="15"/>
  <c r="BK88" i="15"/>
  <c r="BG89" i="15"/>
  <c r="BH89" i="15"/>
  <c r="BI89" i="15"/>
  <c r="BJ89" i="15"/>
  <c r="BK89" i="15"/>
  <c r="BG90" i="15"/>
  <c r="BH90" i="15"/>
  <c r="BI90" i="15"/>
  <c r="BJ90" i="15"/>
  <c r="BK90" i="15"/>
  <c r="BG91" i="15"/>
  <c r="BH91" i="15"/>
  <c r="BI91" i="15"/>
  <c r="BJ91" i="15"/>
  <c r="BK91" i="15"/>
  <c r="BG92" i="15"/>
  <c r="BH92" i="15"/>
  <c r="BI92" i="15"/>
  <c r="BJ92" i="15"/>
  <c r="BK92" i="15"/>
  <c r="BH8" i="15"/>
  <c r="BI8" i="15"/>
  <c r="BJ8" i="15"/>
  <c r="BK8" i="15"/>
  <c r="BG8" i="15"/>
  <c r="AW9" i="15"/>
  <c r="AX9" i="15"/>
  <c r="AY9" i="15"/>
  <c r="AZ9" i="15"/>
  <c r="BA9" i="15"/>
  <c r="AW10" i="15"/>
  <c r="AX10" i="15"/>
  <c r="AY10" i="15"/>
  <c r="AZ10" i="15"/>
  <c r="BA10" i="15"/>
  <c r="AW11" i="15"/>
  <c r="AX11" i="15"/>
  <c r="AY11" i="15"/>
  <c r="AZ11" i="15"/>
  <c r="BA11" i="15"/>
  <c r="AW12" i="15"/>
  <c r="AX12" i="15"/>
  <c r="AY12" i="15"/>
  <c r="AZ12" i="15"/>
  <c r="BA12" i="15"/>
  <c r="AW13" i="15"/>
  <c r="AX13" i="15"/>
  <c r="AY13" i="15"/>
  <c r="AZ13" i="15"/>
  <c r="BA13" i="15"/>
  <c r="AW14" i="15"/>
  <c r="AX14" i="15"/>
  <c r="AY14" i="15"/>
  <c r="AZ14" i="15"/>
  <c r="BA14" i="15"/>
  <c r="AW15" i="15"/>
  <c r="AX15" i="15"/>
  <c r="AY15" i="15"/>
  <c r="AZ15" i="15"/>
  <c r="BA15" i="15"/>
  <c r="AW16" i="15"/>
  <c r="AX16" i="15"/>
  <c r="AY16" i="15"/>
  <c r="AZ16" i="15"/>
  <c r="BA16" i="15"/>
  <c r="AW17" i="15"/>
  <c r="AX17" i="15"/>
  <c r="AY17" i="15"/>
  <c r="AZ17" i="15"/>
  <c r="BA17" i="15"/>
  <c r="AW18" i="15"/>
  <c r="AX18" i="15"/>
  <c r="AY18" i="15"/>
  <c r="AZ18" i="15"/>
  <c r="BA18" i="15"/>
  <c r="AW19" i="15"/>
  <c r="AX19" i="15"/>
  <c r="AY19" i="15"/>
  <c r="AZ19" i="15"/>
  <c r="BA19" i="15"/>
  <c r="AW20" i="15"/>
  <c r="AX20" i="15"/>
  <c r="AY20" i="15"/>
  <c r="AZ20" i="15"/>
  <c r="BA20" i="15"/>
  <c r="AW21" i="15"/>
  <c r="AX21" i="15"/>
  <c r="AY21" i="15"/>
  <c r="AZ21" i="15"/>
  <c r="BA21" i="15"/>
  <c r="AW22" i="15"/>
  <c r="AX22" i="15"/>
  <c r="AY22" i="15"/>
  <c r="AZ22" i="15"/>
  <c r="BA22" i="15"/>
  <c r="AW23" i="15"/>
  <c r="AX23" i="15"/>
  <c r="AY23" i="15"/>
  <c r="AZ23" i="15"/>
  <c r="BA23" i="15"/>
  <c r="AW24" i="15"/>
  <c r="AX24" i="15"/>
  <c r="AY24" i="15"/>
  <c r="AZ24" i="15"/>
  <c r="BA24" i="15"/>
  <c r="AW25" i="15"/>
  <c r="AX25" i="15"/>
  <c r="AY25" i="15"/>
  <c r="AZ25" i="15"/>
  <c r="BA25" i="15"/>
  <c r="AW26" i="15"/>
  <c r="AX26" i="15"/>
  <c r="AY26" i="15"/>
  <c r="AZ26" i="15"/>
  <c r="BA26" i="15"/>
  <c r="AW27" i="15"/>
  <c r="AX27" i="15"/>
  <c r="AY27" i="15"/>
  <c r="AZ27" i="15"/>
  <c r="BA27" i="15"/>
  <c r="AW28" i="15"/>
  <c r="AX28" i="15"/>
  <c r="AY28" i="15"/>
  <c r="AZ28" i="15"/>
  <c r="BA28" i="15"/>
  <c r="AW29" i="15"/>
  <c r="AX29" i="15"/>
  <c r="AY29" i="15"/>
  <c r="AZ29" i="15"/>
  <c r="BA29" i="15"/>
  <c r="AW30" i="15"/>
  <c r="AX30" i="15"/>
  <c r="AY30" i="15"/>
  <c r="AZ30" i="15"/>
  <c r="BA30" i="15"/>
  <c r="AW31" i="15"/>
  <c r="AX31" i="15"/>
  <c r="AY31" i="15"/>
  <c r="AZ31" i="15"/>
  <c r="BA31" i="15"/>
  <c r="AW32" i="15"/>
  <c r="AX32" i="15"/>
  <c r="AY32" i="15"/>
  <c r="AZ32" i="15"/>
  <c r="BA32" i="15"/>
  <c r="AW33" i="15"/>
  <c r="AX33" i="15"/>
  <c r="AY33" i="15"/>
  <c r="AZ33" i="15"/>
  <c r="BA33" i="15"/>
  <c r="AW34" i="15"/>
  <c r="AX34" i="15"/>
  <c r="AY34" i="15"/>
  <c r="AZ34" i="15"/>
  <c r="BA34" i="15"/>
  <c r="AW35" i="15"/>
  <c r="AX35" i="15"/>
  <c r="AY35" i="15"/>
  <c r="AZ35" i="15"/>
  <c r="BA35" i="15"/>
  <c r="AW36" i="15"/>
  <c r="AX36" i="15"/>
  <c r="AY36" i="15"/>
  <c r="AZ36" i="15"/>
  <c r="BA36" i="15"/>
  <c r="AW37" i="15"/>
  <c r="AX37" i="15"/>
  <c r="AY37" i="15"/>
  <c r="AZ37" i="15"/>
  <c r="BA37" i="15"/>
  <c r="AW38" i="15"/>
  <c r="AX38" i="15"/>
  <c r="AY38" i="15"/>
  <c r="AZ38" i="15"/>
  <c r="BA38" i="15"/>
  <c r="AW39" i="15"/>
  <c r="AX39" i="15"/>
  <c r="AY39" i="15"/>
  <c r="AZ39" i="15"/>
  <c r="BA39" i="15"/>
  <c r="AW40" i="15"/>
  <c r="AX40" i="15"/>
  <c r="AY40" i="15"/>
  <c r="AZ40" i="15"/>
  <c r="BA40" i="15"/>
  <c r="AW41" i="15"/>
  <c r="AX41" i="15"/>
  <c r="AY41" i="15"/>
  <c r="AZ41" i="15"/>
  <c r="BA41" i="15"/>
  <c r="AW42" i="15"/>
  <c r="AX42" i="15"/>
  <c r="AY42" i="15"/>
  <c r="AZ42" i="15"/>
  <c r="BA42" i="15"/>
  <c r="AW43" i="15"/>
  <c r="AX43" i="15"/>
  <c r="AY43" i="15"/>
  <c r="AZ43" i="15"/>
  <c r="BA43" i="15"/>
  <c r="AW44" i="15"/>
  <c r="AX44" i="15"/>
  <c r="AY44" i="15"/>
  <c r="AZ44" i="15"/>
  <c r="BA44" i="15"/>
  <c r="AW45" i="15"/>
  <c r="AX45" i="15"/>
  <c r="AY45" i="15"/>
  <c r="AZ45" i="15"/>
  <c r="BA45" i="15"/>
  <c r="AW46" i="15"/>
  <c r="AX46" i="15"/>
  <c r="AY46" i="15"/>
  <c r="AZ46" i="15"/>
  <c r="BA46" i="15"/>
  <c r="AW47" i="15"/>
  <c r="AX47" i="15"/>
  <c r="AY47" i="15"/>
  <c r="AZ47" i="15"/>
  <c r="BA47" i="15"/>
  <c r="BA49" i="15"/>
  <c r="BA50" i="15"/>
  <c r="BA51" i="15"/>
  <c r="AW54" i="15"/>
  <c r="AX54" i="15"/>
  <c r="AY54" i="15"/>
  <c r="AZ54" i="15"/>
  <c r="BA54" i="15"/>
  <c r="AW55" i="15"/>
  <c r="AX55" i="15"/>
  <c r="AY55" i="15"/>
  <c r="AZ55" i="15"/>
  <c r="BA55" i="15"/>
  <c r="AW56" i="15"/>
  <c r="AX56" i="15"/>
  <c r="AY56" i="15"/>
  <c r="AZ56" i="15"/>
  <c r="BA56" i="15"/>
  <c r="AW57" i="15"/>
  <c r="AX57" i="15"/>
  <c r="AY57" i="15"/>
  <c r="AZ57" i="15"/>
  <c r="BA57" i="15"/>
  <c r="AW58" i="15"/>
  <c r="AX58" i="15"/>
  <c r="AY58" i="15"/>
  <c r="AZ58" i="15"/>
  <c r="BA58" i="15"/>
  <c r="AW59" i="15"/>
  <c r="AX59" i="15"/>
  <c r="AY59" i="15"/>
  <c r="AZ59" i="15"/>
  <c r="BA59" i="15"/>
  <c r="AW60" i="15"/>
  <c r="AX60" i="15"/>
  <c r="AY60" i="15"/>
  <c r="AZ60" i="15"/>
  <c r="BA60" i="15"/>
  <c r="AW61" i="15"/>
  <c r="AX61" i="15"/>
  <c r="AY61" i="15"/>
  <c r="AZ61" i="15"/>
  <c r="BA61" i="15"/>
  <c r="AW62" i="15"/>
  <c r="AX62" i="15"/>
  <c r="AY62" i="15"/>
  <c r="AZ62" i="15"/>
  <c r="BA62" i="15"/>
  <c r="AW63" i="15"/>
  <c r="AX63" i="15"/>
  <c r="AY63" i="15"/>
  <c r="AZ63" i="15"/>
  <c r="BA63" i="15"/>
  <c r="AW66" i="15"/>
  <c r="AX66" i="15"/>
  <c r="AY66" i="15"/>
  <c r="AZ66" i="15"/>
  <c r="BA66" i="15"/>
  <c r="AW67" i="15"/>
  <c r="AX67" i="15"/>
  <c r="AY67" i="15"/>
  <c r="AZ67" i="15"/>
  <c r="BA67" i="15"/>
  <c r="AW68" i="15"/>
  <c r="AX68" i="15"/>
  <c r="AY68" i="15"/>
  <c r="AZ68" i="15"/>
  <c r="BA68" i="15"/>
  <c r="AW69" i="15"/>
  <c r="AX69" i="15"/>
  <c r="AY69" i="15"/>
  <c r="AZ69" i="15"/>
  <c r="BA69" i="15"/>
  <c r="AW70" i="15"/>
  <c r="AX70" i="15"/>
  <c r="AY70" i="15"/>
  <c r="AZ70" i="15"/>
  <c r="BA70" i="15"/>
  <c r="AW71" i="15"/>
  <c r="AX71" i="15"/>
  <c r="AY71" i="15"/>
  <c r="AZ71" i="15"/>
  <c r="BA71" i="15"/>
  <c r="AW72" i="15"/>
  <c r="AX72" i="15"/>
  <c r="AY72" i="15"/>
  <c r="AZ72" i="15"/>
  <c r="BA72" i="15"/>
  <c r="AW73" i="15"/>
  <c r="AX73" i="15"/>
  <c r="AY73" i="15"/>
  <c r="AZ73" i="15"/>
  <c r="BA73" i="15"/>
  <c r="AW74" i="15"/>
  <c r="AX74" i="15"/>
  <c r="AY74" i="15"/>
  <c r="AZ74" i="15"/>
  <c r="BA74" i="15"/>
  <c r="AW75" i="15"/>
  <c r="AX75" i="15"/>
  <c r="AY75" i="15"/>
  <c r="AZ75" i="15"/>
  <c r="BA75" i="15"/>
  <c r="AW76" i="15"/>
  <c r="AX76" i="15"/>
  <c r="AY76" i="15"/>
  <c r="AZ76" i="15"/>
  <c r="BA76" i="15"/>
  <c r="AW77" i="15"/>
  <c r="AX77" i="15"/>
  <c r="AY77" i="15"/>
  <c r="AZ77" i="15"/>
  <c r="BA77" i="15"/>
  <c r="AW78" i="15"/>
  <c r="AX78" i="15"/>
  <c r="AY78" i="15"/>
  <c r="AZ78" i="15"/>
  <c r="BA78" i="15"/>
  <c r="AW79" i="15"/>
  <c r="AX79" i="15"/>
  <c r="AY79" i="15"/>
  <c r="AZ79" i="15"/>
  <c r="BA79" i="15"/>
  <c r="AW80" i="15"/>
  <c r="AX80" i="15"/>
  <c r="AY80" i="15"/>
  <c r="AZ80" i="15"/>
  <c r="BA80" i="15"/>
  <c r="AW81" i="15"/>
  <c r="AX81" i="15"/>
  <c r="AY81" i="15"/>
  <c r="AZ81" i="15"/>
  <c r="BA81" i="15"/>
  <c r="AW82" i="15"/>
  <c r="AX82" i="15"/>
  <c r="AY82" i="15"/>
  <c r="AZ82" i="15"/>
  <c r="BA82" i="15"/>
  <c r="AW83" i="15"/>
  <c r="AX83" i="15"/>
  <c r="AY83" i="15"/>
  <c r="AZ83" i="15"/>
  <c r="BA83" i="15"/>
  <c r="AW84" i="15"/>
  <c r="AX84" i="15"/>
  <c r="AY84" i="15"/>
  <c r="AZ84" i="15"/>
  <c r="BA84" i="15"/>
  <c r="AW85" i="15"/>
  <c r="AX85" i="15"/>
  <c r="AY85" i="15"/>
  <c r="AZ85" i="15"/>
  <c r="BA85" i="15"/>
  <c r="AW86" i="15"/>
  <c r="AX86" i="15"/>
  <c r="AY86" i="15"/>
  <c r="AZ86" i="15"/>
  <c r="BA86" i="15"/>
  <c r="AW87" i="15"/>
  <c r="AX87" i="15"/>
  <c r="AY87" i="15"/>
  <c r="AZ87" i="15"/>
  <c r="BA87" i="15"/>
  <c r="AW88" i="15"/>
  <c r="AX88" i="15"/>
  <c r="AY88" i="15"/>
  <c r="AZ88" i="15"/>
  <c r="BA88" i="15"/>
  <c r="AW89" i="15"/>
  <c r="AX89" i="15"/>
  <c r="AY89" i="15"/>
  <c r="AZ89" i="15"/>
  <c r="BA89" i="15"/>
  <c r="AW90" i="15"/>
  <c r="AX90" i="15"/>
  <c r="AY90" i="15"/>
  <c r="AZ90" i="15"/>
  <c r="BA90" i="15"/>
  <c r="AW91" i="15"/>
  <c r="AX91" i="15"/>
  <c r="AY91" i="15"/>
  <c r="AZ91" i="15"/>
  <c r="BA91" i="15"/>
  <c r="AW92" i="15"/>
  <c r="AX92" i="15"/>
  <c r="AY92" i="15"/>
  <c r="AZ92" i="15"/>
  <c r="BA92" i="15"/>
  <c r="AX8" i="15"/>
  <c r="AY8" i="15"/>
  <c r="AZ8" i="15"/>
  <c r="BA8" i="15"/>
  <c r="AW8" i="15"/>
  <c r="AM9" i="15"/>
  <c r="AN9" i="15"/>
  <c r="AO9" i="15"/>
  <c r="AP9" i="15"/>
  <c r="AQ9" i="15"/>
  <c r="AM10" i="15"/>
  <c r="AN10" i="15"/>
  <c r="AO10" i="15"/>
  <c r="AP10" i="15"/>
  <c r="AQ10" i="15"/>
  <c r="AM11" i="15"/>
  <c r="AN11" i="15"/>
  <c r="AO11" i="15"/>
  <c r="AP11" i="15"/>
  <c r="AQ11" i="15"/>
  <c r="AM12" i="15"/>
  <c r="AN12" i="15"/>
  <c r="AO12" i="15"/>
  <c r="AP12" i="15"/>
  <c r="AQ12" i="15"/>
  <c r="AM13" i="15"/>
  <c r="AN13" i="15"/>
  <c r="AO13" i="15"/>
  <c r="AP13" i="15"/>
  <c r="AQ13" i="15"/>
  <c r="AM14" i="15"/>
  <c r="AN14" i="15"/>
  <c r="AO14" i="15"/>
  <c r="AP14" i="15"/>
  <c r="AQ14" i="15"/>
  <c r="AM15" i="15"/>
  <c r="AN15" i="15"/>
  <c r="AO15" i="15"/>
  <c r="AP15" i="15"/>
  <c r="AQ15" i="15"/>
  <c r="AM16" i="15"/>
  <c r="AN16" i="15"/>
  <c r="AO16" i="15"/>
  <c r="AP16" i="15"/>
  <c r="AQ16" i="15"/>
  <c r="AM17" i="15"/>
  <c r="AN17" i="15"/>
  <c r="AO17" i="15"/>
  <c r="AP17" i="15"/>
  <c r="AQ17" i="15"/>
  <c r="AM18" i="15"/>
  <c r="AN18" i="15"/>
  <c r="AO18" i="15"/>
  <c r="AP18" i="15"/>
  <c r="AQ18" i="15"/>
  <c r="AM19" i="15"/>
  <c r="AN19" i="15"/>
  <c r="AO19" i="15"/>
  <c r="AP19" i="15"/>
  <c r="AQ19" i="15"/>
  <c r="AM20" i="15"/>
  <c r="AN20" i="15"/>
  <c r="AO20" i="15"/>
  <c r="AP20" i="15"/>
  <c r="AQ20" i="15"/>
  <c r="AM21" i="15"/>
  <c r="AN21" i="15"/>
  <c r="AO21" i="15"/>
  <c r="AP21" i="15"/>
  <c r="AQ21" i="15"/>
  <c r="AM22" i="15"/>
  <c r="AN22" i="15"/>
  <c r="AO22" i="15"/>
  <c r="AP22" i="15"/>
  <c r="AQ22" i="15"/>
  <c r="AM23" i="15"/>
  <c r="AN23" i="15"/>
  <c r="AO23" i="15"/>
  <c r="AP23" i="15"/>
  <c r="AQ23" i="15"/>
  <c r="AM24" i="15"/>
  <c r="AN24" i="15"/>
  <c r="AO24" i="15"/>
  <c r="AP24" i="15"/>
  <c r="AQ24" i="15"/>
  <c r="AM25" i="15"/>
  <c r="AN25" i="15"/>
  <c r="AO25" i="15"/>
  <c r="AP25" i="15"/>
  <c r="AQ25" i="15"/>
  <c r="AM26" i="15"/>
  <c r="AN26" i="15"/>
  <c r="AO26" i="15"/>
  <c r="AP26" i="15"/>
  <c r="AQ26" i="15"/>
  <c r="AM27" i="15"/>
  <c r="AN27" i="15"/>
  <c r="AO27" i="15"/>
  <c r="AP27" i="15"/>
  <c r="AQ27" i="15"/>
  <c r="AM28" i="15"/>
  <c r="AN28" i="15"/>
  <c r="AO28" i="15"/>
  <c r="AP28" i="15"/>
  <c r="AQ28" i="15"/>
  <c r="AM29" i="15"/>
  <c r="AN29" i="15"/>
  <c r="AO29" i="15"/>
  <c r="AP29" i="15"/>
  <c r="AQ29" i="15"/>
  <c r="AM30" i="15"/>
  <c r="AN30" i="15"/>
  <c r="AO30" i="15"/>
  <c r="AP30" i="15"/>
  <c r="AQ30" i="15"/>
  <c r="AM31" i="15"/>
  <c r="AN31" i="15"/>
  <c r="AO31" i="15"/>
  <c r="AP31" i="15"/>
  <c r="AQ31" i="15"/>
  <c r="AM32" i="15"/>
  <c r="AN32" i="15"/>
  <c r="AO32" i="15"/>
  <c r="AP32" i="15"/>
  <c r="AQ32" i="15"/>
  <c r="AM33" i="15"/>
  <c r="AN33" i="15"/>
  <c r="AO33" i="15"/>
  <c r="AP33" i="15"/>
  <c r="AQ33" i="15"/>
  <c r="AM34" i="15"/>
  <c r="AN34" i="15"/>
  <c r="AO34" i="15"/>
  <c r="AP34" i="15"/>
  <c r="AQ34" i="15"/>
  <c r="AM35" i="15"/>
  <c r="AN35" i="15"/>
  <c r="AO35" i="15"/>
  <c r="AP35" i="15"/>
  <c r="AQ35" i="15"/>
  <c r="AM36" i="15"/>
  <c r="AN36" i="15"/>
  <c r="AO36" i="15"/>
  <c r="AP36" i="15"/>
  <c r="AQ36" i="15"/>
  <c r="AM37" i="15"/>
  <c r="AN37" i="15"/>
  <c r="AO37" i="15"/>
  <c r="AP37" i="15"/>
  <c r="AQ37" i="15"/>
  <c r="AM38" i="15"/>
  <c r="AN38" i="15"/>
  <c r="AO38" i="15"/>
  <c r="AP38" i="15"/>
  <c r="AQ38" i="15"/>
  <c r="AM39" i="15"/>
  <c r="AN39" i="15"/>
  <c r="AO39" i="15"/>
  <c r="AP39" i="15"/>
  <c r="AQ39" i="15"/>
  <c r="AM40" i="15"/>
  <c r="AN40" i="15"/>
  <c r="AO40" i="15"/>
  <c r="AP40" i="15"/>
  <c r="AQ40" i="15"/>
  <c r="AM41" i="15"/>
  <c r="AN41" i="15"/>
  <c r="AO41" i="15"/>
  <c r="AP41" i="15"/>
  <c r="AQ41" i="15"/>
  <c r="AM42" i="15"/>
  <c r="AN42" i="15"/>
  <c r="AO42" i="15"/>
  <c r="AP42" i="15"/>
  <c r="AQ42" i="15"/>
  <c r="AM43" i="15"/>
  <c r="AN43" i="15"/>
  <c r="AO43" i="15"/>
  <c r="AP43" i="15"/>
  <c r="AQ43" i="15"/>
  <c r="AM44" i="15"/>
  <c r="AN44" i="15"/>
  <c r="AO44" i="15"/>
  <c r="AP44" i="15"/>
  <c r="AQ44" i="15"/>
  <c r="AM45" i="15"/>
  <c r="AN45" i="15"/>
  <c r="AO45" i="15"/>
  <c r="AP45" i="15"/>
  <c r="AQ45" i="15"/>
  <c r="AM46" i="15"/>
  <c r="AN46" i="15"/>
  <c r="AO46" i="15"/>
  <c r="AP46" i="15"/>
  <c r="AQ46" i="15"/>
  <c r="AM47" i="15"/>
  <c r="AN47" i="15"/>
  <c r="AO47" i="15"/>
  <c r="AP47" i="15"/>
  <c r="AQ47" i="15"/>
  <c r="AQ49" i="15"/>
  <c r="AQ50" i="15"/>
  <c r="AQ51" i="15"/>
  <c r="AM54" i="15"/>
  <c r="AN54" i="15"/>
  <c r="AO54" i="15"/>
  <c r="AP54" i="15"/>
  <c r="AQ54" i="15"/>
  <c r="AM55" i="15"/>
  <c r="AN55" i="15"/>
  <c r="AO55" i="15"/>
  <c r="AP55" i="15"/>
  <c r="AQ55" i="15"/>
  <c r="AM56" i="15"/>
  <c r="AN56" i="15"/>
  <c r="AO56" i="15"/>
  <c r="AP56" i="15"/>
  <c r="AQ56" i="15"/>
  <c r="AM57" i="15"/>
  <c r="AN57" i="15"/>
  <c r="AO57" i="15"/>
  <c r="AP57" i="15"/>
  <c r="AQ57" i="15"/>
  <c r="AM58" i="15"/>
  <c r="AN58" i="15"/>
  <c r="AO58" i="15"/>
  <c r="AP58" i="15"/>
  <c r="AQ58" i="15"/>
  <c r="AM59" i="15"/>
  <c r="AN59" i="15"/>
  <c r="AO59" i="15"/>
  <c r="AP59" i="15"/>
  <c r="AQ59" i="15"/>
  <c r="AM60" i="15"/>
  <c r="AN60" i="15"/>
  <c r="AO60" i="15"/>
  <c r="AP60" i="15"/>
  <c r="AQ60" i="15"/>
  <c r="AM61" i="15"/>
  <c r="AN61" i="15"/>
  <c r="AO61" i="15"/>
  <c r="AP61" i="15"/>
  <c r="AQ61" i="15"/>
  <c r="AM62" i="15"/>
  <c r="AN62" i="15"/>
  <c r="AO62" i="15"/>
  <c r="AP62" i="15"/>
  <c r="AQ62" i="15"/>
  <c r="AM63" i="15"/>
  <c r="AN63" i="15"/>
  <c r="AO63" i="15"/>
  <c r="AP63" i="15"/>
  <c r="AQ63" i="15"/>
  <c r="AM66" i="15"/>
  <c r="AN66" i="15"/>
  <c r="AO66" i="15"/>
  <c r="AP66" i="15"/>
  <c r="AQ66" i="15"/>
  <c r="AM67" i="15"/>
  <c r="AN67" i="15"/>
  <c r="AO67" i="15"/>
  <c r="AP67" i="15"/>
  <c r="AQ67" i="15"/>
  <c r="AM68" i="15"/>
  <c r="AN68" i="15"/>
  <c r="AO68" i="15"/>
  <c r="AP68" i="15"/>
  <c r="AQ68" i="15"/>
  <c r="AM69" i="15"/>
  <c r="AN69" i="15"/>
  <c r="AO69" i="15"/>
  <c r="AP69" i="15"/>
  <c r="AQ69" i="15"/>
  <c r="AM70" i="15"/>
  <c r="AN70" i="15"/>
  <c r="AO70" i="15"/>
  <c r="AP70" i="15"/>
  <c r="AQ70" i="15"/>
  <c r="AM71" i="15"/>
  <c r="AN71" i="15"/>
  <c r="AO71" i="15"/>
  <c r="AP71" i="15"/>
  <c r="AQ71" i="15"/>
  <c r="AM72" i="15"/>
  <c r="AN72" i="15"/>
  <c r="AO72" i="15"/>
  <c r="AP72" i="15"/>
  <c r="AQ72" i="15"/>
  <c r="AM73" i="15"/>
  <c r="AN73" i="15"/>
  <c r="AO73" i="15"/>
  <c r="AP73" i="15"/>
  <c r="AQ73" i="15"/>
  <c r="AM74" i="15"/>
  <c r="AN74" i="15"/>
  <c r="AO74" i="15"/>
  <c r="AP74" i="15"/>
  <c r="AQ74" i="15"/>
  <c r="AM75" i="15"/>
  <c r="AN75" i="15"/>
  <c r="AO75" i="15"/>
  <c r="AP75" i="15"/>
  <c r="AQ75" i="15"/>
  <c r="AM76" i="15"/>
  <c r="AN76" i="15"/>
  <c r="AO76" i="15"/>
  <c r="AP76" i="15"/>
  <c r="AQ76" i="15"/>
  <c r="AM77" i="15"/>
  <c r="AN77" i="15"/>
  <c r="AO77" i="15"/>
  <c r="AP77" i="15"/>
  <c r="AQ77" i="15"/>
  <c r="AM78" i="15"/>
  <c r="AN78" i="15"/>
  <c r="AO78" i="15"/>
  <c r="AP78" i="15"/>
  <c r="AQ78" i="15"/>
  <c r="AM79" i="15"/>
  <c r="AN79" i="15"/>
  <c r="AO79" i="15"/>
  <c r="AP79" i="15"/>
  <c r="AQ79" i="15"/>
  <c r="AM80" i="15"/>
  <c r="AN80" i="15"/>
  <c r="AO80" i="15"/>
  <c r="AP80" i="15"/>
  <c r="AQ80" i="15"/>
  <c r="AM81" i="15"/>
  <c r="AN81" i="15"/>
  <c r="AO81" i="15"/>
  <c r="AP81" i="15"/>
  <c r="AQ81" i="15"/>
  <c r="AM82" i="15"/>
  <c r="AN82" i="15"/>
  <c r="AO82" i="15"/>
  <c r="AP82" i="15"/>
  <c r="AQ82" i="15"/>
  <c r="AM83" i="15"/>
  <c r="AN83" i="15"/>
  <c r="AO83" i="15"/>
  <c r="AP83" i="15"/>
  <c r="AQ83" i="15"/>
  <c r="AM84" i="15"/>
  <c r="AN84" i="15"/>
  <c r="AO84" i="15"/>
  <c r="AP84" i="15"/>
  <c r="AQ84" i="15"/>
  <c r="AM85" i="15"/>
  <c r="AN85" i="15"/>
  <c r="AO85" i="15"/>
  <c r="AP85" i="15"/>
  <c r="AQ85" i="15"/>
  <c r="AM86" i="15"/>
  <c r="AN86" i="15"/>
  <c r="AO86" i="15"/>
  <c r="AP86" i="15"/>
  <c r="AQ86" i="15"/>
  <c r="AM87" i="15"/>
  <c r="AN87" i="15"/>
  <c r="AO87" i="15"/>
  <c r="AP87" i="15"/>
  <c r="AQ87" i="15"/>
  <c r="AM88" i="15"/>
  <c r="AN88" i="15"/>
  <c r="AO88" i="15"/>
  <c r="AP88" i="15"/>
  <c r="AQ88" i="15"/>
  <c r="AM89" i="15"/>
  <c r="AN89" i="15"/>
  <c r="AO89" i="15"/>
  <c r="AP89" i="15"/>
  <c r="AQ89" i="15"/>
  <c r="AM90" i="15"/>
  <c r="AN90" i="15"/>
  <c r="AO90" i="15"/>
  <c r="AP90" i="15"/>
  <c r="AQ90" i="15"/>
  <c r="AM91" i="15"/>
  <c r="AN91" i="15"/>
  <c r="AO91" i="15"/>
  <c r="AP91" i="15"/>
  <c r="AQ91" i="15"/>
  <c r="AM92" i="15"/>
  <c r="AN92" i="15"/>
  <c r="AO92" i="15"/>
  <c r="AP92" i="15"/>
  <c r="AQ92" i="15"/>
  <c r="AN8" i="15"/>
  <c r="AO8" i="15"/>
  <c r="AP8" i="15"/>
  <c r="AQ8" i="15"/>
  <c r="AM8" i="15"/>
  <c r="AC9" i="15"/>
  <c r="AD9" i="15"/>
  <c r="AE9" i="15"/>
  <c r="AF9" i="15"/>
  <c r="AG9" i="15"/>
  <c r="AC10" i="15"/>
  <c r="AD10" i="15"/>
  <c r="AE10" i="15"/>
  <c r="AF10" i="15"/>
  <c r="AG10" i="15"/>
  <c r="AC11" i="15"/>
  <c r="AD11" i="15"/>
  <c r="AE11" i="15"/>
  <c r="AF11" i="15"/>
  <c r="AG11" i="15"/>
  <c r="AC12" i="15"/>
  <c r="AD12" i="15"/>
  <c r="AE12" i="15"/>
  <c r="AF12" i="15"/>
  <c r="AG12" i="15"/>
  <c r="AC13" i="15"/>
  <c r="AD13" i="15"/>
  <c r="AE13" i="15"/>
  <c r="AF13" i="15"/>
  <c r="AG13" i="15"/>
  <c r="AC14" i="15"/>
  <c r="AD14" i="15"/>
  <c r="AE14" i="15"/>
  <c r="AF14" i="15"/>
  <c r="AG14" i="15"/>
  <c r="AC15" i="15"/>
  <c r="AD15" i="15"/>
  <c r="AE15" i="15"/>
  <c r="AF15" i="15"/>
  <c r="AG15" i="15"/>
  <c r="AC16" i="15"/>
  <c r="AD16" i="15"/>
  <c r="AE16" i="15"/>
  <c r="AF16" i="15"/>
  <c r="AG16" i="15"/>
  <c r="AC17" i="15"/>
  <c r="AD17" i="15"/>
  <c r="AE17" i="15"/>
  <c r="AF17" i="15"/>
  <c r="AG17" i="15"/>
  <c r="AC18" i="15"/>
  <c r="AD18" i="15"/>
  <c r="AE18" i="15"/>
  <c r="AF18" i="15"/>
  <c r="AG18" i="15"/>
  <c r="AC19" i="15"/>
  <c r="AD19" i="15"/>
  <c r="AE19" i="15"/>
  <c r="AF19" i="15"/>
  <c r="AG19" i="15"/>
  <c r="AC20" i="15"/>
  <c r="AD20" i="15"/>
  <c r="AE20" i="15"/>
  <c r="AF20" i="15"/>
  <c r="AG20" i="15"/>
  <c r="AC21" i="15"/>
  <c r="AD21" i="15"/>
  <c r="AE21" i="15"/>
  <c r="AF21" i="15"/>
  <c r="AG21" i="15"/>
  <c r="AC22" i="15"/>
  <c r="AD22" i="15"/>
  <c r="AE22" i="15"/>
  <c r="AF22" i="15"/>
  <c r="AG22" i="15"/>
  <c r="AC23" i="15"/>
  <c r="AD23" i="15"/>
  <c r="AE23" i="15"/>
  <c r="AF23" i="15"/>
  <c r="AG23" i="15"/>
  <c r="AC24" i="15"/>
  <c r="AD24" i="15"/>
  <c r="AE24" i="15"/>
  <c r="AF24" i="15"/>
  <c r="AG24" i="15"/>
  <c r="AC25" i="15"/>
  <c r="AD25" i="15"/>
  <c r="AE25" i="15"/>
  <c r="AF25" i="15"/>
  <c r="AG25" i="15"/>
  <c r="AC26" i="15"/>
  <c r="AD26" i="15"/>
  <c r="AE26" i="15"/>
  <c r="AF26" i="15"/>
  <c r="AG26" i="15"/>
  <c r="AC27" i="15"/>
  <c r="AD27" i="15"/>
  <c r="AE27" i="15"/>
  <c r="AF27" i="15"/>
  <c r="AG27" i="15"/>
  <c r="AC28" i="15"/>
  <c r="AD28" i="15"/>
  <c r="AE28" i="15"/>
  <c r="AF28" i="15"/>
  <c r="AG28" i="15"/>
  <c r="AC29" i="15"/>
  <c r="AD29" i="15"/>
  <c r="AE29" i="15"/>
  <c r="AF29" i="15"/>
  <c r="AG29" i="15"/>
  <c r="AC30" i="15"/>
  <c r="AD30" i="15"/>
  <c r="AE30" i="15"/>
  <c r="AF30" i="15"/>
  <c r="AG30" i="15"/>
  <c r="AC31" i="15"/>
  <c r="AD31" i="15"/>
  <c r="AE31" i="15"/>
  <c r="AF31" i="15"/>
  <c r="AG31" i="15"/>
  <c r="AC32" i="15"/>
  <c r="AD32" i="15"/>
  <c r="AE32" i="15"/>
  <c r="AF32" i="15"/>
  <c r="AG32" i="15"/>
  <c r="AC33" i="15"/>
  <c r="AD33" i="15"/>
  <c r="AE33" i="15"/>
  <c r="AF33" i="15"/>
  <c r="AG33" i="15"/>
  <c r="AC34" i="15"/>
  <c r="AD34" i="15"/>
  <c r="AE34" i="15"/>
  <c r="AF34" i="15"/>
  <c r="AG34" i="15"/>
  <c r="AC35" i="15"/>
  <c r="AD35" i="15"/>
  <c r="AE35" i="15"/>
  <c r="AF35" i="15"/>
  <c r="AG35" i="15"/>
  <c r="AC36" i="15"/>
  <c r="AD36" i="15"/>
  <c r="AE36" i="15"/>
  <c r="AF36" i="15"/>
  <c r="AG36" i="15"/>
  <c r="AC37" i="15"/>
  <c r="AD37" i="15"/>
  <c r="AE37" i="15"/>
  <c r="AF37" i="15"/>
  <c r="AG37" i="15"/>
  <c r="AC38" i="15"/>
  <c r="AD38" i="15"/>
  <c r="AE38" i="15"/>
  <c r="AF38" i="15"/>
  <c r="AG38" i="15"/>
  <c r="AC39" i="15"/>
  <c r="AD39" i="15"/>
  <c r="AE39" i="15"/>
  <c r="AF39" i="15"/>
  <c r="AG39" i="15"/>
  <c r="AC40" i="15"/>
  <c r="AD40" i="15"/>
  <c r="AE40" i="15"/>
  <c r="AF40" i="15"/>
  <c r="AG40" i="15"/>
  <c r="AC41" i="15"/>
  <c r="AD41" i="15"/>
  <c r="AE41" i="15"/>
  <c r="AF41" i="15"/>
  <c r="AG41" i="15"/>
  <c r="AC42" i="15"/>
  <c r="AD42" i="15"/>
  <c r="AE42" i="15"/>
  <c r="AF42" i="15"/>
  <c r="AG42" i="15"/>
  <c r="AC43" i="15"/>
  <c r="AD43" i="15"/>
  <c r="AE43" i="15"/>
  <c r="AF43" i="15"/>
  <c r="AG43" i="15"/>
  <c r="AC44" i="15"/>
  <c r="AD44" i="15"/>
  <c r="AE44" i="15"/>
  <c r="AF44" i="15"/>
  <c r="AG44" i="15"/>
  <c r="AC45" i="15"/>
  <c r="AD45" i="15"/>
  <c r="AE45" i="15"/>
  <c r="AF45" i="15"/>
  <c r="AG45" i="15"/>
  <c r="AC46" i="15"/>
  <c r="AD46" i="15"/>
  <c r="AE46" i="15"/>
  <c r="AF46" i="15"/>
  <c r="AG46" i="15"/>
  <c r="AC47" i="15"/>
  <c r="AD47" i="15"/>
  <c r="AE47" i="15"/>
  <c r="AF47" i="15"/>
  <c r="AG47" i="15"/>
  <c r="AG49" i="15"/>
  <c r="AG50" i="15"/>
  <c r="AG51" i="15"/>
  <c r="AC54" i="15"/>
  <c r="AD54" i="15"/>
  <c r="AE54" i="15"/>
  <c r="AF54" i="15"/>
  <c r="AG54" i="15"/>
  <c r="AC55" i="15"/>
  <c r="AD55" i="15"/>
  <c r="AE55" i="15"/>
  <c r="AF55" i="15"/>
  <c r="AG55" i="15"/>
  <c r="AC56" i="15"/>
  <c r="AD56" i="15"/>
  <c r="AE56" i="15"/>
  <c r="AF56" i="15"/>
  <c r="AG56" i="15"/>
  <c r="AC57" i="15"/>
  <c r="AD57" i="15"/>
  <c r="AE57" i="15"/>
  <c r="AF57" i="15"/>
  <c r="AG57" i="15"/>
  <c r="AC58" i="15"/>
  <c r="AD58" i="15"/>
  <c r="AE58" i="15"/>
  <c r="AF58" i="15"/>
  <c r="AG58" i="15"/>
  <c r="AC59" i="15"/>
  <c r="AD59" i="15"/>
  <c r="AE59" i="15"/>
  <c r="AF59" i="15"/>
  <c r="AG59" i="15"/>
  <c r="AC60" i="15"/>
  <c r="AD60" i="15"/>
  <c r="AE60" i="15"/>
  <c r="AF60" i="15"/>
  <c r="AG60" i="15"/>
  <c r="AC61" i="15"/>
  <c r="AD61" i="15"/>
  <c r="AE61" i="15"/>
  <c r="AF61" i="15"/>
  <c r="AG61" i="15"/>
  <c r="AC62" i="15"/>
  <c r="AD62" i="15"/>
  <c r="AE62" i="15"/>
  <c r="AF62" i="15"/>
  <c r="AG62" i="15"/>
  <c r="AC63" i="15"/>
  <c r="AD63" i="15"/>
  <c r="AE63" i="15"/>
  <c r="AF63" i="15"/>
  <c r="AG63" i="15"/>
  <c r="AC66" i="15"/>
  <c r="AD66" i="15"/>
  <c r="AE66" i="15"/>
  <c r="AF66" i="15"/>
  <c r="AG66" i="15"/>
  <c r="AC67" i="15"/>
  <c r="AD67" i="15"/>
  <c r="AE67" i="15"/>
  <c r="AF67" i="15"/>
  <c r="AG67" i="15"/>
  <c r="AC68" i="15"/>
  <c r="AD68" i="15"/>
  <c r="AE68" i="15"/>
  <c r="AF68" i="15"/>
  <c r="AG68" i="15"/>
  <c r="AC69" i="15"/>
  <c r="AD69" i="15"/>
  <c r="AE69" i="15"/>
  <c r="AF69" i="15"/>
  <c r="AG69" i="15"/>
  <c r="AC70" i="15"/>
  <c r="AD70" i="15"/>
  <c r="AE70" i="15"/>
  <c r="AF70" i="15"/>
  <c r="AG70" i="15"/>
  <c r="AC71" i="15"/>
  <c r="AD71" i="15"/>
  <c r="AE71" i="15"/>
  <c r="AF71" i="15"/>
  <c r="AG71" i="15"/>
  <c r="AC72" i="15"/>
  <c r="AD72" i="15"/>
  <c r="AE72" i="15"/>
  <c r="AF72" i="15"/>
  <c r="AG72" i="15"/>
  <c r="AC73" i="15"/>
  <c r="AD73" i="15"/>
  <c r="AE73" i="15"/>
  <c r="AF73" i="15"/>
  <c r="AG73" i="15"/>
  <c r="AC74" i="15"/>
  <c r="AD74" i="15"/>
  <c r="AE74" i="15"/>
  <c r="AF74" i="15"/>
  <c r="AG74" i="15"/>
  <c r="AC75" i="15"/>
  <c r="AD75" i="15"/>
  <c r="AE75" i="15"/>
  <c r="AF75" i="15"/>
  <c r="AG75" i="15"/>
  <c r="AC76" i="15"/>
  <c r="AD76" i="15"/>
  <c r="AE76" i="15"/>
  <c r="AF76" i="15"/>
  <c r="AG76" i="15"/>
  <c r="AC77" i="15"/>
  <c r="AD77" i="15"/>
  <c r="AE77" i="15"/>
  <c r="AF77" i="15"/>
  <c r="AG77" i="15"/>
  <c r="AC78" i="15"/>
  <c r="AD78" i="15"/>
  <c r="AE78" i="15"/>
  <c r="AF78" i="15"/>
  <c r="AG78" i="15"/>
  <c r="AC79" i="15"/>
  <c r="AD79" i="15"/>
  <c r="AE79" i="15"/>
  <c r="AF79" i="15"/>
  <c r="AG79" i="15"/>
  <c r="AC80" i="15"/>
  <c r="AD80" i="15"/>
  <c r="AE80" i="15"/>
  <c r="AF80" i="15"/>
  <c r="AG80" i="15"/>
  <c r="AC81" i="15"/>
  <c r="AD81" i="15"/>
  <c r="AE81" i="15"/>
  <c r="AF81" i="15"/>
  <c r="AG81" i="15"/>
  <c r="AC82" i="15"/>
  <c r="AD82" i="15"/>
  <c r="AE82" i="15"/>
  <c r="AF82" i="15"/>
  <c r="AG82" i="15"/>
  <c r="AC83" i="15"/>
  <c r="AD83" i="15"/>
  <c r="AE83" i="15"/>
  <c r="AF83" i="15"/>
  <c r="AG83" i="15"/>
  <c r="AC84" i="15"/>
  <c r="AD84" i="15"/>
  <c r="AE84" i="15"/>
  <c r="AF84" i="15"/>
  <c r="AG84" i="15"/>
  <c r="AC85" i="15"/>
  <c r="AD85" i="15"/>
  <c r="AE85" i="15"/>
  <c r="AF85" i="15"/>
  <c r="AG85" i="15"/>
  <c r="AC86" i="15"/>
  <c r="AD86" i="15"/>
  <c r="AE86" i="15"/>
  <c r="AF86" i="15"/>
  <c r="AG86" i="15"/>
  <c r="AC87" i="15"/>
  <c r="AD87" i="15"/>
  <c r="AE87" i="15"/>
  <c r="AF87" i="15"/>
  <c r="AG87" i="15"/>
  <c r="AC88" i="15"/>
  <c r="AD88" i="15"/>
  <c r="AE88" i="15"/>
  <c r="AF88" i="15"/>
  <c r="AG88" i="15"/>
  <c r="AC89" i="15"/>
  <c r="AD89" i="15"/>
  <c r="AE89" i="15"/>
  <c r="AF89" i="15"/>
  <c r="AG89" i="15"/>
  <c r="AC90" i="15"/>
  <c r="AD90" i="15"/>
  <c r="AE90" i="15"/>
  <c r="AF90" i="15"/>
  <c r="AG90" i="15"/>
  <c r="AC91" i="15"/>
  <c r="AD91" i="15"/>
  <c r="AE91" i="15"/>
  <c r="AF91" i="15"/>
  <c r="AG91" i="15"/>
  <c r="AC92" i="15"/>
  <c r="AD92" i="15"/>
  <c r="AE92" i="15"/>
  <c r="AF92" i="15"/>
  <c r="AG92" i="15"/>
  <c r="AD8" i="15"/>
  <c r="AE8" i="15"/>
  <c r="AF8" i="15"/>
  <c r="AG8" i="15"/>
  <c r="AC8" i="15"/>
  <c r="S9" i="15"/>
  <c r="T9" i="15"/>
  <c r="U9" i="15"/>
  <c r="V9" i="15"/>
  <c r="W9" i="15"/>
  <c r="S10" i="15"/>
  <c r="T10" i="15"/>
  <c r="U10" i="15"/>
  <c r="V10" i="15"/>
  <c r="W10" i="15"/>
  <c r="S11" i="15"/>
  <c r="T11" i="15"/>
  <c r="U11" i="15"/>
  <c r="V11" i="15"/>
  <c r="W11" i="15"/>
  <c r="S12" i="15"/>
  <c r="T12" i="15"/>
  <c r="U12" i="15"/>
  <c r="V12" i="15"/>
  <c r="W12" i="15"/>
  <c r="S13" i="15"/>
  <c r="T13" i="15"/>
  <c r="U13" i="15"/>
  <c r="V13" i="15"/>
  <c r="W13" i="15"/>
  <c r="S14" i="15"/>
  <c r="T14" i="15"/>
  <c r="U14" i="15"/>
  <c r="V14" i="15"/>
  <c r="W14" i="15"/>
  <c r="S15" i="15"/>
  <c r="T15" i="15"/>
  <c r="U15" i="15"/>
  <c r="V15" i="15"/>
  <c r="W15" i="15"/>
  <c r="S16" i="15"/>
  <c r="T16" i="15"/>
  <c r="U16" i="15"/>
  <c r="V16" i="15"/>
  <c r="W16" i="15"/>
  <c r="S17" i="15"/>
  <c r="T17" i="15"/>
  <c r="U17" i="15"/>
  <c r="V17" i="15"/>
  <c r="W17" i="15"/>
  <c r="S18" i="15"/>
  <c r="T18" i="15"/>
  <c r="U18" i="15"/>
  <c r="V18" i="15"/>
  <c r="W18" i="15"/>
  <c r="S19" i="15"/>
  <c r="T19" i="15"/>
  <c r="U19" i="15"/>
  <c r="V19" i="15"/>
  <c r="W19" i="15"/>
  <c r="S20" i="15"/>
  <c r="T20" i="15"/>
  <c r="U20" i="15"/>
  <c r="V20" i="15"/>
  <c r="W20" i="15"/>
  <c r="S21" i="15"/>
  <c r="T21" i="15"/>
  <c r="U21" i="15"/>
  <c r="V21" i="15"/>
  <c r="W21" i="15"/>
  <c r="S22" i="15"/>
  <c r="T22" i="15"/>
  <c r="U22" i="15"/>
  <c r="V22" i="15"/>
  <c r="W22" i="15"/>
  <c r="S23" i="15"/>
  <c r="T23" i="15"/>
  <c r="U23" i="15"/>
  <c r="V23" i="15"/>
  <c r="W23" i="15"/>
  <c r="S24" i="15"/>
  <c r="T24" i="15"/>
  <c r="U24" i="15"/>
  <c r="V24" i="15"/>
  <c r="W24" i="15"/>
  <c r="S25" i="15"/>
  <c r="T25" i="15"/>
  <c r="U25" i="15"/>
  <c r="V25" i="15"/>
  <c r="W25" i="15"/>
  <c r="S26" i="15"/>
  <c r="T26" i="15"/>
  <c r="U26" i="15"/>
  <c r="V26" i="15"/>
  <c r="W26" i="15"/>
  <c r="S27" i="15"/>
  <c r="T27" i="15"/>
  <c r="U27" i="15"/>
  <c r="V27" i="15"/>
  <c r="W27" i="15"/>
  <c r="S28" i="15"/>
  <c r="T28" i="15"/>
  <c r="U28" i="15"/>
  <c r="V28" i="15"/>
  <c r="W28" i="15"/>
  <c r="S29" i="15"/>
  <c r="T29" i="15"/>
  <c r="U29" i="15"/>
  <c r="V29" i="15"/>
  <c r="W29" i="15"/>
  <c r="S30" i="15"/>
  <c r="T30" i="15"/>
  <c r="U30" i="15"/>
  <c r="V30" i="15"/>
  <c r="W30" i="15"/>
  <c r="S31" i="15"/>
  <c r="T31" i="15"/>
  <c r="U31" i="15"/>
  <c r="V31" i="15"/>
  <c r="W31" i="15"/>
  <c r="S32" i="15"/>
  <c r="T32" i="15"/>
  <c r="U32" i="15"/>
  <c r="V32" i="15"/>
  <c r="W32" i="15"/>
  <c r="S33" i="15"/>
  <c r="T33" i="15"/>
  <c r="U33" i="15"/>
  <c r="V33" i="15"/>
  <c r="W33" i="15"/>
  <c r="S34" i="15"/>
  <c r="T34" i="15"/>
  <c r="U34" i="15"/>
  <c r="V34" i="15"/>
  <c r="W34" i="15"/>
  <c r="S35" i="15"/>
  <c r="T35" i="15"/>
  <c r="U35" i="15"/>
  <c r="V35" i="15"/>
  <c r="W35" i="15"/>
  <c r="S36" i="15"/>
  <c r="T36" i="15"/>
  <c r="U36" i="15"/>
  <c r="V36" i="15"/>
  <c r="W36" i="15"/>
  <c r="S37" i="15"/>
  <c r="T37" i="15"/>
  <c r="U37" i="15"/>
  <c r="V37" i="15"/>
  <c r="W37" i="15"/>
  <c r="S38" i="15"/>
  <c r="T38" i="15"/>
  <c r="U38" i="15"/>
  <c r="V38" i="15"/>
  <c r="W38" i="15"/>
  <c r="S39" i="15"/>
  <c r="T39" i="15"/>
  <c r="U39" i="15"/>
  <c r="V39" i="15"/>
  <c r="W39" i="15"/>
  <c r="S40" i="15"/>
  <c r="T40" i="15"/>
  <c r="U40" i="15"/>
  <c r="V40" i="15"/>
  <c r="W40" i="15"/>
  <c r="S41" i="15"/>
  <c r="T41" i="15"/>
  <c r="U41" i="15"/>
  <c r="V41" i="15"/>
  <c r="W41" i="15"/>
  <c r="S42" i="15"/>
  <c r="T42" i="15"/>
  <c r="U42" i="15"/>
  <c r="V42" i="15"/>
  <c r="W42" i="15"/>
  <c r="S43" i="15"/>
  <c r="T43" i="15"/>
  <c r="U43" i="15"/>
  <c r="V43" i="15"/>
  <c r="W43" i="15"/>
  <c r="S44" i="15"/>
  <c r="T44" i="15"/>
  <c r="U44" i="15"/>
  <c r="V44" i="15"/>
  <c r="W44" i="15"/>
  <c r="S45" i="15"/>
  <c r="T45" i="15"/>
  <c r="U45" i="15"/>
  <c r="V45" i="15"/>
  <c r="W45" i="15"/>
  <c r="S46" i="15"/>
  <c r="T46" i="15"/>
  <c r="U46" i="15"/>
  <c r="V46" i="15"/>
  <c r="W46" i="15"/>
  <c r="S47" i="15"/>
  <c r="T47" i="15"/>
  <c r="U47" i="15"/>
  <c r="V47" i="15"/>
  <c r="W47" i="15"/>
  <c r="W49" i="15"/>
  <c r="W50" i="15"/>
  <c r="W51" i="15"/>
  <c r="S54" i="15"/>
  <c r="T54" i="15"/>
  <c r="U54" i="15"/>
  <c r="V54" i="15"/>
  <c r="W54" i="15"/>
  <c r="S55" i="15"/>
  <c r="T55" i="15"/>
  <c r="U55" i="15"/>
  <c r="V55" i="15"/>
  <c r="W55" i="15"/>
  <c r="S56" i="15"/>
  <c r="T56" i="15"/>
  <c r="U56" i="15"/>
  <c r="V56" i="15"/>
  <c r="W56" i="15"/>
  <c r="S57" i="15"/>
  <c r="T57" i="15"/>
  <c r="U57" i="15"/>
  <c r="V57" i="15"/>
  <c r="W57" i="15"/>
  <c r="S58" i="15"/>
  <c r="T58" i="15"/>
  <c r="U58" i="15"/>
  <c r="V58" i="15"/>
  <c r="W58" i="15"/>
  <c r="S59" i="15"/>
  <c r="T59" i="15"/>
  <c r="U59" i="15"/>
  <c r="V59" i="15"/>
  <c r="W59" i="15"/>
  <c r="S60" i="15"/>
  <c r="T60" i="15"/>
  <c r="U60" i="15"/>
  <c r="V60" i="15"/>
  <c r="W60" i="15"/>
  <c r="S61" i="15"/>
  <c r="T61" i="15"/>
  <c r="U61" i="15"/>
  <c r="V61" i="15"/>
  <c r="W61" i="15"/>
  <c r="S62" i="15"/>
  <c r="T62" i="15"/>
  <c r="U62" i="15"/>
  <c r="V62" i="15"/>
  <c r="W62" i="15"/>
  <c r="S63" i="15"/>
  <c r="T63" i="15"/>
  <c r="U63" i="15"/>
  <c r="V63" i="15"/>
  <c r="W63" i="15"/>
  <c r="S66" i="15"/>
  <c r="T66" i="15"/>
  <c r="U66" i="15"/>
  <c r="V66" i="15"/>
  <c r="W66" i="15"/>
  <c r="S67" i="15"/>
  <c r="T67" i="15"/>
  <c r="U67" i="15"/>
  <c r="V67" i="15"/>
  <c r="W67" i="15"/>
  <c r="S68" i="15"/>
  <c r="T68" i="15"/>
  <c r="U68" i="15"/>
  <c r="V68" i="15"/>
  <c r="W68" i="15"/>
  <c r="S69" i="15"/>
  <c r="T69" i="15"/>
  <c r="U69" i="15"/>
  <c r="V69" i="15"/>
  <c r="W69" i="15"/>
  <c r="S70" i="15"/>
  <c r="T70" i="15"/>
  <c r="U70" i="15"/>
  <c r="V70" i="15"/>
  <c r="W70" i="15"/>
  <c r="S71" i="15"/>
  <c r="T71" i="15"/>
  <c r="U71" i="15"/>
  <c r="V71" i="15"/>
  <c r="W71" i="15"/>
  <c r="S72" i="15"/>
  <c r="T72" i="15"/>
  <c r="U72" i="15"/>
  <c r="V72" i="15"/>
  <c r="W72" i="15"/>
  <c r="S73" i="15"/>
  <c r="T73" i="15"/>
  <c r="U73" i="15"/>
  <c r="V73" i="15"/>
  <c r="W73" i="15"/>
  <c r="S74" i="15"/>
  <c r="T74" i="15"/>
  <c r="U74" i="15"/>
  <c r="V74" i="15"/>
  <c r="W74" i="15"/>
  <c r="S75" i="15"/>
  <c r="T75" i="15"/>
  <c r="U75" i="15"/>
  <c r="V75" i="15"/>
  <c r="W75" i="15"/>
  <c r="S76" i="15"/>
  <c r="T76" i="15"/>
  <c r="U76" i="15"/>
  <c r="V76" i="15"/>
  <c r="W76" i="15"/>
  <c r="S77" i="15"/>
  <c r="T77" i="15"/>
  <c r="U77" i="15"/>
  <c r="V77" i="15"/>
  <c r="W77" i="15"/>
  <c r="S78" i="15"/>
  <c r="T78" i="15"/>
  <c r="U78" i="15"/>
  <c r="V78" i="15"/>
  <c r="W78" i="15"/>
  <c r="S79" i="15"/>
  <c r="T79" i="15"/>
  <c r="U79" i="15"/>
  <c r="V79" i="15"/>
  <c r="W79" i="15"/>
  <c r="S80" i="15"/>
  <c r="T80" i="15"/>
  <c r="U80" i="15"/>
  <c r="V80" i="15"/>
  <c r="W80" i="15"/>
  <c r="S81" i="15"/>
  <c r="T81" i="15"/>
  <c r="U81" i="15"/>
  <c r="V81" i="15"/>
  <c r="W81" i="15"/>
  <c r="S82" i="15"/>
  <c r="T82" i="15"/>
  <c r="U82" i="15"/>
  <c r="V82" i="15"/>
  <c r="W82" i="15"/>
  <c r="S83" i="15"/>
  <c r="T83" i="15"/>
  <c r="U83" i="15"/>
  <c r="V83" i="15"/>
  <c r="W83" i="15"/>
  <c r="S84" i="15"/>
  <c r="T84" i="15"/>
  <c r="U84" i="15"/>
  <c r="V84" i="15"/>
  <c r="W84" i="15"/>
  <c r="S85" i="15"/>
  <c r="T85" i="15"/>
  <c r="U85" i="15"/>
  <c r="V85" i="15"/>
  <c r="W85" i="15"/>
  <c r="S86" i="15"/>
  <c r="T86" i="15"/>
  <c r="U86" i="15"/>
  <c r="V86" i="15"/>
  <c r="W86" i="15"/>
  <c r="S87" i="15"/>
  <c r="T87" i="15"/>
  <c r="U87" i="15"/>
  <c r="V87" i="15"/>
  <c r="W87" i="15"/>
  <c r="S88" i="15"/>
  <c r="T88" i="15"/>
  <c r="U88" i="15"/>
  <c r="V88" i="15"/>
  <c r="W88" i="15"/>
  <c r="S89" i="15"/>
  <c r="T89" i="15"/>
  <c r="U89" i="15"/>
  <c r="V89" i="15"/>
  <c r="W89" i="15"/>
  <c r="S90" i="15"/>
  <c r="T90" i="15"/>
  <c r="U90" i="15"/>
  <c r="V90" i="15"/>
  <c r="W90" i="15"/>
  <c r="S91" i="15"/>
  <c r="T91" i="15"/>
  <c r="U91" i="15"/>
  <c r="V91" i="15"/>
  <c r="W91" i="15"/>
  <c r="S92" i="15"/>
  <c r="T92" i="15"/>
  <c r="U92" i="15"/>
  <c r="V92" i="15"/>
  <c r="W92" i="15"/>
  <c r="T8" i="15"/>
  <c r="U8" i="15"/>
  <c r="V8" i="15"/>
  <c r="W8" i="15"/>
  <c r="S8" i="15"/>
  <c r="M92" i="15"/>
  <c r="L92" i="15"/>
  <c r="K92" i="15"/>
  <c r="J92" i="15"/>
  <c r="I92" i="15"/>
  <c r="M91" i="15"/>
  <c r="L91" i="15"/>
  <c r="K91" i="15"/>
  <c r="J91" i="15"/>
  <c r="I91" i="15"/>
  <c r="M90" i="15"/>
  <c r="L90" i="15"/>
  <c r="K90" i="15"/>
  <c r="J90" i="15"/>
  <c r="I90" i="15"/>
  <c r="M89" i="15"/>
  <c r="L89" i="15"/>
  <c r="K89" i="15"/>
  <c r="J89" i="15"/>
  <c r="I89" i="15"/>
  <c r="M88" i="15"/>
  <c r="L88" i="15"/>
  <c r="K88" i="15"/>
  <c r="J88" i="15"/>
  <c r="I88" i="15"/>
  <c r="M87" i="15"/>
  <c r="L87" i="15"/>
  <c r="K87" i="15"/>
  <c r="J87" i="15"/>
  <c r="I87" i="15"/>
  <c r="M86" i="15"/>
  <c r="L86" i="15"/>
  <c r="K86" i="15"/>
  <c r="J86" i="15"/>
  <c r="I86" i="15"/>
  <c r="M85" i="15"/>
  <c r="L85" i="15"/>
  <c r="K85" i="15"/>
  <c r="J85" i="15"/>
  <c r="I85" i="15"/>
  <c r="M84" i="15"/>
  <c r="L84" i="15"/>
  <c r="K84" i="15"/>
  <c r="J84" i="15"/>
  <c r="I84" i="15"/>
  <c r="M83" i="15"/>
  <c r="L83" i="15"/>
  <c r="K83" i="15"/>
  <c r="J83" i="15"/>
  <c r="I83" i="15"/>
  <c r="M82" i="15"/>
  <c r="L82" i="15"/>
  <c r="K82" i="15"/>
  <c r="J82" i="15"/>
  <c r="I82" i="15"/>
  <c r="M81" i="15"/>
  <c r="L81" i="15"/>
  <c r="K81" i="15"/>
  <c r="J81" i="15"/>
  <c r="I81" i="15"/>
  <c r="M80" i="15"/>
  <c r="L80" i="15"/>
  <c r="K80" i="15"/>
  <c r="J80" i="15"/>
  <c r="I80" i="15"/>
  <c r="M79" i="15"/>
  <c r="L79" i="15"/>
  <c r="K79" i="15"/>
  <c r="J79" i="15"/>
  <c r="I79" i="15"/>
  <c r="M78" i="15"/>
  <c r="L78" i="15"/>
  <c r="K78" i="15"/>
  <c r="J78" i="15"/>
  <c r="I78" i="15"/>
  <c r="M77" i="15"/>
  <c r="L77" i="15"/>
  <c r="K77" i="15"/>
  <c r="J77" i="15"/>
  <c r="I77" i="15"/>
  <c r="M76" i="15"/>
  <c r="L76" i="15"/>
  <c r="K76" i="15"/>
  <c r="J76" i="15"/>
  <c r="I76" i="15"/>
  <c r="M75" i="15"/>
  <c r="L75" i="15"/>
  <c r="K75" i="15"/>
  <c r="J75" i="15"/>
  <c r="I75" i="15"/>
  <c r="M74" i="15"/>
  <c r="L74" i="15"/>
  <c r="K74" i="15"/>
  <c r="J74" i="15"/>
  <c r="I74" i="15"/>
  <c r="M73" i="15"/>
  <c r="L73" i="15"/>
  <c r="K73" i="15"/>
  <c r="J73" i="15"/>
  <c r="I73" i="15"/>
  <c r="M72" i="15"/>
  <c r="L72" i="15"/>
  <c r="K72" i="15"/>
  <c r="J72" i="15"/>
  <c r="I72" i="15"/>
  <c r="M71" i="15"/>
  <c r="L71" i="15"/>
  <c r="K71" i="15"/>
  <c r="J71" i="15"/>
  <c r="I71" i="15"/>
  <c r="M70" i="15"/>
  <c r="L70" i="15"/>
  <c r="K70" i="15"/>
  <c r="J70" i="15"/>
  <c r="I70" i="15"/>
  <c r="M69" i="15"/>
  <c r="L69" i="15"/>
  <c r="K69" i="15"/>
  <c r="J69" i="15"/>
  <c r="I69" i="15"/>
  <c r="M68" i="15"/>
  <c r="L68" i="15"/>
  <c r="K68" i="15"/>
  <c r="J68" i="15"/>
  <c r="I68" i="15"/>
  <c r="M67" i="15"/>
  <c r="L67" i="15"/>
  <c r="K67" i="15"/>
  <c r="J67" i="15"/>
  <c r="I67" i="15"/>
  <c r="M66" i="15"/>
  <c r="L66" i="15"/>
  <c r="K66" i="15"/>
  <c r="J66" i="15"/>
  <c r="I66" i="15"/>
  <c r="M63" i="15"/>
  <c r="L63" i="15"/>
  <c r="K63" i="15"/>
  <c r="J63" i="15"/>
  <c r="I63" i="15"/>
  <c r="M62" i="15"/>
  <c r="L62" i="15"/>
  <c r="K62" i="15"/>
  <c r="J62" i="15"/>
  <c r="I62" i="15"/>
  <c r="M61" i="15"/>
  <c r="L61" i="15"/>
  <c r="K61" i="15"/>
  <c r="J61" i="15"/>
  <c r="I61" i="15"/>
  <c r="M60" i="15"/>
  <c r="L60" i="15"/>
  <c r="K60" i="15"/>
  <c r="J60" i="15"/>
  <c r="I60" i="15"/>
  <c r="M59" i="15"/>
  <c r="L59" i="15"/>
  <c r="K59" i="15"/>
  <c r="J59" i="15"/>
  <c r="I59" i="15"/>
  <c r="M58" i="15"/>
  <c r="L58" i="15"/>
  <c r="K58" i="15"/>
  <c r="J58" i="15"/>
  <c r="I58" i="15"/>
  <c r="M57" i="15"/>
  <c r="L57" i="15"/>
  <c r="K57" i="15"/>
  <c r="J57" i="15"/>
  <c r="I57" i="15"/>
  <c r="M56" i="15"/>
  <c r="L56" i="15"/>
  <c r="K56" i="15"/>
  <c r="J56" i="15"/>
  <c r="I56" i="15"/>
  <c r="M55" i="15"/>
  <c r="L55" i="15"/>
  <c r="K55" i="15"/>
  <c r="J55" i="15"/>
  <c r="I55" i="15"/>
  <c r="M54" i="15"/>
  <c r="L54" i="15"/>
  <c r="K54" i="15"/>
  <c r="J54" i="15"/>
  <c r="I54" i="15"/>
  <c r="M51" i="15"/>
  <c r="M50" i="15"/>
  <c r="M49" i="15"/>
  <c r="M47" i="15"/>
  <c r="L47" i="15"/>
  <c r="K47" i="15"/>
  <c r="J47" i="15"/>
  <c r="I47" i="15"/>
  <c r="M46" i="15"/>
  <c r="L46" i="15"/>
  <c r="K46" i="15"/>
  <c r="J46" i="15"/>
  <c r="I46" i="15"/>
  <c r="M45" i="15"/>
  <c r="L45" i="15"/>
  <c r="K45" i="15"/>
  <c r="J45" i="15"/>
  <c r="I45" i="15"/>
  <c r="M44" i="15"/>
  <c r="L44" i="15"/>
  <c r="K44" i="15"/>
  <c r="J44" i="15"/>
  <c r="I44" i="15"/>
  <c r="M43" i="15"/>
  <c r="L43" i="15"/>
  <c r="K43" i="15"/>
  <c r="J43" i="15"/>
  <c r="I43" i="15"/>
  <c r="M42" i="15"/>
  <c r="L42" i="15"/>
  <c r="K42" i="15"/>
  <c r="J42" i="15"/>
  <c r="I42" i="15"/>
  <c r="M41" i="15"/>
  <c r="L41" i="15"/>
  <c r="K41" i="15"/>
  <c r="J41" i="15"/>
  <c r="I41" i="15"/>
  <c r="M40" i="15"/>
  <c r="L40" i="15"/>
  <c r="K40" i="15"/>
  <c r="J40" i="15"/>
  <c r="I40" i="15"/>
  <c r="M39" i="15"/>
  <c r="L39" i="15"/>
  <c r="K39" i="15"/>
  <c r="J39" i="15"/>
  <c r="I39" i="15"/>
  <c r="M38" i="15"/>
  <c r="L38" i="15"/>
  <c r="K38" i="15"/>
  <c r="J38" i="15"/>
  <c r="I38" i="15"/>
  <c r="M37" i="15"/>
  <c r="L37" i="15"/>
  <c r="K37" i="15"/>
  <c r="J37" i="15"/>
  <c r="I37" i="15"/>
  <c r="M36" i="15"/>
  <c r="L36" i="15"/>
  <c r="K36" i="15"/>
  <c r="J36" i="15"/>
  <c r="I36" i="15"/>
  <c r="M35" i="15"/>
  <c r="L35" i="15"/>
  <c r="K35" i="15"/>
  <c r="J35" i="15"/>
  <c r="I35" i="15"/>
  <c r="M34" i="15"/>
  <c r="L34" i="15"/>
  <c r="K34" i="15"/>
  <c r="J34" i="15"/>
  <c r="I34" i="15"/>
  <c r="M33" i="15"/>
  <c r="L33" i="15"/>
  <c r="K33" i="15"/>
  <c r="J33" i="15"/>
  <c r="I33" i="15"/>
  <c r="M32" i="15"/>
  <c r="L32" i="15"/>
  <c r="K32" i="15"/>
  <c r="J32" i="15"/>
  <c r="I32" i="15"/>
  <c r="M31" i="15"/>
  <c r="L31" i="15"/>
  <c r="K31" i="15"/>
  <c r="J31" i="15"/>
  <c r="I31" i="15"/>
  <c r="M30" i="15"/>
  <c r="L30" i="15"/>
  <c r="K30" i="15"/>
  <c r="J30" i="15"/>
  <c r="I30" i="15"/>
  <c r="M29" i="15"/>
  <c r="L29" i="15"/>
  <c r="K29" i="15"/>
  <c r="J29" i="15"/>
  <c r="I29" i="15"/>
  <c r="M28" i="15"/>
  <c r="L28" i="15"/>
  <c r="K28" i="15"/>
  <c r="J28" i="15"/>
  <c r="I28" i="15"/>
  <c r="M27" i="15"/>
  <c r="L27" i="15"/>
  <c r="K27" i="15"/>
  <c r="J27" i="15"/>
  <c r="I27" i="15"/>
  <c r="M26" i="15"/>
  <c r="L26" i="15"/>
  <c r="K26" i="15"/>
  <c r="J26" i="15"/>
  <c r="I26" i="15"/>
  <c r="M25" i="15"/>
  <c r="L25" i="15"/>
  <c r="K25" i="15"/>
  <c r="J25" i="15"/>
  <c r="I25" i="15"/>
  <c r="M24" i="15"/>
  <c r="L24" i="15"/>
  <c r="K24" i="15"/>
  <c r="J24" i="15"/>
  <c r="I24" i="15"/>
  <c r="M23" i="15"/>
  <c r="L23" i="15"/>
  <c r="K23" i="15"/>
  <c r="J23" i="15"/>
  <c r="I23" i="15"/>
  <c r="M22" i="15"/>
  <c r="L22" i="15"/>
  <c r="K22" i="15"/>
  <c r="J22" i="15"/>
  <c r="I22" i="15"/>
  <c r="M21" i="15"/>
  <c r="L21" i="15"/>
  <c r="K21" i="15"/>
  <c r="J21" i="15"/>
  <c r="I21" i="15"/>
  <c r="M20" i="15"/>
  <c r="L20" i="15"/>
  <c r="K20" i="15"/>
  <c r="J20" i="15"/>
  <c r="I20" i="15"/>
  <c r="M19" i="15"/>
  <c r="L19" i="15"/>
  <c r="K19" i="15"/>
  <c r="J19" i="15"/>
  <c r="I19" i="15"/>
  <c r="M18" i="15"/>
  <c r="L18" i="15"/>
  <c r="K18" i="15"/>
  <c r="J18" i="15"/>
  <c r="I18" i="15"/>
  <c r="M17" i="15"/>
  <c r="L17" i="15"/>
  <c r="K17" i="15"/>
  <c r="J17" i="15"/>
  <c r="I17" i="15"/>
  <c r="M16" i="15"/>
  <c r="L16" i="15"/>
  <c r="K16" i="15"/>
  <c r="J16" i="15"/>
  <c r="I16" i="15"/>
  <c r="M15" i="15"/>
  <c r="L15" i="15"/>
  <c r="K15" i="15"/>
  <c r="J15" i="15"/>
  <c r="I15" i="15"/>
  <c r="M14" i="15"/>
  <c r="L14" i="15"/>
  <c r="K14" i="15"/>
  <c r="J14" i="15"/>
  <c r="I14" i="15"/>
  <c r="M13" i="15"/>
  <c r="L13" i="15"/>
  <c r="K13" i="15"/>
  <c r="J13" i="15"/>
  <c r="I13" i="15"/>
  <c r="M12" i="15"/>
  <c r="L12" i="15"/>
  <c r="K12" i="15"/>
  <c r="J12" i="15"/>
  <c r="I12" i="15"/>
  <c r="M11" i="15"/>
  <c r="L11" i="15"/>
  <c r="K11" i="15"/>
  <c r="J11" i="15"/>
  <c r="I11" i="15"/>
  <c r="M10" i="15"/>
  <c r="L10" i="15"/>
  <c r="K10" i="15"/>
  <c r="J10" i="15"/>
  <c r="I10" i="15"/>
  <c r="M9" i="15"/>
  <c r="L9" i="15"/>
  <c r="K9" i="15"/>
  <c r="J9" i="15"/>
  <c r="I9" i="15"/>
  <c r="M8" i="15"/>
  <c r="L8" i="15"/>
  <c r="K8" i="15"/>
  <c r="J8" i="15"/>
  <c r="I8" i="15"/>
  <c r="BP92" i="15"/>
  <c r="BO92" i="15"/>
  <c r="BN92" i="15"/>
  <c r="BM92" i="15"/>
  <c r="BL92" i="15"/>
  <c r="BP91" i="15"/>
  <c r="BO91" i="15"/>
  <c r="BN91" i="15"/>
  <c r="BM91" i="15"/>
  <c r="BL91" i="15"/>
  <c r="BP90" i="15"/>
  <c r="BO90" i="15"/>
  <c r="BN90" i="15"/>
  <c r="BM90" i="15"/>
  <c r="BL90" i="15"/>
  <c r="BP89" i="15"/>
  <c r="BO89" i="15"/>
  <c r="BN89" i="15"/>
  <c r="BM89" i="15"/>
  <c r="BL89" i="15"/>
  <c r="BP88" i="15"/>
  <c r="BO88" i="15"/>
  <c r="BN88" i="15"/>
  <c r="BM88" i="15"/>
  <c r="BL88" i="15"/>
  <c r="BP87" i="15"/>
  <c r="BO87" i="15"/>
  <c r="BN87" i="15"/>
  <c r="BM87" i="15"/>
  <c r="BL87" i="15"/>
  <c r="BP86" i="15"/>
  <c r="BO86" i="15"/>
  <c r="BN86" i="15"/>
  <c r="BM86" i="15"/>
  <c r="BL86" i="15"/>
  <c r="BP85" i="15"/>
  <c r="BO85" i="15"/>
  <c r="BN85" i="15"/>
  <c r="BM85" i="15"/>
  <c r="BL85" i="15"/>
  <c r="BP84" i="15"/>
  <c r="BO84" i="15"/>
  <c r="BN84" i="15"/>
  <c r="BM84" i="15"/>
  <c r="BL84" i="15"/>
  <c r="BP83" i="15"/>
  <c r="BO83" i="15"/>
  <c r="BN83" i="15"/>
  <c r="BM83" i="15"/>
  <c r="BL83" i="15"/>
  <c r="BP82" i="15"/>
  <c r="BO82" i="15"/>
  <c r="BN82" i="15"/>
  <c r="BM82" i="15"/>
  <c r="BL82" i="15"/>
  <c r="BP81" i="15"/>
  <c r="BO81" i="15"/>
  <c r="BN81" i="15"/>
  <c r="BM81" i="15"/>
  <c r="BL81" i="15"/>
  <c r="BP80" i="15"/>
  <c r="BO80" i="15"/>
  <c r="BN80" i="15"/>
  <c r="BM80" i="15"/>
  <c r="BL80" i="15"/>
  <c r="BP79" i="15"/>
  <c r="BO79" i="15"/>
  <c r="BN79" i="15"/>
  <c r="BM79" i="15"/>
  <c r="BL79" i="15"/>
  <c r="BP78" i="15"/>
  <c r="BO78" i="15"/>
  <c r="BN78" i="15"/>
  <c r="BM78" i="15"/>
  <c r="BL78" i="15"/>
  <c r="BP77" i="15"/>
  <c r="BO77" i="15"/>
  <c r="BN77" i="15"/>
  <c r="BM77" i="15"/>
  <c r="BL77" i="15"/>
  <c r="BP76" i="15"/>
  <c r="BO76" i="15"/>
  <c r="BN76" i="15"/>
  <c r="BM76" i="15"/>
  <c r="BL76" i="15"/>
  <c r="BP75" i="15"/>
  <c r="BO75" i="15"/>
  <c r="BN75" i="15"/>
  <c r="BM75" i="15"/>
  <c r="BL75" i="15"/>
  <c r="BP74" i="15"/>
  <c r="BO74" i="15"/>
  <c r="BN74" i="15"/>
  <c r="BM74" i="15"/>
  <c r="BL74" i="15"/>
  <c r="BP73" i="15"/>
  <c r="BO73" i="15"/>
  <c r="BN73" i="15"/>
  <c r="BM73" i="15"/>
  <c r="BL73" i="15"/>
  <c r="BP72" i="15"/>
  <c r="BO72" i="15"/>
  <c r="BN72" i="15"/>
  <c r="BM72" i="15"/>
  <c r="BL72" i="15"/>
  <c r="BP71" i="15"/>
  <c r="BO71" i="15"/>
  <c r="BN71" i="15"/>
  <c r="BM71" i="15"/>
  <c r="BL71" i="15"/>
  <c r="BP70" i="15"/>
  <c r="BO70" i="15"/>
  <c r="BN70" i="15"/>
  <c r="BM70" i="15"/>
  <c r="BL70" i="15"/>
  <c r="BP69" i="15"/>
  <c r="BO69" i="15"/>
  <c r="BN69" i="15"/>
  <c r="BM69" i="15"/>
  <c r="BL69" i="15"/>
  <c r="BP68" i="15"/>
  <c r="BO68" i="15"/>
  <c r="BN68" i="15"/>
  <c r="BM68" i="15"/>
  <c r="BL68" i="15"/>
  <c r="BP67" i="15"/>
  <c r="BO67" i="15"/>
  <c r="BN67" i="15"/>
  <c r="BM67" i="15"/>
  <c r="BL67" i="15"/>
  <c r="BP66" i="15"/>
  <c r="BO66" i="15"/>
  <c r="BN66" i="15"/>
  <c r="BM66" i="15"/>
  <c r="BL66" i="15"/>
  <c r="BP63" i="15"/>
  <c r="BO63" i="15"/>
  <c r="BN63" i="15"/>
  <c r="BM63" i="15"/>
  <c r="BL63" i="15"/>
  <c r="BP62" i="15"/>
  <c r="BO62" i="15"/>
  <c r="BN62" i="15"/>
  <c r="BM62" i="15"/>
  <c r="BL62" i="15"/>
  <c r="BP61" i="15"/>
  <c r="BO61" i="15"/>
  <c r="BN61" i="15"/>
  <c r="BM61" i="15"/>
  <c r="BL61" i="15"/>
  <c r="BP60" i="15"/>
  <c r="BO60" i="15"/>
  <c r="BN60" i="15"/>
  <c r="BM60" i="15"/>
  <c r="BL60" i="15"/>
  <c r="BP59" i="15"/>
  <c r="BO59" i="15"/>
  <c r="BN59" i="15"/>
  <c r="BM59" i="15"/>
  <c r="BL59" i="15"/>
  <c r="BP58" i="15"/>
  <c r="BO58" i="15"/>
  <c r="BN58" i="15"/>
  <c r="BM58" i="15"/>
  <c r="BL58" i="15"/>
  <c r="BP57" i="15"/>
  <c r="BO57" i="15"/>
  <c r="BN57" i="15"/>
  <c r="BM57" i="15"/>
  <c r="BL57" i="15"/>
  <c r="BP56" i="15"/>
  <c r="BO56" i="15"/>
  <c r="BN56" i="15"/>
  <c r="BM56" i="15"/>
  <c r="BL56" i="15"/>
  <c r="BP55" i="15"/>
  <c r="BO55" i="15"/>
  <c r="BN55" i="15"/>
  <c r="BM55" i="15"/>
  <c r="BL55" i="15"/>
  <c r="BP54" i="15"/>
  <c r="BO54" i="15"/>
  <c r="BN54" i="15"/>
  <c r="BM54" i="15"/>
  <c r="BL54" i="15"/>
  <c r="BP51" i="15"/>
  <c r="BO51" i="15"/>
  <c r="BN51" i="15"/>
  <c r="BM51" i="15"/>
  <c r="BL51" i="15"/>
  <c r="BP50" i="15"/>
  <c r="BO50" i="15"/>
  <c r="BN50" i="15"/>
  <c r="BM50" i="15"/>
  <c r="BL50" i="15"/>
  <c r="BP49" i="15"/>
  <c r="BO49" i="15"/>
  <c r="BN49" i="15"/>
  <c r="BM49" i="15"/>
  <c r="BL49" i="15"/>
  <c r="BP47" i="15"/>
  <c r="BO47" i="15"/>
  <c r="BN47" i="15"/>
  <c r="BM47" i="15"/>
  <c r="BL47" i="15"/>
  <c r="BP46" i="15"/>
  <c r="BO46" i="15"/>
  <c r="BN46" i="15"/>
  <c r="BM46" i="15"/>
  <c r="BL46" i="15"/>
  <c r="BP45" i="15"/>
  <c r="BO45" i="15"/>
  <c r="BN45" i="15"/>
  <c r="BM45" i="15"/>
  <c r="BL45" i="15"/>
  <c r="BP44" i="15"/>
  <c r="BO44" i="15"/>
  <c r="BN44" i="15"/>
  <c r="BM44" i="15"/>
  <c r="BL44" i="15"/>
  <c r="BP43" i="15"/>
  <c r="BO43" i="15"/>
  <c r="BN43" i="15"/>
  <c r="BM43" i="15"/>
  <c r="BL43" i="15"/>
  <c r="BP42" i="15"/>
  <c r="BO42" i="15"/>
  <c r="BN42" i="15"/>
  <c r="BM42" i="15"/>
  <c r="BL42" i="15"/>
  <c r="BP41" i="15"/>
  <c r="BO41" i="15"/>
  <c r="BN41" i="15"/>
  <c r="BM41" i="15"/>
  <c r="BL41" i="15"/>
  <c r="BP40" i="15"/>
  <c r="BO40" i="15"/>
  <c r="BN40" i="15"/>
  <c r="BM40" i="15"/>
  <c r="BL40" i="15"/>
  <c r="BP39" i="15"/>
  <c r="BO39" i="15"/>
  <c r="BN39" i="15"/>
  <c r="BM39" i="15"/>
  <c r="BL39" i="15"/>
  <c r="BP38" i="15"/>
  <c r="BO38" i="15"/>
  <c r="BN38" i="15"/>
  <c r="BM38" i="15"/>
  <c r="BL38" i="15"/>
  <c r="BP37" i="15"/>
  <c r="BO37" i="15"/>
  <c r="BN37" i="15"/>
  <c r="BM37" i="15"/>
  <c r="BL37" i="15"/>
  <c r="BP36" i="15"/>
  <c r="BO36" i="15"/>
  <c r="BN36" i="15"/>
  <c r="BM36" i="15"/>
  <c r="BL36" i="15"/>
  <c r="BP35" i="15"/>
  <c r="BO35" i="15"/>
  <c r="BN35" i="15"/>
  <c r="BM35" i="15"/>
  <c r="BL35" i="15"/>
  <c r="BP34" i="15"/>
  <c r="BO34" i="15"/>
  <c r="BN34" i="15"/>
  <c r="BM34" i="15"/>
  <c r="BL34" i="15"/>
  <c r="BP33" i="15"/>
  <c r="BO33" i="15"/>
  <c r="BN33" i="15"/>
  <c r="BM33" i="15"/>
  <c r="BL33" i="15"/>
  <c r="BP32" i="15"/>
  <c r="BO32" i="15"/>
  <c r="BN32" i="15"/>
  <c r="BM32" i="15"/>
  <c r="BL32" i="15"/>
  <c r="BP31" i="15"/>
  <c r="BO31" i="15"/>
  <c r="BN31" i="15"/>
  <c r="BM31" i="15"/>
  <c r="BL31" i="15"/>
  <c r="BP30" i="15"/>
  <c r="BO30" i="15"/>
  <c r="BN30" i="15"/>
  <c r="BM30" i="15"/>
  <c r="BL30" i="15"/>
  <c r="BP29" i="15"/>
  <c r="BO29" i="15"/>
  <c r="BN29" i="15"/>
  <c r="BM29" i="15"/>
  <c r="BL29" i="15"/>
  <c r="BP28" i="15"/>
  <c r="BO28" i="15"/>
  <c r="BN28" i="15"/>
  <c r="BM28" i="15"/>
  <c r="BL28" i="15"/>
  <c r="BP27" i="15"/>
  <c r="BO27" i="15"/>
  <c r="BN27" i="15"/>
  <c r="BM27" i="15"/>
  <c r="BL27" i="15"/>
  <c r="BP26" i="15"/>
  <c r="BO26" i="15"/>
  <c r="BN26" i="15"/>
  <c r="BM26" i="15"/>
  <c r="BL26" i="15"/>
  <c r="BP25" i="15"/>
  <c r="BO25" i="15"/>
  <c r="BN25" i="15"/>
  <c r="BM25" i="15"/>
  <c r="BL25" i="15"/>
  <c r="BP24" i="15"/>
  <c r="BO24" i="15"/>
  <c r="BN24" i="15"/>
  <c r="BM24" i="15"/>
  <c r="BL24" i="15"/>
  <c r="BP23" i="15"/>
  <c r="BO23" i="15"/>
  <c r="BN23" i="15"/>
  <c r="BM23" i="15"/>
  <c r="BL23" i="15"/>
  <c r="BP22" i="15"/>
  <c r="BO22" i="15"/>
  <c r="BN22" i="15"/>
  <c r="BM22" i="15"/>
  <c r="BL22" i="15"/>
  <c r="BP21" i="15"/>
  <c r="BO21" i="15"/>
  <c r="BN21" i="15"/>
  <c r="BM21" i="15"/>
  <c r="BL21" i="15"/>
  <c r="BP20" i="15"/>
  <c r="BO20" i="15"/>
  <c r="BN20" i="15"/>
  <c r="BM20" i="15"/>
  <c r="BL20" i="15"/>
  <c r="BP19" i="15"/>
  <c r="BO19" i="15"/>
  <c r="BN19" i="15"/>
  <c r="BM19" i="15"/>
  <c r="BL19" i="15"/>
  <c r="BP18" i="15"/>
  <c r="BO18" i="15"/>
  <c r="BN18" i="15"/>
  <c r="BM18" i="15"/>
  <c r="BL18" i="15"/>
  <c r="BP17" i="15"/>
  <c r="BO17" i="15"/>
  <c r="BN17" i="15"/>
  <c r="BM17" i="15"/>
  <c r="BL17" i="15"/>
  <c r="BP16" i="15"/>
  <c r="BO16" i="15"/>
  <c r="BN16" i="15"/>
  <c r="BM16" i="15"/>
  <c r="BL16" i="15"/>
  <c r="BP15" i="15"/>
  <c r="BO15" i="15"/>
  <c r="BN15" i="15"/>
  <c r="BM15" i="15"/>
  <c r="BL15" i="15"/>
  <c r="BP14" i="15"/>
  <c r="BO14" i="15"/>
  <c r="BN14" i="15"/>
  <c r="BM14" i="15"/>
  <c r="BL14" i="15"/>
  <c r="BP13" i="15"/>
  <c r="BO13" i="15"/>
  <c r="BN13" i="15"/>
  <c r="BM13" i="15"/>
  <c r="BL13" i="15"/>
  <c r="BP12" i="15"/>
  <c r="BO12" i="15"/>
  <c r="BN12" i="15"/>
  <c r="BM12" i="15"/>
  <c r="BL12" i="15"/>
  <c r="BP11" i="15"/>
  <c r="BO11" i="15"/>
  <c r="BN11" i="15"/>
  <c r="BM11" i="15"/>
  <c r="BL11" i="15"/>
  <c r="BP10" i="15"/>
  <c r="BO10" i="15"/>
  <c r="BN10" i="15"/>
  <c r="BM10" i="15"/>
  <c r="BL10" i="15"/>
  <c r="BP9" i="15"/>
  <c r="BO9" i="15"/>
  <c r="BN9" i="15"/>
  <c r="BM9" i="15"/>
  <c r="BL9" i="15"/>
  <c r="BM8" i="15"/>
  <c r="BN8" i="15"/>
  <c r="BO8" i="15"/>
  <c r="BP8" i="15"/>
  <c r="BL8" i="15"/>
  <c r="BB9" i="15"/>
  <c r="BC9" i="15"/>
  <c r="BD9" i="15"/>
  <c r="BE9" i="15"/>
  <c r="BF9" i="15"/>
  <c r="BB10" i="15"/>
  <c r="BC10" i="15"/>
  <c r="BD10" i="15"/>
  <c r="BE10" i="15"/>
  <c r="BF10" i="15"/>
  <c r="BB11" i="15"/>
  <c r="BC11" i="15"/>
  <c r="BD11" i="15"/>
  <c r="BE11" i="15"/>
  <c r="BF11" i="15"/>
  <c r="BB12" i="15"/>
  <c r="BC12" i="15"/>
  <c r="BD12" i="15"/>
  <c r="BE12" i="15"/>
  <c r="BF12" i="15"/>
  <c r="BB13" i="15"/>
  <c r="BC13" i="15"/>
  <c r="BD13" i="15"/>
  <c r="BE13" i="15"/>
  <c r="BF13" i="15"/>
  <c r="BB14" i="15"/>
  <c r="BC14" i="15"/>
  <c r="BD14" i="15"/>
  <c r="BE14" i="15"/>
  <c r="BF14" i="15"/>
  <c r="BB15" i="15"/>
  <c r="BC15" i="15"/>
  <c r="BD15" i="15"/>
  <c r="BE15" i="15"/>
  <c r="BF15" i="15"/>
  <c r="BB16" i="15"/>
  <c r="BC16" i="15"/>
  <c r="BD16" i="15"/>
  <c r="BE16" i="15"/>
  <c r="BF16" i="15"/>
  <c r="BB17" i="15"/>
  <c r="BC17" i="15"/>
  <c r="BD17" i="15"/>
  <c r="BE17" i="15"/>
  <c r="BF17" i="15"/>
  <c r="BB18" i="15"/>
  <c r="BC18" i="15"/>
  <c r="BD18" i="15"/>
  <c r="BE18" i="15"/>
  <c r="BF18" i="15"/>
  <c r="BB19" i="15"/>
  <c r="BC19" i="15"/>
  <c r="BD19" i="15"/>
  <c r="BE19" i="15"/>
  <c r="BF19" i="15"/>
  <c r="BB20" i="15"/>
  <c r="BC20" i="15"/>
  <c r="BD20" i="15"/>
  <c r="BE20" i="15"/>
  <c r="BF20" i="15"/>
  <c r="BB21" i="15"/>
  <c r="BC21" i="15"/>
  <c r="BD21" i="15"/>
  <c r="BE21" i="15"/>
  <c r="BF21" i="15"/>
  <c r="BB22" i="15"/>
  <c r="BC22" i="15"/>
  <c r="BD22" i="15"/>
  <c r="BE22" i="15"/>
  <c r="BF22" i="15"/>
  <c r="BB23" i="15"/>
  <c r="BC23" i="15"/>
  <c r="BD23" i="15"/>
  <c r="BE23" i="15"/>
  <c r="BF23" i="15"/>
  <c r="BB24" i="15"/>
  <c r="BC24" i="15"/>
  <c r="BD24" i="15"/>
  <c r="BE24" i="15"/>
  <c r="BF24" i="15"/>
  <c r="BB25" i="15"/>
  <c r="BC25" i="15"/>
  <c r="BD25" i="15"/>
  <c r="BE25" i="15"/>
  <c r="BF25" i="15"/>
  <c r="BB26" i="15"/>
  <c r="BC26" i="15"/>
  <c r="BD26" i="15"/>
  <c r="BE26" i="15"/>
  <c r="BF26" i="15"/>
  <c r="BB27" i="15"/>
  <c r="BC27" i="15"/>
  <c r="BD27" i="15"/>
  <c r="BE27" i="15"/>
  <c r="BF27" i="15"/>
  <c r="BB28" i="15"/>
  <c r="BC28" i="15"/>
  <c r="BD28" i="15"/>
  <c r="BE28" i="15"/>
  <c r="BF28" i="15"/>
  <c r="BB29" i="15"/>
  <c r="BC29" i="15"/>
  <c r="BD29" i="15"/>
  <c r="BE29" i="15"/>
  <c r="BF29" i="15"/>
  <c r="BB30" i="15"/>
  <c r="BC30" i="15"/>
  <c r="BD30" i="15"/>
  <c r="BE30" i="15"/>
  <c r="BF30" i="15"/>
  <c r="BB31" i="15"/>
  <c r="BC31" i="15"/>
  <c r="BD31" i="15"/>
  <c r="BE31" i="15"/>
  <c r="BF31" i="15"/>
  <c r="BB32" i="15"/>
  <c r="BC32" i="15"/>
  <c r="BD32" i="15"/>
  <c r="BE32" i="15"/>
  <c r="BF32" i="15"/>
  <c r="BB33" i="15"/>
  <c r="BC33" i="15"/>
  <c r="BD33" i="15"/>
  <c r="BE33" i="15"/>
  <c r="BF33" i="15"/>
  <c r="BB34" i="15"/>
  <c r="BC34" i="15"/>
  <c r="BD34" i="15"/>
  <c r="BE34" i="15"/>
  <c r="BF34" i="15"/>
  <c r="BB35" i="15"/>
  <c r="BC35" i="15"/>
  <c r="BD35" i="15"/>
  <c r="BE35" i="15"/>
  <c r="BF35" i="15"/>
  <c r="BB36" i="15"/>
  <c r="BC36" i="15"/>
  <c r="BD36" i="15"/>
  <c r="BE36" i="15"/>
  <c r="BF36" i="15"/>
  <c r="BB37" i="15"/>
  <c r="BC37" i="15"/>
  <c r="BD37" i="15"/>
  <c r="BE37" i="15"/>
  <c r="BF37" i="15"/>
  <c r="BB38" i="15"/>
  <c r="BC38" i="15"/>
  <c r="BD38" i="15"/>
  <c r="BE38" i="15"/>
  <c r="BF38" i="15"/>
  <c r="BB39" i="15"/>
  <c r="BC39" i="15"/>
  <c r="BD39" i="15"/>
  <c r="BE39" i="15"/>
  <c r="BF39" i="15"/>
  <c r="BB40" i="15"/>
  <c r="BC40" i="15"/>
  <c r="BD40" i="15"/>
  <c r="BE40" i="15"/>
  <c r="BF40" i="15"/>
  <c r="BB41" i="15"/>
  <c r="BC41" i="15"/>
  <c r="BD41" i="15"/>
  <c r="BE41" i="15"/>
  <c r="BF41" i="15"/>
  <c r="BB42" i="15"/>
  <c r="BC42" i="15"/>
  <c r="BD42" i="15"/>
  <c r="BE42" i="15"/>
  <c r="BF42" i="15"/>
  <c r="BB43" i="15"/>
  <c r="BC43" i="15"/>
  <c r="BD43" i="15"/>
  <c r="BE43" i="15"/>
  <c r="BF43" i="15"/>
  <c r="BB44" i="15"/>
  <c r="BC44" i="15"/>
  <c r="BD44" i="15"/>
  <c r="BE44" i="15"/>
  <c r="BF44" i="15"/>
  <c r="BB45" i="15"/>
  <c r="BC45" i="15"/>
  <c r="BD45" i="15"/>
  <c r="BE45" i="15"/>
  <c r="BF45" i="15"/>
  <c r="BB46" i="15"/>
  <c r="BC46" i="15"/>
  <c r="BD46" i="15"/>
  <c r="BE46" i="15"/>
  <c r="BF46" i="15"/>
  <c r="BB47" i="15"/>
  <c r="BC47" i="15"/>
  <c r="BD47" i="15"/>
  <c r="BE47" i="15"/>
  <c r="BF47" i="15"/>
  <c r="BF49" i="15"/>
  <c r="BF50" i="15"/>
  <c r="BF51" i="15"/>
  <c r="BB54" i="15"/>
  <c r="BC54" i="15"/>
  <c r="BD54" i="15"/>
  <c r="BE54" i="15"/>
  <c r="BF54" i="15"/>
  <c r="BB55" i="15"/>
  <c r="BC55" i="15"/>
  <c r="BD55" i="15"/>
  <c r="BE55" i="15"/>
  <c r="BF55" i="15"/>
  <c r="BB56" i="15"/>
  <c r="BC56" i="15"/>
  <c r="BD56" i="15"/>
  <c r="BE56" i="15"/>
  <c r="BF56" i="15"/>
  <c r="BB57" i="15"/>
  <c r="BC57" i="15"/>
  <c r="BD57" i="15"/>
  <c r="BE57" i="15"/>
  <c r="BF57" i="15"/>
  <c r="BB58" i="15"/>
  <c r="BC58" i="15"/>
  <c r="BD58" i="15"/>
  <c r="BE58" i="15"/>
  <c r="BF58" i="15"/>
  <c r="BB59" i="15"/>
  <c r="BC59" i="15"/>
  <c r="BD59" i="15"/>
  <c r="BE59" i="15"/>
  <c r="BF59" i="15"/>
  <c r="BB60" i="15"/>
  <c r="BC60" i="15"/>
  <c r="BD60" i="15"/>
  <c r="BE60" i="15"/>
  <c r="BF60" i="15"/>
  <c r="BB61" i="15"/>
  <c r="BC61" i="15"/>
  <c r="BD61" i="15"/>
  <c r="BE61" i="15"/>
  <c r="BF61" i="15"/>
  <c r="BB62" i="15"/>
  <c r="BC62" i="15"/>
  <c r="BD62" i="15"/>
  <c r="BE62" i="15"/>
  <c r="BF62" i="15"/>
  <c r="BB63" i="15"/>
  <c r="BC63" i="15"/>
  <c r="BD63" i="15"/>
  <c r="BE63" i="15"/>
  <c r="BF63" i="15"/>
  <c r="BB66" i="15"/>
  <c r="BC66" i="15"/>
  <c r="BD66" i="15"/>
  <c r="BE66" i="15"/>
  <c r="BF66" i="15"/>
  <c r="BB67" i="15"/>
  <c r="BC67" i="15"/>
  <c r="BD67" i="15"/>
  <c r="BE67" i="15"/>
  <c r="BF67" i="15"/>
  <c r="BB68" i="15"/>
  <c r="BC68" i="15"/>
  <c r="BD68" i="15"/>
  <c r="BE68" i="15"/>
  <c r="BF68" i="15"/>
  <c r="BB69" i="15"/>
  <c r="BC69" i="15"/>
  <c r="BD69" i="15"/>
  <c r="BE69" i="15"/>
  <c r="BF69" i="15"/>
  <c r="BB70" i="15"/>
  <c r="BC70" i="15"/>
  <c r="BD70" i="15"/>
  <c r="BE70" i="15"/>
  <c r="BF70" i="15"/>
  <c r="BB71" i="15"/>
  <c r="BC71" i="15"/>
  <c r="BD71" i="15"/>
  <c r="BE71" i="15"/>
  <c r="BF71" i="15"/>
  <c r="BB72" i="15"/>
  <c r="BC72" i="15"/>
  <c r="BD72" i="15"/>
  <c r="BE72" i="15"/>
  <c r="BF72" i="15"/>
  <c r="BB73" i="15"/>
  <c r="BC73" i="15"/>
  <c r="BD73" i="15"/>
  <c r="BE73" i="15"/>
  <c r="BF73" i="15"/>
  <c r="BB74" i="15"/>
  <c r="BC74" i="15"/>
  <c r="BD74" i="15"/>
  <c r="BE74" i="15"/>
  <c r="BF74" i="15"/>
  <c r="BB75" i="15"/>
  <c r="BC75" i="15"/>
  <c r="BD75" i="15"/>
  <c r="BE75" i="15"/>
  <c r="BF75" i="15"/>
  <c r="BB76" i="15"/>
  <c r="BC76" i="15"/>
  <c r="BD76" i="15"/>
  <c r="BE76" i="15"/>
  <c r="BF76" i="15"/>
  <c r="BB77" i="15"/>
  <c r="BC77" i="15"/>
  <c r="BD77" i="15"/>
  <c r="BE77" i="15"/>
  <c r="BF77" i="15"/>
  <c r="BB78" i="15"/>
  <c r="BC78" i="15"/>
  <c r="BD78" i="15"/>
  <c r="BE78" i="15"/>
  <c r="BF78" i="15"/>
  <c r="BB79" i="15"/>
  <c r="BC79" i="15"/>
  <c r="BD79" i="15"/>
  <c r="BE79" i="15"/>
  <c r="BF79" i="15"/>
  <c r="BB80" i="15"/>
  <c r="BC80" i="15"/>
  <c r="BD80" i="15"/>
  <c r="BE80" i="15"/>
  <c r="BF80" i="15"/>
  <c r="BB81" i="15"/>
  <c r="BC81" i="15"/>
  <c r="BD81" i="15"/>
  <c r="BE81" i="15"/>
  <c r="BF81" i="15"/>
  <c r="BB82" i="15"/>
  <c r="BC82" i="15"/>
  <c r="BD82" i="15"/>
  <c r="BE82" i="15"/>
  <c r="BF82" i="15"/>
  <c r="BB83" i="15"/>
  <c r="BC83" i="15"/>
  <c r="BD83" i="15"/>
  <c r="BE83" i="15"/>
  <c r="BF83" i="15"/>
  <c r="BB84" i="15"/>
  <c r="BC84" i="15"/>
  <c r="BD84" i="15"/>
  <c r="BE84" i="15"/>
  <c r="BF84" i="15"/>
  <c r="BB85" i="15"/>
  <c r="BC85" i="15"/>
  <c r="BD85" i="15"/>
  <c r="BE85" i="15"/>
  <c r="BF85" i="15"/>
  <c r="BB86" i="15"/>
  <c r="BC86" i="15"/>
  <c r="BD86" i="15"/>
  <c r="BE86" i="15"/>
  <c r="BF86" i="15"/>
  <c r="BB87" i="15"/>
  <c r="BC87" i="15"/>
  <c r="BD87" i="15"/>
  <c r="BE87" i="15"/>
  <c r="BF87" i="15"/>
  <c r="BB88" i="15"/>
  <c r="BC88" i="15"/>
  <c r="BD88" i="15"/>
  <c r="BE88" i="15"/>
  <c r="BF88" i="15"/>
  <c r="BB89" i="15"/>
  <c r="BC89" i="15"/>
  <c r="BD89" i="15"/>
  <c r="BE89" i="15"/>
  <c r="BF89" i="15"/>
  <c r="BB90" i="15"/>
  <c r="BC90" i="15"/>
  <c r="BD90" i="15"/>
  <c r="BE90" i="15"/>
  <c r="BF90" i="15"/>
  <c r="BB91" i="15"/>
  <c r="BC91" i="15"/>
  <c r="BD91" i="15"/>
  <c r="BE91" i="15"/>
  <c r="BF91" i="15"/>
  <c r="BB92" i="15"/>
  <c r="BC92" i="15"/>
  <c r="BD92" i="15"/>
  <c r="BE92" i="15"/>
  <c r="BF92" i="15"/>
  <c r="BC8" i="15"/>
  <c r="BD8" i="15"/>
  <c r="BE8" i="15"/>
  <c r="BF8" i="15"/>
  <c r="BB8" i="15"/>
  <c r="AR9" i="15"/>
  <c r="AS9" i="15"/>
  <c r="AT9" i="15"/>
  <c r="AU9" i="15"/>
  <c r="AV9" i="15"/>
  <c r="AR10" i="15"/>
  <c r="AS10" i="15"/>
  <c r="AT10" i="15"/>
  <c r="AU10" i="15"/>
  <c r="AV10" i="15"/>
  <c r="AR11" i="15"/>
  <c r="AS11" i="15"/>
  <c r="AT11" i="15"/>
  <c r="AU11" i="15"/>
  <c r="AV11" i="15"/>
  <c r="AR12" i="15"/>
  <c r="AS12" i="15"/>
  <c r="AT12" i="15"/>
  <c r="AU12" i="15"/>
  <c r="AV12" i="15"/>
  <c r="AR13" i="15"/>
  <c r="AS13" i="15"/>
  <c r="AT13" i="15"/>
  <c r="AU13" i="15"/>
  <c r="AV13" i="15"/>
  <c r="AR14" i="15"/>
  <c r="AS14" i="15"/>
  <c r="AT14" i="15"/>
  <c r="AU14" i="15"/>
  <c r="AV14" i="15"/>
  <c r="AR15" i="15"/>
  <c r="AS15" i="15"/>
  <c r="AT15" i="15"/>
  <c r="AU15" i="15"/>
  <c r="AV15" i="15"/>
  <c r="AR16" i="15"/>
  <c r="AS16" i="15"/>
  <c r="AT16" i="15"/>
  <c r="AU16" i="15"/>
  <c r="AV16" i="15"/>
  <c r="AR17" i="15"/>
  <c r="AS17" i="15"/>
  <c r="AT17" i="15"/>
  <c r="AU17" i="15"/>
  <c r="AV17" i="15"/>
  <c r="AR18" i="15"/>
  <c r="AS18" i="15"/>
  <c r="AT18" i="15"/>
  <c r="AU18" i="15"/>
  <c r="AV18" i="15"/>
  <c r="AR19" i="15"/>
  <c r="AS19" i="15"/>
  <c r="AT19" i="15"/>
  <c r="AU19" i="15"/>
  <c r="AV19" i="15"/>
  <c r="AR20" i="15"/>
  <c r="AS20" i="15"/>
  <c r="AT20" i="15"/>
  <c r="AU20" i="15"/>
  <c r="AV20" i="15"/>
  <c r="AR21" i="15"/>
  <c r="AS21" i="15"/>
  <c r="AT21" i="15"/>
  <c r="AU21" i="15"/>
  <c r="AV21" i="15"/>
  <c r="AR22" i="15"/>
  <c r="AS22" i="15"/>
  <c r="AT22" i="15"/>
  <c r="AU22" i="15"/>
  <c r="AV22" i="15"/>
  <c r="AR23" i="15"/>
  <c r="AS23" i="15"/>
  <c r="AT23" i="15"/>
  <c r="AU23" i="15"/>
  <c r="AV23" i="15"/>
  <c r="AR24" i="15"/>
  <c r="AS24" i="15"/>
  <c r="AT24" i="15"/>
  <c r="AU24" i="15"/>
  <c r="AV24" i="15"/>
  <c r="AR25" i="15"/>
  <c r="AS25" i="15"/>
  <c r="AT25" i="15"/>
  <c r="AU25" i="15"/>
  <c r="AV25" i="15"/>
  <c r="AR26" i="15"/>
  <c r="AS26" i="15"/>
  <c r="AT26" i="15"/>
  <c r="AU26" i="15"/>
  <c r="AV26" i="15"/>
  <c r="AR27" i="15"/>
  <c r="AS27" i="15"/>
  <c r="AT27" i="15"/>
  <c r="AU27" i="15"/>
  <c r="AV27" i="15"/>
  <c r="AR28" i="15"/>
  <c r="AS28" i="15"/>
  <c r="AT28" i="15"/>
  <c r="AU28" i="15"/>
  <c r="AV28" i="15"/>
  <c r="AR29" i="15"/>
  <c r="AS29" i="15"/>
  <c r="AT29" i="15"/>
  <c r="AU29" i="15"/>
  <c r="AV29" i="15"/>
  <c r="AR30" i="15"/>
  <c r="AS30" i="15"/>
  <c r="AT30" i="15"/>
  <c r="AU30" i="15"/>
  <c r="AV30" i="15"/>
  <c r="AR31" i="15"/>
  <c r="AS31" i="15"/>
  <c r="AT31" i="15"/>
  <c r="AU31" i="15"/>
  <c r="AV31" i="15"/>
  <c r="AR32" i="15"/>
  <c r="AS32" i="15"/>
  <c r="AT32" i="15"/>
  <c r="AU32" i="15"/>
  <c r="AV32" i="15"/>
  <c r="AR33" i="15"/>
  <c r="AS33" i="15"/>
  <c r="AT33" i="15"/>
  <c r="AU33" i="15"/>
  <c r="AV33" i="15"/>
  <c r="AR34" i="15"/>
  <c r="AS34" i="15"/>
  <c r="AT34" i="15"/>
  <c r="AU34" i="15"/>
  <c r="AV34" i="15"/>
  <c r="AR35" i="15"/>
  <c r="AS35" i="15"/>
  <c r="AT35" i="15"/>
  <c r="AU35" i="15"/>
  <c r="AV35" i="15"/>
  <c r="AR36" i="15"/>
  <c r="AS36" i="15"/>
  <c r="AT36" i="15"/>
  <c r="AU36" i="15"/>
  <c r="AV36" i="15"/>
  <c r="AR37" i="15"/>
  <c r="AS37" i="15"/>
  <c r="AT37" i="15"/>
  <c r="AU37" i="15"/>
  <c r="AV37" i="15"/>
  <c r="AR38" i="15"/>
  <c r="AS38" i="15"/>
  <c r="AT38" i="15"/>
  <c r="AU38" i="15"/>
  <c r="AV38" i="15"/>
  <c r="AR39" i="15"/>
  <c r="AS39" i="15"/>
  <c r="AT39" i="15"/>
  <c r="AU39" i="15"/>
  <c r="AV39" i="15"/>
  <c r="AR40" i="15"/>
  <c r="AS40" i="15"/>
  <c r="AT40" i="15"/>
  <c r="AU40" i="15"/>
  <c r="AV40" i="15"/>
  <c r="AR41" i="15"/>
  <c r="AS41" i="15"/>
  <c r="AT41" i="15"/>
  <c r="AU41" i="15"/>
  <c r="AV41" i="15"/>
  <c r="AR42" i="15"/>
  <c r="AS42" i="15"/>
  <c r="AT42" i="15"/>
  <c r="AU42" i="15"/>
  <c r="AV42" i="15"/>
  <c r="AR43" i="15"/>
  <c r="AS43" i="15"/>
  <c r="AT43" i="15"/>
  <c r="AU43" i="15"/>
  <c r="AV43" i="15"/>
  <c r="AR44" i="15"/>
  <c r="AS44" i="15"/>
  <c r="AT44" i="15"/>
  <c r="AU44" i="15"/>
  <c r="AV44" i="15"/>
  <c r="AR45" i="15"/>
  <c r="AS45" i="15"/>
  <c r="AT45" i="15"/>
  <c r="AU45" i="15"/>
  <c r="AV45" i="15"/>
  <c r="AR46" i="15"/>
  <c r="AS46" i="15"/>
  <c r="AT46" i="15"/>
  <c r="AU46" i="15"/>
  <c r="AV46" i="15"/>
  <c r="AR47" i="15"/>
  <c r="AS47" i="15"/>
  <c r="AT47" i="15"/>
  <c r="AU47" i="15"/>
  <c r="AV47" i="15"/>
  <c r="AV49" i="15"/>
  <c r="AV50" i="15"/>
  <c r="AV51" i="15"/>
  <c r="AR54" i="15"/>
  <c r="AS54" i="15"/>
  <c r="AT54" i="15"/>
  <c r="AU54" i="15"/>
  <c r="AV54" i="15"/>
  <c r="AR55" i="15"/>
  <c r="AS55" i="15"/>
  <c r="AT55" i="15"/>
  <c r="AU55" i="15"/>
  <c r="AV55" i="15"/>
  <c r="AR56" i="15"/>
  <c r="AS56" i="15"/>
  <c r="AT56" i="15"/>
  <c r="AU56" i="15"/>
  <c r="AV56" i="15"/>
  <c r="AR57" i="15"/>
  <c r="AS57" i="15"/>
  <c r="AT57" i="15"/>
  <c r="AU57" i="15"/>
  <c r="AV57" i="15"/>
  <c r="AR58" i="15"/>
  <c r="AS58" i="15"/>
  <c r="AT58" i="15"/>
  <c r="AU58" i="15"/>
  <c r="AV58" i="15"/>
  <c r="AR59" i="15"/>
  <c r="AS59" i="15"/>
  <c r="AT59" i="15"/>
  <c r="AU59" i="15"/>
  <c r="AV59" i="15"/>
  <c r="AR60" i="15"/>
  <c r="AS60" i="15"/>
  <c r="AT60" i="15"/>
  <c r="AU60" i="15"/>
  <c r="AV60" i="15"/>
  <c r="AR61" i="15"/>
  <c r="AS61" i="15"/>
  <c r="AT61" i="15"/>
  <c r="AU61" i="15"/>
  <c r="AV61" i="15"/>
  <c r="AR62" i="15"/>
  <c r="AS62" i="15"/>
  <c r="AT62" i="15"/>
  <c r="AU62" i="15"/>
  <c r="AV62" i="15"/>
  <c r="AR63" i="15"/>
  <c r="AS63" i="15"/>
  <c r="AT63" i="15"/>
  <c r="AU63" i="15"/>
  <c r="AV63" i="15"/>
  <c r="AR66" i="15"/>
  <c r="AS66" i="15"/>
  <c r="AT66" i="15"/>
  <c r="AU66" i="15"/>
  <c r="AV66" i="15"/>
  <c r="AR67" i="15"/>
  <c r="AS67" i="15"/>
  <c r="AT67" i="15"/>
  <c r="AU67" i="15"/>
  <c r="AV67" i="15"/>
  <c r="AR68" i="15"/>
  <c r="AS68" i="15"/>
  <c r="AT68" i="15"/>
  <c r="AU68" i="15"/>
  <c r="AV68" i="15"/>
  <c r="AR69" i="15"/>
  <c r="AS69" i="15"/>
  <c r="AT69" i="15"/>
  <c r="AU69" i="15"/>
  <c r="AV69" i="15"/>
  <c r="AR70" i="15"/>
  <c r="AS70" i="15"/>
  <c r="AT70" i="15"/>
  <c r="AU70" i="15"/>
  <c r="AV70" i="15"/>
  <c r="AR71" i="15"/>
  <c r="AS71" i="15"/>
  <c r="AT71" i="15"/>
  <c r="AU71" i="15"/>
  <c r="AV71" i="15"/>
  <c r="AR72" i="15"/>
  <c r="AS72" i="15"/>
  <c r="AT72" i="15"/>
  <c r="AU72" i="15"/>
  <c r="AV72" i="15"/>
  <c r="AR73" i="15"/>
  <c r="AS73" i="15"/>
  <c r="AT73" i="15"/>
  <c r="AU73" i="15"/>
  <c r="AV73" i="15"/>
  <c r="AR74" i="15"/>
  <c r="AS74" i="15"/>
  <c r="AT74" i="15"/>
  <c r="AU74" i="15"/>
  <c r="AV74" i="15"/>
  <c r="AR75" i="15"/>
  <c r="AS75" i="15"/>
  <c r="AT75" i="15"/>
  <c r="AU75" i="15"/>
  <c r="AV75" i="15"/>
  <c r="AR76" i="15"/>
  <c r="AS76" i="15"/>
  <c r="AT76" i="15"/>
  <c r="AU76" i="15"/>
  <c r="AV76" i="15"/>
  <c r="AR77" i="15"/>
  <c r="AS77" i="15"/>
  <c r="AT77" i="15"/>
  <c r="AU77" i="15"/>
  <c r="AV77" i="15"/>
  <c r="AR78" i="15"/>
  <c r="AS78" i="15"/>
  <c r="AT78" i="15"/>
  <c r="AU78" i="15"/>
  <c r="AV78" i="15"/>
  <c r="AR79" i="15"/>
  <c r="AS79" i="15"/>
  <c r="AT79" i="15"/>
  <c r="AU79" i="15"/>
  <c r="AV79" i="15"/>
  <c r="AR80" i="15"/>
  <c r="AS80" i="15"/>
  <c r="AT80" i="15"/>
  <c r="AU80" i="15"/>
  <c r="AV80" i="15"/>
  <c r="AR81" i="15"/>
  <c r="AS81" i="15"/>
  <c r="AT81" i="15"/>
  <c r="AU81" i="15"/>
  <c r="AV81" i="15"/>
  <c r="AR82" i="15"/>
  <c r="AS82" i="15"/>
  <c r="AT82" i="15"/>
  <c r="AU82" i="15"/>
  <c r="AV82" i="15"/>
  <c r="AR83" i="15"/>
  <c r="AS83" i="15"/>
  <c r="AT83" i="15"/>
  <c r="AU83" i="15"/>
  <c r="AV83" i="15"/>
  <c r="AR84" i="15"/>
  <c r="AS84" i="15"/>
  <c r="AT84" i="15"/>
  <c r="AU84" i="15"/>
  <c r="AV84" i="15"/>
  <c r="AR85" i="15"/>
  <c r="AS85" i="15"/>
  <c r="AT85" i="15"/>
  <c r="AU85" i="15"/>
  <c r="AV85" i="15"/>
  <c r="AR86" i="15"/>
  <c r="AS86" i="15"/>
  <c r="AT86" i="15"/>
  <c r="AU86" i="15"/>
  <c r="AV86" i="15"/>
  <c r="AR87" i="15"/>
  <c r="AS87" i="15"/>
  <c r="AT87" i="15"/>
  <c r="AU87" i="15"/>
  <c r="AV87" i="15"/>
  <c r="AR88" i="15"/>
  <c r="AS88" i="15"/>
  <c r="AT88" i="15"/>
  <c r="AU88" i="15"/>
  <c r="AV88" i="15"/>
  <c r="AR89" i="15"/>
  <c r="AS89" i="15"/>
  <c r="AT89" i="15"/>
  <c r="AU89" i="15"/>
  <c r="AV89" i="15"/>
  <c r="AR90" i="15"/>
  <c r="AS90" i="15"/>
  <c r="AT90" i="15"/>
  <c r="AU90" i="15"/>
  <c r="AV90" i="15"/>
  <c r="AR91" i="15"/>
  <c r="AS91" i="15"/>
  <c r="AT91" i="15"/>
  <c r="AU91" i="15"/>
  <c r="AV91" i="15"/>
  <c r="AR92" i="15"/>
  <c r="AS92" i="15"/>
  <c r="AT92" i="15"/>
  <c r="AU92" i="15"/>
  <c r="AV92" i="15"/>
  <c r="AS8" i="15"/>
  <c r="AT8" i="15"/>
  <c r="AU8" i="15"/>
  <c r="AV8" i="15"/>
  <c r="AR8" i="15"/>
  <c r="AH9" i="15"/>
  <c r="AI9" i="15"/>
  <c r="AJ9" i="15"/>
  <c r="AK9" i="15"/>
  <c r="AL9" i="15"/>
  <c r="AH10" i="15"/>
  <c r="AI10" i="15"/>
  <c r="AJ10" i="15"/>
  <c r="AK10" i="15"/>
  <c r="AL10" i="15"/>
  <c r="AH11" i="15"/>
  <c r="AI11" i="15"/>
  <c r="AJ11" i="15"/>
  <c r="AK11" i="15"/>
  <c r="AL11" i="15"/>
  <c r="AH12" i="15"/>
  <c r="AI12" i="15"/>
  <c r="AJ12" i="15"/>
  <c r="AK12" i="15"/>
  <c r="AL12" i="15"/>
  <c r="AH13" i="15"/>
  <c r="AI13" i="15"/>
  <c r="AJ13" i="15"/>
  <c r="AK13" i="15"/>
  <c r="AL13" i="15"/>
  <c r="AH14" i="15"/>
  <c r="AI14" i="15"/>
  <c r="AJ14" i="15"/>
  <c r="AK14" i="15"/>
  <c r="AL14" i="15"/>
  <c r="AH15" i="15"/>
  <c r="AI15" i="15"/>
  <c r="AJ15" i="15"/>
  <c r="AK15" i="15"/>
  <c r="AL15" i="15"/>
  <c r="AH16" i="15"/>
  <c r="AI16" i="15"/>
  <c r="AJ16" i="15"/>
  <c r="AK16" i="15"/>
  <c r="AL16" i="15"/>
  <c r="AH17" i="15"/>
  <c r="AI17" i="15"/>
  <c r="AJ17" i="15"/>
  <c r="AK17" i="15"/>
  <c r="AL17" i="15"/>
  <c r="AH18" i="15"/>
  <c r="AI18" i="15"/>
  <c r="AJ18" i="15"/>
  <c r="AK18" i="15"/>
  <c r="AL18" i="15"/>
  <c r="AH19" i="15"/>
  <c r="AI19" i="15"/>
  <c r="AJ19" i="15"/>
  <c r="AK19" i="15"/>
  <c r="AL19" i="15"/>
  <c r="AH20" i="15"/>
  <c r="AI20" i="15"/>
  <c r="AJ20" i="15"/>
  <c r="AK20" i="15"/>
  <c r="AL20" i="15"/>
  <c r="AH21" i="15"/>
  <c r="AI21" i="15"/>
  <c r="AJ21" i="15"/>
  <c r="AK21" i="15"/>
  <c r="AL21" i="15"/>
  <c r="AH22" i="15"/>
  <c r="AI22" i="15"/>
  <c r="AJ22" i="15"/>
  <c r="AK22" i="15"/>
  <c r="AL22" i="15"/>
  <c r="AH23" i="15"/>
  <c r="AI23" i="15"/>
  <c r="AJ23" i="15"/>
  <c r="AK23" i="15"/>
  <c r="AL23" i="15"/>
  <c r="AH24" i="15"/>
  <c r="AI24" i="15"/>
  <c r="AJ24" i="15"/>
  <c r="AK24" i="15"/>
  <c r="AL24" i="15"/>
  <c r="AH25" i="15"/>
  <c r="AI25" i="15"/>
  <c r="AJ25" i="15"/>
  <c r="AK25" i="15"/>
  <c r="AL25" i="15"/>
  <c r="AH26" i="15"/>
  <c r="AI26" i="15"/>
  <c r="AJ26" i="15"/>
  <c r="AK26" i="15"/>
  <c r="AL26" i="15"/>
  <c r="AH27" i="15"/>
  <c r="AI27" i="15"/>
  <c r="AJ27" i="15"/>
  <c r="AK27" i="15"/>
  <c r="AL27" i="15"/>
  <c r="AH28" i="15"/>
  <c r="AI28" i="15"/>
  <c r="AJ28" i="15"/>
  <c r="AK28" i="15"/>
  <c r="AL28" i="15"/>
  <c r="AH29" i="15"/>
  <c r="AI29" i="15"/>
  <c r="AJ29" i="15"/>
  <c r="AK29" i="15"/>
  <c r="AL29" i="15"/>
  <c r="AH30" i="15"/>
  <c r="AI30" i="15"/>
  <c r="AJ30" i="15"/>
  <c r="AK30" i="15"/>
  <c r="AL30" i="15"/>
  <c r="AH31" i="15"/>
  <c r="AI31" i="15"/>
  <c r="AJ31" i="15"/>
  <c r="AK31" i="15"/>
  <c r="AL31" i="15"/>
  <c r="AH32" i="15"/>
  <c r="AI32" i="15"/>
  <c r="AJ32" i="15"/>
  <c r="AK32" i="15"/>
  <c r="AL32" i="15"/>
  <c r="AH33" i="15"/>
  <c r="AI33" i="15"/>
  <c r="AJ33" i="15"/>
  <c r="AK33" i="15"/>
  <c r="AL33" i="15"/>
  <c r="AH34" i="15"/>
  <c r="AI34" i="15"/>
  <c r="AJ34" i="15"/>
  <c r="AK34" i="15"/>
  <c r="AL34" i="15"/>
  <c r="AH35" i="15"/>
  <c r="AI35" i="15"/>
  <c r="AJ35" i="15"/>
  <c r="AK35" i="15"/>
  <c r="AL35" i="15"/>
  <c r="AH36" i="15"/>
  <c r="AI36" i="15"/>
  <c r="AJ36" i="15"/>
  <c r="AK36" i="15"/>
  <c r="AL36" i="15"/>
  <c r="AH37" i="15"/>
  <c r="AI37" i="15"/>
  <c r="AJ37" i="15"/>
  <c r="AK37" i="15"/>
  <c r="AL37" i="15"/>
  <c r="AH38" i="15"/>
  <c r="AI38" i="15"/>
  <c r="AJ38" i="15"/>
  <c r="AK38" i="15"/>
  <c r="AL38" i="15"/>
  <c r="AH39" i="15"/>
  <c r="AI39" i="15"/>
  <c r="AJ39" i="15"/>
  <c r="AK39" i="15"/>
  <c r="AL39" i="15"/>
  <c r="AH40" i="15"/>
  <c r="AI40" i="15"/>
  <c r="AJ40" i="15"/>
  <c r="AK40" i="15"/>
  <c r="AL40" i="15"/>
  <c r="AH41" i="15"/>
  <c r="AI41" i="15"/>
  <c r="AJ41" i="15"/>
  <c r="AK41" i="15"/>
  <c r="AL41" i="15"/>
  <c r="AH42" i="15"/>
  <c r="AI42" i="15"/>
  <c r="AJ42" i="15"/>
  <c r="AK42" i="15"/>
  <c r="AL42" i="15"/>
  <c r="AH43" i="15"/>
  <c r="AI43" i="15"/>
  <c r="AJ43" i="15"/>
  <c r="AK43" i="15"/>
  <c r="AL43" i="15"/>
  <c r="AH44" i="15"/>
  <c r="AI44" i="15"/>
  <c r="AJ44" i="15"/>
  <c r="AK44" i="15"/>
  <c r="AL44" i="15"/>
  <c r="AH45" i="15"/>
  <c r="AI45" i="15"/>
  <c r="AJ45" i="15"/>
  <c r="AK45" i="15"/>
  <c r="AL45" i="15"/>
  <c r="AH46" i="15"/>
  <c r="AI46" i="15"/>
  <c r="AJ46" i="15"/>
  <c r="AK46" i="15"/>
  <c r="AL46" i="15"/>
  <c r="AH47" i="15"/>
  <c r="AI47" i="15"/>
  <c r="AJ47" i="15"/>
  <c r="AK47" i="15"/>
  <c r="AL47" i="15"/>
  <c r="AL49" i="15"/>
  <c r="AL50" i="15"/>
  <c r="AL51" i="15"/>
  <c r="AH54" i="15"/>
  <c r="AI54" i="15"/>
  <c r="AJ54" i="15"/>
  <c r="AK54" i="15"/>
  <c r="AL54" i="15"/>
  <c r="AH55" i="15"/>
  <c r="AI55" i="15"/>
  <c r="AJ55" i="15"/>
  <c r="AK55" i="15"/>
  <c r="AL55" i="15"/>
  <c r="AH56" i="15"/>
  <c r="AI56" i="15"/>
  <c r="AJ56" i="15"/>
  <c r="AK56" i="15"/>
  <c r="AL56" i="15"/>
  <c r="AH57" i="15"/>
  <c r="AI57" i="15"/>
  <c r="AJ57" i="15"/>
  <c r="AK57" i="15"/>
  <c r="AL57" i="15"/>
  <c r="AH58" i="15"/>
  <c r="AI58" i="15"/>
  <c r="AJ58" i="15"/>
  <c r="AK58" i="15"/>
  <c r="AL58" i="15"/>
  <c r="AH59" i="15"/>
  <c r="AI59" i="15"/>
  <c r="AJ59" i="15"/>
  <c r="AK59" i="15"/>
  <c r="AL59" i="15"/>
  <c r="AH60" i="15"/>
  <c r="AI60" i="15"/>
  <c r="AJ60" i="15"/>
  <c r="AK60" i="15"/>
  <c r="AL60" i="15"/>
  <c r="AH61" i="15"/>
  <c r="AI61" i="15"/>
  <c r="AJ61" i="15"/>
  <c r="AK61" i="15"/>
  <c r="AL61" i="15"/>
  <c r="AH62" i="15"/>
  <c r="AI62" i="15"/>
  <c r="AJ62" i="15"/>
  <c r="AK62" i="15"/>
  <c r="AL62" i="15"/>
  <c r="AH63" i="15"/>
  <c r="AI63" i="15"/>
  <c r="AJ63" i="15"/>
  <c r="AK63" i="15"/>
  <c r="AL63" i="15"/>
  <c r="AH66" i="15"/>
  <c r="AI66" i="15"/>
  <c r="AJ66" i="15"/>
  <c r="AK66" i="15"/>
  <c r="AL66" i="15"/>
  <c r="AH67" i="15"/>
  <c r="AI67" i="15"/>
  <c r="AJ67" i="15"/>
  <c r="AK67" i="15"/>
  <c r="AL67" i="15"/>
  <c r="AH68" i="15"/>
  <c r="AI68" i="15"/>
  <c r="AJ68" i="15"/>
  <c r="AK68" i="15"/>
  <c r="AL68" i="15"/>
  <c r="AH69" i="15"/>
  <c r="AI69" i="15"/>
  <c r="AJ69" i="15"/>
  <c r="AK69" i="15"/>
  <c r="AL69" i="15"/>
  <c r="AH70" i="15"/>
  <c r="AI70" i="15"/>
  <c r="AJ70" i="15"/>
  <c r="AK70" i="15"/>
  <c r="AL70" i="15"/>
  <c r="AH71" i="15"/>
  <c r="AI71" i="15"/>
  <c r="AJ71" i="15"/>
  <c r="AK71" i="15"/>
  <c r="AL71" i="15"/>
  <c r="AH72" i="15"/>
  <c r="AI72" i="15"/>
  <c r="AJ72" i="15"/>
  <c r="AK72" i="15"/>
  <c r="AL72" i="15"/>
  <c r="AH73" i="15"/>
  <c r="AI73" i="15"/>
  <c r="AJ73" i="15"/>
  <c r="AK73" i="15"/>
  <c r="AL73" i="15"/>
  <c r="AH74" i="15"/>
  <c r="AI74" i="15"/>
  <c r="AJ74" i="15"/>
  <c r="AK74" i="15"/>
  <c r="AL74" i="15"/>
  <c r="AH75" i="15"/>
  <c r="AI75" i="15"/>
  <c r="AJ75" i="15"/>
  <c r="AK75" i="15"/>
  <c r="AL75" i="15"/>
  <c r="AH76" i="15"/>
  <c r="AI76" i="15"/>
  <c r="AJ76" i="15"/>
  <c r="AK76" i="15"/>
  <c r="AL76" i="15"/>
  <c r="AH77" i="15"/>
  <c r="AI77" i="15"/>
  <c r="AJ77" i="15"/>
  <c r="AK77" i="15"/>
  <c r="AL77" i="15"/>
  <c r="AH78" i="15"/>
  <c r="AI78" i="15"/>
  <c r="AJ78" i="15"/>
  <c r="AK78" i="15"/>
  <c r="AL78" i="15"/>
  <c r="AH79" i="15"/>
  <c r="AI79" i="15"/>
  <c r="AJ79" i="15"/>
  <c r="AK79" i="15"/>
  <c r="AL79" i="15"/>
  <c r="AH80" i="15"/>
  <c r="AI80" i="15"/>
  <c r="AJ80" i="15"/>
  <c r="AK80" i="15"/>
  <c r="AL80" i="15"/>
  <c r="AH81" i="15"/>
  <c r="AI81" i="15"/>
  <c r="AJ81" i="15"/>
  <c r="AK81" i="15"/>
  <c r="AL81" i="15"/>
  <c r="AH82" i="15"/>
  <c r="AI82" i="15"/>
  <c r="AJ82" i="15"/>
  <c r="AK82" i="15"/>
  <c r="AL82" i="15"/>
  <c r="AH83" i="15"/>
  <c r="AI83" i="15"/>
  <c r="AJ83" i="15"/>
  <c r="AK83" i="15"/>
  <c r="AL83" i="15"/>
  <c r="AH84" i="15"/>
  <c r="AI84" i="15"/>
  <c r="AJ84" i="15"/>
  <c r="AK84" i="15"/>
  <c r="AL84" i="15"/>
  <c r="AH85" i="15"/>
  <c r="AI85" i="15"/>
  <c r="AJ85" i="15"/>
  <c r="AK85" i="15"/>
  <c r="AL85" i="15"/>
  <c r="AH86" i="15"/>
  <c r="AI86" i="15"/>
  <c r="AJ86" i="15"/>
  <c r="AK86" i="15"/>
  <c r="AL86" i="15"/>
  <c r="AH87" i="15"/>
  <c r="AI87" i="15"/>
  <c r="AJ87" i="15"/>
  <c r="AK87" i="15"/>
  <c r="AL87" i="15"/>
  <c r="AH88" i="15"/>
  <c r="AI88" i="15"/>
  <c r="AJ88" i="15"/>
  <c r="AK88" i="15"/>
  <c r="AL88" i="15"/>
  <c r="AH89" i="15"/>
  <c r="AI89" i="15"/>
  <c r="AJ89" i="15"/>
  <c r="AK89" i="15"/>
  <c r="AL89" i="15"/>
  <c r="AH90" i="15"/>
  <c r="AI90" i="15"/>
  <c r="AJ90" i="15"/>
  <c r="AK90" i="15"/>
  <c r="AL90" i="15"/>
  <c r="AH91" i="15"/>
  <c r="AI91" i="15"/>
  <c r="AJ91" i="15"/>
  <c r="AK91" i="15"/>
  <c r="AL91" i="15"/>
  <c r="AH92" i="15"/>
  <c r="AI92" i="15"/>
  <c r="AJ92" i="15"/>
  <c r="AK92" i="15"/>
  <c r="AL92" i="15"/>
  <c r="AI8" i="15"/>
  <c r="AJ8" i="15"/>
  <c r="AK8" i="15"/>
  <c r="AL8" i="15"/>
  <c r="AH8" i="15"/>
  <c r="X9" i="15"/>
  <c r="Y9" i="15"/>
  <c r="Z9" i="15"/>
  <c r="AA9" i="15"/>
  <c r="AB9" i="15"/>
  <c r="X10" i="15"/>
  <c r="Y10" i="15"/>
  <c r="Z10" i="15"/>
  <c r="AA10" i="15"/>
  <c r="AB10" i="15"/>
  <c r="X11" i="15"/>
  <c r="Y11" i="15"/>
  <c r="Z11" i="15"/>
  <c r="AA11" i="15"/>
  <c r="AB11" i="15"/>
  <c r="X12" i="15"/>
  <c r="Y12" i="15"/>
  <c r="Z12" i="15"/>
  <c r="AA12" i="15"/>
  <c r="AB12" i="15"/>
  <c r="X13" i="15"/>
  <c r="Y13" i="15"/>
  <c r="Z13" i="15"/>
  <c r="AA13" i="15"/>
  <c r="AB13" i="15"/>
  <c r="X14" i="15"/>
  <c r="Y14" i="15"/>
  <c r="Z14" i="15"/>
  <c r="AA14" i="15"/>
  <c r="AB14" i="15"/>
  <c r="X15" i="15"/>
  <c r="Y15" i="15"/>
  <c r="Z15" i="15"/>
  <c r="AA15" i="15"/>
  <c r="AB15" i="15"/>
  <c r="X16" i="15"/>
  <c r="Y16" i="15"/>
  <c r="Z16" i="15"/>
  <c r="AA16" i="15"/>
  <c r="AB16" i="15"/>
  <c r="X17" i="15"/>
  <c r="Y17" i="15"/>
  <c r="Z17" i="15"/>
  <c r="AA17" i="15"/>
  <c r="AB17" i="15"/>
  <c r="X18" i="15"/>
  <c r="Y18" i="15"/>
  <c r="Z18" i="15"/>
  <c r="AA18" i="15"/>
  <c r="AB18" i="15"/>
  <c r="X19" i="15"/>
  <c r="Y19" i="15"/>
  <c r="Z19" i="15"/>
  <c r="AA19" i="15"/>
  <c r="AB19" i="15"/>
  <c r="X20" i="15"/>
  <c r="Y20" i="15"/>
  <c r="Z20" i="15"/>
  <c r="AA20" i="15"/>
  <c r="AB20" i="15"/>
  <c r="X21" i="15"/>
  <c r="Y21" i="15"/>
  <c r="Z21" i="15"/>
  <c r="AA21" i="15"/>
  <c r="AB21" i="15"/>
  <c r="X22" i="15"/>
  <c r="Y22" i="15"/>
  <c r="Z22" i="15"/>
  <c r="AA22" i="15"/>
  <c r="AB22" i="15"/>
  <c r="X23" i="15"/>
  <c r="Y23" i="15"/>
  <c r="Z23" i="15"/>
  <c r="AA23" i="15"/>
  <c r="AB23" i="15"/>
  <c r="X24" i="15"/>
  <c r="Y24" i="15"/>
  <c r="Z24" i="15"/>
  <c r="AA24" i="15"/>
  <c r="AB24" i="15"/>
  <c r="X25" i="15"/>
  <c r="Y25" i="15"/>
  <c r="Z25" i="15"/>
  <c r="AA25" i="15"/>
  <c r="AB25" i="15"/>
  <c r="X26" i="15"/>
  <c r="Y26" i="15"/>
  <c r="Z26" i="15"/>
  <c r="AA26" i="15"/>
  <c r="AB26" i="15"/>
  <c r="X27" i="15"/>
  <c r="Y27" i="15"/>
  <c r="Z27" i="15"/>
  <c r="AA27" i="15"/>
  <c r="AB27" i="15"/>
  <c r="X28" i="15"/>
  <c r="Y28" i="15"/>
  <c r="Z28" i="15"/>
  <c r="AA28" i="15"/>
  <c r="AB28" i="15"/>
  <c r="X29" i="15"/>
  <c r="Y29" i="15"/>
  <c r="Z29" i="15"/>
  <c r="AA29" i="15"/>
  <c r="AB29" i="15"/>
  <c r="X30" i="15"/>
  <c r="Y30" i="15"/>
  <c r="Z30" i="15"/>
  <c r="AA30" i="15"/>
  <c r="AB30" i="15"/>
  <c r="X31" i="15"/>
  <c r="Y31" i="15"/>
  <c r="Z31" i="15"/>
  <c r="AA31" i="15"/>
  <c r="AB31" i="15"/>
  <c r="X32" i="15"/>
  <c r="Y32" i="15"/>
  <c r="Z32" i="15"/>
  <c r="AA32" i="15"/>
  <c r="AB32" i="15"/>
  <c r="X33" i="15"/>
  <c r="Y33" i="15"/>
  <c r="Z33" i="15"/>
  <c r="AA33" i="15"/>
  <c r="AB33" i="15"/>
  <c r="X34" i="15"/>
  <c r="Y34" i="15"/>
  <c r="Z34" i="15"/>
  <c r="AA34" i="15"/>
  <c r="AB34" i="15"/>
  <c r="X35" i="15"/>
  <c r="Y35" i="15"/>
  <c r="Z35" i="15"/>
  <c r="AA35" i="15"/>
  <c r="AB35" i="15"/>
  <c r="X36" i="15"/>
  <c r="Y36" i="15"/>
  <c r="Z36" i="15"/>
  <c r="AA36" i="15"/>
  <c r="AB36" i="15"/>
  <c r="X37" i="15"/>
  <c r="Y37" i="15"/>
  <c r="Z37" i="15"/>
  <c r="AA37" i="15"/>
  <c r="AB37" i="15"/>
  <c r="X38" i="15"/>
  <c r="Y38" i="15"/>
  <c r="Z38" i="15"/>
  <c r="AA38" i="15"/>
  <c r="AB38" i="15"/>
  <c r="X39" i="15"/>
  <c r="Y39" i="15"/>
  <c r="Z39" i="15"/>
  <c r="AA39" i="15"/>
  <c r="AB39" i="15"/>
  <c r="X40" i="15"/>
  <c r="Y40" i="15"/>
  <c r="Z40" i="15"/>
  <c r="AA40" i="15"/>
  <c r="AB40" i="15"/>
  <c r="X41" i="15"/>
  <c r="Y41" i="15"/>
  <c r="Z41" i="15"/>
  <c r="AA41" i="15"/>
  <c r="AB41" i="15"/>
  <c r="X42" i="15"/>
  <c r="Y42" i="15"/>
  <c r="Z42" i="15"/>
  <c r="AA42" i="15"/>
  <c r="AB42" i="15"/>
  <c r="X43" i="15"/>
  <c r="Y43" i="15"/>
  <c r="Z43" i="15"/>
  <c r="AA43" i="15"/>
  <c r="AB43" i="15"/>
  <c r="X44" i="15"/>
  <c r="Y44" i="15"/>
  <c r="Z44" i="15"/>
  <c r="AA44" i="15"/>
  <c r="AB44" i="15"/>
  <c r="X45" i="15"/>
  <c r="Y45" i="15"/>
  <c r="Z45" i="15"/>
  <c r="AA45" i="15"/>
  <c r="AB45" i="15"/>
  <c r="X46" i="15"/>
  <c r="Y46" i="15"/>
  <c r="Z46" i="15"/>
  <c r="AA46" i="15"/>
  <c r="AB46" i="15"/>
  <c r="X47" i="15"/>
  <c r="Y47" i="15"/>
  <c r="Z47" i="15"/>
  <c r="AA47" i="15"/>
  <c r="AB47" i="15"/>
  <c r="AB49" i="15"/>
  <c r="AB50" i="15"/>
  <c r="AB51" i="15"/>
  <c r="X54" i="15"/>
  <c r="Y54" i="15"/>
  <c r="Z54" i="15"/>
  <c r="AA54" i="15"/>
  <c r="AB54" i="15"/>
  <c r="X55" i="15"/>
  <c r="Y55" i="15"/>
  <c r="Z55" i="15"/>
  <c r="AA55" i="15"/>
  <c r="AB55" i="15"/>
  <c r="X56" i="15"/>
  <c r="Y56" i="15"/>
  <c r="Z56" i="15"/>
  <c r="AA56" i="15"/>
  <c r="AB56" i="15"/>
  <c r="X57" i="15"/>
  <c r="Y57" i="15"/>
  <c r="Z57" i="15"/>
  <c r="AA57" i="15"/>
  <c r="AB57" i="15"/>
  <c r="X58" i="15"/>
  <c r="Y58" i="15"/>
  <c r="Z58" i="15"/>
  <c r="AA58" i="15"/>
  <c r="AB58" i="15"/>
  <c r="X59" i="15"/>
  <c r="Y59" i="15"/>
  <c r="Z59" i="15"/>
  <c r="AA59" i="15"/>
  <c r="AB59" i="15"/>
  <c r="X60" i="15"/>
  <c r="Y60" i="15"/>
  <c r="Z60" i="15"/>
  <c r="AA60" i="15"/>
  <c r="AB60" i="15"/>
  <c r="X61" i="15"/>
  <c r="Y61" i="15"/>
  <c r="Z61" i="15"/>
  <c r="AA61" i="15"/>
  <c r="AB61" i="15"/>
  <c r="X62" i="15"/>
  <c r="Y62" i="15"/>
  <c r="Z62" i="15"/>
  <c r="AA62" i="15"/>
  <c r="AB62" i="15"/>
  <c r="X63" i="15"/>
  <c r="Y63" i="15"/>
  <c r="Z63" i="15"/>
  <c r="AA63" i="15"/>
  <c r="AB63" i="15"/>
  <c r="X66" i="15"/>
  <c r="Y66" i="15"/>
  <c r="Z66" i="15"/>
  <c r="AA66" i="15"/>
  <c r="AB66" i="15"/>
  <c r="X67" i="15"/>
  <c r="Y67" i="15"/>
  <c r="Z67" i="15"/>
  <c r="AA67" i="15"/>
  <c r="AB67" i="15"/>
  <c r="X68" i="15"/>
  <c r="Y68" i="15"/>
  <c r="Z68" i="15"/>
  <c r="AA68" i="15"/>
  <c r="AB68" i="15"/>
  <c r="X69" i="15"/>
  <c r="Y69" i="15"/>
  <c r="Z69" i="15"/>
  <c r="AA69" i="15"/>
  <c r="AB69" i="15"/>
  <c r="X70" i="15"/>
  <c r="Y70" i="15"/>
  <c r="Z70" i="15"/>
  <c r="AA70" i="15"/>
  <c r="AB70" i="15"/>
  <c r="X71" i="15"/>
  <c r="Y71" i="15"/>
  <c r="Z71" i="15"/>
  <c r="AA71" i="15"/>
  <c r="AB71" i="15"/>
  <c r="X72" i="15"/>
  <c r="Y72" i="15"/>
  <c r="Z72" i="15"/>
  <c r="AA72" i="15"/>
  <c r="AB72" i="15"/>
  <c r="X73" i="15"/>
  <c r="Y73" i="15"/>
  <c r="Z73" i="15"/>
  <c r="AA73" i="15"/>
  <c r="AB73" i="15"/>
  <c r="X74" i="15"/>
  <c r="Y74" i="15"/>
  <c r="Z74" i="15"/>
  <c r="AA74" i="15"/>
  <c r="AB74" i="15"/>
  <c r="X75" i="15"/>
  <c r="Y75" i="15"/>
  <c r="Z75" i="15"/>
  <c r="AA75" i="15"/>
  <c r="AB75" i="15"/>
  <c r="X76" i="15"/>
  <c r="Y76" i="15"/>
  <c r="Z76" i="15"/>
  <c r="AA76" i="15"/>
  <c r="AB76" i="15"/>
  <c r="X77" i="15"/>
  <c r="Y77" i="15"/>
  <c r="Z77" i="15"/>
  <c r="AA77" i="15"/>
  <c r="AB77" i="15"/>
  <c r="X78" i="15"/>
  <c r="Y78" i="15"/>
  <c r="Z78" i="15"/>
  <c r="AA78" i="15"/>
  <c r="AB78" i="15"/>
  <c r="X79" i="15"/>
  <c r="Y79" i="15"/>
  <c r="Z79" i="15"/>
  <c r="AA79" i="15"/>
  <c r="AB79" i="15"/>
  <c r="X80" i="15"/>
  <c r="Y80" i="15"/>
  <c r="Z80" i="15"/>
  <c r="AA80" i="15"/>
  <c r="AB80" i="15"/>
  <c r="X81" i="15"/>
  <c r="Y81" i="15"/>
  <c r="Z81" i="15"/>
  <c r="AA81" i="15"/>
  <c r="AB81" i="15"/>
  <c r="X82" i="15"/>
  <c r="Y82" i="15"/>
  <c r="Z82" i="15"/>
  <c r="AA82" i="15"/>
  <c r="AB82" i="15"/>
  <c r="X83" i="15"/>
  <c r="Y83" i="15"/>
  <c r="Z83" i="15"/>
  <c r="AA83" i="15"/>
  <c r="AB83" i="15"/>
  <c r="X84" i="15"/>
  <c r="Y84" i="15"/>
  <c r="Z84" i="15"/>
  <c r="AA84" i="15"/>
  <c r="AB84" i="15"/>
  <c r="X85" i="15"/>
  <c r="Y85" i="15"/>
  <c r="Z85" i="15"/>
  <c r="AA85" i="15"/>
  <c r="AB85" i="15"/>
  <c r="X86" i="15"/>
  <c r="Y86" i="15"/>
  <c r="Z86" i="15"/>
  <c r="AA86" i="15"/>
  <c r="AB86" i="15"/>
  <c r="X87" i="15"/>
  <c r="Y87" i="15"/>
  <c r="Z87" i="15"/>
  <c r="AA87" i="15"/>
  <c r="AB87" i="15"/>
  <c r="X88" i="15"/>
  <c r="Y88" i="15"/>
  <c r="Z88" i="15"/>
  <c r="AA88" i="15"/>
  <c r="AB88" i="15"/>
  <c r="X89" i="15"/>
  <c r="Y89" i="15"/>
  <c r="Z89" i="15"/>
  <c r="AA89" i="15"/>
  <c r="AB89" i="15"/>
  <c r="X90" i="15"/>
  <c r="Y90" i="15"/>
  <c r="Z90" i="15"/>
  <c r="AA90" i="15"/>
  <c r="AB90" i="15"/>
  <c r="X91" i="15"/>
  <c r="Y91" i="15"/>
  <c r="Z91" i="15"/>
  <c r="AA91" i="15"/>
  <c r="AB91" i="15"/>
  <c r="X92" i="15"/>
  <c r="Y92" i="15"/>
  <c r="Z92" i="15"/>
  <c r="AA92" i="15"/>
  <c r="AB92" i="15"/>
  <c r="Y8" i="15"/>
  <c r="Z8" i="15"/>
  <c r="AA8" i="15"/>
  <c r="AB8" i="15"/>
  <c r="X8" i="15"/>
  <c r="N9" i="15"/>
  <c r="O9" i="15"/>
  <c r="P9" i="15"/>
  <c r="Q9" i="15"/>
  <c r="R9" i="15"/>
  <c r="N10" i="15"/>
  <c r="O10" i="15"/>
  <c r="P10" i="15"/>
  <c r="Q10" i="15"/>
  <c r="R10" i="15"/>
  <c r="N11" i="15"/>
  <c r="O11" i="15"/>
  <c r="P11" i="15"/>
  <c r="Q11" i="15"/>
  <c r="R11" i="15"/>
  <c r="N12" i="15"/>
  <c r="O12" i="15"/>
  <c r="P12" i="15"/>
  <c r="Q12" i="15"/>
  <c r="R12" i="15"/>
  <c r="N13" i="15"/>
  <c r="O13" i="15"/>
  <c r="P13" i="15"/>
  <c r="Q13" i="15"/>
  <c r="R13" i="15"/>
  <c r="N14" i="15"/>
  <c r="O14" i="15"/>
  <c r="P14" i="15"/>
  <c r="Q14" i="15"/>
  <c r="R14" i="15"/>
  <c r="N15" i="15"/>
  <c r="O15" i="15"/>
  <c r="P15" i="15"/>
  <c r="Q15" i="15"/>
  <c r="R15" i="15"/>
  <c r="N16" i="15"/>
  <c r="O16" i="15"/>
  <c r="P16" i="15"/>
  <c r="Q16" i="15"/>
  <c r="R16" i="15"/>
  <c r="N17" i="15"/>
  <c r="O17" i="15"/>
  <c r="P17" i="15"/>
  <c r="Q17" i="15"/>
  <c r="R17" i="15"/>
  <c r="N18" i="15"/>
  <c r="O18" i="15"/>
  <c r="P18" i="15"/>
  <c r="Q18" i="15"/>
  <c r="R18" i="15"/>
  <c r="N19" i="15"/>
  <c r="O19" i="15"/>
  <c r="P19" i="15"/>
  <c r="Q19" i="15"/>
  <c r="R19" i="15"/>
  <c r="N20" i="15"/>
  <c r="O20" i="15"/>
  <c r="P20" i="15"/>
  <c r="Q20" i="15"/>
  <c r="R20" i="15"/>
  <c r="N21" i="15"/>
  <c r="O21" i="15"/>
  <c r="P21" i="15"/>
  <c r="Q21" i="15"/>
  <c r="R21" i="15"/>
  <c r="N22" i="15"/>
  <c r="O22" i="15"/>
  <c r="P22" i="15"/>
  <c r="Q22" i="15"/>
  <c r="R22" i="15"/>
  <c r="N23" i="15"/>
  <c r="O23" i="15"/>
  <c r="P23" i="15"/>
  <c r="Q23" i="15"/>
  <c r="R23" i="15"/>
  <c r="N24" i="15"/>
  <c r="O24" i="15"/>
  <c r="P24" i="15"/>
  <c r="Q24" i="15"/>
  <c r="R24" i="15"/>
  <c r="N25" i="15"/>
  <c r="O25" i="15"/>
  <c r="P25" i="15"/>
  <c r="Q25" i="15"/>
  <c r="R25" i="15"/>
  <c r="N26" i="15"/>
  <c r="O26" i="15"/>
  <c r="P26" i="15"/>
  <c r="Q26" i="15"/>
  <c r="R26" i="15"/>
  <c r="N27" i="15"/>
  <c r="O27" i="15"/>
  <c r="P27" i="15"/>
  <c r="Q27" i="15"/>
  <c r="R27" i="15"/>
  <c r="N28" i="15"/>
  <c r="O28" i="15"/>
  <c r="P28" i="15"/>
  <c r="Q28" i="15"/>
  <c r="R28" i="15"/>
  <c r="N29" i="15"/>
  <c r="O29" i="15"/>
  <c r="P29" i="15"/>
  <c r="Q29" i="15"/>
  <c r="R29" i="15"/>
  <c r="N30" i="15"/>
  <c r="O30" i="15"/>
  <c r="P30" i="15"/>
  <c r="Q30" i="15"/>
  <c r="R30" i="15"/>
  <c r="N31" i="15"/>
  <c r="O31" i="15"/>
  <c r="P31" i="15"/>
  <c r="Q31" i="15"/>
  <c r="R31" i="15"/>
  <c r="N32" i="15"/>
  <c r="O32" i="15"/>
  <c r="P32" i="15"/>
  <c r="Q32" i="15"/>
  <c r="R32" i="15"/>
  <c r="N33" i="15"/>
  <c r="O33" i="15"/>
  <c r="P33" i="15"/>
  <c r="Q33" i="15"/>
  <c r="R33" i="15"/>
  <c r="N34" i="15"/>
  <c r="O34" i="15"/>
  <c r="P34" i="15"/>
  <c r="Q34" i="15"/>
  <c r="R34" i="15"/>
  <c r="N35" i="15"/>
  <c r="O35" i="15"/>
  <c r="P35" i="15"/>
  <c r="Q35" i="15"/>
  <c r="R35" i="15"/>
  <c r="N36" i="15"/>
  <c r="O36" i="15"/>
  <c r="P36" i="15"/>
  <c r="Q36" i="15"/>
  <c r="R36" i="15"/>
  <c r="N37" i="15"/>
  <c r="O37" i="15"/>
  <c r="P37" i="15"/>
  <c r="Q37" i="15"/>
  <c r="R37" i="15"/>
  <c r="N38" i="15"/>
  <c r="O38" i="15"/>
  <c r="P38" i="15"/>
  <c r="Q38" i="15"/>
  <c r="R38" i="15"/>
  <c r="N39" i="15"/>
  <c r="O39" i="15"/>
  <c r="P39" i="15"/>
  <c r="Q39" i="15"/>
  <c r="R39" i="15"/>
  <c r="N40" i="15"/>
  <c r="O40" i="15"/>
  <c r="P40" i="15"/>
  <c r="Q40" i="15"/>
  <c r="R40" i="15"/>
  <c r="N41" i="15"/>
  <c r="O41" i="15"/>
  <c r="P41" i="15"/>
  <c r="Q41" i="15"/>
  <c r="R41" i="15"/>
  <c r="N42" i="15"/>
  <c r="O42" i="15"/>
  <c r="P42" i="15"/>
  <c r="Q42" i="15"/>
  <c r="R42" i="15"/>
  <c r="N43" i="15"/>
  <c r="O43" i="15"/>
  <c r="P43" i="15"/>
  <c r="Q43" i="15"/>
  <c r="R43" i="15"/>
  <c r="N44" i="15"/>
  <c r="O44" i="15"/>
  <c r="P44" i="15"/>
  <c r="Q44" i="15"/>
  <c r="R44" i="15"/>
  <c r="N45" i="15"/>
  <c r="O45" i="15"/>
  <c r="P45" i="15"/>
  <c r="Q45" i="15"/>
  <c r="R45" i="15"/>
  <c r="N46" i="15"/>
  <c r="O46" i="15"/>
  <c r="P46" i="15"/>
  <c r="Q46" i="15"/>
  <c r="R46" i="15"/>
  <c r="N47" i="15"/>
  <c r="O47" i="15"/>
  <c r="P47" i="15"/>
  <c r="Q47" i="15"/>
  <c r="R47" i="15"/>
  <c r="R49" i="15"/>
  <c r="R50" i="15"/>
  <c r="R51" i="15"/>
  <c r="N54" i="15"/>
  <c r="O54" i="15"/>
  <c r="P54" i="15"/>
  <c r="Q54" i="15"/>
  <c r="R54" i="15"/>
  <c r="N55" i="15"/>
  <c r="O55" i="15"/>
  <c r="P55" i="15"/>
  <c r="Q55" i="15"/>
  <c r="R55" i="15"/>
  <c r="N56" i="15"/>
  <c r="O56" i="15"/>
  <c r="P56" i="15"/>
  <c r="Q56" i="15"/>
  <c r="R56" i="15"/>
  <c r="N57" i="15"/>
  <c r="O57" i="15"/>
  <c r="P57" i="15"/>
  <c r="Q57" i="15"/>
  <c r="R57" i="15"/>
  <c r="N58" i="15"/>
  <c r="O58" i="15"/>
  <c r="P58" i="15"/>
  <c r="Q58" i="15"/>
  <c r="R58" i="15"/>
  <c r="N59" i="15"/>
  <c r="O59" i="15"/>
  <c r="P59" i="15"/>
  <c r="Q59" i="15"/>
  <c r="R59" i="15"/>
  <c r="N60" i="15"/>
  <c r="O60" i="15"/>
  <c r="P60" i="15"/>
  <c r="Q60" i="15"/>
  <c r="R60" i="15"/>
  <c r="N61" i="15"/>
  <c r="O61" i="15"/>
  <c r="P61" i="15"/>
  <c r="Q61" i="15"/>
  <c r="R61" i="15"/>
  <c r="N62" i="15"/>
  <c r="O62" i="15"/>
  <c r="P62" i="15"/>
  <c r="Q62" i="15"/>
  <c r="R62" i="15"/>
  <c r="N63" i="15"/>
  <c r="O63" i="15"/>
  <c r="P63" i="15"/>
  <c r="Q63" i="15"/>
  <c r="R63" i="15"/>
  <c r="N66" i="15"/>
  <c r="O66" i="15"/>
  <c r="P66" i="15"/>
  <c r="Q66" i="15"/>
  <c r="R66" i="15"/>
  <c r="N67" i="15"/>
  <c r="O67" i="15"/>
  <c r="P67" i="15"/>
  <c r="Q67" i="15"/>
  <c r="R67" i="15"/>
  <c r="N68" i="15"/>
  <c r="O68" i="15"/>
  <c r="P68" i="15"/>
  <c r="Q68" i="15"/>
  <c r="R68" i="15"/>
  <c r="N69" i="15"/>
  <c r="O69" i="15"/>
  <c r="P69" i="15"/>
  <c r="Q69" i="15"/>
  <c r="R69" i="15"/>
  <c r="N70" i="15"/>
  <c r="O70" i="15"/>
  <c r="P70" i="15"/>
  <c r="Q70" i="15"/>
  <c r="R70" i="15"/>
  <c r="N71" i="15"/>
  <c r="O71" i="15"/>
  <c r="P71" i="15"/>
  <c r="Q71" i="15"/>
  <c r="R71" i="15"/>
  <c r="N72" i="15"/>
  <c r="O72" i="15"/>
  <c r="P72" i="15"/>
  <c r="Q72" i="15"/>
  <c r="R72" i="15"/>
  <c r="N73" i="15"/>
  <c r="O73" i="15"/>
  <c r="P73" i="15"/>
  <c r="Q73" i="15"/>
  <c r="R73" i="15"/>
  <c r="N74" i="15"/>
  <c r="O74" i="15"/>
  <c r="P74" i="15"/>
  <c r="Q74" i="15"/>
  <c r="R74" i="15"/>
  <c r="N75" i="15"/>
  <c r="O75" i="15"/>
  <c r="P75" i="15"/>
  <c r="Q75" i="15"/>
  <c r="R75" i="15"/>
  <c r="N76" i="15"/>
  <c r="O76" i="15"/>
  <c r="P76" i="15"/>
  <c r="Q76" i="15"/>
  <c r="R76" i="15"/>
  <c r="N77" i="15"/>
  <c r="O77" i="15"/>
  <c r="P77" i="15"/>
  <c r="Q77" i="15"/>
  <c r="R77" i="15"/>
  <c r="N78" i="15"/>
  <c r="O78" i="15"/>
  <c r="P78" i="15"/>
  <c r="Q78" i="15"/>
  <c r="R78" i="15"/>
  <c r="N79" i="15"/>
  <c r="O79" i="15"/>
  <c r="P79" i="15"/>
  <c r="Q79" i="15"/>
  <c r="R79" i="15"/>
  <c r="N80" i="15"/>
  <c r="O80" i="15"/>
  <c r="P80" i="15"/>
  <c r="Q80" i="15"/>
  <c r="R80" i="15"/>
  <c r="N81" i="15"/>
  <c r="O81" i="15"/>
  <c r="P81" i="15"/>
  <c r="Q81" i="15"/>
  <c r="R81" i="15"/>
  <c r="N82" i="15"/>
  <c r="O82" i="15"/>
  <c r="P82" i="15"/>
  <c r="Q82" i="15"/>
  <c r="R82" i="15"/>
  <c r="N83" i="15"/>
  <c r="O83" i="15"/>
  <c r="P83" i="15"/>
  <c r="Q83" i="15"/>
  <c r="R83" i="15"/>
  <c r="N84" i="15"/>
  <c r="O84" i="15"/>
  <c r="P84" i="15"/>
  <c r="Q84" i="15"/>
  <c r="R84" i="15"/>
  <c r="N85" i="15"/>
  <c r="O85" i="15"/>
  <c r="P85" i="15"/>
  <c r="Q85" i="15"/>
  <c r="R85" i="15"/>
  <c r="N86" i="15"/>
  <c r="O86" i="15"/>
  <c r="P86" i="15"/>
  <c r="Q86" i="15"/>
  <c r="R86" i="15"/>
  <c r="N87" i="15"/>
  <c r="O87" i="15"/>
  <c r="P87" i="15"/>
  <c r="Q87" i="15"/>
  <c r="R87" i="15"/>
  <c r="N88" i="15"/>
  <c r="O88" i="15"/>
  <c r="P88" i="15"/>
  <c r="Q88" i="15"/>
  <c r="R88" i="15"/>
  <c r="N89" i="15"/>
  <c r="O89" i="15"/>
  <c r="P89" i="15"/>
  <c r="Q89" i="15"/>
  <c r="R89" i="15"/>
  <c r="N90" i="15"/>
  <c r="O90" i="15"/>
  <c r="P90" i="15"/>
  <c r="Q90" i="15"/>
  <c r="R90" i="15"/>
  <c r="N91" i="15"/>
  <c r="O91" i="15"/>
  <c r="P91" i="15"/>
  <c r="Q91" i="15"/>
  <c r="R91" i="15"/>
  <c r="N92" i="15"/>
  <c r="O92" i="15"/>
  <c r="P92" i="15"/>
  <c r="Q92" i="15"/>
  <c r="R92" i="15"/>
  <c r="O8" i="15"/>
  <c r="P8" i="15"/>
  <c r="Q8" i="15"/>
  <c r="R8" i="15"/>
  <c r="N8" i="15"/>
  <c r="D54" i="15"/>
  <c r="E54" i="15"/>
  <c r="F54" i="15"/>
  <c r="G54" i="15"/>
  <c r="H54" i="15"/>
  <c r="D55" i="15"/>
  <c r="E55" i="15"/>
  <c r="F55" i="15"/>
  <c r="G55" i="15"/>
  <c r="H55" i="15"/>
  <c r="D56" i="15"/>
  <c r="E56" i="15"/>
  <c r="F56" i="15"/>
  <c r="G56" i="15"/>
  <c r="H56" i="15"/>
  <c r="D57" i="15"/>
  <c r="E57" i="15"/>
  <c r="F57" i="15"/>
  <c r="G57" i="15"/>
  <c r="H57" i="15"/>
  <c r="D58" i="15"/>
  <c r="E58" i="15"/>
  <c r="F58" i="15"/>
  <c r="G58" i="15"/>
  <c r="H58" i="15"/>
  <c r="D59" i="15"/>
  <c r="E59" i="15"/>
  <c r="F59" i="15"/>
  <c r="G59" i="15"/>
  <c r="H59" i="15"/>
  <c r="D60" i="15"/>
  <c r="E60" i="15"/>
  <c r="F60" i="15"/>
  <c r="G60" i="15"/>
  <c r="H60" i="15"/>
  <c r="D61" i="15"/>
  <c r="E61" i="15"/>
  <c r="F61" i="15"/>
  <c r="G61" i="15"/>
  <c r="H61" i="15"/>
  <c r="D62" i="15"/>
  <c r="E62" i="15"/>
  <c r="F62" i="15"/>
  <c r="G62" i="15"/>
  <c r="H62" i="15"/>
  <c r="D63" i="15"/>
  <c r="E63" i="15"/>
  <c r="F63" i="15"/>
  <c r="G63" i="15"/>
  <c r="H63" i="15"/>
  <c r="D66" i="15"/>
  <c r="E66" i="15"/>
  <c r="F66" i="15"/>
  <c r="G66" i="15"/>
  <c r="H66" i="15"/>
  <c r="D67" i="15"/>
  <c r="E67" i="15"/>
  <c r="F67" i="15"/>
  <c r="G67" i="15"/>
  <c r="H67" i="15"/>
  <c r="D68" i="15"/>
  <c r="E68" i="15"/>
  <c r="F68" i="15"/>
  <c r="G68" i="15"/>
  <c r="H68" i="15"/>
  <c r="D69" i="15"/>
  <c r="E69" i="15"/>
  <c r="F69" i="15"/>
  <c r="G69" i="15"/>
  <c r="H69" i="15"/>
  <c r="D70" i="15"/>
  <c r="E70" i="15"/>
  <c r="F70" i="15"/>
  <c r="G70" i="15"/>
  <c r="H70" i="15"/>
  <c r="D71" i="15"/>
  <c r="E71" i="15"/>
  <c r="F71" i="15"/>
  <c r="G71" i="15"/>
  <c r="H71" i="15"/>
  <c r="D72" i="15"/>
  <c r="E72" i="15"/>
  <c r="F72" i="15"/>
  <c r="G72" i="15"/>
  <c r="H72" i="15"/>
  <c r="D73" i="15"/>
  <c r="E73" i="15"/>
  <c r="F73" i="15"/>
  <c r="G73" i="15"/>
  <c r="H73" i="15"/>
  <c r="D74" i="15"/>
  <c r="E74" i="15"/>
  <c r="F74" i="15"/>
  <c r="G74" i="15"/>
  <c r="H74" i="15"/>
  <c r="D75" i="15"/>
  <c r="E75" i="15"/>
  <c r="F75" i="15"/>
  <c r="G75" i="15"/>
  <c r="H75" i="15"/>
  <c r="D76" i="15"/>
  <c r="E76" i="15"/>
  <c r="F76" i="15"/>
  <c r="G76" i="15"/>
  <c r="H76" i="15"/>
  <c r="D77" i="15"/>
  <c r="E77" i="15"/>
  <c r="F77" i="15"/>
  <c r="G77" i="15"/>
  <c r="H77" i="15"/>
  <c r="D78" i="15"/>
  <c r="E78" i="15"/>
  <c r="F78" i="15"/>
  <c r="G78" i="15"/>
  <c r="H78" i="15"/>
  <c r="D79" i="15"/>
  <c r="E79" i="15"/>
  <c r="F79" i="15"/>
  <c r="G79" i="15"/>
  <c r="H79" i="15"/>
  <c r="D80" i="15"/>
  <c r="E80" i="15"/>
  <c r="F80" i="15"/>
  <c r="G80" i="15"/>
  <c r="H80" i="15"/>
  <c r="D81" i="15"/>
  <c r="E81" i="15"/>
  <c r="F81" i="15"/>
  <c r="G81" i="15"/>
  <c r="H81" i="15"/>
  <c r="D82" i="15"/>
  <c r="E82" i="15"/>
  <c r="F82" i="15"/>
  <c r="G82" i="15"/>
  <c r="H82" i="15"/>
  <c r="D83" i="15"/>
  <c r="E83" i="15"/>
  <c r="F83" i="15"/>
  <c r="G83" i="15"/>
  <c r="H83" i="15"/>
  <c r="D84" i="15"/>
  <c r="E84" i="15"/>
  <c r="F84" i="15"/>
  <c r="G84" i="15"/>
  <c r="H84" i="15"/>
  <c r="D85" i="15"/>
  <c r="E85" i="15"/>
  <c r="F85" i="15"/>
  <c r="G85" i="15"/>
  <c r="H85" i="15"/>
  <c r="D86" i="15"/>
  <c r="E86" i="15"/>
  <c r="F86" i="15"/>
  <c r="G86" i="15"/>
  <c r="H86" i="15"/>
  <c r="D87" i="15"/>
  <c r="E87" i="15"/>
  <c r="F87" i="15"/>
  <c r="G87" i="15"/>
  <c r="H87" i="15"/>
  <c r="D88" i="15"/>
  <c r="E88" i="15"/>
  <c r="F88" i="15"/>
  <c r="G88" i="15"/>
  <c r="H88" i="15"/>
  <c r="D89" i="15"/>
  <c r="E89" i="15"/>
  <c r="F89" i="15"/>
  <c r="G89" i="15"/>
  <c r="H89" i="15"/>
  <c r="D90" i="15"/>
  <c r="E90" i="15"/>
  <c r="F90" i="15"/>
  <c r="G90" i="15"/>
  <c r="H90" i="15"/>
  <c r="D91" i="15"/>
  <c r="E91" i="15"/>
  <c r="F91" i="15"/>
  <c r="G91" i="15"/>
  <c r="H91" i="15"/>
  <c r="D92" i="15"/>
  <c r="E92" i="15"/>
  <c r="F92" i="15"/>
  <c r="G92" i="15"/>
  <c r="H92" i="15"/>
  <c r="D47" i="15"/>
  <c r="E47" i="15"/>
  <c r="F47" i="15"/>
  <c r="G47" i="15"/>
  <c r="H47" i="15"/>
  <c r="H49" i="15"/>
  <c r="H50" i="15"/>
  <c r="H51" i="15"/>
  <c r="D9" i="15"/>
  <c r="E9" i="15"/>
  <c r="F9" i="15"/>
  <c r="G9" i="15"/>
  <c r="H9" i="15"/>
  <c r="D10" i="15"/>
  <c r="E10" i="15"/>
  <c r="F10" i="15"/>
  <c r="G10" i="15"/>
  <c r="H10" i="15"/>
  <c r="D11" i="15"/>
  <c r="E11" i="15"/>
  <c r="F11" i="15"/>
  <c r="G11" i="15"/>
  <c r="H11" i="15"/>
  <c r="D12" i="15"/>
  <c r="E12" i="15"/>
  <c r="F12" i="15"/>
  <c r="G12" i="15"/>
  <c r="H12" i="15"/>
  <c r="D13" i="15"/>
  <c r="E13" i="15"/>
  <c r="F13" i="15"/>
  <c r="G13" i="15"/>
  <c r="H13" i="15"/>
  <c r="D14" i="15"/>
  <c r="E14" i="15"/>
  <c r="F14" i="15"/>
  <c r="G14" i="15"/>
  <c r="H14" i="15"/>
  <c r="D15" i="15"/>
  <c r="E15" i="15"/>
  <c r="F15" i="15"/>
  <c r="G15" i="15"/>
  <c r="H15" i="15"/>
  <c r="D16" i="15"/>
  <c r="E16" i="15"/>
  <c r="F16" i="15"/>
  <c r="G16" i="15"/>
  <c r="H16" i="15"/>
  <c r="D17" i="15"/>
  <c r="E17" i="15"/>
  <c r="F17" i="15"/>
  <c r="G17" i="15"/>
  <c r="H17" i="15"/>
  <c r="D18" i="15"/>
  <c r="E18" i="15"/>
  <c r="F18" i="15"/>
  <c r="G18" i="15"/>
  <c r="H18" i="15"/>
  <c r="D19" i="15"/>
  <c r="E19" i="15"/>
  <c r="F19" i="15"/>
  <c r="G19" i="15"/>
  <c r="H19" i="15"/>
  <c r="D20" i="15"/>
  <c r="E20" i="15"/>
  <c r="F20" i="15"/>
  <c r="G20" i="15"/>
  <c r="H20" i="15"/>
  <c r="D21" i="15"/>
  <c r="E21" i="15"/>
  <c r="F21" i="15"/>
  <c r="G21" i="15"/>
  <c r="H21" i="15"/>
  <c r="D22" i="15"/>
  <c r="E22" i="15"/>
  <c r="F22" i="15"/>
  <c r="G22" i="15"/>
  <c r="H22" i="15"/>
  <c r="D23" i="15"/>
  <c r="E23" i="15"/>
  <c r="F23" i="15"/>
  <c r="G23" i="15"/>
  <c r="H23" i="15"/>
  <c r="D24" i="15"/>
  <c r="E24" i="15"/>
  <c r="F24" i="15"/>
  <c r="G24" i="15"/>
  <c r="H24" i="15"/>
  <c r="D25" i="15"/>
  <c r="E25" i="15"/>
  <c r="F25" i="15"/>
  <c r="G25" i="15"/>
  <c r="H25" i="15"/>
  <c r="D26" i="15"/>
  <c r="E26" i="15"/>
  <c r="F26" i="15"/>
  <c r="G26" i="15"/>
  <c r="H26" i="15"/>
  <c r="D27" i="15"/>
  <c r="E27" i="15"/>
  <c r="F27" i="15"/>
  <c r="G27" i="15"/>
  <c r="H27" i="15"/>
  <c r="D28" i="15"/>
  <c r="E28" i="15"/>
  <c r="F28" i="15"/>
  <c r="G28" i="15"/>
  <c r="H28" i="15"/>
  <c r="D29" i="15"/>
  <c r="E29" i="15"/>
  <c r="F29" i="15"/>
  <c r="G29" i="15"/>
  <c r="H29" i="15"/>
  <c r="D30" i="15"/>
  <c r="E30" i="15"/>
  <c r="F30" i="15"/>
  <c r="G30" i="15"/>
  <c r="H30" i="15"/>
  <c r="D31" i="15"/>
  <c r="E31" i="15"/>
  <c r="F31" i="15"/>
  <c r="G31" i="15"/>
  <c r="H31" i="15"/>
  <c r="D32" i="15"/>
  <c r="E32" i="15"/>
  <c r="F32" i="15"/>
  <c r="G32" i="15"/>
  <c r="H32" i="15"/>
  <c r="D33" i="15"/>
  <c r="E33" i="15"/>
  <c r="F33" i="15"/>
  <c r="G33" i="15"/>
  <c r="H33" i="15"/>
  <c r="D34" i="15"/>
  <c r="E34" i="15"/>
  <c r="F34" i="15"/>
  <c r="G34" i="15"/>
  <c r="H34" i="15"/>
  <c r="D35" i="15"/>
  <c r="E35" i="15"/>
  <c r="F35" i="15"/>
  <c r="G35" i="15"/>
  <c r="H35" i="15"/>
  <c r="D36" i="15"/>
  <c r="E36" i="15"/>
  <c r="F36" i="15"/>
  <c r="G36" i="15"/>
  <c r="H36" i="15"/>
  <c r="D37" i="15"/>
  <c r="E37" i="15"/>
  <c r="F37" i="15"/>
  <c r="G37" i="15"/>
  <c r="H37" i="15"/>
  <c r="D38" i="15"/>
  <c r="E38" i="15"/>
  <c r="F38" i="15"/>
  <c r="G38" i="15"/>
  <c r="H38" i="15"/>
  <c r="D39" i="15"/>
  <c r="E39" i="15"/>
  <c r="F39" i="15"/>
  <c r="G39" i="15"/>
  <c r="H39" i="15"/>
  <c r="D40" i="15"/>
  <c r="E40" i="15"/>
  <c r="F40" i="15"/>
  <c r="G40" i="15"/>
  <c r="H40" i="15"/>
  <c r="D41" i="15"/>
  <c r="E41" i="15"/>
  <c r="F41" i="15"/>
  <c r="G41" i="15"/>
  <c r="H41" i="15"/>
  <c r="D42" i="15"/>
  <c r="E42" i="15"/>
  <c r="F42" i="15"/>
  <c r="G42" i="15"/>
  <c r="H42" i="15"/>
  <c r="D43" i="15"/>
  <c r="E43" i="15"/>
  <c r="F43" i="15"/>
  <c r="G43" i="15"/>
  <c r="H43" i="15"/>
  <c r="D44" i="15"/>
  <c r="E44" i="15"/>
  <c r="F44" i="15"/>
  <c r="G44" i="15"/>
  <c r="H44" i="15"/>
  <c r="D45" i="15"/>
  <c r="E45" i="15"/>
  <c r="F45" i="15"/>
  <c r="G45" i="15"/>
  <c r="H45" i="15"/>
  <c r="D46" i="15"/>
  <c r="E46" i="15"/>
  <c r="F46" i="15"/>
  <c r="G46" i="15"/>
  <c r="H46" i="15"/>
  <c r="E8" i="15"/>
  <c r="F8" i="15"/>
  <c r="G8" i="15"/>
  <c r="H8" i="15"/>
  <c r="D8" i="15"/>
  <c r="BU7" i="15"/>
  <c r="BU53" i="15" s="1"/>
  <c r="BU65" i="15" s="1"/>
  <c r="BT7" i="15"/>
  <c r="BT53" i="15" s="1"/>
  <c r="BT65" i="15" s="1"/>
  <c r="BS7" i="15"/>
  <c r="BS53" i="15" s="1"/>
  <c r="BS65" i="15" s="1"/>
  <c r="BR7" i="15"/>
  <c r="BR53" i="15" s="1"/>
  <c r="BR65" i="15" s="1"/>
  <c r="BQ7" i="15"/>
  <c r="BQ53" i="15" s="1"/>
  <c r="BQ65" i="15" s="1"/>
  <c r="BK7" i="15"/>
  <c r="BK53" i="15" s="1"/>
  <c r="BK65" i="15" s="1"/>
  <c r="BJ7" i="15"/>
  <c r="BJ53" i="15" s="1"/>
  <c r="BJ65" i="15" s="1"/>
  <c r="BI7" i="15"/>
  <c r="BI53" i="15" s="1"/>
  <c r="BI65" i="15" s="1"/>
  <c r="BH7" i="15"/>
  <c r="BH53" i="15" s="1"/>
  <c r="BH65" i="15" s="1"/>
  <c r="BG7" i="15"/>
  <c r="BG53" i="15" s="1"/>
  <c r="BG65" i="15" s="1"/>
  <c r="BA7" i="15"/>
  <c r="BA53" i="15" s="1"/>
  <c r="BA65" i="15" s="1"/>
  <c r="AZ7" i="15"/>
  <c r="AZ53" i="15" s="1"/>
  <c r="AZ65" i="15" s="1"/>
  <c r="AY7" i="15"/>
  <c r="AY53" i="15" s="1"/>
  <c r="AY65" i="15" s="1"/>
  <c r="AX7" i="15"/>
  <c r="AX53" i="15" s="1"/>
  <c r="AX65" i="15" s="1"/>
  <c r="AW7" i="15"/>
  <c r="AW53" i="15" s="1"/>
  <c r="AW65" i="15" s="1"/>
  <c r="AQ7" i="15"/>
  <c r="AQ53" i="15" s="1"/>
  <c r="AQ65" i="15" s="1"/>
  <c r="AP7" i="15"/>
  <c r="AP53" i="15" s="1"/>
  <c r="AP65" i="15" s="1"/>
  <c r="AO7" i="15"/>
  <c r="AO53" i="15" s="1"/>
  <c r="AO65" i="15" s="1"/>
  <c r="AN7" i="15"/>
  <c r="AN53" i="15" s="1"/>
  <c r="AN65" i="15" s="1"/>
  <c r="AM7" i="15"/>
  <c r="AM53" i="15" s="1"/>
  <c r="AM65" i="15" s="1"/>
  <c r="AG7" i="15"/>
  <c r="AG53" i="15" s="1"/>
  <c r="AG65" i="15" s="1"/>
  <c r="AF7" i="15"/>
  <c r="AF53" i="15" s="1"/>
  <c r="AF65" i="15" s="1"/>
  <c r="AE7" i="15"/>
  <c r="AE53" i="15" s="1"/>
  <c r="AE65" i="15" s="1"/>
  <c r="AD7" i="15"/>
  <c r="AD53" i="15" s="1"/>
  <c r="AD65" i="15" s="1"/>
  <c r="AC7" i="15"/>
  <c r="AC53" i="15" s="1"/>
  <c r="AC65" i="15" s="1"/>
  <c r="W7" i="15"/>
  <c r="W53" i="15" s="1"/>
  <c r="W65" i="15" s="1"/>
  <c r="V7" i="15"/>
  <c r="V53" i="15" s="1"/>
  <c r="V65" i="15" s="1"/>
  <c r="U7" i="15"/>
  <c r="U53" i="15" s="1"/>
  <c r="U65" i="15" s="1"/>
  <c r="T7" i="15"/>
  <c r="T53" i="15" s="1"/>
  <c r="T65" i="15" s="1"/>
  <c r="S7" i="15"/>
  <c r="S53" i="15" s="1"/>
  <c r="S65" i="15" s="1"/>
  <c r="J7" i="15"/>
  <c r="J53" i="15" s="1"/>
  <c r="J65" i="15" s="1"/>
  <c r="K7" i="15"/>
  <c r="K53" i="15" s="1"/>
  <c r="K65" i="15" s="1"/>
  <c r="L7" i="15"/>
  <c r="L53" i="15" s="1"/>
  <c r="L65" i="15" s="1"/>
  <c r="M7" i="15"/>
  <c r="M53" i="15" s="1"/>
  <c r="M65" i="15" s="1"/>
  <c r="I7" i="15"/>
  <c r="I53" i="15" s="1"/>
  <c r="I65" i="15" s="1"/>
  <c r="G12" i="2"/>
  <c r="G57" i="2"/>
  <c r="AI20" i="12" s="1"/>
  <c r="G87" i="2"/>
  <c r="G89" i="2"/>
  <c r="G67" i="2"/>
  <c r="G47" i="2"/>
  <c r="G37" i="2"/>
  <c r="G19" i="2"/>
  <c r="G17" i="2"/>
  <c r="G13" i="2"/>
  <c r="H13" i="2" s="1"/>
  <c r="J13" i="2" s="1"/>
  <c r="H12" i="2"/>
  <c r="J12" i="2" s="1"/>
  <c r="G14" i="2"/>
  <c r="D70" i="12" s="1"/>
  <c r="D74" i="12" s="1"/>
  <c r="BV11" i="5" s="1"/>
  <c r="G16" i="2"/>
  <c r="G20" i="2"/>
  <c r="G21" i="2"/>
  <c r="M2" i="5"/>
  <c r="M3" i="5"/>
  <c r="M4" i="5"/>
  <c r="C8" i="14"/>
  <c r="C7" i="14"/>
  <c r="C6" i="14"/>
  <c r="C5" i="14"/>
  <c r="C3" i="14"/>
  <c r="AK43" i="12"/>
  <c r="AK43" i="13" s="1"/>
  <c r="AJ43" i="12"/>
  <c r="AJ43" i="13" s="1"/>
  <c r="AI43" i="12"/>
  <c r="AI43" i="13" s="1"/>
  <c r="AH43" i="12"/>
  <c r="AF43" i="12"/>
  <c r="AF43" i="13" s="1"/>
  <c r="AE43" i="12"/>
  <c r="AE43" i="13" s="1"/>
  <c r="AD43" i="12"/>
  <c r="AD43" i="13" s="1"/>
  <c r="AC43" i="12"/>
  <c r="AC43" i="13" s="1"/>
  <c r="AA43" i="12"/>
  <c r="AA43" i="13" s="1"/>
  <c r="Z43" i="12"/>
  <c r="Y43" i="12"/>
  <c r="Y43" i="13" s="1"/>
  <c r="X43" i="12"/>
  <c r="X43" i="13" s="1"/>
  <c r="V43" i="12"/>
  <c r="V43" i="13" s="1"/>
  <c r="U43" i="12"/>
  <c r="U43" i="13" s="1"/>
  <c r="T43" i="12"/>
  <c r="T43" i="13" s="1"/>
  <c r="S43" i="12"/>
  <c r="S43" i="13" s="1"/>
  <c r="Q43" i="12"/>
  <c r="Q43" i="13" s="1"/>
  <c r="P43" i="12"/>
  <c r="P43" i="13" s="1"/>
  <c r="O43" i="12"/>
  <c r="O43" i="13" s="1"/>
  <c r="N43" i="12"/>
  <c r="N43" i="13" s="1"/>
  <c r="L43" i="12"/>
  <c r="L43" i="13" s="1"/>
  <c r="K43" i="12"/>
  <c r="K43" i="13" s="1"/>
  <c r="J43" i="12"/>
  <c r="J43" i="13" s="1"/>
  <c r="I43" i="12"/>
  <c r="G43" i="12"/>
  <c r="G43" i="13" s="1"/>
  <c r="F43" i="12"/>
  <c r="F43" i="13" s="1"/>
  <c r="E43" i="12"/>
  <c r="E43" i="13" s="1"/>
  <c r="D43" i="12"/>
  <c r="D43" i="13" s="1"/>
  <c r="AK36" i="12"/>
  <c r="AK36" i="13" s="1"/>
  <c r="AJ36" i="12"/>
  <c r="AJ36" i="13" s="1"/>
  <c r="AI36" i="12"/>
  <c r="AI36" i="13" s="1"/>
  <c r="AH36" i="12"/>
  <c r="AH36" i="13" s="1"/>
  <c r="AF36" i="12"/>
  <c r="AF36" i="13" s="1"/>
  <c r="AE36" i="12"/>
  <c r="AE36" i="13" s="1"/>
  <c r="AD36" i="12"/>
  <c r="AD36" i="13" s="1"/>
  <c r="AC36" i="12"/>
  <c r="AA36" i="12"/>
  <c r="AA36" i="13" s="1"/>
  <c r="Z36" i="12"/>
  <c r="Z36" i="13" s="1"/>
  <c r="Y36" i="12"/>
  <c r="Y36" i="13" s="1"/>
  <c r="X36" i="12"/>
  <c r="X36" i="13" s="1"/>
  <c r="V36" i="12"/>
  <c r="V36" i="13" s="1"/>
  <c r="U36" i="12"/>
  <c r="U36" i="13" s="1"/>
  <c r="T36" i="12"/>
  <c r="T36" i="13" s="1"/>
  <c r="S36" i="12"/>
  <c r="Q36" i="12"/>
  <c r="Q36" i="13" s="1"/>
  <c r="P36" i="12"/>
  <c r="P36" i="13" s="1"/>
  <c r="O36" i="12"/>
  <c r="O36" i="13" s="1"/>
  <c r="N36" i="12"/>
  <c r="N36" i="13" s="1"/>
  <c r="L36" i="12"/>
  <c r="L36" i="13" s="1"/>
  <c r="K36" i="12"/>
  <c r="K36" i="13" s="1"/>
  <c r="J36" i="12"/>
  <c r="J36" i="13" s="1"/>
  <c r="I36" i="12"/>
  <c r="I36" i="13" s="1"/>
  <c r="G36" i="12"/>
  <c r="G36" i="13" s="1"/>
  <c r="F36" i="12"/>
  <c r="F36" i="13" s="1"/>
  <c r="E36" i="12"/>
  <c r="E36" i="13" s="1"/>
  <c r="D36" i="12"/>
  <c r="AK21" i="12"/>
  <c r="AK21" i="13" s="1"/>
  <c r="AJ21" i="12"/>
  <c r="AJ21" i="13" s="1"/>
  <c r="AI21" i="12"/>
  <c r="AI21" i="13" s="1"/>
  <c r="AH21" i="12"/>
  <c r="AH21" i="13" s="1"/>
  <c r="AF21" i="12"/>
  <c r="AF21" i="13" s="1"/>
  <c r="AE21" i="12"/>
  <c r="AE21" i="13" s="1"/>
  <c r="AD21" i="12"/>
  <c r="AD21" i="13" s="1"/>
  <c r="AC21" i="12"/>
  <c r="AC21" i="13" s="1"/>
  <c r="AA21" i="12"/>
  <c r="AA21" i="13" s="1"/>
  <c r="Z21" i="12"/>
  <c r="Z21" i="13" s="1"/>
  <c r="Y21" i="12"/>
  <c r="X21" i="12"/>
  <c r="X21" i="13" s="1"/>
  <c r="V21" i="12"/>
  <c r="V21" i="13" s="1"/>
  <c r="U21" i="12"/>
  <c r="U21" i="13" s="1"/>
  <c r="T21" i="12"/>
  <c r="T21" i="13" s="1"/>
  <c r="S21" i="12"/>
  <c r="S21" i="13" s="1"/>
  <c r="Q21" i="12"/>
  <c r="Q21" i="13" s="1"/>
  <c r="P21" i="12"/>
  <c r="O21" i="12"/>
  <c r="O21" i="13" s="1"/>
  <c r="N21" i="12"/>
  <c r="N21" i="13" s="1"/>
  <c r="L21" i="12"/>
  <c r="L21" i="13" s="1"/>
  <c r="K21" i="12"/>
  <c r="K21" i="13" s="1"/>
  <c r="J21" i="12"/>
  <c r="J21" i="13" s="1"/>
  <c r="I21" i="12"/>
  <c r="I21" i="13" s="1"/>
  <c r="G21" i="12"/>
  <c r="G21" i="13" s="1"/>
  <c r="F21" i="12"/>
  <c r="E21" i="12"/>
  <c r="D21" i="12"/>
  <c r="D21" i="13" s="1"/>
  <c r="AK20" i="12"/>
  <c r="AK20" i="13" s="1"/>
  <c r="AJ20" i="12"/>
  <c r="AH20" i="12"/>
  <c r="AH20" i="13" s="1"/>
  <c r="AF20" i="12"/>
  <c r="AF20" i="13" s="1"/>
  <c r="AE20" i="12"/>
  <c r="AE20" i="13" s="1"/>
  <c r="AD20" i="12"/>
  <c r="AD20" i="13" s="1"/>
  <c r="AC20" i="12"/>
  <c r="AC20" i="13" s="1"/>
  <c r="AA20" i="12"/>
  <c r="Z20" i="12"/>
  <c r="Z20" i="13" s="1"/>
  <c r="Y20" i="12"/>
  <c r="Y20" i="13" s="1"/>
  <c r="X20" i="12"/>
  <c r="X20" i="13" s="1"/>
  <c r="V20" i="12"/>
  <c r="U20" i="12"/>
  <c r="U20" i="13" s="1"/>
  <c r="T20" i="12"/>
  <c r="T20" i="13" s="1"/>
  <c r="S20" i="12"/>
  <c r="S20" i="13" s="1"/>
  <c r="Q20" i="12"/>
  <c r="P20" i="12"/>
  <c r="O20" i="12"/>
  <c r="N20" i="12"/>
  <c r="N20" i="13" s="1"/>
  <c r="L20" i="12"/>
  <c r="L20" i="13" s="1"/>
  <c r="K20" i="12"/>
  <c r="K20" i="13" s="1"/>
  <c r="J20" i="12"/>
  <c r="I20" i="12"/>
  <c r="I20" i="13" s="1"/>
  <c r="G20" i="12"/>
  <c r="G20" i="13" s="1"/>
  <c r="F20" i="12"/>
  <c r="F20" i="13" s="1"/>
  <c r="E20" i="12"/>
  <c r="E20" i="13" s="1"/>
  <c r="D20" i="12"/>
  <c r="D20" i="13" s="1"/>
  <c r="D71" i="7"/>
  <c r="E71" i="7" s="1"/>
  <c r="D70" i="7"/>
  <c r="D74" i="7" s="1"/>
  <c r="D69" i="7"/>
  <c r="D68" i="7"/>
  <c r="AK21" i="7"/>
  <c r="AJ21" i="7"/>
  <c r="AI21" i="7"/>
  <c r="AH21" i="7"/>
  <c r="AF21" i="7"/>
  <c r="AE21" i="7"/>
  <c r="AD21" i="7"/>
  <c r="AC21" i="7"/>
  <c r="AA21" i="7"/>
  <c r="Z21" i="7"/>
  <c r="Y21" i="7"/>
  <c r="X21" i="7"/>
  <c r="V21" i="7"/>
  <c r="U21" i="7"/>
  <c r="T21" i="7"/>
  <c r="S21" i="7"/>
  <c r="Q21" i="7"/>
  <c r="P21" i="7"/>
  <c r="O21" i="7"/>
  <c r="N21" i="7"/>
  <c r="L21" i="7"/>
  <c r="K21" i="7"/>
  <c r="J21" i="7"/>
  <c r="I21" i="7"/>
  <c r="G21" i="7"/>
  <c r="F21" i="7"/>
  <c r="E21" i="7"/>
  <c r="D21" i="7"/>
  <c r="AK20" i="7"/>
  <c r="AJ20" i="7"/>
  <c r="AI20" i="7"/>
  <c r="AH20" i="7"/>
  <c r="AF20" i="7"/>
  <c r="AE20" i="7"/>
  <c r="AD20" i="7"/>
  <c r="AC20" i="7"/>
  <c r="AA20" i="7"/>
  <c r="Z20" i="7"/>
  <c r="Y20" i="7"/>
  <c r="X20" i="7"/>
  <c r="V20" i="7"/>
  <c r="U20" i="7"/>
  <c r="T20" i="7"/>
  <c r="S20" i="7"/>
  <c r="Q20" i="7"/>
  <c r="P20" i="7"/>
  <c r="O20" i="7"/>
  <c r="N20" i="7"/>
  <c r="L20" i="7"/>
  <c r="K20" i="7"/>
  <c r="J20" i="7"/>
  <c r="I20" i="7"/>
  <c r="G20" i="7"/>
  <c r="F20" i="7"/>
  <c r="E20" i="7"/>
  <c r="D20" i="7"/>
  <c r="AK43" i="7"/>
  <c r="AJ43" i="7"/>
  <c r="AI43" i="7"/>
  <c r="AH43" i="7"/>
  <c r="AF43" i="7"/>
  <c r="AE43" i="7"/>
  <c r="AD43" i="7"/>
  <c r="AC43" i="7"/>
  <c r="AA43" i="7"/>
  <c r="Z43" i="7"/>
  <c r="Y43" i="7"/>
  <c r="X43" i="7"/>
  <c r="V43" i="7"/>
  <c r="U43" i="7"/>
  <c r="T43" i="7"/>
  <c r="S43" i="7"/>
  <c r="Q43" i="7"/>
  <c r="P43" i="7"/>
  <c r="O43" i="7"/>
  <c r="N43" i="7"/>
  <c r="L43" i="7"/>
  <c r="K43" i="7"/>
  <c r="J43" i="7"/>
  <c r="I43" i="7"/>
  <c r="G43" i="7"/>
  <c r="F43" i="7"/>
  <c r="E43" i="7"/>
  <c r="D43" i="7"/>
  <c r="AK36" i="7"/>
  <c r="AJ36" i="7"/>
  <c r="AI36" i="7"/>
  <c r="AH36" i="7"/>
  <c r="AF36" i="7"/>
  <c r="AE36" i="7"/>
  <c r="AD36" i="7"/>
  <c r="AC36" i="7"/>
  <c r="AA36" i="7"/>
  <c r="Z36" i="7"/>
  <c r="Y36" i="7"/>
  <c r="X36" i="7"/>
  <c r="V36" i="7"/>
  <c r="U36" i="7"/>
  <c r="T36" i="7"/>
  <c r="S36" i="7"/>
  <c r="Q36" i="7"/>
  <c r="P36" i="7"/>
  <c r="O36" i="7"/>
  <c r="N36" i="7"/>
  <c r="L36" i="7"/>
  <c r="K36" i="7"/>
  <c r="J36" i="7"/>
  <c r="I36" i="7"/>
  <c r="G36" i="7"/>
  <c r="F36" i="7"/>
  <c r="E36" i="7"/>
  <c r="D36" i="7"/>
  <c r="G15" i="2"/>
  <c r="H15" i="2" s="1"/>
  <c r="J15" i="2" s="1"/>
  <c r="D75" i="13"/>
  <c r="D67" i="13" s="1"/>
  <c r="D71" i="13"/>
  <c r="E71" i="13" s="1"/>
  <c r="F71" i="13" s="1"/>
  <c r="G71" i="13" s="1"/>
  <c r="G75" i="13" s="1"/>
  <c r="G67" i="13" s="1"/>
  <c r="H67" i="13" s="1"/>
  <c r="D70" i="13"/>
  <c r="D74" i="13" s="1"/>
  <c r="D66" i="13" s="1"/>
  <c r="D69" i="13"/>
  <c r="D68" i="13"/>
  <c r="D72" i="13" s="1"/>
  <c r="D64" i="13" s="1"/>
  <c r="H59" i="13"/>
  <c r="AL46" i="13"/>
  <c r="AG46" i="13"/>
  <c r="AB46" i="13"/>
  <c r="W46" i="13"/>
  <c r="R46" i="13"/>
  <c r="M46" i="13"/>
  <c r="H46" i="13"/>
  <c r="C3" i="13"/>
  <c r="H59" i="12"/>
  <c r="AL46" i="12"/>
  <c r="AG46" i="12"/>
  <c r="AB46" i="12"/>
  <c r="W46" i="12"/>
  <c r="R46" i="12"/>
  <c r="M46" i="12"/>
  <c r="H46" i="12"/>
  <c r="C3" i="12"/>
  <c r="G86" i="2"/>
  <c r="H86" i="2" s="1"/>
  <c r="G88" i="2"/>
  <c r="G85" i="2"/>
  <c r="G75" i="2"/>
  <c r="G76" i="2"/>
  <c r="G77" i="2"/>
  <c r="G78" i="2"/>
  <c r="G79" i="2"/>
  <c r="H79" i="2" s="1"/>
  <c r="G80" i="2"/>
  <c r="H80" i="2" s="1"/>
  <c r="G81" i="2"/>
  <c r="H81" i="2" s="1"/>
  <c r="G82" i="2"/>
  <c r="H82" i="2" s="1"/>
  <c r="G83" i="2"/>
  <c r="H78" i="2"/>
  <c r="G74" i="2"/>
  <c r="G70" i="2"/>
  <c r="G71" i="2"/>
  <c r="G72" i="2"/>
  <c r="H71" i="2"/>
  <c r="H72" i="2"/>
  <c r="G69" i="2"/>
  <c r="G65" i="2"/>
  <c r="G66" i="2"/>
  <c r="G64" i="2"/>
  <c r="G62" i="2"/>
  <c r="G35" i="2"/>
  <c r="G36" i="2"/>
  <c r="H37" i="2"/>
  <c r="G38" i="2"/>
  <c r="H38" i="2" s="1"/>
  <c r="G39" i="2"/>
  <c r="G40" i="2"/>
  <c r="H40" i="2" s="1"/>
  <c r="G41" i="2"/>
  <c r="G42" i="2"/>
  <c r="G43" i="2"/>
  <c r="G44" i="2"/>
  <c r="G45" i="2"/>
  <c r="G46" i="2"/>
  <c r="H47" i="2"/>
  <c r="G48" i="2"/>
  <c r="G49" i="2"/>
  <c r="G50" i="2"/>
  <c r="G51" i="2"/>
  <c r="G52" i="2"/>
  <c r="G53" i="2"/>
  <c r="H53" i="2" s="1"/>
  <c r="G54" i="2"/>
  <c r="H54" i="2" s="1"/>
  <c r="G55" i="2"/>
  <c r="H55" i="2" s="1"/>
  <c r="G56" i="2"/>
  <c r="H57" i="2"/>
  <c r="G58" i="2"/>
  <c r="G59" i="2"/>
  <c r="H49" i="2"/>
  <c r="G34" i="2"/>
  <c r="G22" i="2"/>
  <c r="G23" i="2"/>
  <c r="G24" i="2"/>
  <c r="G25" i="2"/>
  <c r="G26" i="2"/>
  <c r="G27" i="2"/>
  <c r="G28" i="2"/>
  <c r="G29" i="2"/>
  <c r="G30" i="2"/>
  <c r="G31" i="2"/>
  <c r="G32" i="2"/>
  <c r="H14" i="2"/>
  <c r="J14" i="2" s="1"/>
  <c r="F13" i="2"/>
  <c r="I13" i="2" s="1"/>
  <c r="F12" i="2"/>
  <c r="I12" i="2" s="1"/>
  <c r="H89" i="2"/>
  <c r="H83" i="2"/>
  <c r="H70" i="2"/>
  <c r="H69" i="2"/>
  <c r="H58" i="2"/>
  <c r="H52" i="2"/>
  <c r="H51" i="2"/>
  <c r="H45" i="2"/>
  <c r="H39" i="2"/>
  <c r="F71" i="7" l="1"/>
  <c r="E75" i="7"/>
  <c r="D75" i="7"/>
  <c r="D67" i="7" s="1"/>
  <c r="D71" i="12"/>
  <c r="E71" i="12" s="1"/>
  <c r="E75" i="12" s="1"/>
  <c r="D66" i="7"/>
  <c r="AT11" i="5"/>
  <c r="E70" i="7"/>
  <c r="F70" i="7" s="1"/>
  <c r="G70" i="7" s="1"/>
  <c r="G74" i="7" s="1"/>
  <c r="E70" i="13"/>
  <c r="F70" i="13" s="1"/>
  <c r="F74" i="13" s="1"/>
  <c r="F66" i="13" s="1"/>
  <c r="D69" i="12"/>
  <c r="D73" i="12" s="1"/>
  <c r="BV10" i="5" s="1"/>
  <c r="E68" i="13"/>
  <c r="E75" i="13"/>
  <c r="E67" i="13" s="1"/>
  <c r="AT12" i="5"/>
  <c r="E67" i="7"/>
  <c r="AU12" i="5"/>
  <c r="H71" i="13"/>
  <c r="I71" i="13" s="1"/>
  <c r="I75" i="13" s="1"/>
  <c r="I67" i="13" s="1"/>
  <c r="F75" i="13"/>
  <c r="F67" i="13" s="1"/>
  <c r="E74" i="13"/>
  <c r="E66" i="13" s="1"/>
  <c r="D68" i="12"/>
  <c r="E68" i="12" s="1"/>
  <c r="W36" i="12"/>
  <c r="P22" i="12"/>
  <c r="P22" i="13" s="1"/>
  <c r="O22" i="12"/>
  <c r="O22" i="13" s="1"/>
  <c r="M43" i="12"/>
  <c r="AL43" i="12"/>
  <c r="L22" i="12"/>
  <c r="L22" i="13" s="1"/>
  <c r="AB43" i="12"/>
  <c r="AH43" i="13"/>
  <c r="AL43" i="13" s="1"/>
  <c r="I43" i="13"/>
  <c r="M43" i="13" s="1"/>
  <c r="H36" i="12"/>
  <c r="AG36" i="12"/>
  <c r="N22" i="12"/>
  <c r="N22" i="13" s="1"/>
  <c r="P21" i="13"/>
  <c r="R21" i="13" s="1"/>
  <c r="D36" i="13"/>
  <c r="H36" i="13" s="1"/>
  <c r="S36" i="13"/>
  <c r="W36" i="13" s="1"/>
  <c r="J22" i="12"/>
  <c r="J22" i="13" s="1"/>
  <c r="AI22" i="12"/>
  <c r="AI22" i="13" s="1"/>
  <c r="Y22" i="12"/>
  <c r="Y22" i="13" s="1"/>
  <c r="AC36" i="13"/>
  <c r="AG36" i="13" s="1"/>
  <c r="AJ22" i="12"/>
  <c r="AJ22" i="13" s="1"/>
  <c r="Z43" i="13"/>
  <c r="AB43" i="13" s="1"/>
  <c r="AH22" i="12"/>
  <c r="AH22" i="13" s="1"/>
  <c r="R43" i="12"/>
  <c r="D66" i="12"/>
  <c r="D65" i="12"/>
  <c r="H43" i="12"/>
  <c r="H20" i="13"/>
  <c r="W21" i="13"/>
  <c r="P20" i="13"/>
  <c r="O20" i="13"/>
  <c r="AB21" i="12"/>
  <c r="AA20" i="13"/>
  <c r="AB20" i="13" s="1"/>
  <c r="AB20" i="12"/>
  <c r="AG20" i="13"/>
  <c r="Q22" i="12"/>
  <c r="Q22" i="13" s="1"/>
  <c r="D22" i="12"/>
  <c r="D22" i="13" s="1"/>
  <c r="E22" i="12"/>
  <c r="E22" i="13" s="1"/>
  <c r="F22" i="12"/>
  <c r="F22" i="13" s="1"/>
  <c r="V22" i="12"/>
  <c r="V22" i="13" s="1"/>
  <c r="X22" i="12"/>
  <c r="X22" i="13" s="1"/>
  <c r="AA22" i="12"/>
  <c r="AA22" i="13" s="1"/>
  <c r="M21" i="13"/>
  <c r="S22" i="12"/>
  <c r="S22" i="13" s="1"/>
  <c r="AK22" i="12"/>
  <c r="AK22" i="13" s="1"/>
  <c r="J20" i="13"/>
  <c r="M20" i="13" s="1"/>
  <c r="V20" i="13"/>
  <c r="W20" i="13" s="1"/>
  <c r="AI20" i="13"/>
  <c r="Y21" i="13"/>
  <c r="AB21" i="13" s="1"/>
  <c r="AJ20" i="13"/>
  <c r="AC22" i="12"/>
  <c r="AC22" i="13" s="1"/>
  <c r="E21" i="13"/>
  <c r="AF22" i="12"/>
  <c r="AF22" i="13" s="1"/>
  <c r="F21" i="13"/>
  <c r="AG21" i="13"/>
  <c r="I22" i="12"/>
  <c r="I22" i="13" s="1"/>
  <c r="Q20" i="13"/>
  <c r="E70" i="12"/>
  <c r="E69" i="12"/>
  <c r="E73" i="12" s="1"/>
  <c r="R43" i="13"/>
  <c r="AL21" i="13"/>
  <c r="F74" i="7"/>
  <c r="E68" i="7"/>
  <c r="D40" i="7"/>
  <c r="D72" i="7"/>
  <c r="AT9" i="5" s="1"/>
  <c r="D73" i="7"/>
  <c r="E69" i="7"/>
  <c r="D41" i="7"/>
  <c r="F68" i="13"/>
  <c r="E72" i="13"/>
  <c r="R36" i="13"/>
  <c r="D73" i="13"/>
  <c r="E69" i="13"/>
  <c r="AB36" i="13"/>
  <c r="H43" i="13"/>
  <c r="M36" i="13"/>
  <c r="AL36" i="13"/>
  <c r="AG43" i="13"/>
  <c r="W43" i="13"/>
  <c r="H75" i="13"/>
  <c r="K22" i="12"/>
  <c r="M20" i="12"/>
  <c r="H21" i="12"/>
  <c r="W21" i="12"/>
  <c r="AD22" i="12"/>
  <c r="AD22" i="13" s="1"/>
  <c r="M36" i="12"/>
  <c r="R20" i="12"/>
  <c r="Z22" i="12"/>
  <c r="Z22" i="13" s="1"/>
  <c r="R21" i="12"/>
  <c r="AG21" i="12"/>
  <c r="G22" i="12"/>
  <c r="AG20" i="12"/>
  <c r="AE22" i="12"/>
  <c r="AE22" i="13" s="1"/>
  <c r="M21" i="12"/>
  <c r="T22" i="12"/>
  <c r="T22" i="13" s="1"/>
  <c r="W20" i="12"/>
  <c r="U22" i="12"/>
  <c r="U22" i="13" s="1"/>
  <c r="AL20" i="12"/>
  <c r="AL21" i="12"/>
  <c r="H20" i="12"/>
  <c r="AL36" i="12"/>
  <c r="AB36" i="12"/>
  <c r="AG43" i="12"/>
  <c r="R36" i="12"/>
  <c r="W43" i="12"/>
  <c r="C3" i="10"/>
  <c r="D71" i="10"/>
  <c r="D75" i="10" s="1"/>
  <c r="D67" i="10" s="1"/>
  <c r="D70" i="10"/>
  <c r="D74" i="10" s="1"/>
  <c r="D66" i="10" s="1"/>
  <c r="D69" i="10"/>
  <c r="E69" i="10" s="1"/>
  <c r="E73" i="10" s="1"/>
  <c r="E65" i="10" s="1"/>
  <c r="D68" i="10"/>
  <c r="D72" i="10" s="1"/>
  <c r="D64" i="10" s="1"/>
  <c r="H59" i="10"/>
  <c r="AL46" i="10"/>
  <c r="AG46" i="10"/>
  <c r="AB46" i="10"/>
  <c r="W46" i="10"/>
  <c r="R46" i="10"/>
  <c r="M46" i="10"/>
  <c r="H46" i="10"/>
  <c r="D21" i="10"/>
  <c r="D43" i="10"/>
  <c r="AK36" i="10"/>
  <c r="AJ36" i="10"/>
  <c r="AI36" i="10"/>
  <c r="AH36" i="10"/>
  <c r="AF36" i="10"/>
  <c r="AE36" i="10"/>
  <c r="AD36" i="10"/>
  <c r="AC36" i="10"/>
  <c r="AA36" i="10"/>
  <c r="Z36" i="10"/>
  <c r="Y36" i="10"/>
  <c r="X36" i="10"/>
  <c r="V36" i="10"/>
  <c r="U36" i="10"/>
  <c r="T36" i="10"/>
  <c r="S36" i="10"/>
  <c r="Q36" i="10"/>
  <c r="P36" i="10"/>
  <c r="O36" i="10"/>
  <c r="N36" i="10"/>
  <c r="L36" i="10"/>
  <c r="K36" i="10"/>
  <c r="J36" i="10"/>
  <c r="I36" i="10"/>
  <c r="G36" i="10"/>
  <c r="F36" i="10"/>
  <c r="E36" i="10"/>
  <c r="AA43" i="10"/>
  <c r="Z43" i="10"/>
  <c r="Y43" i="10"/>
  <c r="X43" i="10"/>
  <c r="AF43" i="10"/>
  <c r="AE43" i="10"/>
  <c r="AD43" i="10"/>
  <c r="AC43" i="10"/>
  <c r="AK43" i="10"/>
  <c r="AJ43" i="10"/>
  <c r="AI43" i="10"/>
  <c r="AH43" i="10"/>
  <c r="V43" i="10"/>
  <c r="U43" i="10"/>
  <c r="T43" i="10"/>
  <c r="S43" i="10"/>
  <c r="Q43" i="10"/>
  <c r="P43" i="10"/>
  <c r="O43" i="10"/>
  <c r="N43" i="10"/>
  <c r="L43" i="10"/>
  <c r="K43" i="10"/>
  <c r="J43" i="10"/>
  <c r="I43" i="10"/>
  <c r="G43" i="10"/>
  <c r="F43" i="10"/>
  <c r="E43" i="10"/>
  <c r="D36" i="10"/>
  <c r="AK21" i="10"/>
  <c r="AJ21" i="10"/>
  <c r="AI21" i="10"/>
  <c r="AH21" i="10"/>
  <c r="AK20" i="10"/>
  <c r="AJ20" i="10"/>
  <c r="AI20" i="10"/>
  <c r="AH20" i="10"/>
  <c r="AF21" i="10"/>
  <c r="AE21" i="10"/>
  <c r="AD21" i="10"/>
  <c r="AC21" i="10"/>
  <c r="AF20" i="10"/>
  <c r="AE20" i="10"/>
  <c r="AD20" i="10"/>
  <c r="AC20" i="10"/>
  <c r="AA21" i="10"/>
  <c r="Z21" i="10"/>
  <c r="Y21" i="10"/>
  <c r="X21" i="10"/>
  <c r="AA20" i="10"/>
  <c r="Z20" i="10"/>
  <c r="Y20" i="10"/>
  <c r="X20" i="10"/>
  <c r="V21" i="10"/>
  <c r="U21" i="10"/>
  <c r="T21" i="10"/>
  <c r="S21" i="10"/>
  <c r="V20" i="10"/>
  <c r="U20" i="10"/>
  <c r="T20" i="10"/>
  <c r="S20" i="10"/>
  <c r="Q21" i="10"/>
  <c r="P21" i="10"/>
  <c r="O21" i="10"/>
  <c r="N21" i="10"/>
  <c r="Q20" i="10"/>
  <c r="P20" i="10"/>
  <c r="O20" i="10"/>
  <c r="N20" i="10"/>
  <c r="L21" i="10"/>
  <c r="K21" i="10"/>
  <c r="J21" i="10"/>
  <c r="I21" i="10"/>
  <c r="L20" i="10"/>
  <c r="K20" i="10"/>
  <c r="J20" i="10"/>
  <c r="I20" i="10"/>
  <c r="G21" i="10"/>
  <c r="G20" i="10"/>
  <c r="F21" i="10"/>
  <c r="F20" i="10"/>
  <c r="E21" i="10"/>
  <c r="E20" i="10"/>
  <c r="D20" i="10"/>
  <c r="AK3" i="5"/>
  <c r="AK4" i="5"/>
  <c r="AK5" i="5"/>
  <c r="AK2" i="5"/>
  <c r="C8" i="9"/>
  <c r="C7" i="9"/>
  <c r="C6" i="9"/>
  <c r="C5" i="9"/>
  <c r="F89" i="2"/>
  <c r="F86" i="2"/>
  <c r="F83" i="2"/>
  <c r="F82" i="2"/>
  <c r="F81" i="2"/>
  <c r="F80" i="2"/>
  <c r="F79" i="2"/>
  <c r="F78" i="2"/>
  <c r="F72" i="2"/>
  <c r="F71" i="2"/>
  <c r="F70" i="2"/>
  <c r="F69" i="2"/>
  <c r="F58" i="2"/>
  <c r="F57" i="2"/>
  <c r="F55" i="2"/>
  <c r="F54" i="2"/>
  <c r="F53" i="2"/>
  <c r="F52" i="2"/>
  <c r="F51" i="2"/>
  <c r="F49" i="2"/>
  <c r="F47" i="2"/>
  <c r="F45" i="2"/>
  <c r="F40" i="2"/>
  <c r="F39" i="2"/>
  <c r="F38" i="2"/>
  <c r="F37" i="2"/>
  <c r="U5" i="5"/>
  <c r="U4" i="5"/>
  <c r="U3" i="5"/>
  <c r="U2" i="5"/>
  <c r="D75" i="12" l="1"/>
  <c r="F71" i="12"/>
  <c r="E71" i="10"/>
  <c r="F71" i="10" s="1"/>
  <c r="G71" i="7"/>
  <c r="G75" i="7" s="1"/>
  <c r="F75" i="7"/>
  <c r="G70" i="13"/>
  <c r="G74" i="13" s="1"/>
  <c r="G66" i="13" s="1"/>
  <c r="H66" i="13" s="1"/>
  <c r="E74" i="7"/>
  <c r="D72" i="12"/>
  <c r="D86" i="12" s="1"/>
  <c r="D38" i="12" s="1"/>
  <c r="D38" i="13" s="1"/>
  <c r="D40" i="12"/>
  <c r="D40" i="13" s="1"/>
  <c r="F66" i="7"/>
  <c r="AV11" i="5"/>
  <c r="G66" i="7"/>
  <c r="AW11" i="5"/>
  <c r="E66" i="7"/>
  <c r="AU11" i="5"/>
  <c r="D65" i="7"/>
  <c r="AT10" i="5"/>
  <c r="H74" i="13"/>
  <c r="H70" i="13"/>
  <c r="I70" i="13" s="1"/>
  <c r="I74" i="13" s="1"/>
  <c r="I66" i="13" s="1"/>
  <c r="D67" i="12"/>
  <c r="BV12" i="5"/>
  <c r="E67" i="12"/>
  <c r="BW12" i="5"/>
  <c r="D41" i="12"/>
  <c r="D41" i="13" s="1"/>
  <c r="F75" i="12"/>
  <c r="G71" i="12"/>
  <c r="G75" i="12" s="1"/>
  <c r="D80" i="12"/>
  <c r="D10" i="12" s="1"/>
  <c r="D82" i="12"/>
  <c r="D15" i="12" s="1"/>
  <c r="D15" i="13" s="1"/>
  <c r="D89" i="12"/>
  <c r="D31" i="12" s="1"/>
  <c r="D81" i="12"/>
  <c r="D13" i="12" s="1"/>
  <c r="D19" i="12"/>
  <c r="D19" i="13" s="1"/>
  <c r="D23" i="13" s="1"/>
  <c r="D24" i="13" s="1"/>
  <c r="D64" i="12"/>
  <c r="BV9" i="5"/>
  <c r="D88" i="12"/>
  <c r="D30" i="12" s="1"/>
  <c r="D30" i="13" s="1"/>
  <c r="D87" i="12"/>
  <c r="D90" i="12"/>
  <c r="D32" i="12" s="1"/>
  <c r="D85" i="12"/>
  <c r="D42" i="12" s="1"/>
  <c r="D77" i="12"/>
  <c r="D7" i="12" s="1"/>
  <c r="D7" i="13" s="1"/>
  <c r="F70" i="12"/>
  <c r="F74" i="12" s="1"/>
  <c r="E74" i="12"/>
  <c r="E65" i="12"/>
  <c r="BW10" i="5"/>
  <c r="D83" i="12"/>
  <c r="D83" i="13" s="1"/>
  <c r="D76" i="12"/>
  <c r="D6" i="12" s="1"/>
  <c r="D6" i="13" s="1"/>
  <c r="D78" i="12"/>
  <c r="D8" i="12" s="1"/>
  <c r="R22" i="13"/>
  <c r="AL22" i="13"/>
  <c r="E40" i="12"/>
  <c r="E40" i="13" s="1"/>
  <c r="E41" i="12"/>
  <c r="E41" i="13" s="1"/>
  <c r="E72" i="12"/>
  <c r="BW9" i="5" s="1"/>
  <c r="R20" i="13"/>
  <c r="AG22" i="13"/>
  <c r="W22" i="13"/>
  <c r="R22" i="12"/>
  <c r="AL20" i="13"/>
  <c r="AL22" i="12"/>
  <c r="AB22" i="13"/>
  <c r="M22" i="12"/>
  <c r="K22" i="13"/>
  <c r="M22" i="13" s="1"/>
  <c r="H22" i="12"/>
  <c r="G22" i="13"/>
  <c r="H22" i="13" s="1"/>
  <c r="H21" i="13"/>
  <c r="AB22" i="12"/>
  <c r="F69" i="12"/>
  <c r="F73" i="12" s="1"/>
  <c r="F68" i="12"/>
  <c r="D89" i="7"/>
  <c r="D31" i="7" s="1"/>
  <c r="D82" i="7"/>
  <c r="D78" i="7"/>
  <c r="D8" i="7" s="1"/>
  <c r="D80" i="7"/>
  <c r="D10" i="7" s="1"/>
  <c r="D90" i="7"/>
  <c r="D32" i="7" s="1"/>
  <c r="D88" i="7"/>
  <c r="D19" i="7"/>
  <c r="D87" i="7"/>
  <c r="D86" i="7"/>
  <c r="D39" i="7" s="1"/>
  <c r="D64" i="7"/>
  <c r="D79" i="7"/>
  <c r="D83" i="7"/>
  <c r="D81" i="7"/>
  <c r="D13" i="7" s="1"/>
  <c r="D77" i="7"/>
  <c r="D7" i="7" s="1"/>
  <c r="D85" i="7"/>
  <c r="D42" i="7" s="1"/>
  <c r="D76" i="7"/>
  <c r="E73" i="7"/>
  <c r="F69" i="7"/>
  <c r="E40" i="7"/>
  <c r="E72" i="7"/>
  <c r="AU9" i="5" s="1"/>
  <c r="F68" i="7"/>
  <c r="E41" i="7"/>
  <c r="F69" i="13"/>
  <c r="E73" i="13"/>
  <c r="E65" i="13" s="1"/>
  <c r="D65" i="13"/>
  <c r="D85" i="13"/>
  <c r="D88" i="13"/>
  <c r="F72" i="13"/>
  <c r="G68" i="13"/>
  <c r="D86" i="13"/>
  <c r="D89" i="13"/>
  <c r="E64" i="13"/>
  <c r="J71" i="13"/>
  <c r="D90" i="13"/>
  <c r="D87" i="13"/>
  <c r="AG22" i="12"/>
  <c r="W22" i="12"/>
  <c r="F69" i="10"/>
  <c r="G69" i="10" s="1"/>
  <c r="E70" i="10"/>
  <c r="D73" i="10"/>
  <c r="D65" i="10" s="1"/>
  <c r="E68" i="10"/>
  <c r="F68" i="10" s="1"/>
  <c r="E75" i="10"/>
  <c r="E67" i="10" s="1"/>
  <c r="AL43" i="10"/>
  <c r="AL36" i="10"/>
  <c r="H36" i="10"/>
  <c r="H43" i="10"/>
  <c r="M43" i="10"/>
  <c r="R36" i="10"/>
  <c r="R43" i="10"/>
  <c r="M21" i="10"/>
  <c r="W36" i="10"/>
  <c r="AB20" i="10"/>
  <c r="H21" i="10"/>
  <c r="AG21" i="10"/>
  <c r="H20" i="10"/>
  <c r="R20" i="10"/>
  <c r="R21" i="10"/>
  <c r="AG20" i="10"/>
  <c r="W20" i="10"/>
  <c r="W21" i="10"/>
  <c r="AB36" i="10"/>
  <c r="M20" i="10"/>
  <c r="AL21" i="10"/>
  <c r="AB21" i="10"/>
  <c r="AL20" i="10"/>
  <c r="AG36" i="10"/>
  <c r="M36" i="10"/>
  <c r="W43" i="10"/>
  <c r="AB43" i="10"/>
  <c r="G71" i="10"/>
  <c r="F75" i="10"/>
  <c r="F67" i="10" s="1"/>
  <c r="AG43" i="10"/>
  <c r="AE22" i="7"/>
  <c r="AE22" i="10" s="1"/>
  <c r="L22" i="7"/>
  <c r="L22" i="10" s="1"/>
  <c r="AD22" i="7"/>
  <c r="AD22" i="10" s="1"/>
  <c r="O22" i="7"/>
  <c r="O22" i="10" s="1"/>
  <c r="AK22" i="7"/>
  <c r="AK22" i="10" s="1"/>
  <c r="F22" i="7"/>
  <c r="F22" i="10" s="1"/>
  <c r="AF22" i="7"/>
  <c r="AF22" i="10" s="1"/>
  <c r="G22" i="7"/>
  <c r="G22" i="10" s="1"/>
  <c r="I22" i="7"/>
  <c r="I22" i="10" s="1"/>
  <c r="AH22" i="7"/>
  <c r="AH22" i="10" s="1"/>
  <c r="J22" i="7"/>
  <c r="J22" i="10" s="1"/>
  <c r="AI22" i="7"/>
  <c r="AI22" i="10" s="1"/>
  <c r="Z22" i="7"/>
  <c r="Z22" i="10" s="1"/>
  <c r="AC22" i="7"/>
  <c r="AC22" i="10" s="1"/>
  <c r="AA22" i="7"/>
  <c r="AA22" i="10" s="1"/>
  <c r="U22" i="7"/>
  <c r="U22" i="10" s="1"/>
  <c r="V22" i="7"/>
  <c r="V22" i="10" s="1"/>
  <c r="Y22" i="7"/>
  <c r="Y22" i="10" s="1"/>
  <c r="X22" i="7"/>
  <c r="X22" i="10" s="1"/>
  <c r="P22" i="7"/>
  <c r="P22" i="10" s="1"/>
  <c r="Q22" i="7"/>
  <c r="Q22" i="10" s="1"/>
  <c r="T22" i="7"/>
  <c r="T22" i="10" s="1"/>
  <c r="S22" i="7"/>
  <c r="S22" i="10" s="1"/>
  <c r="E22" i="7"/>
  <c r="E22" i="10" s="1"/>
  <c r="K22" i="7"/>
  <c r="K22" i="10" s="1"/>
  <c r="N22" i="7"/>
  <c r="N22" i="10" s="1"/>
  <c r="AJ22" i="7"/>
  <c r="AJ22" i="10" s="1"/>
  <c r="F15" i="2"/>
  <c r="F14" i="2"/>
  <c r="C3" i="9"/>
  <c r="C3" i="7"/>
  <c r="H59" i="7"/>
  <c r="D82" i="13" l="1"/>
  <c r="AW12" i="5"/>
  <c r="G67" i="7"/>
  <c r="AV12" i="5"/>
  <c r="F67" i="7"/>
  <c r="F73" i="10"/>
  <c r="F65" i="10" s="1"/>
  <c r="D79" i="12"/>
  <c r="D9" i="12" s="1"/>
  <c r="E72" i="10"/>
  <c r="D39" i="12"/>
  <c r="D39" i="13" s="1"/>
  <c r="D35" i="12"/>
  <c r="D35" i="13" s="1"/>
  <c r="E89" i="13"/>
  <c r="E85" i="13"/>
  <c r="E65" i="7"/>
  <c r="AU10" i="5"/>
  <c r="E90" i="13"/>
  <c r="E87" i="13"/>
  <c r="E88" i="13"/>
  <c r="D14" i="12"/>
  <c r="D14" i="13" s="1"/>
  <c r="D34" i="12"/>
  <c r="D34" i="13" s="1"/>
  <c r="G70" i="12"/>
  <c r="G74" i="12" s="1"/>
  <c r="BY11" i="5" s="1"/>
  <c r="D29" i="12"/>
  <c r="D29" i="13" s="1"/>
  <c r="BY12" i="5"/>
  <c r="G67" i="12"/>
  <c r="BX12" i="5"/>
  <c r="F67" i="12"/>
  <c r="D77" i="13"/>
  <c r="D58" i="12"/>
  <c r="D58" i="13" s="1"/>
  <c r="E66" i="12"/>
  <c r="BW11" i="5"/>
  <c r="F66" i="12"/>
  <c r="BX11" i="5"/>
  <c r="F65" i="12"/>
  <c r="BX10" i="5"/>
  <c r="D76" i="13"/>
  <c r="D16" i="12"/>
  <c r="D16" i="13" s="1"/>
  <c r="D26" i="12"/>
  <c r="D26" i="13" s="1"/>
  <c r="W22" i="10"/>
  <c r="F41" i="12"/>
  <c r="F40" i="12"/>
  <c r="F40" i="13" s="1"/>
  <c r="F72" i="12"/>
  <c r="BX9" i="5" s="1"/>
  <c r="E85" i="12"/>
  <c r="E42" i="12" s="1"/>
  <c r="E42" i="13" s="1"/>
  <c r="E89" i="12"/>
  <c r="E31" i="12" s="1"/>
  <c r="E31" i="13" s="1"/>
  <c r="E87" i="12"/>
  <c r="E76" i="12"/>
  <c r="E64" i="12"/>
  <c r="E82" i="12"/>
  <c r="E82" i="13" s="1"/>
  <c r="E80" i="12"/>
  <c r="E10" i="12" s="1"/>
  <c r="E19" i="12"/>
  <c r="E90" i="12"/>
  <c r="E32" i="12" s="1"/>
  <c r="E32" i="13" s="1"/>
  <c r="E78" i="12"/>
  <c r="E8" i="12" s="1"/>
  <c r="E83" i="12"/>
  <c r="E83" i="13" s="1"/>
  <c r="E86" i="12"/>
  <c r="E77" i="12"/>
  <c r="E7" i="12" s="1"/>
  <c r="E81" i="12"/>
  <c r="E13" i="12" s="1"/>
  <c r="E79" i="12"/>
  <c r="E79" i="13" s="1"/>
  <c r="E88" i="12"/>
  <c r="D10" i="13"/>
  <c r="D80" i="13"/>
  <c r="D8" i="13"/>
  <c r="D78" i="13"/>
  <c r="D13" i="13"/>
  <c r="D81" i="13"/>
  <c r="G69" i="12"/>
  <c r="G73" i="12" s="1"/>
  <c r="G68" i="12"/>
  <c r="D16" i="7"/>
  <c r="D6" i="7"/>
  <c r="D26" i="7"/>
  <c r="E89" i="7"/>
  <c r="E31" i="7" s="1"/>
  <c r="E82" i="7"/>
  <c r="E88" i="7"/>
  <c r="E76" i="7"/>
  <c r="E79" i="7"/>
  <c r="E19" i="7"/>
  <c r="E83" i="7"/>
  <c r="E86" i="7"/>
  <c r="E39" i="7" s="1"/>
  <c r="E81" i="7"/>
  <c r="E13" i="7" s="1"/>
  <c r="E64" i="7"/>
  <c r="E77" i="7"/>
  <c r="E7" i="7" s="1"/>
  <c r="E80" i="7"/>
  <c r="E10" i="7" s="1"/>
  <c r="E87" i="7"/>
  <c r="E90" i="7"/>
  <c r="E32" i="7" s="1"/>
  <c r="E85" i="7"/>
  <c r="E42" i="7" s="1"/>
  <c r="E78" i="7"/>
  <c r="E8" i="7" s="1"/>
  <c r="D35" i="7"/>
  <c r="D38" i="7"/>
  <c r="G69" i="7"/>
  <c r="G73" i="7" s="1"/>
  <c r="F73" i="7"/>
  <c r="D58" i="7"/>
  <c r="D29" i="7"/>
  <c r="D14" i="7"/>
  <c r="D15" i="7"/>
  <c r="F40" i="7"/>
  <c r="G68" i="7"/>
  <c r="F41" i="7"/>
  <c r="F72" i="7"/>
  <c r="AV9" i="5" s="1"/>
  <c r="D84" i="7"/>
  <c r="D9" i="7"/>
  <c r="D34" i="7"/>
  <c r="F64" i="13"/>
  <c r="J75" i="13"/>
  <c r="J67" i="13" s="1"/>
  <c r="K71" i="13"/>
  <c r="J70" i="13"/>
  <c r="E86" i="13"/>
  <c r="G69" i="13"/>
  <c r="F73" i="13"/>
  <c r="F65" i="13" s="1"/>
  <c r="G72" i="13"/>
  <c r="H68" i="13"/>
  <c r="D31" i="13"/>
  <c r="D42" i="13"/>
  <c r="D23" i="12"/>
  <c r="D32" i="13"/>
  <c r="D90" i="10"/>
  <c r="D85" i="10"/>
  <c r="D88" i="10"/>
  <c r="D40" i="10"/>
  <c r="D41" i="10"/>
  <c r="D87" i="10"/>
  <c r="I14" i="2"/>
  <c r="D89" i="10"/>
  <c r="D86" i="10"/>
  <c r="I15" i="2"/>
  <c r="E74" i="10"/>
  <c r="E66" i="10" s="1"/>
  <c r="F70" i="10"/>
  <c r="R22" i="10"/>
  <c r="AL22" i="10"/>
  <c r="AG22" i="10"/>
  <c r="M22" i="10"/>
  <c r="AB22" i="10"/>
  <c r="G73" i="10"/>
  <c r="H69" i="10"/>
  <c r="G68" i="10"/>
  <c r="F72" i="10"/>
  <c r="E87" i="10"/>
  <c r="E64" i="10"/>
  <c r="G75" i="10"/>
  <c r="H71" i="10"/>
  <c r="H75" i="7"/>
  <c r="H67" i="7"/>
  <c r="V5" i="5" s="1"/>
  <c r="V14" i="5" s="1"/>
  <c r="D22" i="7"/>
  <c r="D22" i="10" s="1"/>
  <c r="M21" i="7"/>
  <c r="AG20" i="7"/>
  <c r="AB21" i="7"/>
  <c r="R21" i="7"/>
  <c r="W20" i="7"/>
  <c r="AG21" i="7"/>
  <c r="AL20" i="7"/>
  <c r="M20" i="7"/>
  <c r="AL21" i="7"/>
  <c r="AB20" i="7"/>
  <c r="W21" i="7"/>
  <c r="R20" i="7"/>
  <c r="H20" i="7"/>
  <c r="H21" i="7"/>
  <c r="H71" i="7"/>
  <c r="D84" i="12" l="1"/>
  <c r="D84" i="13" s="1"/>
  <c r="D79" i="13"/>
  <c r="D44" i="13"/>
  <c r="E90" i="10"/>
  <c r="G66" i="12"/>
  <c r="F65" i="7"/>
  <c r="AV10" i="5"/>
  <c r="G65" i="7"/>
  <c r="AW10" i="5"/>
  <c r="F88" i="13"/>
  <c r="F87" i="13"/>
  <c r="F86" i="13"/>
  <c r="H70" i="12"/>
  <c r="I70" i="12" s="1"/>
  <c r="I74" i="12" s="1"/>
  <c r="G65" i="12"/>
  <c r="BY10" i="5"/>
  <c r="E29" i="12"/>
  <c r="E29" i="13" s="1"/>
  <c r="E34" i="12"/>
  <c r="E34" i="13" s="1"/>
  <c r="E58" i="12"/>
  <c r="E58" i="13" s="1"/>
  <c r="F85" i="12"/>
  <c r="F42" i="12" s="1"/>
  <c r="F76" i="12"/>
  <c r="F80" i="12"/>
  <c r="F10" i="12" s="1"/>
  <c r="F83" i="12"/>
  <c r="F83" i="13" s="1"/>
  <c r="F87" i="12"/>
  <c r="F82" i="12"/>
  <c r="F86" i="12"/>
  <c r="F78" i="12"/>
  <c r="F8" i="12" s="1"/>
  <c r="F88" i="12"/>
  <c r="F30" i="12" s="1"/>
  <c r="F30" i="13" s="1"/>
  <c r="F89" i="12"/>
  <c r="F31" i="12" s="1"/>
  <c r="F31" i="13" s="1"/>
  <c r="F64" i="12"/>
  <c r="F79" i="12"/>
  <c r="F77" i="12"/>
  <c r="F7" i="12" s="1"/>
  <c r="F19" i="12"/>
  <c r="F19" i="13" s="1"/>
  <c r="F81" i="12"/>
  <c r="F13" i="12" s="1"/>
  <c r="F90" i="12"/>
  <c r="F32" i="12" s="1"/>
  <c r="E14" i="12"/>
  <c r="E14" i="13" s="1"/>
  <c r="E15" i="12"/>
  <c r="E15" i="13" s="1"/>
  <c r="E9" i="12"/>
  <c r="E9" i="13" s="1"/>
  <c r="E84" i="12"/>
  <c r="E84" i="13" s="1"/>
  <c r="E35" i="12"/>
  <c r="E35" i="13" s="1"/>
  <c r="E39" i="12"/>
  <c r="E39" i="13" s="1"/>
  <c r="E38" i="12"/>
  <c r="E38" i="13" s="1"/>
  <c r="E6" i="12"/>
  <c r="E6" i="13" s="1"/>
  <c r="E26" i="12"/>
  <c r="E26" i="13" s="1"/>
  <c r="E27" i="13" s="1"/>
  <c r="E16" i="12"/>
  <c r="E16" i="13" s="1"/>
  <c r="G41" i="12"/>
  <c r="G41" i="13" s="1"/>
  <c r="G40" i="12"/>
  <c r="G72" i="12"/>
  <c r="BY9" i="5" s="1"/>
  <c r="E7" i="13"/>
  <c r="E77" i="13"/>
  <c r="H66" i="12"/>
  <c r="V13" i="5" s="1"/>
  <c r="H74" i="12"/>
  <c r="D11" i="12"/>
  <c r="D12" i="12" s="1"/>
  <c r="D9" i="13"/>
  <c r="E23" i="12"/>
  <c r="E24" i="12" s="1"/>
  <c r="E19" i="13"/>
  <c r="E23" i="13" s="1"/>
  <c r="D17" i="13"/>
  <c r="E8" i="13"/>
  <c r="E78" i="13"/>
  <c r="D17" i="12"/>
  <c r="D18" i="12" s="1"/>
  <c r="D33" i="13"/>
  <c r="D27" i="12"/>
  <c r="D55" i="12" s="1"/>
  <c r="D55" i="13" s="1"/>
  <c r="E13" i="13"/>
  <c r="E81" i="13"/>
  <c r="F41" i="13"/>
  <c r="H68" i="12"/>
  <c r="D37" i="13"/>
  <c r="E10" i="13"/>
  <c r="E80" i="13"/>
  <c r="D27" i="13"/>
  <c r="E76" i="13"/>
  <c r="H69" i="12"/>
  <c r="E29" i="7"/>
  <c r="E58" i="7"/>
  <c r="E14" i="7"/>
  <c r="E15" i="7"/>
  <c r="G72" i="7"/>
  <c r="AW9" i="5" s="1"/>
  <c r="G40" i="7"/>
  <c r="G41" i="7"/>
  <c r="E9" i="7"/>
  <c r="E84" i="7"/>
  <c r="I71" i="7"/>
  <c r="I75" i="7" s="1"/>
  <c r="E16" i="7"/>
  <c r="E6" i="7"/>
  <c r="E26" i="7"/>
  <c r="E34" i="7"/>
  <c r="F86" i="7"/>
  <c r="F39" i="7" s="1"/>
  <c r="F83" i="7"/>
  <c r="F81" i="7"/>
  <c r="F13" i="7" s="1"/>
  <c r="F64" i="7"/>
  <c r="F79" i="7"/>
  <c r="F77" i="7"/>
  <c r="F7" i="7" s="1"/>
  <c r="F19" i="7"/>
  <c r="F89" i="7"/>
  <c r="F31" i="7" s="1"/>
  <c r="F78" i="7"/>
  <c r="F8" i="7" s="1"/>
  <c r="F82" i="7"/>
  <c r="F80" i="7"/>
  <c r="F10" i="7" s="1"/>
  <c r="F87" i="7"/>
  <c r="F88" i="7"/>
  <c r="F90" i="7"/>
  <c r="F32" i="7" s="1"/>
  <c r="F85" i="7"/>
  <c r="F42" i="7" s="1"/>
  <c r="F76" i="7"/>
  <c r="E38" i="7"/>
  <c r="E35" i="7"/>
  <c r="J74" i="13"/>
  <c r="J66" i="13" s="1"/>
  <c r="K70" i="13"/>
  <c r="I68" i="13"/>
  <c r="I72" i="13" s="1"/>
  <c r="K75" i="13"/>
  <c r="K67" i="13" s="1"/>
  <c r="L71" i="13"/>
  <c r="F90" i="13"/>
  <c r="F85" i="13"/>
  <c r="G64" i="13"/>
  <c r="H64" i="13" s="1"/>
  <c r="H72" i="13"/>
  <c r="G73" i="13"/>
  <c r="G89" i="13" s="1"/>
  <c r="H69" i="13"/>
  <c r="F89" i="13"/>
  <c r="D33" i="12"/>
  <c r="D54" i="12"/>
  <c r="D54" i="13" s="1"/>
  <c r="D24" i="12"/>
  <c r="D44" i="12"/>
  <c r="E30" i="12"/>
  <c r="E30" i="13" s="1"/>
  <c r="H71" i="12"/>
  <c r="D37" i="12"/>
  <c r="D19" i="10"/>
  <c r="D23" i="10" s="1"/>
  <c r="D24" i="10" s="1"/>
  <c r="D83" i="10"/>
  <c r="E85" i="10"/>
  <c r="E41" i="10"/>
  <c r="E40" i="10"/>
  <c r="E88" i="10"/>
  <c r="E86" i="10"/>
  <c r="E89" i="10"/>
  <c r="F74" i="10"/>
  <c r="F66" i="10" s="1"/>
  <c r="G70" i="10"/>
  <c r="H22" i="10"/>
  <c r="F64" i="10"/>
  <c r="G72" i="10"/>
  <c r="H68" i="10"/>
  <c r="G67" i="10"/>
  <c r="H67" i="10" s="1"/>
  <c r="H75" i="10"/>
  <c r="I69" i="10"/>
  <c r="I73" i="10" s="1"/>
  <c r="I65" i="10" s="1"/>
  <c r="I71" i="10"/>
  <c r="I75" i="10" s="1"/>
  <c r="I67" i="10" s="1"/>
  <c r="H73" i="10"/>
  <c r="G65" i="10"/>
  <c r="H65" i="10" s="1"/>
  <c r="D42" i="10"/>
  <c r="AG22" i="7"/>
  <c r="AL22" i="7"/>
  <c r="M22" i="7"/>
  <c r="R22" i="7"/>
  <c r="W22" i="7"/>
  <c r="H22" i="7"/>
  <c r="AB22" i="7"/>
  <c r="D32" i="10"/>
  <c r="D30" i="7"/>
  <c r="D30" i="10" s="1"/>
  <c r="D31" i="10"/>
  <c r="H70" i="7"/>
  <c r="J71" i="10" l="1"/>
  <c r="J75" i="10" s="1"/>
  <c r="J67" i="10" s="1"/>
  <c r="F86" i="10"/>
  <c r="F90" i="10"/>
  <c r="F85" i="10"/>
  <c r="F88" i="10"/>
  <c r="F87" i="10"/>
  <c r="F89" i="10"/>
  <c r="I67" i="7"/>
  <c r="AX12" i="5"/>
  <c r="G88" i="13"/>
  <c r="H88" i="13" s="1"/>
  <c r="G90" i="13"/>
  <c r="H90" i="13" s="1"/>
  <c r="G87" i="13"/>
  <c r="H87" i="13" s="1"/>
  <c r="G85" i="13"/>
  <c r="H85" i="13" s="1"/>
  <c r="I66" i="12"/>
  <c r="BZ11" i="5"/>
  <c r="F84" i="12"/>
  <c r="F84" i="13" s="1"/>
  <c r="F9" i="12"/>
  <c r="F9" i="13" s="1"/>
  <c r="E33" i="13"/>
  <c r="F58" i="12"/>
  <c r="F58" i="13" s="1"/>
  <c r="F34" i="12"/>
  <c r="F34" i="13" s="1"/>
  <c r="F29" i="12"/>
  <c r="F6" i="12"/>
  <c r="F6" i="13" s="1"/>
  <c r="F16" i="12"/>
  <c r="F16" i="13" s="1"/>
  <c r="F26" i="12"/>
  <c r="F38" i="12"/>
  <c r="F38" i="13" s="1"/>
  <c r="F35" i="12"/>
  <c r="F35" i="13" s="1"/>
  <c r="F39" i="12"/>
  <c r="F39" i="13" s="1"/>
  <c r="E17" i="13"/>
  <c r="E18" i="13" s="1"/>
  <c r="F14" i="12"/>
  <c r="F14" i="13" s="1"/>
  <c r="F15" i="12"/>
  <c r="F15" i="13" s="1"/>
  <c r="F79" i="13"/>
  <c r="G85" i="12"/>
  <c r="G42" i="12" s="1"/>
  <c r="G42" i="13" s="1"/>
  <c r="G88" i="12"/>
  <c r="G30" i="12" s="1"/>
  <c r="G76" i="12"/>
  <c r="G80" i="12"/>
  <c r="G10" i="12" s="1"/>
  <c r="G87" i="12"/>
  <c r="H87" i="12" s="1"/>
  <c r="AM27" i="5" s="1"/>
  <c r="G90" i="12"/>
  <c r="G32" i="12" s="1"/>
  <c r="G32" i="13" s="1"/>
  <c r="G78" i="12"/>
  <c r="G8" i="12" s="1"/>
  <c r="G83" i="12"/>
  <c r="G81" i="12"/>
  <c r="G13" i="12" s="1"/>
  <c r="G82" i="12"/>
  <c r="G19" i="12"/>
  <c r="G64" i="12"/>
  <c r="H64" i="12" s="1"/>
  <c r="V9" i="5" s="1"/>
  <c r="G79" i="12"/>
  <c r="G79" i="13" s="1"/>
  <c r="H79" i="13" s="1"/>
  <c r="G77" i="12"/>
  <c r="G7" i="12" s="1"/>
  <c r="G89" i="12"/>
  <c r="G31" i="12" s="1"/>
  <c r="G86" i="12"/>
  <c r="H86" i="12" s="1"/>
  <c r="AE22" i="5" s="1"/>
  <c r="E37" i="13"/>
  <c r="E54" i="12"/>
  <c r="E54" i="13" s="1"/>
  <c r="F82" i="13"/>
  <c r="I69" i="12"/>
  <c r="I73" i="12" s="1"/>
  <c r="I68" i="12"/>
  <c r="E24" i="13"/>
  <c r="F13" i="13"/>
  <c r="F81" i="13"/>
  <c r="F7" i="13"/>
  <c r="F77" i="13"/>
  <c r="F8" i="13"/>
  <c r="F78" i="13"/>
  <c r="H41" i="13"/>
  <c r="D18" i="13"/>
  <c r="F23" i="13"/>
  <c r="F24" i="13" s="1"/>
  <c r="D11" i="13"/>
  <c r="H41" i="12"/>
  <c r="F76" i="13"/>
  <c r="J70" i="12"/>
  <c r="J74" i="12" s="1"/>
  <c r="H73" i="12"/>
  <c r="H65" i="12"/>
  <c r="V11" i="5" s="1"/>
  <c r="E44" i="13"/>
  <c r="E11" i="13"/>
  <c r="E12" i="13" s="1"/>
  <c r="H72" i="12"/>
  <c r="H40" i="12"/>
  <c r="G40" i="13"/>
  <c r="H40" i="13" s="1"/>
  <c r="F10" i="13"/>
  <c r="F80" i="13"/>
  <c r="I71" i="12"/>
  <c r="I75" i="12" s="1"/>
  <c r="I70" i="7"/>
  <c r="I74" i="7" s="1"/>
  <c r="G86" i="7"/>
  <c r="G39" i="7" s="1"/>
  <c r="G83" i="7"/>
  <c r="G87" i="7"/>
  <c r="G78" i="7"/>
  <c r="G8" i="7" s="1"/>
  <c r="G81" i="7"/>
  <c r="G13" i="7" s="1"/>
  <c r="G89" i="7"/>
  <c r="G31" i="7" s="1"/>
  <c r="G90" i="7"/>
  <c r="G32" i="7" s="1"/>
  <c r="G79" i="7"/>
  <c r="G85" i="7"/>
  <c r="G42" i="7" s="1"/>
  <c r="G80" i="7"/>
  <c r="G10" i="7" s="1"/>
  <c r="G64" i="7"/>
  <c r="G19" i="7"/>
  <c r="G76" i="7"/>
  <c r="G88" i="7"/>
  <c r="G77" i="7"/>
  <c r="G7" i="7" s="1"/>
  <c r="G82" i="7"/>
  <c r="F29" i="7"/>
  <c r="F58" i="7"/>
  <c r="F35" i="7"/>
  <c r="F38" i="7"/>
  <c r="F15" i="7"/>
  <c r="F14" i="7"/>
  <c r="F26" i="7"/>
  <c r="F6" i="7"/>
  <c r="F16" i="7"/>
  <c r="F9" i="7"/>
  <c r="F84" i="7"/>
  <c r="J71" i="7"/>
  <c r="F34" i="7"/>
  <c r="H65" i="7"/>
  <c r="V3" i="5" s="1"/>
  <c r="V10" i="5" s="1"/>
  <c r="E31" i="10"/>
  <c r="E32" i="10"/>
  <c r="D26" i="10"/>
  <c r="D27" i="10" s="1"/>
  <c r="E30" i="7"/>
  <c r="E30" i="10" s="1"/>
  <c r="D9" i="10"/>
  <c r="H89" i="13"/>
  <c r="K74" i="13"/>
  <c r="K66" i="13" s="1"/>
  <c r="L70" i="13"/>
  <c r="L75" i="13"/>
  <c r="M71" i="13"/>
  <c r="I64" i="13"/>
  <c r="I69" i="13"/>
  <c r="I73" i="13" s="1"/>
  <c r="I65" i="13" s="1"/>
  <c r="G65" i="13"/>
  <c r="H65" i="13" s="1"/>
  <c r="H73" i="13"/>
  <c r="G86" i="13"/>
  <c r="H86" i="13" s="1"/>
  <c r="J68" i="13"/>
  <c r="E44" i="12"/>
  <c r="E57" i="12" s="1"/>
  <c r="E57" i="13" s="1"/>
  <c r="F23" i="12"/>
  <c r="D53" i="12"/>
  <c r="D53" i="13" s="1"/>
  <c r="E37" i="12"/>
  <c r="H67" i="12"/>
  <c r="V15" i="5" s="1"/>
  <c r="H75" i="12"/>
  <c r="E27" i="12"/>
  <c r="E17" i="12"/>
  <c r="D57" i="12"/>
  <c r="D57" i="13" s="1"/>
  <c r="E33" i="12"/>
  <c r="E56" i="12" s="1"/>
  <c r="E56" i="13" s="1"/>
  <c r="D52" i="12"/>
  <c r="D52" i="13" s="1"/>
  <c r="D56" i="12"/>
  <c r="D56" i="13" s="1"/>
  <c r="E11" i="12"/>
  <c r="D25" i="12"/>
  <c r="D29" i="10"/>
  <c r="D33" i="10" s="1"/>
  <c r="D34" i="10"/>
  <c r="D76" i="10"/>
  <c r="D16" i="10"/>
  <c r="D6" i="10"/>
  <c r="D23" i="7"/>
  <c r="D54" i="7" s="1"/>
  <c r="D54" i="10" s="1"/>
  <c r="F41" i="10"/>
  <c r="F40" i="10"/>
  <c r="G74" i="10"/>
  <c r="G90" i="10" s="1"/>
  <c r="H70" i="10"/>
  <c r="D8" i="10"/>
  <c r="D78" i="10"/>
  <c r="D38" i="10"/>
  <c r="D58" i="10"/>
  <c r="D35" i="10"/>
  <c r="D39" i="10"/>
  <c r="E83" i="10"/>
  <c r="D7" i="10"/>
  <c r="D77" i="10"/>
  <c r="E42" i="10"/>
  <c r="D79" i="10"/>
  <c r="D84" i="10"/>
  <c r="D10" i="10"/>
  <c r="D80" i="10"/>
  <c r="D81" i="10"/>
  <c r="D82" i="10"/>
  <c r="I68" i="10"/>
  <c r="J68" i="10" s="1"/>
  <c r="K71" i="10"/>
  <c r="J69" i="10"/>
  <c r="H72" i="10"/>
  <c r="G64" i="10"/>
  <c r="H64" i="10" s="1"/>
  <c r="H74" i="7"/>
  <c r="H66" i="7"/>
  <c r="V4" i="5" s="1"/>
  <c r="V12" i="5" s="1"/>
  <c r="H69" i="7"/>
  <c r="G86" i="10" l="1"/>
  <c r="H86" i="10" s="1"/>
  <c r="G85" i="10"/>
  <c r="H85" i="10" s="1"/>
  <c r="I66" i="7"/>
  <c r="AX11" i="5"/>
  <c r="I88" i="13"/>
  <c r="I86" i="13"/>
  <c r="I67" i="12"/>
  <c r="BZ12" i="5"/>
  <c r="J71" i="12"/>
  <c r="CA11" i="5"/>
  <c r="J66" i="12"/>
  <c r="I65" i="12"/>
  <c r="BZ10" i="5"/>
  <c r="F11" i="12"/>
  <c r="F12" i="12" s="1"/>
  <c r="F52" i="12" s="1"/>
  <c r="F52" i="13" s="1"/>
  <c r="G80" i="13"/>
  <c r="H80" i="13" s="1"/>
  <c r="G15" i="12"/>
  <c r="G15" i="13" s="1"/>
  <c r="H15" i="13" s="1"/>
  <c r="G14" i="12"/>
  <c r="G14" i="13" s="1"/>
  <c r="H14" i="13" s="1"/>
  <c r="I72" i="12"/>
  <c r="BZ9" i="5" s="1"/>
  <c r="I41" i="12"/>
  <c r="I41" i="13" s="1"/>
  <c r="I40" i="12"/>
  <c r="I40" i="13" s="1"/>
  <c r="G9" i="12"/>
  <c r="G84" i="12"/>
  <c r="G6" i="12"/>
  <c r="G6" i="13" s="1"/>
  <c r="G26" i="12"/>
  <c r="G16" i="12"/>
  <c r="H16" i="12" s="1"/>
  <c r="H90" i="12"/>
  <c r="AM30" i="5" s="1"/>
  <c r="G78" i="13"/>
  <c r="H78" i="13" s="1"/>
  <c r="G35" i="12"/>
  <c r="G38" i="12"/>
  <c r="G38" i="13" s="1"/>
  <c r="H38" i="13" s="1"/>
  <c r="G39" i="12"/>
  <c r="G77" i="13"/>
  <c r="H77" i="13" s="1"/>
  <c r="G29" i="12"/>
  <c r="G34" i="12"/>
  <c r="H34" i="12" s="1"/>
  <c r="G58" i="12"/>
  <c r="F17" i="13"/>
  <c r="F18" i="13" s="1"/>
  <c r="G30" i="13"/>
  <c r="H30" i="13" s="1"/>
  <c r="H30" i="12"/>
  <c r="G76" i="13"/>
  <c r="H76" i="13" s="1"/>
  <c r="F33" i="12"/>
  <c r="F56" i="12" s="1"/>
  <c r="F56" i="13" s="1"/>
  <c r="F29" i="13"/>
  <c r="H85" i="12"/>
  <c r="AE23" i="5" s="1"/>
  <c r="H32" i="12"/>
  <c r="F32" i="13"/>
  <c r="H32" i="13" s="1"/>
  <c r="H42" i="12"/>
  <c r="F42" i="13"/>
  <c r="H42" i="13" s="1"/>
  <c r="K70" i="12"/>
  <c r="K74" i="12" s="1"/>
  <c r="J69" i="12"/>
  <c r="J73" i="12" s="1"/>
  <c r="H31" i="12"/>
  <c r="G31" i="13"/>
  <c r="H31" i="13" s="1"/>
  <c r="F27" i="12"/>
  <c r="F55" i="12" s="1"/>
  <c r="F55" i="13" s="1"/>
  <c r="F26" i="13"/>
  <c r="G13" i="13"/>
  <c r="H13" i="13" s="1"/>
  <c r="G81" i="13"/>
  <c r="H81" i="13" s="1"/>
  <c r="G23" i="12"/>
  <c r="G54" i="12" s="1"/>
  <c r="G54" i="13" s="1"/>
  <c r="G19" i="13"/>
  <c r="G82" i="13"/>
  <c r="H82" i="13" s="1"/>
  <c r="F11" i="13"/>
  <c r="F12" i="13" s="1"/>
  <c r="E25" i="13"/>
  <c r="E28" i="13" s="1"/>
  <c r="E45" i="13" s="1"/>
  <c r="J68" i="12"/>
  <c r="F37" i="13"/>
  <c r="D60" i="13"/>
  <c r="H83" i="12"/>
  <c r="G83" i="13"/>
  <c r="H83" i="13" s="1"/>
  <c r="D12" i="13"/>
  <c r="D25" i="13" s="1"/>
  <c r="G15" i="7"/>
  <c r="G14" i="7"/>
  <c r="G26" i="7"/>
  <c r="G6" i="7"/>
  <c r="G16" i="7"/>
  <c r="G29" i="7"/>
  <c r="G58" i="7"/>
  <c r="G38" i="7"/>
  <c r="G35" i="7"/>
  <c r="I69" i="7"/>
  <c r="I73" i="7" s="1"/>
  <c r="J75" i="7"/>
  <c r="K71" i="7"/>
  <c r="G9" i="7"/>
  <c r="G84" i="7"/>
  <c r="J70" i="7"/>
  <c r="G34" i="7"/>
  <c r="F39" i="10"/>
  <c r="F30" i="7"/>
  <c r="F30" i="10" s="1"/>
  <c r="E84" i="10"/>
  <c r="E9" i="10"/>
  <c r="E16" i="10"/>
  <c r="E26" i="10"/>
  <c r="E27" i="10" s="1"/>
  <c r="E34" i="10"/>
  <c r="M75" i="13"/>
  <c r="L67" i="13"/>
  <c r="M67" i="13" s="1"/>
  <c r="I87" i="13"/>
  <c r="J72" i="13"/>
  <c r="K68" i="13"/>
  <c r="L74" i="13"/>
  <c r="M70" i="13"/>
  <c r="I89" i="13"/>
  <c r="I85" i="13"/>
  <c r="I90" i="13"/>
  <c r="J69" i="13"/>
  <c r="N71" i="13"/>
  <c r="N75" i="13" s="1"/>
  <c r="N67" i="13" s="1"/>
  <c r="H81" i="12"/>
  <c r="H88" i="12"/>
  <c r="AM28" i="5" s="1"/>
  <c r="H79" i="12"/>
  <c r="E12" i="12"/>
  <c r="E55" i="12"/>
  <c r="E55" i="13" s="1"/>
  <c r="H76" i="12"/>
  <c r="U22" i="5" s="1"/>
  <c r="D28" i="12"/>
  <c r="H82" i="12"/>
  <c r="F37" i="12"/>
  <c r="F44" i="12"/>
  <c r="E18" i="12"/>
  <c r="H77" i="12"/>
  <c r="U23" i="5" s="1"/>
  <c r="H19" i="12"/>
  <c r="H80" i="12"/>
  <c r="H78" i="12"/>
  <c r="U24" i="5" s="1"/>
  <c r="F54" i="12"/>
  <c r="F54" i="13" s="1"/>
  <c r="F24" i="12"/>
  <c r="D60" i="12"/>
  <c r="F17" i="12"/>
  <c r="F18" i="12" s="1"/>
  <c r="F53" i="12" s="1"/>
  <c r="F53" i="13" s="1"/>
  <c r="H89" i="12"/>
  <c r="AM29" i="5" s="1"/>
  <c r="D44" i="10"/>
  <c r="D11" i="7"/>
  <c r="D12" i="7" s="1"/>
  <c r="G87" i="10"/>
  <c r="H87" i="10" s="1"/>
  <c r="E76" i="10"/>
  <c r="G89" i="10"/>
  <c r="H89" i="10" s="1"/>
  <c r="E7" i="10"/>
  <c r="E77" i="10"/>
  <c r="D11" i="10"/>
  <c r="D12" i="10" s="1"/>
  <c r="E19" i="10"/>
  <c r="E23" i="7"/>
  <c r="E54" i="7" s="1"/>
  <c r="E54" i="10" s="1"/>
  <c r="E79" i="10"/>
  <c r="D37" i="10"/>
  <c r="F83" i="10"/>
  <c r="F19" i="10"/>
  <c r="F23" i="10" s="1"/>
  <c r="F24" i="10" s="1"/>
  <c r="E81" i="10"/>
  <c r="I70" i="10"/>
  <c r="I74" i="10" s="1"/>
  <c r="I66" i="10" s="1"/>
  <c r="J70" i="10"/>
  <c r="E80" i="10"/>
  <c r="E10" i="10"/>
  <c r="E8" i="10"/>
  <c r="E78" i="10"/>
  <c r="G41" i="10"/>
  <c r="H41" i="10" s="1"/>
  <c r="G40" i="10"/>
  <c r="H40" i="10" s="1"/>
  <c r="E82" i="10"/>
  <c r="H74" i="10"/>
  <c r="G66" i="10"/>
  <c r="H66" i="10" s="1"/>
  <c r="G88" i="10"/>
  <c r="H88" i="10" s="1"/>
  <c r="E58" i="10"/>
  <c r="E38" i="10"/>
  <c r="E39" i="10"/>
  <c r="E35" i="10"/>
  <c r="E29" i="10"/>
  <c r="E33" i="10" s="1"/>
  <c r="E33" i="7"/>
  <c r="J72" i="10"/>
  <c r="K68" i="10"/>
  <c r="K75" i="10"/>
  <c r="K67" i="10" s="1"/>
  <c r="L71" i="10"/>
  <c r="I72" i="10"/>
  <c r="J73" i="10"/>
  <c r="J65" i="10" s="1"/>
  <c r="K69" i="10"/>
  <c r="H90" i="10"/>
  <c r="F42" i="10"/>
  <c r="F32" i="10"/>
  <c r="F31" i="10"/>
  <c r="D44" i="7"/>
  <c r="D57" i="7" s="1"/>
  <c r="D57" i="10" s="1"/>
  <c r="H73" i="7"/>
  <c r="J67" i="7" l="1"/>
  <c r="AY12" i="5"/>
  <c r="I65" i="7"/>
  <c r="AX10" i="5"/>
  <c r="J75" i="12"/>
  <c r="K71" i="12"/>
  <c r="K66" i="12"/>
  <c r="CB11" i="5"/>
  <c r="J65" i="12"/>
  <c r="CA10" i="5"/>
  <c r="H15" i="12"/>
  <c r="F25" i="13"/>
  <c r="J72" i="12"/>
  <c r="CA9" i="5" s="1"/>
  <c r="J40" i="12"/>
  <c r="J40" i="13" s="1"/>
  <c r="J41" i="12"/>
  <c r="J41" i="13" s="1"/>
  <c r="G16" i="13"/>
  <c r="H16" i="13" s="1"/>
  <c r="I86" i="12"/>
  <c r="I78" i="12"/>
  <c r="I8" i="12" s="1"/>
  <c r="I90" i="12"/>
  <c r="I32" i="12" s="1"/>
  <c r="I64" i="12"/>
  <c r="I76" i="12"/>
  <c r="I82" i="12"/>
  <c r="I88" i="12"/>
  <c r="I87" i="12"/>
  <c r="I89" i="12"/>
  <c r="I31" i="12" s="1"/>
  <c r="I77" i="12"/>
  <c r="I7" i="12" s="1"/>
  <c r="I80" i="12"/>
  <c r="I10" i="12" s="1"/>
  <c r="I83" i="12"/>
  <c r="I83" i="13" s="1"/>
  <c r="I79" i="12"/>
  <c r="I79" i="13" s="1"/>
  <c r="I85" i="12"/>
  <c r="I42" i="12" s="1"/>
  <c r="I81" i="12"/>
  <c r="I13" i="12" s="1"/>
  <c r="I19" i="12"/>
  <c r="I19" i="13" s="1"/>
  <c r="G24" i="12"/>
  <c r="H24" i="12" s="1"/>
  <c r="H23" i="12"/>
  <c r="G27" i="12"/>
  <c r="G55" i="12" s="1"/>
  <c r="G55" i="13" s="1"/>
  <c r="H55" i="13" s="1"/>
  <c r="G26" i="13"/>
  <c r="G27" i="13" s="1"/>
  <c r="H54" i="13"/>
  <c r="H8" i="12"/>
  <c r="G8" i="13"/>
  <c r="H8" i="13" s="1"/>
  <c r="H14" i="12"/>
  <c r="F27" i="13"/>
  <c r="K68" i="12"/>
  <c r="F33" i="13"/>
  <c r="G37" i="12"/>
  <c r="H37" i="12" s="1"/>
  <c r="G34" i="13"/>
  <c r="H34" i="13" s="1"/>
  <c r="H7" i="12"/>
  <c r="G7" i="13"/>
  <c r="H7" i="13" s="1"/>
  <c r="D28" i="13"/>
  <c r="H35" i="12"/>
  <c r="G35" i="13"/>
  <c r="D61" i="13"/>
  <c r="F44" i="13"/>
  <c r="K69" i="12"/>
  <c r="K73" i="12" s="1"/>
  <c r="G33" i="12"/>
  <c r="G29" i="13"/>
  <c r="G33" i="13" s="1"/>
  <c r="H39" i="12"/>
  <c r="G39" i="13"/>
  <c r="H39" i="13" s="1"/>
  <c r="H9" i="12"/>
  <c r="G9" i="13"/>
  <c r="H9" i="13" s="1"/>
  <c r="G23" i="13"/>
  <c r="H19" i="13"/>
  <c r="H26" i="12"/>
  <c r="H10" i="12"/>
  <c r="G10" i="13"/>
  <c r="H10" i="13" s="1"/>
  <c r="H58" i="12"/>
  <c r="G58" i="13"/>
  <c r="H58" i="13" s="1"/>
  <c r="H84" i="12"/>
  <c r="G84" i="13"/>
  <c r="H84" i="13" s="1"/>
  <c r="L70" i="12"/>
  <c r="L74" i="12" s="1"/>
  <c r="H6" i="13"/>
  <c r="J74" i="7"/>
  <c r="K70" i="7"/>
  <c r="K75" i="7"/>
  <c r="L71" i="7"/>
  <c r="L75" i="7" s="1"/>
  <c r="J69" i="7"/>
  <c r="E37" i="10"/>
  <c r="G30" i="7"/>
  <c r="G30" i="10" s="1"/>
  <c r="H30" i="10" s="1"/>
  <c r="F38" i="10"/>
  <c r="F44" i="10" s="1"/>
  <c r="F35" i="10"/>
  <c r="K72" i="13"/>
  <c r="L68" i="13"/>
  <c r="J73" i="13"/>
  <c r="J65" i="13" s="1"/>
  <c r="K69" i="13"/>
  <c r="N70" i="13"/>
  <c r="N74" i="13" s="1"/>
  <c r="N66" i="13" s="1"/>
  <c r="J64" i="13"/>
  <c r="O71" i="13"/>
  <c r="L66" i="13"/>
  <c r="M66" i="13" s="1"/>
  <c r="M74" i="13"/>
  <c r="E53" i="12"/>
  <c r="E25" i="12"/>
  <c r="D45" i="12"/>
  <c r="G17" i="12"/>
  <c r="G18" i="12" s="1"/>
  <c r="G53" i="12" s="1"/>
  <c r="G53" i="13" s="1"/>
  <c r="H13" i="12"/>
  <c r="F25" i="12"/>
  <c r="F28" i="12" s="1"/>
  <c r="F45" i="12" s="1"/>
  <c r="F57" i="12"/>
  <c r="F57" i="13" s="1"/>
  <c r="F60" i="13" s="1"/>
  <c r="G44" i="12"/>
  <c r="G57" i="12" s="1"/>
  <c r="G57" i="13" s="1"/>
  <c r="H38" i="12"/>
  <c r="H54" i="12"/>
  <c r="E52" i="12"/>
  <c r="E52" i="13" s="1"/>
  <c r="G11" i="12"/>
  <c r="D61" i="12"/>
  <c r="H6" i="12"/>
  <c r="H29" i="12"/>
  <c r="H41" i="7"/>
  <c r="F81" i="10"/>
  <c r="F78" i="10"/>
  <c r="F8" i="10"/>
  <c r="J74" i="10"/>
  <c r="J66" i="10" s="1"/>
  <c r="K70" i="10"/>
  <c r="G83" i="10"/>
  <c r="H83" i="10" s="1"/>
  <c r="G19" i="10"/>
  <c r="G23" i="10" s="1"/>
  <c r="G24" i="10" s="1"/>
  <c r="F82" i="10"/>
  <c r="F34" i="10"/>
  <c r="E44" i="10"/>
  <c r="F79" i="10"/>
  <c r="F9" i="10"/>
  <c r="F84" i="10"/>
  <c r="F10" i="10"/>
  <c r="F80" i="10"/>
  <c r="F23" i="7"/>
  <c r="F54" i="7" s="1"/>
  <c r="F54" i="10" s="1"/>
  <c r="E6" i="10"/>
  <c r="E11" i="7"/>
  <c r="E12" i="7" s="1"/>
  <c r="F58" i="10"/>
  <c r="F76" i="10"/>
  <c r="F16" i="10"/>
  <c r="F26" i="10"/>
  <c r="F27" i="10" s="1"/>
  <c r="F7" i="10"/>
  <c r="F77" i="10"/>
  <c r="E23" i="10"/>
  <c r="I89" i="10"/>
  <c r="I87" i="10"/>
  <c r="I85" i="10"/>
  <c r="I90" i="10"/>
  <c r="I88" i="10"/>
  <c r="I86" i="10"/>
  <c r="I64" i="10"/>
  <c r="K72" i="10"/>
  <c r="L68" i="10"/>
  <c r="K73" i="10"/>
  <c r="K65" i="10" s="1"/>
  <c r="L69" i="10"/>
  <c r="L75" i="10"/>
  <c r="M71" i="10"/>
  <c r="J64" i="10"/>
  <c r="H64" i="7"/>
  <c r="V2" i="5" s="1"/>
  <c r="V8" i="5" s="1"/>
  <c r="G42" i="10"/>
  <c r="H42" i="10" s="1"/>
  <c r="G31" i="10"/>
  <c r="H31" i="10" s="1"/>
  <c r="G32" i="10"/>
  <c r="H32" i="10" s="1"/>
  <c r="L67" i="7" l="1"/>
  <c r="M67" i="7" s="1"/>
  <c r="W5" i="5" s="1"/>
  <c r="W14" i="5" s="1"/>
  <c r="BA12" i="5"/>
  <c r="K67" i="7"/>
  <c r="AZ12" i="5"/>
  <c r="J66" i="7"/>
  <c r="AY11" i="5"/>
  <c r="J86" i="13"/>
  <c r="J85" i="13"/>
  <c r="O70" i="13"/>
  <c r="O74" i="13" s="1"/>
  <c r="O66" i="13" s="1"/>
  <c r="L71" i="12"/>
  <c r="L75" i="12" s="1"/>
  <c r="K75" i="12"/>
  <c r="CA12" i="5"/>
  <c r="J67" i="12"/>
  <c r="L66" i="12"/>
  <c r="CC11" i="5"/>
  <c r="K65" i="12"/>
  <c r="CB10" i="5"/>
  <c r="G44" i="13"/>
  <c r="H44" i="13" s="1"/>
  <c r="G17" i="13"/>
  <c r="G18" i="13" s="1"/>
  <c r="H18" i="13" s="1"/>
  <c r="I39" i="12"/>
  <c r="I39" i="13" s="1"/>
  <c r="I35" i="12"/>
  <c r="I35" i="13" s="1"/>
  <c r="I38" i="12"/>
  <c r="I38" i="13" s="1"/>
  <c r="I26" i="12"/>
  <c r="I26" i="13" s="1"/>
  <c r="I6" i="12"/>
  <c r="I6" i="13" s="1"/>
  <c r="I16" i="12"/>
  <c r="I16" i="13" s="1"/>
  <c r="I14" i="12"/>
  <c r="I14" i="13" s="1"/>
  <c r="I15" i="12"/>
  <c r="I15" i="13" s="1"/>
  <c r="I9" i="12"/>
  <c r="I9" i="13" s="1"/>
  <c r="I84" i="12"/>
  <c r="I84" i="13" s="1"/>
  <c r="K72" i="12"/>
  <c r="CB9" i="5" s="1"/>
  <c r="K40" i="12"/>
  <c r="K40" i="13" s="1"/>
  <c r="K41" i="12"/>
  <c r="K41" i="13" s="1"/>
  <c r="I29" i="12"/>
  <c r="I29" i="13" s="1"/>
  <c r="I58" i="12"/>
  <c r="I58" i="13" s="1"/>
  <c r="I34" i="12"/>
  <c r="I34" i="13" s="1"/>
  <c r="J88" i="12"/>
  <c r="J30" i="12" s="1"/>
  <c r="J30" i="13" s="1"/>
  <c r="J79" i="12"/>
  <c r="J79" i="13" s="1"/>
  <c r="J76" i="12"/>
  <c r="J89" i="12"/>
  <c r="J31" i="12" s="1"/>
  <c r="J31" i="13" s="1"/>
  <c r="J90" i="12"/>
  <c r="J32" i="12" s="1"/>
  <c r="J32" i="13" s="1"/>
  <c r="J78" i="12"/>
  <c r="J8" i="12" s="1"/>
  <c r="J81" i="12"/>
  <c r="J13" i="12" s="1"/>
  <c r="J64" i="12"/>
  <c r="J85" i="12"/>
  <c r="J42" i="12" s="1"/>
  <c r="J42" i="13" s="1"/>
  <c r="J82" i="12"/>
  <c r="J77" i="12"/>
  <c r="J7" i="12" s="1"/>
  <c r="J86" i="12"/>
  <c r="J83" i="12"/>
  <c r="J83" i="13" s="1"/>
  <c r="J19" i="12"/>
  <c r="J87" i="12"/>
  <c r="J80" i="12"/>
  <c r="J10" i="12" s="1"/>
  <c r="H55" i="12"/>
  <c r="H44" i="12"/>
  <c r="H27" i="12"/>
  <c r="H26" i="13"/>
  <c r="H27" i="13"/>
  <c r="H17" i="12"/>
  <c r="I7" i="13"/>
  <c r="I77" i="13"/>
  <c r="G11" i="13"/>
  <c r="I23" i="13"/>
  <c r="H57" i="13"/>
  <c r="M70" i="12"/>
  <c r="H33" i="13"/>
  <c r="I8" i="13"/>
  <c r="I78" i="13"/>
  <c r="G24" i="13"/>
  <c r="H23" i="13"/>
  <c r="F28" i="13"/>
  <c r="F45" i="13" s="1"/>
  <c r="H29" i="13"/>
  <c r="I82" i="13"/>
  <c r="D45" i="13"/>
  <c r="I10" i="13"/>
  <c r="I80" i="13"/>
  <c r="I76" i="13"/>
  <c r="L69" i="12"/>
  <c r="L73" i="12" s="1"/>
  <c r="I81" i="13"/>
  <c r="I13" i="13"/>
  <c r="H53" i="12"/>
  <c r="E53" i="13"/>
  <c r="H53" i="13" s="1"/>
  <c r="G56" i="12"/>
  <c r="H33" i="12"/>
  <c r="G37" i="13"/>
  <c r="H37" i="13" s="1"/>
  <c r="H35" i="13"/>
  <c r="L68" i="12"/>
  <c r="M71" i="7"/>
  <c r="J73" i="7"/>
  <c r="K69" i="7"/>
  <c r="K74" i="7"/>
  <c r="L70" i="7"/>
  <c r="L74" i="7" s="1"/>
  <c r="G26" i="10"/>
  <c r="G27" i="10" s="1"/>
  <c r="H27" i="10" s="1"/>
  <c r="G9" i="10"/>
  <c r="H9" i="10" s="1"/>
  <c r="J88" i="13"/>
  <c r="J87" i="13"/>
  <c r="K73" i="13"/>
  <c r="K65" i="13" s="1"/>
  <c r="L69" i="13"/>
  <c r="J90" i="13"/>
  <c r="J89" i="13"/>
  <c r="O75" i="13"/>
  <c r="O67" i="13" s="1"/>
  <c r="P71" i="13"/>
  <c r="L72" i="13"/>
  <c r="M68" i="13"/>
  <c r="K64" i="13"/>
  <c r="I23" i="12"/>
  <c r="G12" i="12"/>
  <c r="H11" i="12"/>
  <c r="I32" i="13"/>
  <c r="E60" i="12"/>
  <c r="E61" i="12" s="1"/>
  <c r="I30" i="12"/>
  <c r="I30" i="13" s="1"/>
  <c r="H57" i="12"/>
  <c r="H18" i="12"/>
  <c r="I31" i="13"/>
  <c r="I42" i="13"/>
  <c r="E28" i="12"/>
  <c r="F60" i="12"/>
  <c r="G23" i="7"/>
  <c r="G54" i="7" s="1"/>
  <c r="H54" i="7" s="1"/>
  <c r="H19" i="10"/>
  <c r="G80" i="10"/>
  <c r="H80" i="10" s="1"/>
  <c r="G10" i="10"/>
  <c r="H10" i="10" s="1"/>
  <c r="J86" i="10"/>
  <c r="E24" i="10"/>
  <c r="H23" i="10"/>
  <c r="E11" i="10"/>
  <c r="E12" i="10" s="1"/>
  <c r="G8" i="10"/>
  <c r="H8" i="10" s="1"/>
  <c r="G78" i="10"/>
  <c r="H78" i="10" s="1"/>
  <c r="J87" i="10"/>
  <c r="G79" i="10"/>
  <c r="H79" i="10" s="1"/>
  <c r="G84" i="10"/>
  <c r="H84" i="10" s="1"/>
  <c r="J85" i="10"/>
  <c r="F37" i="10"/>
  <c r="G7" i="10"/>
  <c r="H7" i="10" s="1"/>
  <c r="G77" i="10"/>
  <c r="H77" i="10" s="1"/>
  <c r="H86" i="7"/>
  <c r="AD2" i="5" s="1"/>
  <c r="AD22" i="5" s="1"/>
  <c r="G39" i="10"/>
  <c r="H39" i="10" s="1"/>
  <c r="G58" i="10"/>
  <c r="H58" i="10" s="1"/>
  <c r="G35" i="10"/>
  <c r="H35" i="10" s="1"/>
  <c r="G38" i="10"/>
  <c r="G81" i="10"/>
  <c r="H81" i="10" s="1"/>
  <c r="J88" i="10"/>
  <c r="F6" i="10"/>
  <c r="F11" i="10" s="1"/>
  <c r="F12" i="10" s="1"/>
  <c r="F11" i="7"/>
  <c r="F12" i="7" s="1"/>
  <c r="G82" i="10"/>
  <c r="H82" i="10" s="1"/>
  <c r="J89" i="10"/>
  <c r="L70" i="10"/>
  <c r="K74" i="10"/>
  <c r="K66" i="10" s="1"/>
  <c r="G34" i="10"/>
  <c r="J90" i="10"/>
  <c r="F29" i="10"/>
  <c r="F33" i="7"/>
  <c r="G16" i="10"/>
  <c r="H16" i="10" s="1"/>
  <c r="G76" i="10"/>
  <c r="H76" i="10" s="1"/>
  <c r="L72" i="10"/>
  <c r="M68" i="10"/>
  <c r="M69" i="10"/>
  <c r="L73" i="10"/>
  <c r="N71" i="10"/>
  <c r="N75" i="10" s="1"/>
  <c r="N67" i="10" s="1"/>
  <c r="K64" i="10"/>
  <c r="M75" i="10"/>
  <c r="L67" i="10"/>
  <c r="M67" i="10" s="1"/>
  <c r="H85" i="7"/>
  <c r="AD3" i="5" s="1"/>
  <c r="AD23" i="5" s="1"/>
  <c r="H42" i="7"/>
  <c r="M75" i="7"/>
  <c r="K85" i="10" l="1"/>
  <c r="K86" i="10"/>
  <c r="K88" i="10"/>
  <c r="K87" i="10"/>
  <c r="K90" i="10"/>
  <c r="K89" i="10"/>
  <c r="L66" i="7"/>
  <c r="M66" i="7" s="1"/>
  <c r="W4" i="5" s="1"/>
  <c r="W12" i="5" s="1"/>
  <c r="BA11" i="5"/>
  <c r="K66" i="7"/>
  <c r="AZ11" i="5"/>
  <c r="J65" i="7"/>
  <c r="AY10" i="5"/>
  <c r="K88" i="13"/>
  <c r="P70" i="13"/>
  <c r="Q70" i="13" s="1"/>
  <c r="K86" i="13"/>
  <c r="K85" i="13"/>
  <c r="K87" i="13"/>
  <c r="K89" i="13"/>
  <c r="K90" i="13"/>
  <c r="CB12" i="5"/>
  <c r="K67" i="12"/>
  <c r="CC12" i="5"/>
  <c r="L67" i="12"/>
  <c r="L65" i="12"/>
  <c r="CC10" i="5"/>
  <c r="H17" i="13"/>
  <c r="L72" i="12"/>
  <c r="CC9" i="5" s="1"/>
  <c r="L40" i="12"/>
  <c r="L41" i="12"/>
  <c r="J26" i="12"/>
  <c r="J6" i="12"/>
  <c r="J6" i="13" s="1"/>
  <c r="J16" i="12"/>
  <c r="J16" i="13" s="1"/>
  <c r="J38" i="12"/>
  <c r="J38" i="13" s="1"/>
  <c r="J35" i="12"/>
  <c r="J35" i="13" s="1"/>
  <c r="J39" i="12"/>
  <c r="J39" i="13" s="1"/>
  <c r="J9" i="12"/>
  <c r="J9" i="13" s="1"/>
  <c r="J84" i="12"/>
  <c r="J84" i="13" s="1"/>
  <c r="J15" i="12"/>
  <c r="J15" i="13" s="1"/>
  <c r="J14" i="12"/>
  <c r="J14" i="13" s="1"/>
  <c r="J58" i="12"/>
  <c r="J58" i="13" s="1"/>
  <c r="J29" i="12"/>
  <c r="J34" i="12"/>
  <c r="J34" i="13" s="1"/>
  <c r="K85" i="12"/>
  <c r="K42" i="12" s="1"/>
  <c r="K42" i="13" s="1"/>
  <c r="K90" i="12"/>
  <c r="K32" i="12" s="1"/>
  <c r="K32" i="13" s="1"/>
  <c r="K86" i="12"/>
  <c r="K89" i="12"/>
  <c r="K31" i="12" s="1"/>
  <c r="K77" i="12"/>
  <c r="K7" i="12" s="1"/>
  <c r="K83" i="12"/>
  <c r="K83" i="13" s="1"/>
  <c r="K88" i="12"/>
  <c r="K30" i="12" s="1"/>
  <c r="K30" i="13" s="1"/>
  <c r="K79" i="12"/>
  <c r="K76" i="12"/>
  <c r="K81" i="12"/>
  <c r="K13" i="12" s="1"/>
  <c r="K87" i="12"/>
  <c r="K78" i="12"/>
  <c r="K8" i="12" s="1"/>
  <c r="K64" i="12"/>
  <c r="K19" i="12"/>
  <c r="K80" i="12"/>
  <c r="K10" i="12" s="1"/>
  <c r="K82" i="12"/>
  <c r="E60" i="13"/>
  <c r="E61" i="13" s="1"/>
  <c r="F61" i="13" s="1"/>
  <c r="F61" i="12"/>
  <c r="J7" i="13"/>
  <c r="J77" i="13"/>
  <c r="M68" i="12"/>
  <c r="M74" i="12"/>
  <c r="M66" i="12"/>
  <c r="W13" i="5" s="1"/>
  <c r="J23" i="12"/>
  <c r="J54" i="12" s="1"/>
  <c r="J54" i="13" s="1"/>
  <c r="J19" i="13"/>
  <c r="I44" i="13"/>
  <c r="M69" i="12"/>
  <c r="N70" i="12"/>
  <c r="N74" i="12" s="1"/>
  <c r="J82" i="13"/>
  <c r="J10" i="13"/>
  <c r="J80" i="13"/>
  <c r="I11" i="13"/>
  <c r="I27" i="13"/>
  <c r="J81" i="13"/>
  <c r="J13" i="13"/>
  <c r="I24" i="13"/>
  <c r="I37" i="13"/>
  <c r="G12" i="13"/>
  <c r="H12" i="13" s="1"/>
  <c r="H11" i="13"/>
  <c r="I33" i="13"/>
  <c r="J8" i="13"/>
  <c r="J78" i="13"/>
  <c r="G56" i="13"/>
  <c r="H56" i="13" s="1"/>
  <c r="H56" i="12"/>
  <c r="H24" i="13"/>
  <c r="J76" i="13"/>
  <c r="I17" i="13"/>
  <c r="M70" i="7"/>
  <c r="K73" i="7"/>
  <c r="L69" i="7"/>
  <c r="L73" i="7" s="1"/>
  <c r="N71" i="7"/>
  <c r="N75" i="7" s="1"/>
  <c r="G37" i="10"/>
  <c r="H37" i="10" s="1"/>
  <c r="H58" i="7"/>
  <c r="G54" i="10"/>
  <c r="H54" i="10" s="1"/>
  <c r="L64" i="13"/>
  <c r="M64" i="13" s="1"/>
  <c r="M72" i="13"/>
  <c r="P75" i="13"/>
  <c r="P67" i="13" s="1"/>
  <c r="Q71" i="13"/>
  <c r="L73" i="13"/>
  <c r="L86" i="13" s="1"/>
  <c r="M69" i="13"/>
  <c r="N68" i="13"/>
  <c r="N72" i="13" s="1"/>
  <c r="I44" i="12"/>
  <c r="E45" i="12"/>
  <c r="G52" i="12"/>
  <c r="G52" i="13" s="1"/>
  <c r="H12" i="12"/>
  <c r="G25" i="12"/>
  <c r="I11" i="12"/>
  <c r="I54" i="12"/>
  <c r="I54" i="13" s="1"/>
  <c r="I24" i="12"/>
  <c r="I17" i="12"/>
  <c r="I27" i="12"/>
  <c r="M71" i="12"/>
  <c r="I37" i="12"/>
  <c r="I33" i="12"/>
  <c r="H84" i="7"/>
  <c r="F33" i="10"/>
  <c r="G44" i="10"/>
  <c r="H44" i="10" s="1"/>
  <c r="H38" i="10"/>
  <c r="H24" i="10"/>
  <c r="G6" i="10"/>
  <c r="G11" i="10" s="1"/>
  <c r="G12" i="10" s="1"/>
  <c r="H12" i="10" s="1"/>
  <c r="G11" i="7"/>
  <c r="G12" i="7" s="1"/>
  <c r="H26" i="10"/>
  <c r="G29" i="10"/>
  <c r="G33" i="10" s="1"/>
  <c r="G33" i="7"/>
  <c r="M70" i="10"/>
  <c r="N70" i="10" s="1"/>
  <c r="N74" i="10" s="1"/>
  <c r="N66" i="10" s="1"/>
  <c r="L74" i="10"/>
  <c r="L86" i="10" s="1"/>
  <c r="H34" i="10"/>
  <c r="O71" i="10"/>
  <c r="L65" i="10"/>
  <c r="M65" i="10" s="1"/>
  <c r="M73" i="10"/>
  <c r="N69" i="10"/>
  <c r="N73" i="10" s="1"/>
  <c r="N65" i="10" s="1"/>
  <c r="N68" i="10"/>
  <c r="O68" i="10" s="1"/>
  <c r="P68" i="10" s="1"/>
  <c r="M72" i="10"/>
  <c r="L64" i="10"/>
  <c r="M64" i="10" s="1"/>
  <c r="M74" i="7"/>
  <c r="L85" i="10" l="1"/>
  <c r="L87" i="10"/>
  <c r="L90" i="10"/>
  <c r="M90" i="10" s="1"/>
  <c r="M85" i="10"/>
  <c r="L88" i="10"/>
  <c r="M88" i="10" s="1"/>
  <c r="O70" i="10"/>
  <c r="O74" i="10" s="1"/>
  <c r="O66" i="10" s="1"/>
  <c r="M87" i="10"/>
  <c r="L65" i="7"/>
  <c r="BA10" i="5"/>
  <c r="N67" i="7"/>
  <c r="BB12" i="5"/>
  <c r="O71" i="7"/>
  <c r="K65" i="7"/>
  <c r="AZ10" i="5"/>
  <c r="P74" i="13"/>
  <c r="P66" i="13" s="1"/>
  <c r="M86" i="13"/>
  <c r="O68" i="13"/>
  <c r="O72" i="13" s="1"/>
  <c r="O64" i="13" s="1"/>
  <c r="N66" i="12"/>
  <c r="CD11" i="5"/>
  <c r="K35" i="12"/>
  <c r="K35" i="13" s="1"/>
  <c r="K39" i="12"/>
  <c r="K39" i="13" s="1"/>
  <c r="K38" i="12"/>
  <c r="K38" i="13" s="1"/>
  <c r="K34" i="12"/>
  <c r="K34" i="13" s="1"/>
  <c r="K29" i="12"/>
  <c r="K29" i="13" s="1"/>
  <c r="K58" i="12"/>
  <c r="K58" i="13" s="1"/>
  <c r="K6" i="12"/>
  <c r="K6" i="13" s="1"/>
  <c r="K26" i="12"/>
  <c r="K16" i="12"/>
  <c r="K16" i="13" s="1"/>
  <c r="K9" i="12"/>
  <c r="K9" i="13" s="1"/>
  <c r="K84" i="12"/>
  <c r="K84" i="13" s="1"/>
  <c r="K14" i="12"/>
  <c r="K14" i="13" s="1"/>
  <c r="K15" i="12"/>
  <c r="K15" i="13" s="1"/>
  <c r="K79" i="13"/>
  <c r="L85" i="12"/>
  <c r="L42" i="12" s="1"/>
  <c r="L90" i="12"/>
  <c r="L32" i="12" s="1"/>
  <c r="L32" i="13" s="1"/>
  <c r="M32" i="13" s="1"/>
  <c r="L79" i="12"/>
  <c r="L79" i="13" s="1"/>
  <c r="M79" i="13" s="1"/>
  <c r="L83" i="12"/>
  <c r="L78" i="12"/>
  <c r="L8" i="12" s="1"/>
  <c r="L82" i="12"/>
  <c r="L88" i="12"/>
  <c r="L87" i="12"/>
  <c r="L81" i="12"/>
  <c r="L13" i="12" s="1"/>
  <c r="L89" i="12"/>
  <c r="L31" i="12" s="1"/>
  <c r="L31" i="13" s="1"/>
  <c r="L77" i="12"/>
  <c r="L7" i="12" s="1"/>
  <c r="L86" i="12"/>
  <c r="M86" i="12" s="1"/>
  <c r="AG22" i="5" s="1"/>
  <c r="L64" i="12"/>
  <c r="M64" i="12" s="1"/>
  <c r="W9" i="5" s="1"/>
  <c r="L76" i="12"/>
  <c r="L19" i="12"/>
  <c r="L80" i="12"/>
  <c r="L10" i="12" s="1"/>
  <c r="J24" i="12"/>
  <c r="G25" i="13"/>
  <c r="G28" i="13" s="1"/>
  <c r="K76" i="13"/>
  <c r="I12" i="13"/>
  <c r="J44" i="13"/>
  <c r="K7" i="13"/>
  <c r="K77" i="13"/>
  <c r="M41" i="12"/>
  <c r="L41" i="13"/>
  <c r="M41" i="13" s="1"/>
  <c r="K8" i="13"/>
  <c r="K78" i="13"/>
  <c r="G60" i="13"/>
  <c r="H52" i="13"/>
  <c r="N69" i="12"/>
  <c r="N73" i="12" s="1"/>
  <c r="M72" i="12"/>
  <c r="K82" i="13"/>
  <c r="M73" i="12"/>
  <c r="M65" i="12"/>
  <c r="W11" i="5" s="1"/>
  <c r="N68" i="12"/>
  <c r="K13" i="13"/>
  <c r="K81" i="13"/>
  <c r="J11" i="13"/>
  <c r="J12" i="13" s="1"/>
  <c r="N71" i="12"/>
  <c r="J17" i="12"/>
  <c r="J18" i="12" s="1"/>
  <c r="J53" i="12" s="1"/>
  <c r="J53" i="13" s="1"/>
  <c r="J33" i="12"/>
  <c r="J56" i="12" s="1"/>
  <c r="J56" i="13" s="1"/>
  <c r="J29" i="13"/>
  <c r="I18" i="13"/>
  <c r="O70" i="12"/>
  <c r="O74" i="12" s="1"/>
  <c r="K10" i="13"/>
  <c r="K80" i="13"/>
  <c r="J27" i="12"/>
  <c r="J55" i="12" s="1"/>
  <c r="J55" i="13" s="1"/>
  <c r="J26" i="13"/>
  <c r="J17" i="13"/>
  <c r="J18" i="13" s="1"/>
  <c r="M40" i="12"/>
  <c r="L40" i="13"/>
  <c r="M40" i="13" s="1"/>
  <c r="J23" i="13"/>
  <c r="K23" i="12"/>
  <c r="K54" i="12" s="1"/>
  <c r="K54" i="13" s="1"/>
  <c r="K19" i="13"/>
  <c r="K23" i="13" s="1"/>
  <c r="K24" i="13" s="1"/>
  <c r="J37" i="13"/>
  <c r="N70" i="7"/>
  <c r="N74" i="7" s="1"/>
  <c r="N69" i="13"/>
  <c r="N73" i="13" s="1"/>
  <c r="N65" i="13" s="1"/>
  <c r="O69" i="13"/>
  <c r="O73" i="13" s="1"/>
  <c r="O65" i="13" s="1"/>
  <c r="L65" i="13"/>
  <c r="M65" i="13" s="1"/>
  <c r="M73" i="13"/>
  <c r="L90" i="13"/>
  <c r="M90" i="13" s="1"/>
  <c r="L85" i="13"/>
  <c r="M85" i="13" s="1"/>
  <c r="L87" i="13"/>
  <c r="M87" i="13" s="1"/>
  <c r="N64" i="13"/>
  <c r="P68" i="13"/>
  <c r="Q74" i="13"/>
  <c r="R70" i="13"/>
  <c r="L88" i="13"/>
  <c r="M88" i="13" s="1"/>
  <c r="Q75" i="13"/>
  <c r="R71" i="13"/>
  <c r="L89" i="13"/>
  <c r="M89" i="13" s="1"/>
  <c r="I18" i="12"/>
  <c r="I57" i="12"/>
  <c r="I57" i="13" s="1"/>
  <c r="I12" i="12"/>
  <c r="J44" i="12"/>
  <c r="J57" i="12" s="1"/>
  <c r="J57" i="13" s="1"/>
  <c r="G28" i="12"/>
  <c r="H25" i="12"/>
  <c r="J11" i="12"/>
  <c r="J12" i="12" s="1"/>
  <c r="J52" i="12" s="1"/>
  <c r="J37" i="12"/>
  <c r="I56" i="12"/>
  <c r="I56" i="13" s="1"/>
  <c r="G60" i="12"/>
  <c r="H52" i="12"/>
  <c r="I55" i="12"/>
  <c r="I55" i="13" s="1"/>
  <c r="M75" i="12"/>
  <c r="M67" i="12"/>
  <c r="W15" i="5" s="1"/>
  <c r="O69" i="10"/>
  <c r="O73" i="10" s="1"/>
  <c r="O65" i="10" s="1"/>
  <c r="H6" i="10"/>
  <c r="H29" i="10"/>
  <c r="L66" i="10"/>
  <c r="M66" i="10" s="1"/>
  <c r="M74" i="10"/>
  <c r="L89" i="10"/>
  <c r="M89" i="10" s="1"/>
  <c r="H11" i="10"/>
  <c r="H33" i="10"/>
  <c r="P72" i="10"/>
  <c r="Q68" i="10"/>
  <c r="P70" i="10"/>
  <c r="O72" i="10"/>
  <c r="N72" i="10"/>
  <c r="M86" i="10"/>
  <c r="O75" i="10"/>
  <c r="O67" i="10" s="1"/>
  <c r="P71" i="10"/>
  <c r="M69" i="7"/>
  <c r="O75" i="7" l="1"/>
  <c r="P71" i="7"/>
  <c r="N66" i="7"/>
  <c r="BB11" i="5"/>
  <c r="N86" i="13"/>
  <c r="N85" i="13"/>
  <c r="N88" i="13"/>
  <c r="O90" i="13"/>
  <c r="N90" i="13"/>
  <c r="O89" i="13"/>
  <c r="O87" i="13"/>
  <c r="O71" i="12"/>
  <c r="N75" i="12"/>
  <c r="CE11" i="5"/>
  <c r="O66" i="12"/>
  <c r="N65" i="12"/>
  <c r="CD10" i="5"/>
  <c r="L77" i="13"/>
  <c r="M77" i="13" s="1"/>
  <c r="L26" i="12"/>
  <c r="L26" i="13" s="1"/>
  <c r="L27" i="13" s="1"/>
  <c r="L16" i="12"/>
  <c r="L6" i="12"/>
  <c r="L6" i="13" s="1"/>
  <c r="L80" i="13"/>
  <c r="M80" i="13" s="1"/>
  <c r="L9" i="12"/>
  <c r="L84" i="12"/>
  <c r="L14" i="12"/>
  <c r="M14" i="12" s="1"/>
  <c r="L15" i="12"/>
  <c r="M15" i="12" s="1"/>
  <c r="L39" i="12"/>
  <c r="L35" i="12"/>
  <c r="L38" i="12"/>
  <c r="L38" i="13" s="1"/>
  <c r="M38" i="13" s="1"/>
  <c r="L78" i="13"/>
  <c r="M78" i="13" s="1"/>
  <c r="N40" i="12"/>
  <c r="N40" i="13" s="1"/>
  <c r="N41" i="12"/>
  <c r="N41" i="13" s="1"/>
  <c r="N72" i="12"/>
  <c r="CD9" i="5" s="1"/>
  <c r="L34" i="12"/>
  <c r="M34" i="12" s="1"/>
  <c r="L58" i="12"/>
  <c r="L58" i="13" s="1"/>
  <c r="M58" i="13" s="1"/>
  <c r="L29" i="12"/>
  <c r="L29" i="13" s="1"/>
  <c r="M29" i="13" s="1"/>
  <c r="K37" i="13"/>
  <c r="H25" i="13"/>
  <c r="J25" i="12"/>
  <c r="J28" i="12" s="1"/>
  <c r="J45" i="12" s="1"/>
  <c r="I25" i="13"/>
  <c r="I28" i="13" s="1"/>
  <c r="L82" i="13"/>
  <c r="M82" i="13" s="1"/>
  <c r="K11" i="13"/>
  <c r="K12" i="13" s="1"/>
  <c r="J24" i="13"/>
  <c r="L23" i="12"/>
  <c r="L54" i="12" s="1"/>
  <c r="L19" i="13"/>
  <c r="L23" i="13" s="1"/>
  <c r="L24" i="13" s="1"/>
  <c r="O69" i="12"/>
  <c r="O73" i="12" s="1"/>
  <c r="M32" i="12"/>
  <c r="L76" i="13"/>
  <c r="M76" i="13" s="1"/>
  <c r="M89" i="12"/>
  <c r="AO29" i="5" s="1"/>
  <c r="G45" i="13"/>
  <c r="H45" i="13" s="1"/>
  <c r="H28" i="13"/>
  <c r="J33" i="13"/>
  <c r="M42" i="12"/>
  <c r="L42" i="13"/>
  <c r="M42" i="13" s="1"/>
  <c r="K24" i="12"/>
  <c r="P70" i="12"/>
  <c r="P74" i="12" s="1"/>
  <c r="L13" i="13"/>
  <c r="L81" i="13"/>
  <c r="M81" i="13" s="1"/>
  <c r="M31" i="12"/>
  <c r="K31" i="13"/>
  <c r="M31" i="13" s="1"/>
  <c r="K44" i="13"/>
  <c r="K17" i="13"/>
  <c r="G61" i="13"/>
  <c r="H60" i="13"/>
  <c r="O68" i="12"/>
  <c r="M83" i="12"/>
  <c r="L83" i="13"/>
  <c r="M83" i="13" s="1"/>
  <c r="J60" i="12"/>
  <c r="J52" i="13"/>
  <c r="J60" i="13" s="1"/>
  <c r="K27" i="12"/>
  <c r="K55" i="12" s="1"/>
  <c r="K55" i="13" s="1"/>
  <c r="K26" i="13"/>
  <c r="K27" i="13" s="1"/>
  <c r="M85" i="12"/>
  <c r="AG23" i="5" s="1"/>
  <c r="J27" i="13"/>
  <c r="N69" i="7"/>
  <c r="N73" i="7" s="1"/>
  <c r="O70" i="7"/>
  <c r="P69" i="13"/>
  <c r="Q67" i="13"/>
  <c r="R67" i="13" s="1"/>
  <c r="R75" i="13"/>
  <c r="N87" i="13"/>
  <c r="O85" i="13"/>
  <c r="Q66" i="13"/>
  <c r="R66" i="13" s="1"/>
  <c r="R74" i="13"/>
  <c r="O88" i="13"/>
  <c r="S70" i="13"/>
  <c r="S74" i="13" s="1"/>
  <c r="S66" i="13" s="1"/>
  <c r="P72" i="13"/>
  <c r="Q68" i="13"/>
  <c r="O86" i="13"/>
  <c r="S71" i="13"/>
  <c r="S75" i="13" s="1"/>
  <c r="S67" i="13" s="1"/>
  <c r="T71" i="13"/>
  <c r="T75" i="13" s="1"/>
  <c r="T67" i="13" s="1"/>
  <c r="N89" i="13"/>
  <c r="I52" i="12"/>
  <c r="I52" i="13" s="1"/>
  <c r="K11" i="12"/>
  <c r="L30" i="12"/>
  <c r="M88" i="12"/>
  <c r="AO28" i="5" s="1"/>
  <c r="H60" i="12"/>
  <c r="G61" i="12"/>
  <c r="K33" i="12"/>
  <c r="M79" i="12"/>
  <c r="M80" i="12"/>
  <c r="G45" i="12"/>
  <c r="H28" i="12"/>
  <c r="K17" i="12"/>
  <c r="K37" i="12"/>
  <c r="I53" i="12"/>
  <c r="I53" i="13" s="1"/>
  <c r="M81" i="12"/>
  <c r="M76" i="12"/>
  <c r="V22" i="5" s="1"/>
  <c r="M87" i="12"/>
  <c r="AO27" i="5" s="1"/>
  <c r="M90" i="12"/>
  <c r="AO30" i="5" s="1"/>
  <c r="M77" i="12"/>
  <c r="V23" i="5" s="1"/>
  <c r="M78" i="12"/>
  <c r="V24" i="5" s="1"/>
  <c r="K44" i="12"/>
  <c r="K57" i="12" s="1"/>
  <c r="K57" i="13" s="1"/>
  <c r="I25" i="12"/>
  <c r="M19" i="12"/>
  <c r="M82" i="12"/>
  <c r="P69" i="10"/>
  <c r="Q69" i="10" s="1"/>
  <c r="P75" i="10"/>
  <c r="P67" i="10" s="1"/>
  <c r="Q71" i="10"/>
  <c r="Q72" i="10"/>
  <c r="R68" i="10"/>
  <c r="O85" i="10"/>
  <c r="O90" i="10"/>
  <c r="O89" i="10"/>
  <c r="O64" i="10"/>
  <c r="O88" i="10"/>
  <c r="O87" i="10"/>
  <c r="O86" i="10"/>
  <c r="P74" i="10"/>
  <c r="P66" i="10" s="1"/>
  <c r="Q70" i="10"/>
  <c r="N90" i="10"/>
  <c r="N88" i="10"/>
  <c r="N86" i="10"/>
  <c r="N89" i="10"/>
  <c r="N87" i="10"/>
  <c r="N85" i="10"/>
  <c r="N64" i="10"/>
  <c r="P64" i="10"/>
  <c r="M73" i="7"/>
  <c r="M65" i="7"/>
  <c r="W3" i="5" s="1"/>
  <c r="W10" i="5" s="1"/>
  <c r="P73" i="10" l="1"/>
  <c r="P65" i="10" s="1"/>
  <c r="P75" i="7"/>
  <c r="Q71" i="7"/>
  <c r="N65" i="7"/>
  <c r="BB10" i="5"/>
  <c r="O67" i="7"/>
  <c r="BC12" i="5"/>
  <c r="T70" i="13"/>
  <c r="T74" i="13" s="1"/>
  <c r="T66" i="13" s="1"/>
  <c r="N67" i="12"/>
  <c r="CD12" i="5"/>
  <c r="P71" i="12"/>
  <c r="O75" i="12"/>
  <c r="P66" i="12"/>
  <c r="CF11" i="5"/>
  <c r="O65" i="12"/>
  <c r="CE10" i="5"/>
  <c r="H45" i="12"/>
  <c r="H47" i="12" s="1"/>
  <c r="I59" i="12" s="1"/>
  <c r="M59" i="12" s="1"/>
  <c r="M58" i="12"/>
  <c r="L14" i="13"/>
  <c r="M14" i="13" s="1"/>
  <c r="L15" i="13"/>
  <c r="M15" i="13" s="1"/>
  <c r="M19" i="13"/>
  <c r="N78" i="12"/>
  <c r="N8" i="12" s="1"/>
  <c r="N85" i="12"/>
  <c r="N42" i="12" s="1"/>
  <c r="N88" i="12"/>
  <c r="N81" i="12"/>
  <c r="N13" i="12" s="1"/>
  <c r="N89" i="12"/>
  <c r="N31" i="12" s="1"/>
  <c r="N80" i="12"/>
  <c r="N10" i="12" s="1"/>
  <c r="N19" i="12"/>
  <c r="N19" i="13" s="1"/>
  <c r="N76" i="12"/>
  <c r="N83" i="12"/>
  <c r="N83" i="13" s="1"/>
  <c r="N82" i="12"/>
  <c r="N79" i="12"/>
  <c r="N79" i="13" s="1"/>
  <c r="N87" i="12"/>
  <c r="N86" i="12"/>
  <c r="N64" i="12"/>
  <c r="N77" i="12"/>
  <c r="N7" i="12" s="1"/>
  <c r="N90" i="12"/>
  <c r="N32" i="12" s="1"/>
  <c r="O40" i="12"/>
  <c r="O40" i="13" s="1"/>
  <c r="O41" i="12"/>
  <c r="O41" i="13" s="1"/>
  <c r="O72" i="12"/>
  <c r="CE9" i="5" s="1"/>
  <c r="K33" i="13"/>
  <c r="M54" i="12"/>
  <c r="L54" i="13"/>
  <c r="M54" i="13" s="1"/>
  <c r="L37" i="12"/>
  <c r="M37" i="12" s="1"/>
  <c r="L34" i="13"/>
  <c r="M30" i="12"/>
  <c r="L30" i="13"/>
  <c r="M30" i="13" s="1"/>
  <c r="H61" i="13"/>
  <c r="M13" i="13"/>
  <c r="L11" i="12"/>
  <c r="L12" i="12" s="1"/>
  <c r="L52" i="12" s="1"/>
  <c r="L52" i="13" s="1"/>
  <c r="Q70" i="12"/>
  <c r="Q74" i="12" s="1"/>
  <c r="H47" i="13"/>
  <c r="I59" i="13" s="1"/>
  <c r="M59" i="13" s="1"/>
  <c r="M23" i="13"/>
  <c r="M38" i="12"/>
  <c r="M16" i="12"/>
  <c r="L16" i="13"/>
  <c r="M16" i="13" s="1"/>
  <c r="M9" i="12"/>
  <c r="L9" i="13"/>
  <c r="M9" i="13" s="1"/>
  <c r="J25" i="13"/>
  <c r="M24" i="13"/>
  <c r="K18" i="13"/>
  <c r="M26" i="13"/>
  <c r="M29" i="12"/>
  <c r="M27" i="13"/>
  <c r="L24" i="12"/>
  <c r="M10" i="12"/>
  <c r="L10" i="13"/>
  <c r="M10" i="13" s="1"/>
  <c r="P68" i="12"/>
  <c r="P69" i="12"/>
  <c r="P73" i="12" s="1"/>
  <c r="M39" i="12"/>
  <c r="L39" i="13"/>
  <c r="M39" i="13" s="1"/>
  <c r="M84" i="12"/>
  <c r="L84" i="13"/>
  <c r="M84" i="13" s="1"/>
  <c r="I45" i="13"/>
  <c r="M8" i="12"/>
  <c r="L8" i="13"/>
  <c r="M8" i="13" s="1"/>
  <c r="M35" i="12"/>
  <c r="L35" i="13"/>
  <c r="M35" i="13" s="1"/>
  <c r="M6" i="13"/>
  <c r="M7" i="12"/>
  <c r="L7" i="13"/>
  <c r="M7" i="13" s="1"/>
  <c r="M23" i="12"/>
  <c r="O74" i="7"/>
  <c r="P70" i="7"/>
  <c r="O69" i="7"/>
  <c r="Q72" i="13"/>
  <c r="R68" i="13"/>
  <c r="P64" i="13"/>
  <c r="U71" i="13"/>
  <c r="P73" i="13"/>
  <c r="P65" i="13" s="1"/>
  <c r="Q69" i="13"/>
  <c r="L27" i="12"/>
  <c r="M26" i="12"/>
  <c r="K56" i="12"/>
  <c r="K12" i="12"/>
  <c r="L44" i="12"/>
  <c r="K18" i="12"/>
  <c r="H61" i="12"/>
  <c r="I28" i="12"/>
  <c r="L17" i="12"/>
  <c r="L18" i="12" s="1"/>
  <c r="L53" i="12" s="1"/>
  <c r="L53" i="13" s="1"/>
  <c r="M13" i="12"/>
  <c r="L33" i="12"/>
  <c r="L56" i="12" s="1"/>
  <c r="L56" i="13" s="1"/>
  <c r="M6" i="12"/>
  <c r="Q74" i="10"/>
  <c r="R70" i="10"/>
  <c r="S68" i="10"/>
  <c r="T68" i="10" s="1"/>
  <c r="R72" i="10"/>
  <c r="Q64" i="10"/>
  <c r="R64" i="10" s="1"/>
  <c r="Q75" i="10"/>
  <c r="R71" i="10"/>
  <c r="P85" i="10"/>
  <c r="Q73" i="10"/>
  <c r="R69" i="10"/>
  <c r="U70" i="13" l="1"/>
  <c r="P86" i="10"/>
  <c r="P88" i="10"/>
  <c r="P89" i="10"/>
  <c r="P87" i="10"/>
  <c r="P90" i="10"/>
  <c r="O66" i="7"/>
  <c r="BC11" i="5"/>
  <c r="Q75" i="7"/>
  <c r="R71" i="7"/>
  <c r="S71" i="7" s="1"/>
  <c r="S75" i="7" s="1"/>
  <c r="P67" i="7"/>
  <c r="BD12" i="5"/>
  <c r="P85" i="13"/>
  <c r="P89" i="13"/>
  <c r="O67" i="12"/>
  <c r="CE12" i="5"/>
  <c r="Q71" i="12"/>
  <c r="Q75" i="12" s="1"/>
  <c r="P75" i="12"/>
  <c r="CG11" i="5"/>
  <c r="Q66" i="12"/>
  <c r="P65" i="12"/>
  <c r="CF10" i="5"/>
  <c r="P40" i="12"/>
  <c r="P40" i="13" s="1"/>
  <c r="P41" i="12"/>
  <c r="P41" i="13" s="1"/>
  <c r="P72" i="12"/>
  <c r="CF9" i="5" s="1"/>
  <c r="O90" i="12"/>
  <c r="O32" i="12" s="1"/>
  <c r="O32" i="13" s="1"/>
  <c r="O19" i="12"/>
  <c r="O23" i="12" s="1"/>
  <c r="O54" i="12" s="1"/>
  <c r="O54" i="13" s="1"/>
  <c r="O83" i="12"/>
  <c r="O83" i="13" s="1"/>
  <c r="O88" i="12"/>
  <c r="O30" i="12" s="1"/>
  <c r="O30" i="13" s="1"/>
  <c r="O86" i="12"/>
  <c r="O81" i="12"/>
  <c r="O13" i="12" s="1"/>
  <c r="O64" i="12"/>
  <c r="O79" i="12"/>
  <c r="O79" i="13" s="1"/>
  <c r="O89" i="12"/>
  <c r="O31" i="12" s="1"/>
  <c r="O31" i="13" s="1"/>
  <c r="O76" i="12"/>
  <c r="O87" i="12"/>
  <c r="O78" i="12"/>
  <c r="O8" i="12" s="1"/>
  <c r="O8" i="13" s="1"/>
  <c r="O80" i="12"/>
  <c r="O10" i="12" s="1"/>
  <c r="O77" i="12"/>
  <c r="O7" i="12" s="1"/>
  <c r="O7" i="13" s="1"/>
  <c r="O85" i="12"/>
  <c r="O42" i="12" s="1"/>
  <c r="O42" i="13" s="1"/>
  <c r="O82" i="12"/>
  <c r="N6" i="12"/>
  <c r="N6" i="13" s="1"/>
  <c r="N26" i="12"/>
  <c r="N26" i="13" s="1"/>
  <c r="N14" i="12"/>
  <c r="N14" i="13" s="1"/>
  <c r="N15" i="12"/>
  <c r="N15" i="13" s="1"/>
  <c r="N38" i="12"/>
  <c r="N38" i="13" s="1"/>
  <c r="N39" i="12"/>
  <c r="N39" i="13" s="1"/>
  <c r="N35" i="12"/>
  <c r="N35" i="13" s="1"/>
  <c r="N58" i="12"/>
  <c r="N58" i="13" s="1"/>
  <c r="N34" i="12"/>
  <c r="N34" i="13" s="1"/>
  <c r="N29" i="12"/>
  <c r="N29" i="13" s="1"/>
  <c r="N16" i="12"/>
  <c r="N16" i="13" s="1"/>
  <c r="N9" i="12"/>
  <c r="N9" i="13" s="1"/>
  <c r="N84" i="12"/>
  <c r="N84" i="13" s="1"/>
  <c r="L33" i="13"/>
  <c r="M33" i="13" s="1"/>
  <c r="H48" i="13"/>
  <c r="H49" i="13" s="1"/>
  <c r="I60" i="12"/>
  <c r="I61" i="12" s="1"/>
  <c r="J61" i="12" s="1"/>
  <c r="L25" i="12"/>
  <c r="L28" i="12" s="1"/>
  <c r="L45" i="12" s="1"/>
  <c r="M11" i="12"/>
  <c r="M17" i="12"/>
  <c r="J28" i="13"/>
  <c r="R70" i="12"/>
  <c r="M24" i="12"/>
  <c r="N8" i="13"/>
  <c r="N78" i="13"/>
  <c r="N82" i="13"/>
  <c r="L11" i="13"/>
  <c r="M33" i="12"/>
  <c r="N76" i="13"/>
  <c r="Q68" i="12"/>
  <c r="N23" i="13"/>
  <c r="N13" i="13"/>
  <c r="N81" i="13"/>
  <c r="L44" i="13"/>
  <c r="M44" i="13" s="1"/>
  <c r="L37" i="13"/>
  <c r="M37" i="13" s="1"/>
  <c r="M34" i="13"/>
  <c r="M56" i="12"/>
  <c r="K56" i="13"/>
  <c r="M56" i="13" s="1"/>
  <c r="N10" i="13"/>
  <c r="N80" i="13"/>
  <c r="L17" i="13"/>
  <c r="N7" i="13"/>
  <c r="N77" i="13"/>
  <c r="I60" i="13"/>
  <c r="Q69" i="12"/>
  <c r="Q73" i="12" s="1"/>
  <c r="K25" i="13"/>
  <c r="K28" i="13" s="1"/>
  <c r="K45" i="13" s="1"/>
  <c r="O73" i="7"/>
  <c r="P69" i="7"/>
  <c r="P74" i="7"/>
  <c r="Q70" i="7"/>
  <c r="U74" i="13"/>
  <c r="U66" i="13" s="1"/>
  <c r="V70" i="13"/>
  <c r="Q73" i="13"/>
  <c r="Q89" i="13" s="1"/>
  <c r="R69" i="13"/>
  <c r="P86" i="13"/>
  <c r="U75" i="13"/>
  <c r="U67" i="13" s="1"/>
  <c r="V71" i="13"/>
  <c r="P88" i="13"/>
  <c r="P90" i="13"/>
  <c r="S68" i="13"/>
  <c r="S72" i="13" s="1"/>
  <c r="R72" i="13"/>
  <c r="Q64" i="13"/>
  <c r="R64" i="13" s="1"/>
  <c r="Q90" i="13"/>
  <c r="P87" i="13"/>
  <c r="K53" i="12"/>
  <c r="M18" i="12"/>
  <c r="K25" i="12"/>
  <c r="N23" i="12"/>
  <c r="L57" i="12"/>
  <c r="M44" i="12"/>
  <c r="N31" i="13"/>
  <c r="K52" i="12"/>
  <c r="K52" i="13" s="1"/>
  <c r="M12" i="12"/>
  <c r="N42" i="13"/>
  <c r="N30" i="12"/>
  <c r="N30" i="13" s="1"/>
  <c r="L55" i="12"/>
  <c r="L55" i="13" s="1"/>
  <c r="M55" i="13" s="1"/>
  <c r="M27" i="12"/>
  <c r="I45" i="12"/>
  <c r="N32" i="13"/>
  <c r="H48" i="12"/>
  <c r="T72" i="10"/>
  <c r="U68" i="10"/>
  <c r="Q65" i="10"/>
  <c r="R65" i="10" s="1"/>
  <c r="R73" i="10"/>
  <c r="Q86" i="10"/>
  <c r="Q85" i="10"/>
  <c r="R85" i="10" s="1"/>
  <c r="Q67" i="10"/>
  <c r="R67" i="10" s="1"/>
  <c r="R75" i="10"/>
  <c r="Q90" i="10"/>
  <c r="Q87" i="10"/>
  <c r="Q89" i="10"/>
  <c r="S70" i="10"/>
  <c r="S74" i="10" s="1"/>
  <c r="S66" i="10" s="1"/>
  <c r="S72" i="10"/>
  <c r="Q66" i="10"/>
  <c r="R66" i="10" s="1"/>
  <c r="R74" i="10"/>
  <c r="Q88" i="10"/>
  <c r="S69" i="10"/>
  <c r="S73" i="10" s="1"/>
  <c r="S65" i="10" s="1"/>
  <c r="T69" i="10"/>
  <c r="T73" i="10" s="1"/>
  <c r="T65" i="10" s="1"/>
  <c r="S71" i="10"/>
  <c r="S75" i="10" s="1"/>
  <c r="S67" i="10" s="1"/>
  <c r="T70" i="10" l="1"/>
  <c r="T74" i="10" s="1"/>
  <c r="T66" i="10" s="1"/>
  <c r="R71" i="12"/>
  <c r="R89" i="13"/>
  <c r="R87" i="10"/>
  <c r="P66" i="7"/>
  <c r="BD11" i="5"/>
  <c r="S67" i="7"/>
  <c r="BF12" i="5"/>
  <c r="Q67" i="7"/>
  <c r="R67" i="7" s="1"/>
  <c r="X5" i="5" s="1"/>
  <c r="X14" i="5" s="1"/>
  <c r="BE12" i="5"/>
  <c r="R75" i="7"/>
  <c r="O65" i="7"/>
  <c r="BC10" i="5"/>
  <c r="T71" i="7"/>
  <c r="T75" i="7" s="1"/>
  <c r="Q88" i="13"/>
  <c r="R88" i="13" s="1"/>
  <c r="P67" i="12"/>
  <c r="CF12" i="5"/>
  <c r="Q67" i="12"/>
  <c r="R67" i="12" s="1"/>
  <c r="X15" i="5" s="1"/>
  <c r="CG12" i="5"/>
  <c r="Q65" i="12"/>
  <c r="CG10" i="5"/>
  <c r="O77" i="13"/>
  <c r="H49" i="12"/>
  <c r="F9" i="5"/>
  <c r="Q40" i="12"/>
  <c r="R40" i="12" s="1"/>
  <c r="Q41" i="12"/>
  <c r="Q72" i="12"/>
  <c r="CG9" i="5" s="1"/>
  <c r="P81" i="12"/>
  <c r="P13" i="12" s="1"/>
  <c r="P13" i="13" s="1"/>
  <c r="P64" i="12"/>
  <c r="P19" i="12"/>
  <c r="P19" i="13" s="1"/>
  <c r="P83" i="12"/>
  <c r="P83" i="13" s="1"/>
  <c r="P88" i="12"/>
  <c r="P30" i="12" s="1"/>
  <c r="P30" i="13" s="1"/>
  <c r="P86" i="12"/>
  <c r="P76" i="12"/>
  <c r="P76" i="13" s="1"/>
  <c r="P89" i="12"/>
  <c r="P31" i="12" s="1"/>
  <c r="P31" i="13" s="1"/>
  <c r="P80" i="12"/>
  <c r="P10" i="12" s="1"/>
  <c r="P77" i="12"/>
  <c r="P7" i="12" s="1"/>
  <c r="P90" i="12"/>
  <c r="P32" i="12" s="1"/>
  <c r="P32" i="13" s="1"/>
  <c r="P82" i="12"/>
  <c r="P78" i="12"/>
  <c r="P8" i="12" s="1"/>
  <c r="P8" i="13" s="1"/>
  <c r="P79" i="12"/>
  <c r="P87" i="12"/>
  <c r="P85" i="12"/>
  <c r="P42" i="12" s="1"/>
  <c r="P42" i="13" s="1"/>
  <c r="O15" i="12"/>
  <c r="O15" i="13" s="1"/>
  <c r="O14" i="12"/>
  <c r="O14" i="13" s="1"/>
  <c r="O19" i="13"/>
  <c r="O23" i="13" s="1"/>
  <c r="O24" i="13" s="1"/>
  <c r="O39" i="12"/>
  <c r="O39" i="13" s="1"/>
  <c r="O35" i="12"/>
  <c r="O35" i="13" s="1"/>
  <c r="O38" i="12"/>
  <c r="O38" i="13" s="1"/>
  <c r="O58" i="12"/>
  <c r="O58" i="13" s="1"/>
  <c r="O34" i="12"/>
  <c r="O34" i="13" s="1"/>
  <c r="O29" i="12"/>
  <c r="O33" i="12" s="1"/>
  <c r="O56" i="12" s="1"/>
  <c r="O56" i="13" s="1"/>
  <c r="O6" i="12"/>
  <c r="O6" i="13" s="1"/>
  <c r="O16" i="12"/>
  <c r="O16" i="13" s="1"/>
  <c r="O26" i="12"/>
  <c r="O82" i="13"/>
  <c r="O78" i="13"/>
  <c r="O9" i="12"/>
  <c r="O9" i="13" s="1"/>
  <c r="O84" i="12"/>
  <c r="O84" i="13" s="1"/>
  <c r="O24" i="12"/>
  <c r="N44" i="13"/>
  <c r="M53" i="12"/>
  <c r="K53" i="13"/>
  <c r="M53" i="13" s="1"/>
  <c r="O76" i="13"/>
  <c r="N37" i="13"/>
  <c r="L18" i="13"/>
  <c r="M17" i="13"/>
  <c r="O81" i="13"/>
  <c r="N24" i="13"/>
  <c r="N11" i="13"/>
  <c r="N27" i="13"/>
  <c r="R66" i="12"/>
  <c r="X13" i="5" s="1"/>
  <c r="R74" i="12"/>
  <c r="S70" i="12"/>
  <c r="S74" i="12" s="1"/>
  <c r="N33" i="13"/>
  <c r="S71" i="12"/>
  <c r="S75" i="12" s="1"/>
  <c r="O10" i="13"/>
  <c r="O80" i="13"/>
  <c r="L12" i="13"/>
  <c r="M12" i="13" s="1"/>
  <c r="M11" i="13"/>
  <c r="M57" i="12"/>
  <c r="L57" i="13"/>
  <c r="M57" i="13" s="1"/>
  <c r="M52" i="13"/>
  <c r="R68" i="12"/>
  <c r="N17" i="12"/>
  <c r="N18" i="12" s="1"/>
  <c r="I61" i="13"/>
  <c r="J61" i="13" s="1"/>
  <c r="R69" i="12"/>
  <c r="N17" i="13"/>
  <c r="J45" i="13"/>
  <c r="Q74" i="7"/>
  <c r="BE11" i="5" s="1"/>
  <c r="R70" i="7"/>
  <c r="P73" i="7"/>
  <c r="Q69" i="7"/>
  <c r="Q73" i="7" s="1"/>
  <c r="R90" i="13"/>
  <c r="Q87" i="13"/>
  <c r="R87" i="13" s="1"/>
  <c r="V75" i="13"/>
  <c r="W71" i="13"/>
  <c r="T68" i="13"/>
  <c r="S69" i="13"/>
  <c r="S73" i="13" s="1"/>
  <c r="S65" i="13" s="1"/>
  <c r="T69" i="13"/>
  <c r="T73" i="13" s="1"/>
  <c r="T65" i="13" s="1"/>
  <c r="Q85" i="13"/>
  <c r="R85" i="13" s="1"/>
  <c r="Q65" i="13"/>
  <c r="R65" i="13" s="1"/>
  <c r="R73" i="13"/>
  <c r="Q86" i="13"/>
  <c r="R86" i="13" s="1"/>
  <c r="S64" i="13"/>
  <c r="V74" i="13"/>
  <c r="W70" i="13"/>
  <c r="N54" i="12"/>
  <c r="N54" i="13" s="1"/>
  <c r="N24" i="12"/>
  <c r="N11" i="12"/>
  <c r="M55" i="12"/>
  <c r="L60" i="12"/>
  <c r="N44" i="12"/>
  <c r="K28" i="12"/>
  <c r="M25" i="12"/>
  <c r="N33" i="12"/>
  <c r="R75" i="12"/>
  <c r="N27" i="12"/>
  <c r="N37" i="12"/>
  <c r="K60" i="12"/>
  <c r="M52" i="12"/>
  <c r="R89" i="10"/>
  <c r="S89" i="10"/>
  <c r="S87" i="10"/>
  <c r="S85" i="10"/>
  <c r="S90" i="10"/>
  <c r="S88" i="10"/>
  <c r="S86" i="10"/>
  <c r="S64" i="10"/>
  <c r="U72" i="10"/>
  <c r="V68" i="10"/>
  <c r="R90" i="10"/>
  <c r="T64" i="10"/>
  <c r="T71" i="10"/>
  <c r="R86" i="10"/>
  <c r="R88" i="10"/>
  <c r="U69" i="10"/>
  <c r="U70" i="10" l="1"/>
  <c r="U74" i="10" s="1"/>
  <c r="U66" i="10" s="1"/>
  <c r="T71" i="12"/>
  <c r="T75" i="12" s="1"/>
  <c r="U71" i="7"/>
  <c r="U75" i="7" s="1"/>
  <c r="T67" i="7"/>
  <c r="BG12" i="5"/>
  <c r="Q65" i="7"/>
  <c r="R65" i="7" s="1"/>
  <c r="X3" i="5" s="1"/>
  <c r="X10" i="5" s="1"/>
  <c r="BE10" i="5"/>
  <c r="P65" i="7"/>
  <c r="BD10" i="5"/>
  <c r="S85" i="13"/>
  <c r="S88" i="13"/>
  <c r="U71" i="12"/>
  <c r="CH12" i="5"/>
  <c r="S67" i="12"/>
  <c r="S66" i="12"/>
  <c r="CH11" i="5"/>
  <c r="O37" i="12"/>
  <c r="O29" i="13"/>
  <c r="O33" i="13" s="1"/>
  <c r="K60" i="13"/>
  <c r="K61" i="13" s="1"/>
  <c r="P81" i="13"/>
  <c r="O44" i="13"/>
  <c r="O37" i="13"/>
  <c r="Q40" i="13"/>
  <c r="R40" i="13" s="1"/>
  <c r="P23" i="12"/>
  <c r="P54" i="12" s="1"/>
  <c r="P54" i="13" s="1"/>
  <c r="O44" i="12"/>
  <c r="O57" i="12" s="1"/>
  <c r="O57" i="13" s="1"/>
  <c r="P78" i="13"/>
  <c r="P35" i="12"/>
  <c r="P35" i="13" s="1"/>
  <c r="P39" i="12"/>
  <c r="P39" i="13" s="1"/>
  <c r="P38" i="12"/>
  <c r="P38" i="13" s="1"/>
  <c r="P9" i="12"/>
  <c r="P9" i="13" s="1"/>
  <c r="P84" i="12"/>
  <c r="P84" i="13" s="1"/>
  <c r="P79" i="13"/>
  <c r="Q89" i="12"/>
  <c r="Q31" i="12" s="1"/>
  <c r="Q19" i="12"/>
  <c r="Q19" i="13" s="1"/>
  <c r="Q23" i="13" s="1"/>
  <c r="Q24" i="13" s="1"/>
  <c r="Q81" i="12"/>
  <c r="Q13" i="12" s="1"/>
  <c r="Q13" i="13" s="1"/>
  <c r="Q77" i="12"/>
  <c r="Q86" i="12"/>
  <c r="Q76" i="12"/>
  <c r="Q76" i="13" s="1"/>
  <c r="R76" i="13" s="1"/>
  <c r="Q82" i="12"/>
  <c r="Q87" i="12"/>
  <c r="R87" i="12" s="1"/>
  <c r="AQ27" i="5" s="1"/>
  <c r="Q64" i="12"/>
  <c r="R64" i="12" s="1"/>
  <c r="X9" i="5" s="1"/>
  <c r="Q88" i="12"/>
  <c r="Q30" i="12" s="1"/>
  <c r="Q79" i="12"/>
  <c r="R79" i="12" s="1"/>
  <c r="Q90" i="12"/>
  <c r="Q32" i="12" s="1"/>
  <c r="Q32" i="13" s="1"/>
  <c r="R32" i="13" s="1"/>
  <c r="Q85" i="12"/>
  <c r="Q42" i="12" s="1"/>
  <c r="Q80" i="12"/>
  <c r="Q10" i="12" s="1"/>
  <c r="Q78" i="12"/>
  <c r="R78" i="12" s="1"/>
  <c r="W24" i="5" s="1"/>
  <c r="Q83" i="12"/>
  <c r="P29" i="12"/>
  <c r="P33" i="12" s="1"/>
  <c r="P56" i="12" s="1"/>
  <c r="P56" i="13" s="1"/>
  <c r="P34" i="12"/>
  <c r="P58" i="12"/>
  <c r="P58" i="13" s="1"/>
  <c r="P15" i="12"/>
  <c r="P14" i="12"/>
  <c r="P14" i="13" s="1"/>
  <c r="P26" i="12"/>
  <c r="P27" i="12" s="1"/>
  <c r="P55" i="12" s="1"/>
  <c r="P55" i="13" s="1"/>
  <c r="P16" i="12"/>
  <c r="P16" i="13" s="1"/>
  <c r="P6" i="12"/>
  <c r="P6" i="13" s="1"/>
  <c r="L60" i="13"/>
  <c r="R41" i="12"/>
  <c r="Q41" i="13"/>
  <c r="R41" i="13" s="1"/>
  <c r="L25" i="13"/>
  <c r="M18" i="13"/>
  <c r="O27" i="12"/>
  <c r="O55" i="12" s="1"/>
  <c r="O55" i="13" s="1"/>
  <c r="O26" i="13"/>
  <c r="R72" i="12"/>
  <c r="T70" i="12"/>
  <c r="T74" i="12" s="1"/>
  <c r="S68" i="12"/>
  <c r="N18" i="13"/>
  <c r="P23" i="13"/>
  <c r="O13" i="13"/>
  <c r="O17" i="12"/>
  <c r="O18" i="12" s="1"/>
  <c r="O11" i="13"/>
  <c r="O12" i="13" s="1"/>
  <c r="P82" i="13"/>
  <c r="N12" i="13"/>
  <c r="O11" i="12"/>
  <c r="O12" i="12" s="1"/>
  <c r="O52" i="12" s="1"/>
  <c r="P10" i="13"/>
  <c r="P80" i="13"/>
  <c r="R73" i="12"/>
  <c r="R65" i="12"/>
  <c r="X11" i="5" s="1"/>
  <c r="P7" i="13"/>
  <c r="P77" i="13"/>
  <c r="S69" i="12"/>
  <c r="S73" i="12" s="1"/>
  <c r="R69" i="7"/>
  <c r="V71" i="7"/>
  <c r="V75" i="7" s="1"/>
  <c r="S70" i="7"/>
  <c r="S74" i="7" s="1"/>
  <c r="Q66" i="7"/>
  <c r="R66" i="7" s="1"/>
  <c r="X4" i="5" s="1"/>
  <c r="X12" i="5" s="1"/>
  <c r="R74" i="7"/>
  <c r="U69" i="13"/>
  <c r="S89" i="13"/>
  <c r="T72" i="13"/>
  <c r="U68" i="13"/>
  <c r="X71" i="13"/>
  <c r="X75" i="13" s="1"/>
  <c r="X67" i="13" s="1"/>
  <c r="X70" i="13"/>
  <c r="X74" i="13" s="1"/>
  <c r="X66" i="13" s="1"/>
  <c r="V67" i="13"/>
  <c r="W67" i="13" s="1"/>
  <c r="W75" i="13"/>
  <c r="V66" i="13"/>
  <c r="W66" i="13" s="1"/>
  <c r="W74" i="13"/>
  <c r="S86" i="13"/>
  <c r="S87" i="13"/>
  <c r="S90" i="13"/>
  <c r="N56" i="12"/>
  <c r="N56" i="13" s="1"/>
  <c r="N57" i="12"/>
  <c r="N57" i="13" s="1"/>
  <c r="N12" i="12"/>
  <c r="K45" i="12"/>
  <c r="M28" i="12"/>
  <c r="N53" i="12"/>
  <c r="N53" i="13" s="1"/>
  <c r="K61" i="12"/>
  <c r="L61" i="12" s="1"/>
  <c r="M60" i="12"/>
  <c r="N55" i="12"/>
  <c r="N55" i="13" s="1"/>
  <c r="U64" i="10"/>
  <c r="T75" i="10"/>
  <c r="U71" i="10"/>
  <c r="U73" i="10"/>
  <c r="U65" i="10" s="1"/>
  <c r="V69" i="10"/>
  <c r="V70" i="10"/>
  <c r="V72" i="10"/>
  <c r="W68" i="10"/>
  <c r="R73" i="7"/>
  <c r="Y71" i="13" l="1"/>
  <c r="Y75" i="13" s="1"/>
  <c r="Y67" i="13" s="1"/>
  <c r="S66" i="7"/>
  <c r="BF11" i="5"/>
  <c r="T70" i="7"/>
  <c r="T74" i="7" s="1"/>
  <c r="V67" i="7"/>
  <c r="BI12" i="5"/>
  <c r="U67" i="7"/>
  <c r="BH12" i="5"/>
  <c r="T67" i="12"/>
  <c r="CI12" i="5"/>
  <c r="V71" i="12"/>
  <c r="V75" i="12" s="1"/>
  <c r="U75" i="12"/>
  <c r="M45" i="12"/>
  <c r="M47" i="12" s="1"/>
  <c r="N59" i="12" s="1"/>
  <c r="R59" i="12" s="1"/>
  <c r="CI11" i="5"/>
  <c r="T66" i="12"/>
  <c r="S65" i="12"/>
  <c r="CH10" i="5"/>
  <c r="R85" i="12"/>
  <c r="AI23" i="5" s="1"/>
  <c r="M60" i="13"/>
  <c r="P24" i="12"/>
  <c r="Q23" i="12"/>
  <c r="Q24" i="12" s="1"/>
  <c r="Q79" i="13"/>
  <c r="R79" i="13" s="1"/>
  <c r="P44" i="13"/>
  <c r="Q80" i="13"/>
  <c r="R80" i="13" s="1"/>
  <c r="R76" i="12"/>
  <c r="W22" i="5" s="1"/>
  <c r="P26" i="13"/>
  <c r="P27" i="13" s="1"/>
  <c r="P37" i="12"/>
  <c r="R81" i="12"/>
  <c r="P34" i="13"/>
  <c r="P37" i="13" s="1"/>
  <c r="P44" i="12"/>
  <c r="P57" i="12" s="1"/>
  <c r="P57" i="13" s="1"/>
  <c r="P17" i="12"/>
  <c r="P18" i="12" s="1"/>
  <c r="R19" i="13"/>
  <c r="R89" i="12"/>
  <c r="AQ29" i="5" s="1"/>
  <c r="R19" i="12"/>
  <c r="Q7" i="12"/>
  <c r="R7" i="12" s="1"/>
  <c r="Q77" i="13"/>
  <c r="R77" i="13" s="1"/>
  <c r="S41" i="12"/>
  <c r="S41" i="13" s="1"/>
  <c r="S40" i="12"/>
  <c r="S40" i="13" s="1"/>
  <c r="S72" i="12"/>
  <c r="CH9" i="5" s="1"/>
  <c r="P15" i="13"/>
  <c r="P17" i="13" s="1"/>
  <c r="P18" i="13" s="1"/>
  <c r="Q29" i="12"/>
  <c r="Q58" i="12"/>
  <c r="Q34" i="12"/>
  <c r="Q9" i="12"/>
  <c r="Q9" i="13" s="1"/>
  <c r="R9" i="13" s="1"/>
  <c r="Q84" i="12"/>
  <c r="R84" i="12" s="1"/>
  <c r="R77" i="12"/>
  <c r="W23" i="5" s="1"/>
  <c r="P29" i="13"/>
  <c r="P33" i="13" s="1"/>
  <c r="Q6" i="12"/>
  <c r="Q6" i="13" s="1"/>
  <c r="R6" i="13" s="1"/>
  <c r="Q26" i="12"/>
  <c r="Q26" i="13" s="1"/>
  <c r="Q27" i="13" s="1"/>
  <c r="Q16" i="12"/>
  <c r="R16" i="12" s="1"/>
  <c r="Q14" i="12"/>
  <c r="Q15" i="12"/>
  <c r="R80" i="12"/>
  <c r="R82" i="12"/>
  <c r="Q81" i="13"/>
  <c r="R81" i="13" s="1"/>
  <c r="Q8" i="12"/>
  <c r="Q8" i="13" s="1"/>
  <c r="R8" i="13" s="1"/>
  <c r="Q78" i="13"/>
  <c r="R78" i="13" s="1"/>
  <c r="Q38" i="12"/>
  <c r="Q38" i="13" s="1"/>
  <c r="Q35" i="12"/>
  <c r="Q35" i="13" s="1"/>
  <c r="R35" i="13" s="1"/>
  <c r="Q39" i="12"/>
  <c r="Q39" i="13" s="1"/>
  <c r="R39" i="13" s="1"/>
  <c r="L61" i="13"/>
  <c r="M61" i="13" s="1"/>
  <c r="P11" i="13"/>
  <c r="P12" i="13" s="1"/>
  <c r="O53" i="12"/>
  <c r="O53" i="13" s="1"/>
  <c r="O25" i="12"/>
  <c r="O28" i="12" s="1"/>
  <c r="O45" i="12" s="1"/>
  <c r="P11" i="12"/>
  <c r="P12" i="12" s="1"/>
  <c r="P52" i="12" s="1"/>
  <c r="P52" i="13" s="1"/>
  <c r="R90" i="12"/>
  <c r="AQ30" i="5" s="1"/>
  <c r="R88" i="12"/>
  <c r="AQ28" i="5" s="1"/>
  <c r="R42" i="12"/>
  <c r="Q42" i="13"/>
  <c r="R42" i="13" s="1"/>
  <c r="R83" i="12"/>
  <c r="Q83" i="13"/>
  <c r="R83" i="13" s="1"/>
  <c r="R86" i="12"/>
  <c r="AI22" i="5" s="1"/>
  <c r="Q82" i="13"/>
  <c r="R82" i="13" s="1"/>
  <c r="U70" i="12"/>
  <c r="U74" i="12" s="1"/>
  <c r="L28" i="13"/>
  <c r="M25" i="13"/>
  <c r="P24" i="13"/>
  <c r="R23" i="13"/>
  <c r="O52" i="13"/>
  <c r="R32" i="12"/>
  <c r="R30" i="12"/>
  <c r="Q30" i="13"/>
  <c r="R30" i="13" s="1"/>
  <c r="R10" i="12"/>
  <c r="Q10" i="13"/>
  <c r="R10" i="13" s="1"/>
  <c r="T69" i="12"/>
  <c r="T73" i="12" s="1"/>
  <c r="O17" i="13"/>
  <c r="R13" i="13"/>
  <c r="N25" i="13"/>
  <c r="T68" i="12"/>
  <c r="O27" i="13"/>
  <c r="Q31" i="13"/>
  <c r="R31" i="13" s="1"/>
  <c r="R31" i="12"/>
  <c r="U70" i="7"/>
  <c r="S69" i="7"/>
  <c r="S73" i="7" s="1"/>
  <c r="T69" i="7"/>
  <c r="T73" i="7" s="1"/>
  <c r="U72" i="13"/>
  <c r="V68" i="13"/>
  <c r="T88" i="13"/>
  <c r="T89" i="13"/>
  <c r="T86" i="13"/>
  <c r="T90" i="13"/>
  <c r="T64" i="13"/>
  <c r="T87" i="13"/>
  <c r="T85" i="13"/>
  <c r="Y70" i="13"/>
  <c r="U73" i="13"/>
  <c r="U65" i="13" s="1"/>
  <c r="V69" i="13"/>
  <c r="M61" i="12"/>
  <c r="N52" i="12"/>
  <c r="N52" i="13" s="1"/>
  <c r="N25" i="12"/>
  <c r="R13" i="12"/>
  <c r="X68" i="10"/>
  <c r="Y68" i="10" s="1"/>
  <c r="Z68" i="10" s="1"/>
  <c r="AA68" i="10" s="1"/>
  <c r="V74" i="10"/>
  <c r="W70" i="10"/>
  <c r="V73" i="10"/>
  <c r="W69" i="10"/>
  <c r="V64" i="10"/>
  <c r="W64" i="10" s="1"/>
  <c r="W72" i="10"/>
  <c r="U75" i="10"/>
  <c r="U85" i="10" s="1"/>
  <c r="V71" i="10"/>
  <c r="T67" i="10"/>
  <c r="T90" i="10"/>
  <c r="T88" i="10"/>
  <c r="T87" i="10"/>
  <c r="T86" i="10"/>
  <c r="T85" i="10"/>
  <c r="T89" i="10"/>
  <c r="W71" i="7"/>
  <c r="M48" i="12" l="1"/>
  <c r="M49" i="12" s="1"/>
  <c r="Z71" i="13"/>
  <c r="Z75" i="13" s="1"/>
  <c r="Z67" i="13" s="1"/>
  <c r="U89" i="10"/>
  <c r="T65" i="7"/>
  <c r="BG10" i="5"/>
  <c r="S65" i="7"/>
  <c r="BF10" i="5"/>
  <c r="T66" i="7"/>
  <c r="BG11" i="5"/>
  <c r="U67" i="12"/>
  <c r="CJ12" i="5"/>
  <c r="V67" i="12"/>
  <c r="CK12" i="5"/>
  <c r="CJ11" i="5"/>
  <c r="U66" i="12"/>
  <c r="T65" i="12"/>
  <c r="CI10" i="5"/>
  <c r="R23" i="12"/>
  <c r="Q54" i="12"/>
  <c r="Q54" i="13" s="1"/>
  <c r="R54" i="13" s="1"/>
  <c r="R8" i="12"/>
  <c r="Q7" i="13"/>
  <c r="R7" i="13" s="1"/>
  <c r="Q84" i="13"/>
  <c r="R84" i="13" s="1"/>
  <c r="Q37" i="12"/>
  <c r="R37" i="12" s="1"/>
  <c r="R9" i="12"/>
  <c r="Q44" i="12"/>
  <c r="Q57" i="12" s="1"/>
  <c r="Q57" i="13" s="1"/>
  <c r="R57" i="13" s="1"/>
  <c r="R6" i="12"/>
  <c r="Q11" i="12"/>
  <c r="R11" i="12" s="1"/>
  <c r="R39" i="12"/>
  <c r="R26" i="12"/>
  <c r="Q16" i="13"/>
  <c r="R16" i="13" s="1"/>
  <c r="R38" i="12"/>
  <c r="Q27" i="12"/>
  <c r="Q55" i="12" s="1"/>
  <c r="R26" i="13"/>
  <c r="R35" i="12"/>
  <c r="S80" i="12"/>
  <c r="S10" i="12" s="1"/>
  <c r="S10" i="13" s="1"/>
  <c r="S85" i="12"/>
  <c r="S42" i="12" s="1"/>
  <c r="S42" i="13" s="1"/>
  <c r="S86" i="12"/>
  <c r="S81" i="12"/>
  <c r="S13" i="12" s="1"/>
  <c r="S13" i="13" s="1"/>
  <c r="S76" i="12"/>
  <c r="S76" i="13" s="1"/>
  <c r="S64" i="12"/>
  <c r="S79" i="12"/>
  <c r="S88" i="12"/>
  <c r="S30" i="12" s="1"/>
  <c r="S30" i="13" s="1"/>
  <c r="S83" i="12"/>
  <c r="S83" i="13" s="1"/>
  <c r="S19" i="12"/>
  <c r="S19" i="13" s="1"/>
  <c r="S23" i="13" s="1"/>
  <c r="S78" i="12"/>
  <c r="S8" i="12" s="1"/>
  <c r="S8" i="13" s="1"/>
  <c r="S87" i="12"/>
  <c r="S89" i="12"/>
  <c r="S31" i="12" s="1"/>
  <c r="S31" i="13" s="1"/>
  <c r="S90" i="12"/>
  <c r="S32" i="12" s="1"/>
  <c r="S32" i="13" s="1"/>
  <c r="S77" i="12"/>
  <c r="S7" i="12" s="1"/>
  <c r="S7" i="13" s="1"/>
  <c r="S82" i="12"/>
  <c r="S82" i="13" s="1"/>
  <c r="R27" i="13"/>
  <c r="T41" i="12"/>
  <c r="T41" i="13" s="1"/>
  <c r="T40" i="12"/>
  <c r="T40" i="13" s="1"/>
  <c r="T72" i="12"/>
  <c r="CI9" i="5" s="1"/>
  <c r="P25" i="13"/>
  <c r="P28" i="13" s="1"/>
  <c r="P45" i="13" s="1"/>
  <c r="R24" i="13"/>
  <c r="U69" i="12"/>
  <c r="U73" i="12" s="1"/>
  <c r="Q34" i="13"/>
  <c r="R34" i="12"/>
  <c r="Q33" i="12"/>
  <c r="Q29" i="13"/>
  <c r="R29" i="12"/>
  <c r="O60" i="12"/>
  <c r="R58" i="12"/>
  <c r="Q58" i="13"/>
  <c r="R58" i="13" s="1"/>
  <c r="O18" i="13"/>
  <c r="O25" i="13" s="1"/>
  <c r="O28" i="13" s="1"/>
  <c r="O45" i="13" s="1"/>
  <c r="L45" i="13"/>
  <c r="M45" i="13" s="1"/>
  <c r="M28" i="13"/>
  <c r="V70" i="12"/>
  <c r="V74" i="12" s="1"/>
  <c r="U68" i="12"/>
  <c r="Q44" i="13"/>
  <c r="R44" i="13" s="1"/>
  <c r="R38" i="13"/>
  <c r="Q14" i="13"/>
  <c r="R14" i="12"/>
  <c r="Q15" i="13"/>
  <c r="R15" i="13" s="1"/>
  <c r="R15" i="12"/>
  <c r="Q17" i="12"/>
  <c r="Q18" i="12" s="1"/>
  <c r="Q53" i="12" s="1"/>
  <c r="Q53" i="13" s="1"/>
  <c r="O60" i="13"/>
  <c r="N28" i="13"/>
  <c r="U69" i="7"/>
  <c r="X71" i="7"/>
  <c r="X75" i="7" s="1"/>
  <c r="U74" i="7"/>
  <c r="V70" i="7"/>
  <c r="Y74" i="13"/>
  <c r="Y66" i="13" s="1"/>
  <c r="Z70" i="13"/>
  <c r="V73" i="13"/>
  <c r="W69" i="13"/>
  <c r="V72" i="13"/>
  <c r="W68" i="13"/>
  <c r="U89" i="13"/>
  <c r="U87" i="13"/>
  <c r="U85" i="13"/>
  <c r="U90" i="13"/>
  <c r="U88" i="13"/>
  <c r="U64" i="13"/>
  <c r="U86" i="13"/>
  <c r="P53" i="12"/>
  <c r="P53" i="13" s="1"/>
  <c r="P25" i="12"/>
  <c r="P28" i="12" s="1"/>
  <c r="P45" i="12" s="1"/>
  <c r="N60" i="12"/>
  <c r="R24" i="12"/>
  <c r="N28" i="12"/>
  <c r="U67" i="10"/>
  <c r="U87" i="10"/>
  <c r="Y72" i="10"/>
  <c r="U88" i="10"/>
  <c r="AB68" i="10"/>
  <c r="AA72" i="10"/>
  <c r="V86" i="10"/>
  <c r="Z72" i="10"/>
  <c r="U86" i="10"/>
  <c r="X72" i="10"/>
  <c r="X70" i="10"/>
  <c r="X74" i="10" s="1"/>
  <c r="X66" i="10" s="1"/>
  <c r="W74" i="10"/>
  <c r="V66" i="10"/>
  <c r="W66" i="10" s="1"/>
  <c r="X69" i="10"/>
  <c r="X73" i="10" s="1"/>
  <c r="X65" i="10" s="1"/>
  <c r="V75" i="10"/>
  <c r="V90" i="10" s="1"/>
  <c r="W71" i="10"/>
  <c r="U90" i="10"/>
  <c r="V65" i="10"/>
  <c r="W65" i="10" s="1"/>
  <c r="W73" i="10"/>
  <c r="W75" i="7"/>
  <c r="W67" i="7"/>
  <c r="Y5" i="5" s="1"/>
  <c r="Y14" i="5" s="1"/>
  <c r="G9" i="5" l="1"/>
  <c r="AA71" i="13"/>
  <c r="AB71" i="13" s="1"/>
  <c r="AE71" i="13" s="1"/>
  <c r="AE75" i="13" s="1"/>
  <c r="AE67" i="13" s="1"/>
  <c r="Y71" i="7"/>
  <c r="Y75" i="7" s="1"/>
  <c r="Y67" i="7" s="1"/>
  <c r="U66" i="7"/>
  <c r="BH11" i="5"/>
  <c r="BK12" i="5"/>
  <c r="X67" i="7"/>
  <c r="BJ12" i="5"/>
  <c r="V66" i="12"/>
  <c r="CK11" i="5"/>
  <c r="U65" i="12"/>
  <c r="CJ10" i="5"/>
  <c r="R54" i="12"/>
  <c r="Q11" i="13"/>
  <c r="Q12" i="13" s="1"/>
  <c r="R12" i="13" s="1"/>
  <c r="R57" i="12"/>
  <c r="R44" i="12"/>
  <c r="S23" i="12"/>
  <c r="S24" i="12" s="1"/>
  <c r="S77" i="13"/>
  <c r="Q12" i="12"/>
  <c r="Q52" i="12" s="1"/>
  <c r="Q52" i="13" s="1"/>
  <c r="S80" i="13"/>
  <c r="S78" i="13"/>
  <c r="S81" i="13"/>
  <c r="T80" i="12"/>
  <c r="T10" i="12" s="1"/>
  <c r="T10" i="13" s="1"/>
  <c r="T19" i="12"/>
  <c r="T23" i="12" s="1"/>
  <c r="T54" i="12" s="1"/>
  <c r="T54" i="13" s="1"/>
  <c r="T77" i="12"/>
  <c r="T7" i="12" s="1"/>
  <c r="T7" i="13" s="1"/>
  <c r="T86" i="12"/>
  <c r="T85" i="12"/>
  <c r="T42" i="12" s="1"/>
  <c r="T42" i="13" s="1"/>
  <c r="T82" i="12"/>
  <c r="T82" i="13" s="1"/>
  <c r="T89" i="12"/>
  <c r="T31" i="12" s="1"/>
  <c r="T31" i="13" s="1"/>
  <c r="T87" i="12"/>
  <c r="T76" i="12"/>
  <c r="T81" i="12"/>
  <c r="T13" i="12" s="1"/>
  <c r="T90" i="12"/>
  <c r="T32" i="12" s="1"/>
  <c r="T32" i="13" s="1"/>
  <c r="T78" i="12"/>
  <c r="T8" i="12" s="1"/>
  <c r="T8" i="13" s="1"/>
  <c r="T83" i="12"/>
  <c r="T83" i="13" s="1"/>
  <c r="T88" i="12"/>
  <c r="T64" i="12"/>
  <c r="T79" i="12"/>
  <c r="S58" i="12"/>
  <c r="S58" i="13" s="1"/>
  <c r="S29" i="12"/>
  <c r="S29" i="13" s="1"/>
  <c r="S33" i="13" s="1"/>
  <c r="S34" i="12"/>
  <c r="S34" i="13" s="1"/>
  <c r="S9" i="12"/>
  <c r="S9" i="13" s="1"/>
  <c r="S84" i="12"/>
  <c r="S84" i="13" s="1"/>
  <c r="S79" i="13"/>
  <c r="S15" i="12"/>
  <c r="S15" i="13" s="1"/>
  <c r="S14" i="12"/>
  <c r="S14" i="13" s="1"/>
  <c r="R27" i="12"/>
  <c r="S6" i="12"/>
  <c r="S6" i="13" s="1"/>
  <c r="S26" i="12"/>
  <c r="S26" i="13" s="1"/>
  <c r="S27" i="13" s="1"/>
  <c r="S16" i="12"/>
  <c r="S16" i="13" s="1"/>
  <c r="S38" i="12"/>
  <c r="S38" i="13" s="1"/>
  <c r="S39" i="12"/>
  <c r="S39" i="13" s="1"/>
  <c r="S35" i="12"/>
  <c r="S35" i="13" s="1"/>
  <c r="U72" i="12"/>
  <c r="CJ9" i="5" s="1"/>
  <c r="U40" i="12"/>
  <c r="U40" i="13" s="1"/>
  <c r="U41" i="12"/>
  <c r="U41" i="13" s="1"/>
  <c r="R53" i="13"/>
  <c r="V69" i="12"/>
  <c r="V73" i="12" s="1"/>
  <c r="P60" i="13"/>
  <c r="W70" i="12"/>
  <c r="R14" i="13"/>
  <c r="Q17" i="13"/>
  <c r="V68" i="12"/>
  <c r="Q56" i="12"/>
  <c r="R33" i="12"/>
  <c r="R55" i="12"/>
  <c r="Q55" i="13"/>
  <c r="R55" i="13" s="1"/>
  <c r="M47" i="13"/>
  <c r="N59" i="13" s="1"/>
  <c r="R18" i="12"/>
  <c r="S24" i="13"/>
  <c r="Q33" i="13"/>
  <c r="R33" i="13" s="1"/>
  <c r="R29" i="13"/>
  <c r="R17" i="12"/>
  <c r="N45" i="13"/>
  <c r="Q37" i="13"/>
  <c r="R37" i="13" s="1"/>
  <c r="R34" i="13"/>
  <c r="V74" i="7"/>
  <c r="BI11" i="5" s="1"/>
  <c r="W70" i="7"/>
  <c r="U73" i="7"/>
  <c r="V69" i="7"/>
  <c r="V73" i="7" s="1"/>
  <c r="V65" i="13"/>
  <c r="W65" i="13" s="1"/>
  <c r="W73" i="13"/>
  <c r="Z74" i="13"/>
  <c r="Z66" i="13" s="1"/>
  <c r="AA70" i="13"/>
  <c r="X68" i="13"/>
  <c r="X72" i="13" s="1"/>
  <c r="X69" i="13"/>
  <c r="X73" i="13" s="1"/>
  <c r="X65" i="13" s="1"/>
  <c r="V90" i="13"/>
  <c r="W90" i="13" s="1"/>
  <c r="V88" i="13"/>
  <c r="W88" i="13" s="1"/>
  <c r="V86" i="13"/>
  <c r="W86" i="13" s="1"/>
  <c r="V64" i="13"/>
  <c r="W64" i="13" s="1"/>
  <c r="V85" i="13"/>
  <c r="W85" i="13" s="1"/>
  <c r="V87" i="13"/>
  <c r="W87" i="13" s="1"/>
  <c r="W72" i="13"/>
  <c r="V89" i="13"/>
  <c r="W89" i="13" s="1"/>
  <c r="N61" i="12"/>
  <c r="O61" i="12" s="1"/>
  <c r="W71" i="12"/>
  <c r="R53" i="12"/>
  <c r="P60" i="12"/>
  <c r="N45" i="12"/>
  <c r="Y70" i="10"/>
  <c r="Y64" i="10"/>
  <c r="Y69" i="10"/>
  <c r="V88" i="10"/>
  <c r="Z64" i="10"/>
  <c r="AA64" i="10"/>
  <c r="AB64" i="10" s="1"/>
  <c r="AB72" i="10"/>
  <c r="W86" i="10"/>
  <c r="X71" i="10"/>
  <c r="X75" i="10" s="1"/>
  <c r="X67" i="10" s="1"/>
  <c r="V67" i="10"/>
  <c r="W67" i="10" s="1"/>
  <c r="W75" i="10"/>
  <c r="V87" i="10"/>
  <c r="AH68" i="10"/>
  <c r="AF68" i="10"/>
  <c r="AJ68" i="10"/>
  <c r="AK68" i="10"/>
  <c r="AE68" i="10"/>
  <c r="AD68" i="10"/>
  <c r="AC68" i="10"/>
  <c r="AI68" i="10"/>
  <c r="X64" i="10"/>
  <c r="V85" i="10"/>
  <c r="W90" i="10"/>
  <c r="V89" i="10"/>
  <c r="AH71" i="13" l="1"/>
  <c r="AH75" i="13" s="1"/>
  <c r="AH67" i="13" s="1"/>
  <c r="AI71" i="13"/>
  <c r="AI75" i="13" s="1"/>
  <c r="AI67" i="13" s="1"/>
  <c r="AD71" i="13"/>
  <c r="AD75" i="13" s="1"/>
  <c r="AD67" i="13" s="1"/>
  <c r="AJ71" i="13"/>
  <c r="AJ75" i="13" s="1"/>
  <c r="AJ67" i="13" s="1"/>
  <c r="AC71" i="13"/>
  <c r="AC75" i="13" s="1"/>
  <c r="AC67" i="13" s="1"/>
  <c r="AF71" i="13"/>
  <c r="AG71" i="13" s="1"/>
  <c r="AK71" i="13"/>
  <c r="AK75" i="13" s="1"/>
  <c r="AA75" i="13"/>
  <c r="X86" i="10"/>
  <c r="Y71" i="10"/>
  <c r="Y75" i="10" s="1"/>
  <c r="Y67" i="10" s="1"/>
  <c r="Z71" i="7"/>
  <c r="Z75" i="7" s="1"/>
  <c r="V65" i="7"/>
  <c r="BI10" i="5"/>
  <c r="U65" i="7"/>
  <c r="BH10" i="5"/>
  <c r="Y69" i="13"/>
  <c r="Y73" i="13" s="1"/>
  <c r="Y65" i="13" s="1"/>
  <c r="Y68" i="13"/>
  <c r="Y72" i="13" s="1"/>
  <c r="V65" i="12"/>
  <c r="CK10" i="5"/>
  <c r="Q25" i="12"/>
  <c r="R25" i="12" s="1"/>
  <c r="R11" i="13"/>
  <c r="S54" i="12"/>
  <c r="S54" i="13" s="1"/>
  <c r="R12" i="12"/>
  <c r="S27" i="12"/>
  <c r="S55" i="12" s="1"/>
  <c r="S55" i="13" s="1"/>
  <c r="T19" i="13"/>
  <c r="T23" i="13" s="1"/>
  <c r="T78" i="13"/>
  <c r="S17" i="13"/>
  <c r="S18" i="13" s="1"/>
  <c r="S17" i="12"/>
  <c r="S18" i="12" s="1"/>
  <c r="S37" i="12"/>
  <c r="T80" i="13"/>
  <c r="T34" i="12"/>
  <c r="T34" i="13" s="1"/>
  <c r="T77" i="13"/>
  <c r="S44" i="13"/>
  <c r="S37" i="13"/>
  <c r="S11" i="13"/>
  <c r="S12" i="13" s="1"/>
  <c r="T29" i="12"/>
  <c r="T29" i="13" s="1"/>
  <c r="T58" i="12"/>
  <c r="T58" i="13" s="1"/>
  <c r="S11" i="12"/>
  <c r="S12" i="12" s="1"/>
  <c r="T30" i="12"/>
  <c r="T30" i="13" s="1"/>
  <c r="T6" i="12"/>
  <c r="T6" i="13" s="1"/>
  <c r="T26" i="12"/>
  <c r="T27" i="12" s="1"/>
  <c r="T55" i="12" s="1"/>
  <c r="T55" i="13" s="1"/>
  <c r="T16" i="12"/>
  <c r="T16" i="13" s="1"/>
  <c r="T14" i="12"/>
  <c r="T14" i="13" s="1"/>
  <c r="T15" i="12"/>
  <c r="T15" i="13" s="1"/>
  <c r="T24" i="12"/>
  <c r="T35" i="12"/>
  <c r="T35" i="13" s="1"/>
  <c r="T39" i="12"/>
  <c r="T39" i="13" s="1"/>
  <c r="T38" i="12"/>
  <c r="T38" i="13" s="1"/>
  <c r="V72" i="12"/>
  <c r="CK9" i="5" s="1"/>
  <c r="V40" i="12"/>
  <c r="V40" i="13" s="1"/>
  <c r="W40" i="13" s="1"/>
  <c r="V41" i="12"/>
  <c r="S44" i="12"/>
  <c r="S57" i="12" s="1"/>
  <c r="S57" i="13" s="1"/>
  <c r="T9" i="12"/>
  <c r="T9" i="13" s="1"/>
  <c r="T84" i="12"/>
  <c r="T84" i="13" s="1"/>
  <c r="T79" i="13"/>
  <c r="T76" i="13"/>
  <c r="U79" i="12"/>
  <c r="U79" i="13" s="1"/>
  <c r="U76" i="12"/>
  <c r="U76" i="13" s="1"/>
  <c r="U19" i="12"/>
  <c r="U19" i="13" s="1"/>
  <c r="U23" i="13" s="1"/>
  <c r="U24" i="13" s="1"/>
  <c r="U88" i="12"/>
  <c r="U30" i="12" s="1"/>
  <c r="U64" i="12"/>
  <c r="U82" i="12"/>
  <c r="U82" i="13" s="1"/>
  <c r="U86" i="12"/>
  <c r="U83" i="12"/>
  <c r="U83" i="13" s="1"/>
  <c r="U85" i="12"/>
  <c r="U42" i="12" s="1"/>
  <c r="U42" i="13" s="1"/>
  <c r="U87" i="12"/>
  <c r="U80" i="12"/>
  <c r="U10" i="12" s="1"/>
  <c r="U10" i="13" s="1"/>
  <c r="U77" i="12"/>
  <c r="U7" i="12" s="1"/>
  <c r="U7" i="13" s="1"/>
  <c r="U81" i="12"/>
  <c r="U13" i="12" s="1"/>
  <c r="U13" i="13" s="1"/>
  <c r="U89" i="12"/>
  <c r="U31" i="12" s="1"/>
  <c r="U31" i="13" s="1"/>
  <c r="U78" i="12"/>
  <c r="U8" i="12" s="1"/>
  <c r="U90" i="12"/>
  <c r="U32" i="12" s="1"/>
  <c r="U32" i="13" s="1"/>
  <c r="S33" i="12"/>
  <c r="S56" i="12" s="1"/>
  <c r="S56" i="13" s="1"/>
  <c r="M48" i="13"/>
  <c r="M49" i="13" s="1"/>
  <c r="R59" i="13"/>
  <c r="N60" i="13"/>
  <c r="Q18" i="13"/>
  <c r="R17" i="13"/>
  <c r="X71" i="12"/>
  <c r="X75" i="12" s="1"/>
  <c r="X70" i="12"/>
  <c r="X74" i="12" s="1"/>
  <c r="Q56" i="13"/>
  <c r="R56" i="13" s="1"/>
  <c r="R56" i="12"/>
  <c r="W74" i="12"/>
  <c r="W66" i="12"/>
  <c r="Y13" i="5" s="1"/>
  <c r="W68" i="12"/>
  <c r="T81" i="13"/>
  <c r="W69" i="12"/>
  <c r="R52" i="13"/>
  <c r="X70" i="7"/>
  <c r="X74" i="7" s="1"/>
  <c r="V66" i="7"/>
  <c r="W66" i="7" s="1"/>
  <c r="Y4" i="5" s="1"/>
  <c r="Y12" i="5" s="1"/>
  <c r="W74" i="7"/>
  <c r="X64" i="13"/>
  <c r="X86" i="13"/>
  <c r="X85" i="13"/>
  <c r="X90" i="13"/>
  <c r="X87" i="13"/>
  <c r="X89" i="13"/>
  <c r="X88" i="13"/>
  <c r="AA74" i="13"/>
  <c r="AB70" i="13"/>
  <c r="W75" i="12"/>
  <c r="W67" i="12"/>
  <c r="Y15" i="5" s="1"/>
  <c r="Q60" i="12"/>
  <c r="R60" i="12" s="1"/>
  <c r="R52" i="12"/>
  <c r="P61" i="12"/>
  <c r="X88" i="10"/>
  <c r="Y74" i="10"/>
  <c r="Y66" i="10" s="1"/>
  <c r="Z70" i="10"/>
  <c r="AC72" i="10"/>
  <c r="AE72" i="10"/>
  <c r="X90" i="10"/>
  <c r="AK72" i="10"/>
  <c r="AL68" i="10"/>
  <c r="W88" i="10"/>
  <c r="W85" i="10"/>
  <c r="AJ72" i="10"/>
  <c r="X87" i="10"/>
  <c r="AF72" i="10"/>
  <c r="AG68" i="10"/>
  <c r="X89" i="10"/>
  <c r="AH72" i="10"/>
  <c r="Y73" i="10"/>
  <c r="Z69" i="10"/>
  <c r="AD72" i="10"/>
  <c r="X85" i="10"/>
  <c r="W89" i="10"/>
  <c r="AI72" i="10"/>
  <c r="W87" i="10"/>
  <c r="W69" i="7"/>
  <c r="Z71" i="10" l="1"/>
  <c r="AF75" i="13"/>
  <c r="AL71" i="13"/>
  <c r="AA67" i="13"/>
  <c r="AB67" i="13" s="1"/>
  <c r="AB75" i="13"/>
  <c r="Y88" i="13"/>
  <c r="Z69" i="13"/>
  <c r="Z73" i="13" s="1"/>
  <c r="Z65" i="13" s="1"/>
  <c r="Y86" i="13"/>
  <c r="Y85" i="13"/>
  <c r="AA71" i="7"/>
  <c r="AA75" i="7" s="1"/>
  <c r="AA67" i="7" s="1"/>
  <c r="X66" i="7"/>
  <c r="BJ11" i="5"/>
  <c r="Z67" i="7"/>
  <c r="BL12" i="5"/>
  <c r="Y90" i="13"/>
  <c r="Y87" i="13"/>
  <c r="Y89" i="13"/>
  <c r="Y64" i="13"/>
  <c r="Z68" i="13"/>
  <c r="AA68" i="13" s="1"/>
  <c r="Y71" i="12"/>
  <c r="Y75" i="12" s="1"/>
  <c r="X67" i="12"/>
  <c r="CL12" i="5"/>
  <c r="Y70" i="12"/>
  <c r="X66" i="12"/>
  <c r="CL11" i="5"/>
  <c r="Q28" i="12"/>
  <c r="R28" i="12" s="1"/>
  <c r="U80" i="13"/>
  <c r="T44" i="13"/>
  <c r="T44" i="12"/>
  <c r="T57" i="12" s="1"/>
  <c r="T57" i="13" s="1"/>
  <c r="T33" i="12"/>
  <c r="T56" i="12" s="1"/>
  <c r="T56" i="13" s="1"/>
  <c r="U81" i="13"/>
  <c r="T37" i="13"/>
  <c r="U77" i="13"/>
  <c r="T37" i="12"/>
  <c r="T11" i="13"/>
  <c r="T12" i="13" s="1"/>
  <c r="T11" i="12"/>
  <c r="T12" i="12" s="1"/>
  <c r="T52" i="12" s="1"/>
  <c r="T52" i="13" s="1"/>
  <c r="U35" i="12"/>
  <c r="U35" i="13" s="1"/>
  <c r="U38" i="12"/>
  <c r="U38" i="13" s="1"/>
  <c r="U39" i="12"/>
  <c r="U39" i="13" s="1"/>
  <c r="U14" i="12"/>
  <c r="U14" i="13" s="1"/>
  <c r="U15" i="12"/>
  <c r="U15" i="13" s="1"/>
  <c r="W40" i="12"/>
  <c r="V77" i="12"/>
  <c r="V7" i="12" s="1"/>
  <c r="V81" i="12"/>
  <c r="V13" i="12" s="1"/>
  <c r="V82" i="12"/>
  <c r="V78" i="12"/>
  <c r="V8" i="12" s="1"/>
  <c r="V90" i="12"/>
  <c r="V32" i="12" s="1"/>
  <c r="V32" i="13" s="1"/>
  <c r="W32" i="13" s="1"/>
  <c r="V83" i="12"/>
  <c r="V64" i="12"/>
  <c r="W64" i="12" s="1"/>
  <c r="Y9" i="5" s="1"/>
  <c r="V76" i="12"/>
  <c r="W76" i="12" s="1"/>
  <c r="X22" i="5" s="1"/>
  <c r="V19" i="12"/>
  <c r="V89" i="12"/>
  <c r="V31" i="12" s="1"/>
  <c r="V86" i="12"/>
  <c r="W86" i="12" s="1"/>
  <c r="AK22" i="5" s="1"/>
  <c r="V88" i="12"/>
  <c r="V30" i="12" s="1"/>
  <c r="V30" i="13" s="1"/>
  <c r="V79" i="12"/>
  <c r="W79" i="12" s="1"/>
  <c r="V85" i="12"/>
  <c r="V42" i="12" s="1"/>
  <c r="V42" i="13" s="1"/>
  <c r="W42" i="13" s="1"/>
  <c r="V80" i="12"/>
  <c r="V10" i="12" s="1"/>
  <c r="V87" i="12"/>
  <c r="W87" i="12" s="1"/>
  <c r="AS27" i="5" s="1"/>
  <c r="U23" i="12"/>
  <c r="U54" i="12" s="1"/>
  <c r="U54" i="13" s="1"/>
  <c r="T26" i="13"/>
  <c r="T27" i="13" s="1"/>
  <c r="U6" i="12"/>
  <c r="U6" i="13" s="1"/>
  <c r="U26" i="12"/>
  <c r="U26" i="13" s="1"/>
  <c r="U27" i="13" s="1"/>
  <c r="U16" i="12"/>
  <c r="U16" i="13" s="1"/>
  <c r="U9" i="12"/>
  <c r="U9" i="13" s="1"/>
  <c r="U84" i="12"/>
  <c r="U84" i="13" s="1"/>
  <c r="U34" i="12"/>
  <c r="U34" i="13" s="1"/>
  <c r="U58" i="12"/>
  <c r="U58" i="13" s="1"/>
  <c r="U29" i="12"/>
  <c r="U29" i="13" s="1"/>
  <c r="Q60" i="13"/>
  <c r="R60" i="13" s="1"/>
  <c r="U30" i="13"/>
  <c r="R18" i="13"/>
  <c r="Q25" i="13"/>
  <c r="N61" i="13"/>
  <c r="O61" i="13" s="1"/>
  <c r="P61" i="13" s="1"/>
  <c r="X69" i="12"/>
  <c r="X73" i="12" s="1"/>
  <c r="W73" i="12"/>
  <c r="W65" i="12"/>
  <c r="Y11" i="5" s="1"/>
  <c r="S25" i="13"/>
  <c r="W72" i="12"/>
  <c r="T13" i="13"/>
  <c r="T17" i="13" s="1"/>
  <c r="T17" i="12"/>
  <c r="T18" i="12" s="1"/>
  <c r="X68" i="12"/>
  <c r="W41" i="12"/>
  <c r="V41" i="13"/>
  <c r="W41" i="13" s="1"/>
  <c r="T24" i="13"/>
  <c r="T33" i="13"/>
  <c r="U8" i="13"/>
  <c r="U78" i="13"/>
  <c r="X69" i="7"/>
  <c r="X73" i="7" s="1"/>
  <c r="Y70" i="7"/>
  <c r="AK67" i="13"/>
  <c r="AL67" i="13" s="1"/>
  <c r="AL75" i="13"/>
  <c r="AJ70" i="13"/>
  <c r="AJ74" i="13" s="1"/>
  <c r="AJ66" i="13" s="1"/>
  <c r="AF70" i="13"/>
  <c r="AC70" i="13"/>
  <c r="AC74" i="13" s="1"/>
  <c r="AC66" i="13" s="1"/>
  <c r="AH70" i="13"/>
  <c r="AH74" i="13" s="1"/>
  <c r="AH66" i="13" s="1"/>
  <c r="AE70" i="13"/>
  <c r="AE74" i="13" s="1"/>
  <c r="AE66" i="13" s="1"/>
  <c r="AK70" i="13"/>
  <c r="AI70" i="13"/>
  <c r="AI74" i="13" s="1"/>
  <c r="AI66" i="13" s="1"/>
  <c r="AD70" i="13"/>
  <c r="AD74" i="13" s="1"/>
  <c r="AD66" i="13" s="1"/>
  <c r="AA66" i="13"/>
  <c r="AB66" i="13" s="1"/>
  <c r="AB74" i="13"/>
  <c r="AF67" i="13"/>
  <c r="AG67" i="13" s="1"/>
  <c r="AG75" i="13"/>
  <c r="S52" i="12"/>
  <c r="S52" i="13" s="1"/>
  <c r="S53" i="12"/>
  <c r="S53" i="13" s="1"/>
  <c r="Q61" i="12"/>
  <c r="S25" i="12"/>
  <c r="Z74" i="10"/>
  <c r="Z66" i="10" s="1"/>
  <c r="AA70" i="10"/>
  <c r="AJ64" i="10"/>
  <c r="AC64" i="10"/>
  <c r="Y65" i="10"/>
  <c r="Y89" i="10"/>
  <c r="Y90" i="10"/>
  <c r="Y86" i="10"/>
  <c r="Y88" i="10"/>
  <c r="Y85" i="10"/>
  <c r="Y87" i="10"/>
  <c r="AI64" i="10"/>
  <c r="AG72" i="10"/>
  <c r="AF64" i="10"/>
  <c r="AG64" i="10" s="1"/>
  <c r="Z75" i="10"/>
  <c r="Z67" i="10" s="1"/>
  <c r="AA71" i="10"/>
  <c r="AE64" i="10"/>
  <c r="AH64" i="10"/>
  <c r="AD64" i="10"/>
  <c r="Z73" i="10"/>
  <c r="AA69" i="10"/>
  <c r="AL72" i="10"/>
  <c r="AK64" i="10"/>
  <c r="AL64" i="10" s="1"/>
  <c r="W73" i="7"/>
  <c r="W65" i="7"/>
  <c r="Y3" i="5" s="1"/>
  <c r="Y10" i="5" s="1"/>
  <c r="Z71" i="12" l="1"/>
  <c r="AA69" i="13"/>
  <c r="AA73" i="13" s="1"/>
  <c r="Z72" i="13"/>
  <c r="Z86" i="13" s="1"/>
  <c r="BM12" i="5"/>
  <c r="AB71" i="7"/>
  <c r="AD71" i="7" s="1"/>
  <c r="AD75" i="7" s="1"/>
  <c r="X65" i="7"/>
  <c r="BJ10" i="5"/>
  <c r="CM12" i="5"/>
  <c r="Y67" i="12"/>
  <c r="AA71" i="12"/>
  <c r="AA75" i="12" s="1"/>
  <c r="Z75" i="12"/>
  <c r="Y74" i="12"/>
  <c r="Z70" i="12"/>
  <c r="X65" i="12"/>
  <c r="CL10" i="5"/>
  <c r="Q45" i="12"/>
  <c r="Y69" i="12"/>
  <c r="W89" i="12"/>
  <c r="AS29" i="5" s="1"/>
  <c r="U37" i="13"/>
  <c r="U37" i="12"/>
  <c r="U27" i="12"/>
  <c r="U55" i="12" s="1"/>
  <c r="V78" i="13"/>
  <c r="W78" i="13" s="1"/>
  <c r="V77" i="13"/>
  <c r="W77" i="13" s="1"/>
  <c r="W78" i="12"/>
  <c r="X24" i="5" s="1"/>
  <c r="U44" i="13"/>
  <c r="U33" i="12"/>
  <c r="U56" i="12" s="1"/>
  <c r="W42" i="12"/>
  <c r="W32" i="12"/>
  <c r="W85" i="12"/>
  <c r="AK23" i="5" s="1"/>
  <c r="U17" i="13"/>
  <c r="U18" i="13" s="1"/>
  <c r="W90" i="12"/>
  <c r="AS30" i="5" s="1"/>
  <c r="V38" i="12"/>
  <c r="V35" i="12"/>
  <c r="V39" i="12"/>
  <c r="V84" i="12"/>
  <c r="V9" i="12"/>
  <c r="V14" i="12"/>
  <c r="V14" i="13" s="1"/>
  <c r="W14" i="13" s="1"/>
  <c r="V15" i="12"/>
  <c r="V15" i="13" s="1"/>
  <c r="W15" i="13" s="1"/>
  <c r="W81" i="12"/>
  <c r="V79" i="13"/>
  <c r="W79" i="13" s="1"/>
  <c r="V80" i="13"/>
  <c r="W80" i="13" s="1"/>
  <c r="U11" i="12"/>
  <c r="U12" i="12" s="1"/>
  <c r="Y68" i="12"/>
  <c r="X72" i="12"/>
  <c r="CL9" i="5" s="1"/>
  <c r="X40" i="12"/>
  <c r="X40" i="13" s="1"/>
  <c r="X41" i="12"/>
  <c r="X41" i="13" s="1"/>
  <c r="U44" i="12"/>
  <c r="U57" i="12" s="1"/>
  <c r="V58" i="12"/>
  <c r="V34" i="12"/>
  <c r="V34" i="13" s="1"/>
  <c r="W34" i="13" s="1"/>
  <c r="V29" i="12"/>
  <c r="W29" i="12" s="1"/>
  <c r="U24" i="12"/>
  <c r="U11" i="13"/>
  <c r="U12" i="13" s="1"/>
  <c r="W82" i="12"/>
  <c r="V6" i="12"/>
  <c r="V6" i="13" s="1"/>
  <c r="V26" i="12"/>
  <c r="V16" i="12"/>
  <c r="V82" i="13"/>
  <c r="W82" i="13" s="1"/>
  <c r="U17" i="12"/>
  <c r="U18" i="12" s="1"/>
  <c r="U53" i="12" s="1"/>
  <c r="U53" i="13" s="1"/>
  <c r="Q61" i="13"/>
  <c r="R61" i="13" s="1"/>
  <c r="W77" i="12"/>
  <c r="X23" i="5" s="1"/>
  <c r="W83" i="12"/>
  <c r="V83" i="13"/>
  <c r="W83" i="13" s="1"/>
  <c r="W7" i="12"/>
  <c r="V7" i="13"/>
  <c r="W7" i="13" s="1"/>
  <c r="W8" i="12"/>
  <c r="V8" i="13"/>
  <c r="W8" i="13" s="1"/>
  <c r="V81" i="13"/>
  <c r="W81" i="13" s="1"/>
  <c r="V13" i="13"/>
  <c r="W13" i="13" s="1"/>
  <c r="U33" i="13"/>
  <c r="W30" i="13"/>
  <c r="W80" i="12"/>
  <c r="V76" i="13"/>
  <c r="W76" i="13" s="1"/>
  <c r="T18" i="13"/>
  <c r="Q28" i="13"/>
  <c r="R25" i="13"/>
  <c r="W30" i="12"/>
  <c r="W88" i="12"/>
  <c r="AS28" i="5" s="1"/>
  <c r="T53" i="12"/>
  <c r="T25" i="12"/>
  <c r="T28" i="12" s="1"/>
  <c r="T45" i="12" s="1"/>
  <c r="S28" i="13"/>
  <c r="W31" i="12"/>
  <c r="V31" i="13"/>
  <c r="W31" i="13" s="1"/>
  <c r="V23" i="12"/>
  <c r="V19" i="13"/>
  <c r="W19" i="12"/>
  <c r="Y74" i="7"/>
  <c r="Z70" i="7"/>
  <c r="AF71" i="7"/>
  <c r="AF75" i="7" s="1"/>
  <c r="AH71" i="7"/>
  <c r="AH75" i="7" s="1"/>
  <c r="Y69" i="7"/>
  <c r="AA72" i="13"/>
  <c r="AB68" i="13"/>
  <c r="Z90" i="13"/>
  <c r="Z88" i="13"/>
  <c r="Z87" i="13"/>
  <c r="Z89" i="13"/>
  <c r="AF74" i="13"/>
  <c r="AG70" i="13"/>
  <c r="AK74" i="13"/>
  <c r="AL70" i="13"/>
  <c r="R61" i="12"/>
  <c r="S28" i="12"/>
  <c r="AA74" i="10"/>
  <c r="AB70" i="10"/>
  <c r="AA73" i="10"/>
  <c r="AB69" i="10"/>
  <c r="Z65" i="10"/>
  <c r="Z89" i="10"/>
  <c r="Z87" i="10"/>
  <c r="Z88" i="10"/>
  <c r="Z90" i="10"/>
  <c r="Z85" i="10"/>
  <c r="Z86" i="10"/>
  <c r="AA75" i="10"/>
  <c r="AB71" i="10"/>
  <c r="AB75" i="7"/>
  <c r="AB67" i="7"/>
  <c r="Z5" i="5" s="1"/>
  <c r="Z14" i="5" s="1"/>
  <c r="Z64" i="13" l="1"/>
  <c r="R45" i="12"/>
  <c r="R47" i="12" s="1"/>
  <c r="S59" i="12" s="1"/>
  <c r="W59" i="12" s="1"/>
  <c r="AB69" i="13"/>
  <c r="AK69" i="13" s="1"/>
  <c r="Z85" i="13"/>
  <c r="AI71" i="7"/>
  <c r="AI75" i="7" s="1"/>
  <c r="AI67" i="7" s="1"/>
  <c r="AE71" i="7"/>
  <c r="AE75" i="7" s="1"/>
  <c r="AE67" i="7" s="1"/>
  <c r="AJ71" i="7"/>
  <c r="AJ75" i="7" s="1"/>
  <c r="AJ67" i="7" s="1"/>
  <c r="AK71" i="7"/>
  <c r="AK75" i="7" s="1"/>
  <c r="BU12" i="5" s="1"/>
  <c r="AC71" i="7"/>
  <c r="AC75" i="7" s="1"/>
  <c r="BN12" i="5" s="1"/>
  <c r="AC67" i="7"/>
  <c r="AH67" i="7"/>
  <c r="BR12" i="5"/>
  <c r="AF67" i="7"/>
  <c r="BQ12" i="5"/>
  <c r="AD67" i="7"/>
  <c r="BO12" i="5"/>
  <c r="Y66" i="7"/>
  <c r="BK11" i="5"/>
  <c r="Z67" i="12"/>
  <c r="CN12" i="5"/>
  <c r="AA67" i="12"/>
  <c r="CO12" i="5"/>
  <c r="Z74" i="12"/>
  <c r="AA70" i="12"/>
  <c r="Y66" i="12"/>
  <c r="CM11" i="5"/>
  <c r="Y73" i="12"/>
  <c r="Z69" i="12"/>
  <c r="U25" i="13"/>
  <c r="U28" i="13" s="1"/>
  <c r="U45" i="13" s="1"/>
  <c r="U25" i="12"/>
  <c r="U28" i="12" s="1"/>
  <c r="U45" i="12" s="1"/>
  <c r="W14" i="12"/>
  <c r="V37" i="12"/>
  <c r="W37" i="12" s="1"/>
  <c r="W34" i="12"/>
  <c r="V44" i="12"/>
  <c r="W44" i="12" s="1"/>
  <c r="W38" i="12"/>
  <c r="V29" i="13"/>
  <c r="V33" i="13" s="1"/>
  <c r="W33" i="13" s="1"/>
  <c r="V33" i="12"/>
  <c r="V56" i="12" s="1"/>
  <c r="V56" i="13" s="1"/>
  <c r="X89" i="12"/>
  <c r="X31" i="12" s="1"/>
  <c r="X31" i="13" s="1"/>
  <c r="X19" i="12"/>
  <c r="X19" i="13" s="1"/>
  <c r="X77" i="12"/>
  <c r="X7" i="12" s="1"/>
  <c r="X7" i="13" s="1"/>
  <c r="X85" i="12"/>
  <c r="X42" i="12" s="1"/>
  <c r="X42" i="13" s="1"/>
  <c r="X82" i="12"/>
  <c r="X90" i="12"/>
  <c r="X32" i="12" s="1"/>
  <c r="X32" i="13" s="1"/>
  <c r="X83" i="12"/>
  <c r="X83" i="13" s="1"/>
  <c r="X86" i="12"/>
  <c r="X79" i="12"/>
  <c r="X88" i="12"/>
  <c r="X80" i="12"/>
  <c r="X10" i="12" s="1"/>
  <c r="X10" i="13" s="1"/>
  <c r="X78" i="12"/>
  <c r="X8" i="12" s="1"/>
  <c r="X8" i="13" s="1"/>
  <c r="X81" i="12"/>
  <c r="X13" i="12" s="1"/>
  <c r="X64" i="12"/>
  <c r="X87" i="12"/>
  <c r="X76" i="12"/>
  <c r="X76" i="13" s="1"/>
  <c r="Y72" i="12"/>
  <c r="CM9" i="5" s="1"/>
  <c r="Y41" i="12"/>
  <c r="Y41" i="13" s="1"/>
  <c r="Y40" i="12"/>
  <c r="Y40" i="13" s="1"/>
  <c r="V38" i="13"/>
  <c r="W38" i="13" s="1"/>
  <c r="Z68" i="12"/>
  <c r="AA68" i="12" s="1"/>
  <c r="W15" i="12"/>
  <c r="U57" i="13"/>
  <c r="S45" i="13"/>
  <c r="U56" i="13"/>
  <c r="U55" i="13"/>
  <c r="V23" i="13"/>
  <c r="W19" i="13"/>
  <c r="V9" i="13"/>
  <c r="W9" i="13" s="1"/>
  <c r="W9" i="12"/>
  <c r="W10" i="12"/>
  <c r="V10" i="13"/>
  <c r="W10" i="13" s="1"/>
  <c r="V27" i="12"/>
  <c r="V26" i="13"/>
  <c r="W26" i="12"/>
  <c r="W6" i="12"/>
  <c r="W16" i="12"/>
  <c r="V16" i="13"/>
  <c r="W16" i="13" s="1"/>
  <c r="W6" i="13"/>
  <c r="V54" i="12"/>
  <c r="W23" i="12"/>
  <c r="V24" i="12"/>
  <c r="W24" i="12" s="1"/>
  <c r="T53" i="13"/>
  <c r="T60" i="12"/>
  <c r="V39" i="13"/>
  <c r="W39" i="13" s="1"/>
  <c r="W39" i="12"/>
  <c r="T25" i="13"/>
  <c r="Q45" i="13"/>
  <c r="R45" i="13" s="1"/>
  <c r="R28" i="13"/>
  <c r="V11" i="12"/>
  <c r="W13" i="12"/>
  <c r="W58" i="12"/>
  <c r="V58" i="13"/>
  <c r="W58" i="13" s="1"/>
  <c r="V17" i="12"/>
  <c r="V18" i="12" s="1"/>
  <c r="W84" i="12"/>
  <c r="V84" i="13"/>
  <c r="W84" i="13" s="1"/>
  <c r="W35" i="12"/>
  <c r="V35" i="13"/>
  <c r="Z74" i="7"/>
  <c r="AA70" i="7"/>
  <c r="Y73" i="7"/>
  <c r="Z69" i="7"/>
  <c r="AK66" i="13"/>
  <c r="AL66" i="13" s="1"/>
  <c r="AL74" i="13"/>
  <c r="AF66" i="13"/>
  <c r="AG66" i="13" s="1"/>
  <c r="AG74" i="13"/>
  <c r="AJ68" i="13"/>
  <c r="AJ72" i="13" s="1"/>
  <c r="AF68" i="13"/>
  <c r="AK68" i="13"/>
  <c r="AH68" i="13"/>
  <c r="AH72" i="13" s="1"/>
  <c r="AC68" i="13"/>
  <c r="AC72" i="13" s="1"/>
  <c r="AI68" i="13"/>
  <c r="AI72" i="13" s="1"/>
  <c r="AD68" i="13"/>
  <c r="AD72" i="13" s="1"/>
  <c r="AE68" i="13"/>
  <c r="AE72" i="13" s="1"/>
  <c r="AH69" i="13"/>
  <c r="AH73" i="13" s="1"/>
  <c r="AH65" i="13" s="1"/>
  <c r="AA89" i="13"/>
  <c r="AB89" i="13" s="1"/>
  <c r="AA87" i="13"/>
  <c r="AB87" i="13" s="1"/>
  <c r="AA85" i="13"/>
  <c r="AA86" i="13"/>
  <c r="AB86" i="13" s="1"/>
  <c r="AA64" i="13"/>
  <c r="AB64" i="13" s="1"/>
  <c r="AA88" i="13"/>
  <c r="AB88" i="13" s="1"/>
  <c r="AA90" i="13"/>
  <c r="AB90" i="13" s="1"/>
  <c r="AB72" i="13"/>
  <c r="AA65" i="13"/>
  <c r="AB65" i="13" s="1"/>
  <c r="AB73" i="13"/>
  <c r="S45" i="12"/>
  <c r="U52" i="12"/>
  <c r="U52" i="13" s="1"/>
  <c r="AI70" i="10"/>
  <c r="AI74" i="10" s="1"/>
  <c r="AI66" i="10" s="1"/>
  <c r="AH70" i="10"/>
  <c r="AH74" i="10" s="1"/>
  <c r="AH66" i="10" s="1"/>
  <c r="AF70" i="10"/>
  <c r="AE70" i="10"/>
  <c r="AE74" i="10" s="1"/>
  <c r="AE66" i="10" s="1"/>
  <c r="AK70" i="10"/>
  <c r="AC70" i="10"/>
  <c r="AC74" i="10" s="1"/>
  <c r="AC66" i="10" s="1"/>
  <c r="AJ70" i="10"/>
  <c r="AJ74" i="10" s="1"/>
  <c r="AJ66" i="10" s="1"/>
  <c r="AD70" i="10"/>
  <c r="AD74" i="10" s="1"/>
  <c r="AD66" i="10" s="1"/>
  <c r="AA66" i="10"/>
  <c r="AB66" i="10" s="1"/>
  <c r="AB74" i="10"/>
  <c r="AC71" i="10"/>
  <c r="AC75" i="10" s="1"/>
  <c r="AC67" i="10" s="1"/>
  <c r="AK71" i="10"/>
  <c r="AH71" i="10"/>
  <c r="AH75" i="10" s="1"/>
  <c r="AH67" i="10" s="1"/>
  <c r="AD71" i="10"/>
  <c r="AD75" i="10" s="1"/>
  <c r="AD67" i="10" s="1"/>
  <c r="AI71" i="10"/>
  <c r="AI75" i="10" s="1"/>
  <c r="AI67" i="10" s="1"/>
  <c r="AF71" i="10"/>
  <c r="AE71" i="10"/>
  <c r="AE75" i="10" s="1"/>
  <c r="AE67" i="10" s="1"/>
  <c r="AJ71" i="10"/>
  <c r="AJ75" i="10" s="1"/>
  <c r="AJ67" i="10" s="1"/>
  <c r="AA65" i="10"/>
  <c r="AB65" i="10" s="1"/>
  <c r="AB73" i="10"/>
  <c r="AA85" i="10"/>
  <c r="AA86" i="10"/>
  <c r="AA88" i="10"/>
  <c r="AA90" i="10"/>
  <c r="AA87" i="10"/>
  <c r="AB87" i="10" s="1"/>
  <c r="AA89" i="10"/>
  <c r="AB89" i="10" s="1"/>
  <c r="AA67" i="10"/>
  <c r="AB67" i="10" s="1"/>
  <c r="AB75" i="10"/>
  <c r="AC69" i="10"/>
  <c r="AK69" i="10"/>
  <c r="AE69" i="10"/>
  <c r="AI69" i="10"/>
  <c r="AJ69" i="10"/>
  <c r="AF69" i="10"/>
  <c r="AH69" i="10"/>
  <c r="AD69" i="10"/>
  <c r="AG71" i="7"/>
  <c r="R48" i="12" l="1"/>
  <c r="H9" i="5" s="1"/>
  <c r="S60" i="12"/>
  <c r="S61" i="12" s="1"/>
  <c r="T61" i="12" s="1"/>
  <c r="BP12" i="5"/>
  <c r="AD69" i="13"/>
  <c r="AD73" i="13" s="1"/>
  <c r="AD65" i="13" s="1"/>
  <c r="AC69" i="13"/>
  <c r="AC73" i="13" s="1"/>
  <c r="AC65" i="13" s="1"/>
  <c r="AF69" i="13"/>
  <c r="AF73" i="13" s="1"/>
  <c r="AI69" i="13"/>
  <c r="AI73" i="13" s="1"/>
  <c r="AI65" i="13" s="1"/>
  <c r="AE69" i="13"/>
  <c r="AE73" i="13" s="1"/>
  <c r="AE65" i="13" s="1"/>
  <c r="AJ69" i="13"/>
  <c r="AJ73" i="13" s="1"/>
  <c r="AJ65" i="13" s="1"/>
  <c r="AB85" i="13"/>
  <c r="BS12" i="5"/>
  <c r="AK67" i="7"/>
  <c r="AL67" i="7" s="1"/>
  <c r="AB5" i="5" s="1"/>
  <c r="AB14" i="5" s="1"/>
  <c r="BT12" i="5"/>
  <c r="AL75" i="7"/>
  <c r="AL71" i="7"/>
  <c r="Z66" i="7"/>
  <c r="BL11" i="5"/>
  <c r="Y65" i="7"/>
  <c r="BK10" i="5"/>
  <c r="AA74" i="12"/>
  <c r="AB70" i="12"/>
  <c r="Z66" i="12"/>
  <c r="CN11" i="5"/>
  <c r="Y65" i="12"/>
  <c r="CM10" i="5"/>
  <c r="Z73" i="12"/>
  <c r="AA69" i="12"/>
  <c r="AA41" i="12" s="1"/>
  <c r="X78" i="13"/>
  <c r="V57" i="12"/>
  <c r="V57" i="13" s="1"/>
  <c r="W57" i="13" s="1"/>
  <c r="X80" i="13"/>
  <c r="X77" i="13"/>
  <c r="W56" i="13"/>
  <c r="W56" i="12"/>
  <c r="W33" i="12"/>
  <c r="W29" i="13"/>
  <c r="AA72" i="12"/>
  <c r="CO9" i="5" s="1"/>
  <c r="X39" i="12"/>
  <c r="X39" i="13" s="1"/>
  <c r="X38" i="12"/>
  <c r="X38" i="13" s="1"/>
  <c r="X35" i="12"/>
  <c r="X35" i="13" s="1"/>
  <c r="Y79" i="12"/>
  <c r="Y82" i="12"/>
  <c r="Y82" i="13" s="1"/>
  <c r="Y64" i="12"/>
  <c r="Y87" i="12"/>
  <c r="Y77" i="12"/>
  <c r="Y7" i="12" s="1"/>
  <c r="Y7" i="13" s="1"/>
  <c r="Y80" i="12"/>
  <c r="Y10" i="12" s="1"/>
  <c r="Y10" i="13" s="1"/>
  <c r="Y90" i="12"/>
  <c r="Y32" i="12" s="1"/>
  <c r="Y32" i="13" s="1"/>
  <c r="Y83" i="12"/>
  <c r="Y83" i="13" s="1"/>
  <c r="Y85" i="12"/>
  <c r="Y42" i="12" s="1"/>
  <c r="Y42" i="13" s="1"/>
  <c r="Y89" i="12"/>
  <c r="Y31" i="12" s="1"/>
  <c r="Y31" i="13" s="1"/>
  <c r="Y86" i="12"/>
  <c r="Y78" i="12"/>
  <c r="Y8" i="12" s="1"/>
  <c r="Y8" i="13" s="1"/>
  <c r="Y88" i="12"/>
  <c r="Y19" i="12"/>
  <c r="Y19" i="13" s="1"/>
  <c r="Y23" i="13" s="1"/>
  <c r="Y24" i="13" s="1"/>
  <c r="Y81" i="12"/>
  <c r="Y13" i="12" s="1"/>
  <c r="Y13" i="13" s="1"/>
  <c r="Y76" i="12"/>
  <c r="Y76" i="13" s="1"/>
  <c r="X84" i="12"/>
  <c r="X84" i="13" s="1"/>
  <c r="X9" i="12"/>
  <c r="X9" i="13" s="1"/>
  <c r="X79" i="13"/>
  <c r="X6" i="12"/>
  <c r="X6" i="13" s="1"/>
  <c r="X26" i="12"/>
  <c r="X26" i="13" s="1"/>
  <c r="X27" i="13" s="1"/>
  <c r="X29" i="12"/>
  <c r="X29" i="13" s="1"/>
  <c r="X58" i="12"/>
  <c r="X58" i="13" s="1"/>
  <c r="X34" i="12"/>
  <c r="X14" i="12"/>
  <c r="X14" i="13" s="1"/>
  <c r="X15" i="12"/>
  <c r="X15" i="13" s="1"/>
  <c r="X16" i="12"/>
  <c r="X16" i="13" s="1"/>
  <c r="Z40" i="12"/>
  <c r="Z40" i="13" s="1"/>
  <c r="Z41" i="12"/>
  <c r="Z41" i="13" s="1"/>
  <c r="Z72" i="12"/>
  <c r="CN9" i="5" s="1"/>
  <c r="V44" i="13"/>
  <c r="W44" i="13" s="1"/>
  <c r="V17" i="13"/>
  <c r="V18" i="13" s="1"/>
  <c r="V11" i="13"/>
  <c r="V12" i="13" s="1"/>
  <c r="W12" i="13" s="1"/>
  <c r="W35" i="13"/>
  <c r="V37" i="13"/>
  <c r="W37" i="13" s="1"/>
  <c r="V27" i="13"/>
  <c r="W27" i="13" s="1"/>
  <c r="W26" i="13"/>
  <c r="V55" i="12"/>
  <c r="W27" i="12"/>
  <c r="X23" i="13"/>
  <c r="X23" i="12"/>
  <c r="X24" i="12" s="1"/>
  <c r="R47" i="13"/>
  <c r="S59" i="13" s="1"/>
  <c r="T60" i="13"/>
  <c r="T28" i="13"/>
  <c r="W17" i="12"/>
  <c r="X82" i="13"/>
  <c r="X30" i="12"/>
  <c r="X30" i="13" s="1"/>
  <c r="V54" i="13"/>
  <c r="W54" i="13" s="1"/>
  <c r="W54" i="12"/>
  <c r="X81" i="13"/>
  <c r="U60" i="13"/>
  <c r="V24" i="13"/>
  <c r="W24" i="13" s="1"/>
  <c r="W23" i="13"/>
  <c r="V12" i="12"/>
  <c r="V25" i="12" s="1"/>
  <c r="W11" i="12"/>
  <c r="AB68" i="12"/>
  <c r="Z73" i="7"/>
  <c r="AA69" i="7"/>
  <c r="AA73" i="7" s="1"/>
  <c r="AA74" i="7"/>
  <c r="BM11" i="5" s="1"/>
  <c r="AB70" i="7"/>
  <c r="AD87" i="13"/>
  <c r="AD86" i="13"/>
  <c r="AD89" i="13"/>
  <c r="AD64" i="13"/>
  <c r="AC88" i="13"/>
  <c r="AC89" i="13"/>
  <c r="AC64" i="13"/>
  <c r="AC85" i="13"/>
  <c r="AC87" i="13"/>
  <c r="AH90" i="13"/>
  <c r="AH85" i="13"/>
  <c r="AH64" i="13"/>
  <c r="AH89" i="13"/>
  <c r="AH87" i="13"/>
  <c r="AH86" i="13"/>
  <c r="AH88" i="13"/>
  <c r="AK72" i="13"/>
  <c r="AL68" i="13"/>
  <c r="AF72" i="13"/>
  <c r="AG68" i="13"/>
  <c r="AK73" i="13"/>
  <c r="AL69" i="13"/>
  <c r="AI64" i="13"/>
  <c r="AI87" i="13"/>
  <c r="AJ64" i="13"/>
  <c r="AE85" i="13"/>
  <c r="AE64" i="13"/>
  <c r="V53" i="12"/>
  <c r="V53" i="13" s="1"/>
  <c r="W53" i="13" s="1"/>
  <c r="W18" i="12"/>
  <c r="U60" i="12"/>
  <c r="AB71" i="12"/>
  <c r="AK74" i="10"/>
  <c r="AL70" i="10"/>
  <c r="AF74" i="10"/>
  <c r="AG70" i="10"/>
  <c r="AE73" i="10"/>
  <c r="AB85" i="10"/>
  <c r="AB86" i="10"/>
  <c r="AF75" i="10"/>
  <c r="AG71" i="10"/>
  <c r="AK73" i="10"/>
  <c r="AL69" i="10"/>
  <c r="AH73" i="10"/>
  <c r="AC73" i="10"/>
  <c r="AF73" i="10"/>
  <c r="AG69" i="10"/>
  <c r="AB90" i="10"/>
  <c r="AB88" i="10"/>
  <c r="AD73" i="10"/>
  <c r="AJ73" i="10"/>
  <c r="AK75" i="10"/>
  <c r="AL71" i="10"/>
  <c r="AI73" i="10"/>
  <c r="AG75" i="7"/>
  <c r="AG67" i="7"/>
  <c r="AA5" i="5" s="1"/>
  <c r="AA14" i="5" s="1"/>
  <c r="H72" i="7"/>
  <c r="H68" i="7"/>
  <c r="AL46" i="7"/>
  <c r="AG46" i="7"/>
  <c r="AB46" i="7"/>
  <c r="W46" i="7"/>
  <c r="R46" i="7"/>
  <c r="M46" i="7"/>
  <c r="H46" i="7"/>
  <c r="G44" i="7"/>
  <c r="G57" i="7" s="1"/>
  <c r="G57" i="10" s="1"/>
  <c r="F44" i="7"/>
  <c r="F57" i="7" s="1"/>
  <c r="F57" i="10" s="1"/>
  <c r="E44" i="7"/>
  <c r="E57" i="7" s="1"/>
  <c r="E57" i="10" s="1"/>
  <c r="AL43" i="7"/>
  <c r="AG43" i="7"/>
  <c r="AB43" i="7"/>
  <c r="W43" i="7"/>
  <c r="R43" i="7"/>
  <c r="M43" i="7"/>
  <c r="H43" i="7"/>
  <c r="H40" i="7"/>
  <c r="H39" i="7"/>
  <c r="H38" i="7"/>
  <c r="G37" i="7"/>
  <c r="F37" i="7"/>
  <c r="E37" i="7"/>
  <c r="D37" i="7"/>
  <c r="AL36" i="7"/>
  <c r="AG36" i="7"/>
  <c r="AB36" i="7"/>
  <c r="W36" i="7"/>
  <c r="R36" i="7"/>
  <c r="M36" i="7"/>
  <c r="H36" i="7"/>
  <c r="H35" i="7"/>
  <c r="H34" i="7"/>
  <c r="AD85" i="13" l="1"/>
  <c r="AI90" i="13"/>
  <c r="AE86" i="13"/>
  <c r="AC86" i="13"/>
  <c r="AD90" i="13"/>
  <c r="AD88" i="13"/>
  <c r="AI89" i="13"/>
  <c r="R49" i="12"/>
  <c r="AJ87" i="13"/>
  <c r="AJ90" i="13"/>
  <c r="AI88" i="13"/>
  <c r="AI86" i="13"/>
  <c r="AC90" i="13"/>
  <c r="AE88" i="13"/>
  <c r="AJ86" i="13"/>
  <c r="AE90" i="13"/>
  <c r="AJ88" i="13"/>
  <c r="AJ85" i="13"/>
  <c r="AG69" i="13"/>
  <c r="AE87" i="13"/>
  <c r="AE89" i="13"/>
  <c r="AJ89" i="13"/>
  <c r="AI85" i="13"/>
  <c r="AA65" i="7"/>
  <c r="BM10" i="5"/>
  <c r="Z65" i="7"/>
  <c r="BL10" i="5"/>
  <c r="AA40" i="12"/>
  <c r="AB40" i="12" s="1"/>
  <c r="AJ70" i="12"/>
  <c r="AJ74" i="12" s="1"/>
  <c r="AI70" i="12"/>
  <c r="AI74" i="12" s="1"/>
  <c r="AK70" i="12"/>
  <c r="AC70" i="12"/>
  <c r="AC74" i="12" s="1"/>
  <c r="AF70" i="12"/>
  <c r="AD70" i="12"/>
  <c r="AD74" i="12" s="1"/>
  <c r="AE70" i="12"/>
  <c r="AE74" i="12" s="1"/>
  <c r="AH70" i="12"/>
  <c r="AH74" i="12" s="1"/>
  <c r="AA66" i="12"/>
  <c r="AB66" i="12" s="1"/>
  <c r="Z13" i="5" s="1"/>
  <c r="CO11" i="5"/>
  <c r="AB74" i="12"/>
  <c r="Z65" i="12"/>
  <c r="CN10" i="5"/>
  <c r="AA73" i="12"/>
  <c r="AA76" i="12" s="1"/>
  <c r="AB69" i="12"/>
  <c r="W57" i="12"/>
  <c r="X11" i="13"/>
  <c r="X12" i="13" s="1"/>
  <c r="X27" i="12"/>
  <c r="X55" i="12" s="1"/>
  <c r="X55" i="13" s="1"/>
  <c r="Y81" i="13"/>
  <c r="Y77" i="13"/>
  <c r="X11" i="12"/>
  <c r="X12" i="12" s="1"/>
  <c r="X37" i="12"/>
  <c r="Y80" i="13"/>
  <c r="Y29" i="12"/>
  <c r="Y29" i="13" s="1"/>
  <c r="Y58" i="12"/>
  <c r="Y58" i="13" s="1"/>
  <c r="Y14" i="12"/>
  <c r="Y14" i="13" s="1"/>
  <c r="Y15" i="12"/>
  <c r="Y15" i="13" s="1"/>
  <c r="X34" i="13"/>
  <c r="X37" i="13" s="1"/>
  <c r="Y38" i="12"/>
  <c r="Y38" i="13" s="1"/>
  <c r="Y35" i="12"/>
  <c r="Y35" i="13" s="1"/>
  <c r="Y39" i="12"/>
  <c r="Y39" i="13" s="1"/>
  <c r="Y84" i="12"/>
  <c r="Y84" i="13" s="1"/>
  <c r="Y9" i="12"/>
  <c r="Y9" i="13" s="1"/>
  <c r="Y79" i="13"/>
  <c r="Z82" i="12"/>
  <c r="Z82" i="13" s="1"/>
  <c r="Z83" i="12"/>
  <c r="Z83" i="13" s="1"/>
  <c r="Z77" i="12"/>
  <c r="Z7" i="12" s="1"/>
  <c r="Z7" i="13" s="1"/>
  <c r="Z86" i="12"/>
  <c r="Z64" i="12"/>
  <c r="Z80" i="12"/>
  <c r="Z10" i="12" s="1"/>
  <c r="Z10" i="13" s="1"/>
  <c r="Z85" i="12"/>
  <c r="Z42" i="12" s="1"/>
  <c r="Z42" i="13" s="1"/>
  <c r="Z19" i="12"/>
  <c r="Z19" i="13" s="1"/>
  <c r="Z23" i="13" s="1"/>
  <c r="Z24" i="13" s="1"/>
  <c r="Z76" i="12"/>
  <c r="Z79" i="12"/>
  <c r="Z78" i="12"/>
  <c r="Z8" i="12" s="1"/>
  <c r="Z8" i="13" s="1"/>
  <c r="Z90" i="12"/>
  <c r="Z32" i="12" s="1"/>
  <c r="Z32" i="13" s="1"/>
  <c r="Z89" i="12"/>
  <c r="Z31" i="12" s="1"/>
  <c r="Z87" i="12"/>
  <c r="Z81" i="12"/>
  <c r="Z13" i="12" s="1"/>
  <c r="Z13" i="13" s="1"/>
  <c r="Z88" i="12"/>
  <c r="Z30" i="12" s="1"/>
  <c r="Z30" i="13" s="1"/>
  <c r="Y23" i="12"/>
  <c r="Y24" i="12" s="1"/>
  <c r="X33" i="13"/>
  <c r="Y6" i="12"/>
  <c r="Y26" i="12"/>
  <c r="Y27" i="12" s="1"/>
  <c r="Y55" i="12" s="1"/>
  <c r="Y55" i="13" s="1"/>
  <c r="Y16" i="12"/>
  <c r="Y16" i="13" s="1"/>
  <c r="AA64" i="12"/>
  <c r="AB64" i="12" s="1"/>
  <c r="Z9" i="5" s="1"/>
  <c r="Y34" i="12"/>
  <c r="Y30" i="12"/>
  <c r="Y30" i="13" s="1"/>
  <c r="Y78" i="13"/>
  <c r="W11" i="13"/>
  <c r="R48" i="13"/>
  <c r="R49" i="13" s="1"/>
  <c r="W17" i="13"/>
  <c r="X54" i="12"/>
  <c r="X54" i="13" s="1"/>
  <c r="AB41" i="12"/>
  <c r="AA41" i="13"/>
  <c r="AB41" i="13" s="1"/>
  <c r="X24" i="13"/>
  <c r="AB72" i="12"/>
  <c r="X44" i="13"/>
  <c r="AH68" i="12"/>
  <c r="AF68" i="12"/>
  <c r="AE68" i="12"/>
  <c r="AI68" i="12"/>
  <c r="AC68" i="12"/>
  <c r="AK68" i="12"/>
  <c r="AJ68" i="12"/>
  <c r="AD68" i="12"/>
  <c r="V55" i="13"/>
  <c r="W55" i="13" s="1"/>
  <c r="W55" i="12"/>
  <c r="X13" i="13"/>
  <c r="X17" i="12"/>
  <c r="X18" i="12" s="1"/>
  <c r="X53" i="12" s="1"/>
  <c r="X53" i="13" s="1"/>
  <c r="W59" i="13"/>
  <c r="S60" i="13"/>
  <c r="V52" i="12"/>
  <c r="W12" i="12"/>
  <c r="T45" i="13"/>
  <c r="X44" i="12"/>
  <c r="X57" i="12" s="1"/>
  <c r="X57" i="13" s="1"/>
  <c r="V25" i="13"/>
  <c r="W18" i="13"/>
  <c r="AC71" i="12"/>
  <c r="AC75" i="12" s="1"/>
  <c r="AI71" i="12"/>
  <c r="AI75" i="12" s="1"/>
  <c r="AF71" i="12"/>
  <c r="AF75" i="12" s="1"/>
  <c r="AK71" i="12"/>
  <c r="AK75" i="12" s="1"/>
  <c r="AJ71" i="12"/>
  <c r="AJ75" i="12" s="1"/>
  <c r="AD71" i="12"/>
  <c r="AD75" i="12" s="1"/>
  <c r="AH71" i="12"/>
  <c r="AH75" i="12" s="1"/>
  <c r="AE71" i="12"/>
  <c r="AE75" i="12" s="1"/>
  <c r="X33" i="12"/>
  <c r="X56" i="12" s="1"/>
  <c r="X56" i="13" s="1"/>
  <c r="AK70" i="7"/>
  <c r="AD70" i="7"/>
  <c r="AD74" i="7" s="1"/>
  <c r="AE70" i="7"/>
  <c r="AE74" i="7" s="1"/>
  <c r="AC70" i="7"/>
  <c r="AC74" i="7" s="1"/>
  <c r="AH70" i="7"/>
  <c r="AH74" i="7" s="1"/>
  <c r="AF70" i="7"/>
  <c r="AJ70" i="7"/>
  <c r="AJ74" i="7" s="1"/>
  <c r="AI70" i="7"/>
  <c r="AI74" i="7" s="1"/>
  <c r="I68" i="7"/>
  <c r="AA66" i="7"/>
  <c r="AB66" i="7" s="1"/>
  <c r="Z4" i="5" s="1"/>
  <c r="Z12" i="5" s="1"/>
  <c r="AB74" i="7"/>
  <c r="AG73" i="13"/>
  <c r="AF65" i="13"/>
  <c r="AG65" i="13" s="1"/>
  <c r="AK65" i="13"/>
  <c r="AL65" i="13" s="1"/>
  <c r="AL73" i="13"/>
  <c r="AF90" i="13"/>
  <c r="AF88" i="13"/>
  <c r="AF86" i="13"/>
  <c r="AF64" i="13"/>
  <c r="AG64" i="13" s="1"/>
  <c r="AF89" i="13"/>
  <c r="AG89" i="13" s="1"/>
  <c r="AG72" i="13"/>
  <c r="AF85" i="13"/>
  <c r="AG85" i="13" s="1"/>
  <c r="AF87" i="13"/>
  <c r="AK89" i="13"/>
  <c r="AK87" i="13"/>
  <c r="AL87" i="13" s="1"/>
  <c r="AK85" i="13"/>
  <c r="AK64" i="13"/>
  <c r="AL64" i="13" s="1"/>
  <c r="AK86" i="13"/>
  <c r="AK90" i="13"/>
  <c r="AK88" i="13"/>
  <c r="AL72" i="13"/>
  <c r="AB75" i="12"/>
  <c r="AB67" i="12"/>
  <c r="Z15" i="5" s="1"/>
  <c r="W53" i="12"/>
  <c r="V28" i="12"/>
  <c r="W25" i="12"/>
  <c r="U61" i="12"/>
  <c r="H57" i="10"/>
  <c r="AF66" i="10"/>
  <c r="AG66" i="10" s="1"/>
  <c r="AG74" i="10"/>
  <c r="AK66" i="10"/>
  <c r="AL66" i="10" s="1"/>
  <c r="AL74" i="10"/>
  <c r="AE65" i="10"/>
  <c r="AE87" i="10"/>
  <c r="AE88" i="10"/>
  <c r="AE90" i="10"/>
  <c r="AE86" i="10"/>
  <c r="AE85" i="10"/>
  <c r="AE89" i="10"/>
  <c r="AI65" i="10"/>
  <c r="AI85" i="10"/>
  <c r="AI90" i="10"/>
  <c r="AI88" i="10"/>
  <c r="AI89" i="10"/>
  <c r="AI87" i="10"/>
  <c r="AI86" i="10"/>
  <c r="AF67" i="10"/>
  <c r="AG67" i="10" s="1"/>
  <c r="AG75" i="10"/>
  <c r="AF65" i="10"/>
  <c r="AG65" i="10" s="1"/>
  <c r="AG73" i="10"/>
  <c r="AF90" i="10"/>
  <c r="AF85" i="10"/>
  <c r="AF88" i="10"/>
  <c r="AF86" i="10"/>
  <c r="AF87" i="10"/>
  <c r="AF89" i="10"/>
  <c r="AK67" i="10"/>
  <c r="AL67" i="10" s="1"/>
  <c r="AL75" i="10"/>
  <c r="AC65" i="10"/>
  <c r="AC90" i="10"/>
  <c r="AC88" i="10"/>
  <c r="AC86" i="10"/>
  <c r="AC89" i="10"/>
  <c r="AC87" i="10"/>
  <c r="AC85" i="10"/>
  <c r="AH65" i="10"/>
  <c r="AH89" i="10"/>
  <c r="AH87" i="10"/>
  <c r="AH90" i="10"/>
  <c r="AH88" i="10"/>
  <c r="AH85" i="10"/>
  <c r="AH86" i="10"/>
  <c r="AJ65" i="10"/>
  <c r="AJ90" i="10"/>
  <c r="AJ86" i="10"/>
  <c r="AJ89" i="10"/>
  <c r="AJ87" i="10"/>
  <c r="AJ85" i="10"/>
  <c r="AJ88" i="10"/>
  <c r="AD65" i="10"/>
  <c r="AD85" i="10"/>
  <c r="AD89" i="10"/>
  <c r="AD90" i="10"/>
  <c r="AD87" i="10"/>
  <c r="AD86" i="10"/>
  <c r="AD88" i="10"/>
  <c r="AK65" i="10"/>
  <c r="AL65" i="10" s="1"/>
  <c r="AL73" i="10"/>
  <c r="AK89" i="10"/>
  <c r="AK87" i="10"/>
  <c r="AK88" i="10"/>
  <c r="AK85" i="10"/>
  <c r="AK90" i="10"/>
  <c r="AK86" i="10"/>
  <c r="H57" i="7"/>
  <c r="AB69" i="7"/>
  <c r="D24" i="7"/>
  <c r="E24" i="7"/>
  <c r="H80" i="7"/>
  <c r="H76" i="7"/>
  <c r="N2" i="5" s="1"/>
  <c r="H79" i="7"/>
  <c r="F24" i="7"/>
  <c r="H77" i="7"/>
  <c r="H37" i="7"/>
  <c r="G24" i="7"/>
  <c r="H44" i="7"/>
  <c r="C8" i="6"/>
  <c r="O45" i="6"/>
  <c r="P45" i="6"/>
  <c r="Q45" i="6"/>
  <c r="R45" i="6"/>
  <c r="O46" i="6"/>
  <c r="P46" i="6"/>
  <c r="Q46" i="6"/>
  <c r="R46" i="6"/>
  <c r="O47" i="6"/>
  <c r="P47" i="6"/>
  <c r="Q47" i="6"/>
  <c r="R47" i="6"/>
  <c r="O48" i="6"/>
  <c r="P48" i="6"/>
  <c r="Q48" i="6"/>
  <c r="R48" i="6"/>
  <c r="O49" i="6"/>
  <c r="P49" i="6"/>
  <c r="Q49" i="6"/>
  <c r="R49" i="6"/>
  <c r="O50" i="6"/>
  <c r="P50" i="6"/>
  <c r="Q50" i="6"/>
  <c r="R50" i="6"/>
  <c r="O51" i="6"/>
  <c r="P51" i="6"/>
  <c r="Q51" i="6"/>
  <c r="R51" i="6"/>
  <c r="O52" i="6"/>
  <c r="P52" i="6"/>
  <c r="Q52" i="6"/>
  <c r="R52" i="6"/>
  <c r="O53" i="6"/>
  <c r="P53" i="6"/>
  <c r="Q53" i="6"/>
  <c r="R53" i="6"/>
  <c r="O54" i="6"/>
  <c r="P54" i="6"/>
  <c r="Q54" i="6"/>
  <c r="R54" i="6"/>
  <c r="O55" i="6"/>
  <c r="P55" i="6"/>
  <c r="Q55" i="6"/>
  <c r="R55" i="6"/>
  <c r="O56" i="6"/>
  <c r="P56" i="6"/>
  <c r="Q56" i="6"/>
  <c r="R56" i="6"/>
  <c r="O57" i="6"/>
  <c r="P57" i="6"/>
  <c r="Q57" i="6"/>
  <c r="R57" i="6"/>
  <c r="O58" i="6"/>
  <c r="P58" i="6"/>
  <c r="Q58" i="6"/>
  <c r="R58" i="6"/>
  <c r="O59" i="6"/>
  <c r="P59" i="6"/>
  <c r="Q59" i="6"/>
  <c r="R59" i="6"/>
  <c r="O60" i="6"/>
  <c r="P60" i="6"/>
  <c r="Q60" i="6"/>
  <c r="R60" i="6"/>
  <c r="O61" i="6"/>
  <c r="P61" i="6"/>
  <c r="Q61" i="6"/>
  <c r="R61" i="6"/>
  <c r="O62" i="6"/>
  <c r="P62" i="6"/>
  <c r="Q62" i="6"/>
  <c r="R62" i="6"/>
  <c r="O63" i="6"/>
  <c r="P63" i="6"/>
  <c r="Q63" i="6"/>
  <c r="R63" i="6"/>
  <c r="O64" i="6"/>
  <c r="P64" i="6"/>
  <c r="Q64" i="6"/>
  <c r="R64" i="6"/>
  <c r="O65" i="6"/>
  <c r="P65" i="6"/>
  <c r="Q65" i="6"/>
  <c r="R65" i="6"/>
  <c r="O66" i="6"/>
  <c r="P66" i="6"/>
  <c r="Q66" i="6"/>
  <c r="R66" i="6"/>
  <c r="O67" i="6"/>
  <c r="P67" i="6"/>
  <c r="Q67" i="6"/>
  <c r="R67" i="6"/>
  <c r="O68" i="6"/>
  <c r="P68" i="6"/>
  <c r="Q68" i="6"/>
  <c r="R68" i="6"/>
  <c r="O69" i="6"/>
  <c r="P69" i="6"/>
  <c r="Q69" i="6"/>
  <c r="R69" i="6"/>
  <c r="O70" i="6"/>
  <c r="P70" i="6"/>
  <c r="Q70" i="6"/>
  <c r="R70" i="6"/>
  <c r="O71" i="6"/>
  <c r="P71" i="6"/>
  <c r="Q71" i="6"/>
  <c r="R71" i="6"/>
  <c r="O72" i="6"/>
  <c r="P72" i="6"/>
  <c r="Q72" i="6"/>
  <c r="R72" i="6"/>
  <c r="O73" i="6"/>
  <c r="P73" i="6"/>
  <c r="Q73" i="6"/>
  <c r="R73" i="6"/>
  <c r="O74" i="6"/>
  <c r="P74" i="6"/>
  <c r="Q74" i="6"/>
  <c r="R74" i="6"/>
  <c r="O75" i="6"/>
  <c r="P75" i="6"/>
  <c r="Q75" i="6"/>
  <c r="R75" i="6"/>
  <c r="O76" i="6"/>
  <c r="P76" i="6"/>
  <c r="Q76" i="6"/>
  <c r="R76" i="6"/>
  <c r="O77" i="6"/>
  <c r="P77" i="6"/>
  <c r="Q77" i="6"/>
  <c r="R77" i="6"/>
  <c r="O78" i="6"/>
  <c r="P78" i="6"/>
  <c r="Q78" i="6"/>
  <c r="R78" i="6"/>
  <c r="O79" i="6"/>
  <c r="P79" i="6"/>
  <c r="Q79" i="6"/>
  <c r="R79" i="6"/>
  <c r="O80" i="6"/>
  <c r="P80" i="6"/>
  <c r="Q80" i="6"/>
  <c r="R80" i="6"/>
  <c r="O81" i="6"/>
  <c r="P81" i="6"/>
  <c r="Q81" i="6"/>
  <c r="R81" i="6"/>
  <c r="O82" i="6"/>
  <c r="P82" i="6"/>
  <c r="Q82" i="6"/>
  <c r="R82" i="6"/>
  <c r="O83" i="6"/>
  <c r="P83" i="6"/>
  <c r="Q83" i="6"/>
  <c r="R83" i="6"/>
  <c r="O84" i="6"/>
  <c r="P84" i="6"/>
  <c r="Q84" i="6"/>
  <c r="R84" i="6"/>
  <c r="O85" i="6"/>
  <c r="P85" i="6"/>
  <c r="Q85" i="6"/>
  <c r="R85" i="6"/>
  <c r="O86" i="6"/>
  <c r="P86" i="6"/>
  <c r="Q86" i="6"/>
  <c r="R86" i="6"/>
  <c r="O87" i="6"/>
  <c r="P87" i="6"/>
  <c r="Q87" i="6"/>
  <c r="R87" i="6"/>
  <c r="O88" i="6"/>
  <c r="P88" i="6"/>
  <c r="Q88" i="6"/>
  <c r="R88" i="6"/>
  <c r="O89" i="6"/>
  <c r="P89" i="6"/>
  <c r="Q89" i="6"/>
  <c r="R89" i="6"/>
  <c r="O90" i="6"/>
  <c r="P90" i="6"/>
  <c r="Q90" i="6"/>
  <c r="R90" i="6"/>
  <c r="O91" i="6"/>
  <c r="P91" i="6"/>
  <c r="Q91" i="6"/>
  <c r="R91" i="6"/>
  <c r="O92" i="6"/>
  <c r="P92" i="6"/>
  <c r="Q92" i="6"/>
  <c r="R92" i="6"/>
  <c r="O93" i="6"/>
  <c r="P93" i="6"/>
  <c r="Q93" i="6"/>
  <c r="R93" i="6"/>
  <c r="O94" i="6"/>
  <c r="P94" i="6"/>
  <c r="Q94" i="6"/>
  <c r="R94" i="6"/>
  <c r="O95" i="6"/>
  <c r="P95" i="6"/>
  <c r="Q95" i="6"/>
  <c r="R95" i="6"/>
  <c r="O96" i="6"/>
  <c r="P96" i="6"/>
  <c r="Q96" i="6"/>
  <c r="R96" i="6"/>
  <c r="O97" i="6"/>
  <c r="P97" i="6"/>
  <c r="Q97" i="6"/>
  <c r="R97" i="6"/>
  <c r="O98" i="6"/>
  <c r="P98" i="6"/>
  <c r="Q98" i="6"/>
  <c r="R98" i="6"/>
  <c r="O99" i="6"/>
  <c r="P99" i="6"/>
  <c r="Q99" i="6"/>
  <c r="R99" i="6"/>
  <c r="O100" i="6"/>
  <c r="P100" i="6"/>
  <c r="Q100" i="6"/>
  <c r="R100" i="6"/>
  <c r="O101" i="6"/>
  <c r="P101" i="6"/>
  <c r="Q101" i="6"/>
  <c r="R101" i="6"/>
  <c r="O102" i="6"/>
  <c r="P102" i="6"/>
  <c r="Q102" i="6"/>
  <c r="R102" i="6"/>
  <c r="O103" i="6"/>
  <c r="P103" i="6"/>
  <c r="Q103" i="6"/>
  <c r="R103" i="6"/>
  <c r="O104" i="6"/>
  <c r="P104" i="6"/>
  <c r="Q104" i="6"/>
  <c r="R104" i="6"/>
  <c r="O105" i="6"/>
  <c r="P105" i="6"/>
  <c r="Q105" i="6"/>
  <c r="R105" i="6"/>
  <c r="O106" i="6"/>
  <c r="P106" i="6"/>
  <c r="Q106" i="6"/>
  <c r="R106" i="6"/>
  <c r="O107" i="6"/>
  <c r="P107" i="6"/>
  <c r="Q107" i="6"/>
  <c r="R107" i="6"/>
  <c r="O108" i="6"/>
  <c r="P108" i="6"/>
  <c r="Q108" i="6"/>
  <c r="R108" i="6"/>
  <c r="O109" i="6"/>
  <c r="P109" i="6"/>
  <c r="Q109" i="6"/>
  <c r="R109" i="6"/>
  <c r="O110" i="6"/>
  <c r="P110" i="6"/>
  <c r="Q110" i="6"/>
  <c r="R110" i="6"/>
  <c r="O111" i="6"/>
  <c r="P111" i="6"/>
  <c r="Q111" i="6"/>
  <c r="R111" i="6"/>
  <c r="O112" i="6"/>
  <c r="P112" i="6"/>
  <c r="Q112" i="6"/>
  <c r="R112" i="6"/>
  <c r="O113" i="6"/>
  <c r="P113" i="6"/>
  <c r="Q113" i="6"/>
  <c r="R113" i="6"/>
  <c r="O114" i="6"/>
  <c r="P114" i="6"/>
  <c r="Q114" i="6"/>
  <c r="R114" i="6"/>
  <c r="O115" i="6"/>
  <c r="P115" i="6"/>
  <c r="Q115" i="6"/>
  <c r="R115" i="6"/>
  <c r="O116" i="6"/>
  <c r="P116" i="6"/>
  <c r="Q116" i="6"/>
  <c r="R116" i="6"/>
  <c r="O117" i="6"/>
  <c r="P117" i="6"/>
  <c r="Q117" i="6"/>
  <c r="R117" i="6"/>
  <c r="O118" i="6"/>
  <c r="P118" i="6"/>
  <c r="Q118" i="6"/>
  <c r="R118" i="6"/>
  <c r="O119" i="6"/>
  <c r="P119" i="6"/>
  <c r="Q119" i="6"/>
  <c r="R119" i="6"/>
  <c r="O120" i="6"/>
  <c r="P120" i="6"/>
  <c r="Q120" i="6"/>
  <c r="R120" i="6"/>
  <c r="O121" i="6"/>
  <c r="P121" i="6"/>
  <c r="Q121" i="6"/>
  <c r="R121" i="6"/>
  <c r="O122" i="6"/>
  <c r="P122" i="6"/>
  <c r="Q122" i="6"/>
  <c r="R122" i="6"/>
  <c r="O123" i="6"/>
  <c r="P123" i="6"/>
  <c r="Q123" i="6"/>
  <c r="R123" i="6"/>
  <c r="O124" i="6"/>
  <c r="P124" i="6"/>
  <c r="Q124" i="6"/>
  <c r="R124" i="6"/>
  <c r="O125" i="6"/>
  <c r="P125" i="6"/>
  <c r="Q125" i="6"/>
  <c r="R125" i="6"/>
  <c r="O126" i="6"/>
  <c r="P126" i="6"/>
  <c r="Q126" i="6"/>
  <c r="R126" i="6"/>
  <c r="O127" i="6"/>
  <c r="P127" i="6"/>
  <c r="Q127" i="6"/>
  <c r="R127" i="6"/>
  <c r="O128" i="6"/>
  <c r="P128" i="6"/>
  <c r="Q128" i="6"/>
  <c r="R128" i="6"/>
  <c r="O129" i="6"/>
  <c r="P129" i="6"/>
  <c r="Q129" i="6"/>
  <c r="R129" i="6"/>
  <c r="O130" i="6"/>
  <c r="P130" i="6"/>
  <c r="Q130" i="6"/>
  <c r="R130" i="6"/>
  <c r="O131" i="6"/>
  <c r="P131" i="6"/>
  <c r="Q131" i="6"/>
  <c r="R131" i="6"/>
  <c r="O132" i="6"/>
  <c r="P132" i="6"/>
  <c r="Q132" i="6"/>
  <c r="R132" i="6"/>
  <c r="O133" i="6"/>
  <c r="P133" i="6"/>
  <c r="Q133" i="6"/>
  <c r="R133" i="6"/>
  <c r="O134" i="6"/>
  <c r="P134" i="6"/>
  <c r="Q134" i="6"/>
  <c r="R134" i="6"/>
  <c r="O135" i="6"/>
  <c r="P135" i="6"/>
  <c r="Q135" i="6"/>
  <c r="R135" i="6"/>
  <c r="O136" i="6"/>
  <c r="P136" i="6"/>
  <c r="Q136" i="6"/>
  <c r="R136" i="6"/>
  <c r="O137" i="6"/>
  <c r="P137" i="6"/>
  <c r="Q137" i="6"/>
  <c r="R137" i="6"/>
  <c r="O138" i="6"/>
  <c r="P138" i="6"/>
  <c r="Q138" i="6"/>
  <c r="R138" i="6"/>
  <c r="O139" i="6"/>
  <c r="P139" i="6"/>
  <c r="Q139" i="6"/>
  <c r="R139" i="6"/>
  <c r="O140" i="6"/>
  <c r="P140" i="6"/>
  <c r="Q140" i="6"/>
  <c r="R140" i="6"/>
  <c r="O141" i="6"/>
  <c r="P141" i="6"/>
  <c r="Q141" i="6"/>
  <c r="R141" i="6"/>
  <c r="O142" i="6"/>
  <c r="P142" i="6"/>
  <c r="Q142" i="6"/>
  <c r="R142" i="6"/>
  <c r="O143" i="6"/>
  <c r="P143" i="6"/>
  <c r="Q143" i="6"/>
  <c r="R143" i="6"/>
  <c r="O144" i="6"/>
  <c r="P144" i="6"/>
  <c r="Q144" i="6"/>
  <c r="R144" i="6"/>
  <c r="O145" i="6"/>
  <c r="P145" i="6"/>
  <c r="Q145" i="6"/>
  <c r="R145" i="6"/>
  <c r="O146" i="6"/>
  <c r="P146" i="6"/>
  <c r="Q146" i="6"/>
  <c r="R146" i="6"/>
  <c r="O147" i="6"/>
  <c r="P147" i="6"/>
  <c r="Q147" i="6"/>
  <c r="R147" i="6"/>
  <c r="O148" i="6"/>
  <c r="P148" i="6"/>
  <c r="Q148" i="6"/>
  <c r="R148" i="6"/>
  <c r="O149" i="6"/>
  <c r="P149" i="6"/>
  <c r="Q149" i="6"/>
  <c r="R149" i="6"/>
  <c r="O150" i="6"/>
  <c r="P150" i="6"/>
  <c r="Q150" i="6"/>
  <c r="R150" i="6"/>
  <c r="O151" i="6"/>
  <c r="P151" i="6"/>
  <c r="Q151" i="6"/>
  <c r="R151" i="6"/>
  <c r="O152" i="6"/>
  <c r="P152" i="6"/>
  <c r="Q152" i="6"/>
  <c r="R152" i="6"/>
  <c r="O153" i="6"/>
  <c r="P153" i="6"/>
  <c r="Q153" i="6"/>
  <c r="R153" i="6"/>
  <c r="O154" i="6"/>
  <c r="P154" i="6"/>
  <c r="Q154" i="6"/>
  <c r="R154" i="6"/>
  <c r="O155" i="6"/>
  <c r="P155" i="6"/>
  <c r="Q155" i="6"/>
  <c r="R155" i="6"/>
  <c r="O156" i="6"/>
  <c r="P156" i="6"/>
  <c r="Q156" i="6"/>
  <c r="R156" i="6"/>
  <c r="O157" i="6"/>
  <c r="P157" i="6"/>
  <c r="Q157" i="6"/>
  <c r="R157" i="6"/>
  <c r="O158" i="6"/>
  <c r="P158" i="6"/>
  <c r="Q158" i="6"/>
  <c r="R158" i="6"/>
  <c r="O159" i="6"/>
  <c r="P159" i="6"/>
  <c r="Q159" i="6"/>
  <c r="R159" i="6"/>
  <c r="O160" i="6"/>
  <c r="P160" i="6"/>
  <c r="Q160" i="6"/>
  <c r="R160" i="6"/>
  <c r="O161" i="6"/>
  <c r="P161" i="6"/>
  <c r="Q161" i="6"/>
  <c r="R161" i="6"/>
  <c r="O162" i="6"/>
  <c r="P162" i="6"/>
  <c r="Q162" i="6"/>
  <c r="R162" i="6"/>
  <c r="O163" i="6"/>
  <c r="P163" i="6"/>
  <c r="Q163" i="6"/>
  <c r="R163" i="6"/>
  <c r="O164" i="6"/>
  <c r="P164" i="6"/>
  <c r="Q164" i="6"/>
  <c r="R164" i="6"/>
  <c r="O165" i="6"/>
  <c r="P165" i="6"/>
  <c r="Q165" i="6"/>
  <c r="R165" i="6"/>
  <c r="O166" i="6"/>
  <c r="P166" i="6"/>
  <c r="Q166" i="6"/>
  <c r="R166" i="6"/>
  <c r="O167" i="6"/>
  <c r="P167" i="6"/>
  <c r="Q167" i="6"/>
  <c r="R167" i="6"/>
  <c r="O168" i="6"/>
  <c r="P168" i="6"/>
  <c r="Q168" i="6"/>
  <c r="R168" i="6"/>
  <c r="O169" i="6"/>
  <c r="P169" i="6"/>
  <c r="Q169" i="6"/>
  <c r="R169" i="6"/>
  <c r="O170" i="6"/>
  <c r="P170" i="6"/>
  <c r="Q170" i="6"/>
  <c r="R170" i="6"/>
  <c r="O171" i="6"/>
  <c r="P171" i="6"/>
  <c r="Q171" i="6"/>
  <c r="R171" i="6"/>
  <c r="O172" i="6"/>
  <c r="P172" i="6"/>
  <c r="Q172" i="6"/>
  <c r="R172" i="6"/>
  <c r="O173" i="6"/>
  <c r="P173" i="6"/>
  <c r="Q173" i="6"/>
  <c r="R173" i="6"/>
  <c r="O174" i="6"/>
  <c r="P174" i="6"/>
  <c r="Q174" i="6"/>
  <c r="R174" i="6"/>
  <c r="O175" i="6"/>
  <c r="P175" i="6"/>
  <c r="Q175" i="6"/>
  <c r="R175" i="6"/>
  <c r="O176" i="6"/>
  <c r="P176" i="6"/>
  <c r="Q176" i="6"/>
  <c r="R176" i="6"/>
  <c r="O177" i="6"/>
  <c r="P177" i="6"/>
  <c r="Q177" i="6"/>
  <c r="R177" i="6"/>
  <c r="O178" i="6"/>
  <c r="P178" i="6"/>
  <c r="Q178" i="6"/>
  <c r="R178" i="6"/>
  <c r="O179" i="6"/>
  <c r="P179" i="6"/>
  <c r="Q179" i="6"/>
  <c r="R179" i="6"/>
  <c r="O180" i="6"/>
  <c r="P180" i="6"/>
  <c r="Q180" i="6"/>
  <c r="R180" i="6"/>
  <c r="O44" i="6"/>
  <c r="P44" i="6"/>
  <c r="Q44" i="6"/>
  <c r="R44" i="6"/>
  <c r="O14" i="6"/>
  <c r="P14" i="6"/>
  <c r="Q14" i="6"/>
  <c r="R14" i="6"/>
  <c r="O15" i="6"/>
  <c r="P15" i="6"/>
  <c r="Q15" i="6"/>
  <c r="R15" i="6"/>
  <c r="O16" i="6"/>
  <c r="P16" i="6"/>
  <c r="Q16" i="6"/>
  <c r="R16" i="6"/>
  <c r="O17" i="6"/>
  <c r="P17" i="6"/>
  <c r="Q17" i="6"/>
  <c r="R17" i="6"/>
  <c r="O18" i="6"/>
  <c r="P18" i="6"/>
  <c r="Q18" i="6"/>
  <c r="R18" i="6"/>
  <c r="O19" i="6"/>
  <c r="P19" i="6"/>
  <c r="Q19" i="6"/>
  <c r="R19" i="6"/>
  <c r="O20" i="6"/>
  <c r="P20" i="6"/>
  <c r="Q20" i="6"/>
  <c r="R20" i="6"/>
  <c r="O21" i="6"/>
  <c r="P21" i="6"/>
  <c r="Q21" i="6"/>
  <c r="R21" i="6"/>
  <c r="O22" i="6"/>
  <c r="P22" i="6"/>
  <c r="Q22" i="6"/>
  <c r="R22" i="6"/>
  <c r="O23" i="6"/>
  <c r="P23" i="6"/>
  <c r="Q23" i="6"/>
  <c r="R23" i="6"/>
  <c r="O24" i="6"/>
  <c r="P24" i="6"/>
  <c r="Q24" i="6"/>
  <c r="R24" i="6"/>
  <c r="O25" i="6"/>
  <c r="P25" i="6"/>
  <c r="Q25" i="6"/>
  <c r="R25" i="6"/>
  <c r="O26" i="6"/>
  <c r="P26" i="6"/>
  <c r="Q26" i="6"/>
  <c r="R26" i="6"/>
  <c r="O27" i="6"/>
  <c r="P27" i="6"/>
  <c r="Q27" i="6"/>
  <c r="R27" i="6"/>
  <c r="O28" i="6"/>
  <c r="P28" i="6"/>
  <c r="Q28" i="6"/>
  <c r="R28" i="6"/>
  <c r="O29" i="6"/>
  <c r="P29" i="6"/>
  <c r="Q29" i="6"/>
  <c r="R29" i="6"/>
  <c r="O30" i="6"/>
  <c r="P30" i="6"/>
  <c r="Q30" i="6"/>
  <c r="R30" i="6"/>
  <c r="O31" i="6"/>
  <c r="P31" i="6"/>
  <c r="Q31" i="6"/>
  <c r="R31" i="6"/>
  <c r="O32" i="6"/>
  <c r="P32" i="6"/>
  <c r="Q32" i="6"/>
  <c r="R32" i="6"/>
  <c r="O33" i="6"/>
  <c r="P33" i="6"/>
  <c r="Q33" i="6"/>
  <c r="R33" i="6"/>
  <c r="O34" i="6"/>
  <c r="P34" i="6"/>
  <c r="Q34" i="6"/>
  <c r="R34" i="6"/>
  <c r="O35" i="6"/>
  <c r="P35" i="6"/>
  <c r="Q35" i="6"/>
  <c r="R35" i="6"/>
  <c r="O36" i="6"/>
  <c r="P36" i="6"/>
  <c r="Q36" i="6"/>
  <c r="R36" i="6"/>
  <c r="O37" i="6"/>
  <c r="P37" i="6"/>
  <c r="Q37" i="6"/>
  <c r="R37" i="6"/>
  <c r="O38" i="6"/>
  <c r="P38" i="6"/>
  <c r="Q38" i="6"/>
  <c r="R38" i="6"/>
  <c r="O39" i="6"/>
  <c r="P39" i="6"/>
  <c r="Q39" i="6"/>
  <c r="R39" i="6"/>
  <c r="O40" i="6"/>
  <c r="P40" i="6"/>
  <c r="Q40" i="6"/>
  <c r="R40" i="6"/>
  <c r="O41" i="6"/>
  <c r="P41" i="6"/>
  <c r="Q41" i="6"/>
  <c r="R41" i="6"/>
  <c r="O42" i="6"/>
  <c r="P42" i="6"/>
  <c r="Q42" i="6"/>
  <c r="R42" i="6"/>
  <c r="R13" i="6"/>
  <c r="Q13" i="6"/>
  <c r="P13" i="6"/>
  <c r="O13" i="6"/>
  <c r="AG86" i="13" l="1"/>
  <c r="AL90" i="13"/>
  <c r="AG87" i="13"/>
  <c r="AL86" i="13"/>
  <c r="AG88" i="13"/>
  <c r="AL89" i="13"/>
  <c r="AG90" i="13"/>
  <c r="AL85" i="13"/>
  <c r="AL88" i="13"/>
  <c r="AA40" i="13"/>
  <c r="AB40" i="13" s="1"/>
  <c r="AH66" i="7"/>
  <c r="BR11" i="5"/>
  <c r="AC66" i="7"/>
  <c r="BN11" i="5"/>
  <c r="AE66" i="7"/>
  <c r="BP11" i="5"/>
  <c r="AD66" i="7"/>
  <c r="BO11" i="5"/>
  <c r="AI66" i="7"/>
  <c r="BS11" i="5"/>
  <c r="AJ66" i="7"/>
  <c r="BT11" i="5"/>
  <c r="AC67" i="12"/>
  <c r="CP12" i="5"/>
  <c r="CR12" i="5"/>
  <c r="AE67" i="12"/>
  <c r="AJ67" i="12"/>
  <c r="CV12" i="5"/>
  <c r="AF67" i="12"/>
  <c r="CS12" i="5"/>
  <c r="CU12" i="5"/>
  <c r="AI67" i="12"/>
  <c r="AH67" i="12"/>
  <c r="CT12" i="5"/>
  <c r="CQ12" i="5"/>
  <c r="AD67" i="12"/>
  <c r="AK67" i="12"/>
  <c r="CW12" i="5"/>
  <c r="AE66" i="12"/>
  <c r="CR11" i="5"/>
  <c r="AD66" i="12"/>
  <c r="CQ11" i="5"/>
  <c r="CT11" i="5"/>
  <c r="AH66" i="12"/>
  <c r="AF74" i="12"/>
  <c r="AG70" i="12"/>
  <c r="AC66" i="12"/>
  <c r="CP11" i="5"/>
  <c r="AK74" i="12"/>
  <c r="AL70" i="12"/>
  <c r="CU11" i="5"/>
  <c r="AI66" i="12"/>
  <c r="CV11" i="5"/>
  <c r="AJ66" i="12"/>
  <c r="AA89" i="12"/>
  <c r="AA31" i="12" s="1"/>
  <c r="AA31" i="13" s="1"/>
  <c r="AA78" i="12"/>
  <c r="AA8" i="12" s="1"/>
  <c r="AA79" i="12"/>
  <c r="AA79" i="13" s="1"/>
  <c r="AB79" i="13" s="1"/>
  <c r="CO10" i="5"/>
  <c r="AA85" i="12"/>
  <c r="AA42" i="12" s="1"/>
  <c r="AA80" i="12"/>
  <c r="AA10" i="12" s="1"/>
  <c r="N3" i="5"/>
  <c r="N23" i="5" s="1"/>
  <c r="AA83" i="12"/>
  <c r="AB83" i="12" s="1"/>
  <c r="AA77" i="12"/>
  <c r="AA7" i="12" s="1"/>
  <c r="AA86" i="12"/>
  <c r="AB86" i="12" s="1"/>
  <c r="AM22" i="5" s="1"/>
  <c r="AA90" i="12"/>
  <c r="AA32" i="12" s="1"/>
  <c r="AB32" i="12" s="1"/>
  <c r="AA81" i="12"/>
  <c r="AA13" i="12" s="1"/>
  <c r="AA13" i="13" s="1"/>
  <c r="AA19" i="12"/>
  <c r="AB19" i="12" s="1"/>
  <c r="AA87" i="12"/>
  <c r="AA29" i="12" s="1"/>
  <c r="AA29" i="13" s="1"/>
  <c r="AA88" i="12"/>
  <c r="AA30" i="12" s="1"/>
  <c r="AA30" i="13" s="1"/>
  <c r="AB30" i="13" s="1"/>
  <c r="AA82" i="12"/>
  <c r="AA14" i="12" s="1"/>
  <c r="AA14" i="13" s="1"/>
  <c r="AF69" i="12"/>
  <c r="AE69" i="12"/>
  <c r="AE73" i="12" s="1"/>
  <c r="AK69" i="12"/>
  <c r="AC69" i="12"/>
  <c r="AC73" i="12" s="1"/>
  <c r="AH69" i="12"/>
  <c r="AH73" i="12" s="1"/>
  <c r="AJ69" i="12"/>
  <c r="AJ73" i="12" s="1"/>
  <c r="AI69" i="12"/>
  <c r="AI73" i="12" s="1"/>
  <c r="AD69" i="12"/>
  <c r="AD73" i="12" s="1"/>
  <c r="AA65" i="12"/>
  <c r="AB65" i="12" s="1"/>
  <c r="Z11" i="5" s="1"/>
  <c r="AB73" i="12"/>
  <c r="Y37" i="12"/>
  <c r="Z78" i="13"/>
  <c r="Y26" i="13"/>
  <c r="Y27" i="13" s="1"/>
  <c r="Z80" i="13"/>
  <c r="Y44" i="13"/>
  <c r="Y17" i="13"/>
  <c r="Y18" i="13" s="1"/>
  <c r="Y17" i="12"/>
  <c r="Y18" i="12" s="1"/>
  <c r="Y53" i="12" s="1"/>
  <c r="Y53" i="13" s="1"/>
  <c r="Y44" i="12"/>
  <c r="Y57" i="12" s="1"/>
  <c r="Y57" i="13" s="1"/>
  <c r="AK72" i="12"/>
  <c r="CW9" i="5" s="1"/>
  <c r="Z6" i="12"/>
  <c r="Z6" i="13" s="1"/>
  <c r="Z16" i="12"/>
  <c r="Z16" i="13" s="1"/>
  <c r="Z26" i="12"/>
  <c r="Z27" i="12" s="1"/>
  <c r="Z55" i="12" s="1"/>
  <c r="Z55" i="13" s="1"/>
  <c r="AI72" i="12"/>
  <c r="CU9" i="5" s="1"/>
  <c r="AE72" i="12"/>
  <c r="CR9" i="5" s="1"/>
  <c r="Y11" i="12"/>
  <c r="Y12" i="12" s="1"/>
  <c r="Y52" i="12" s="1"/>
  <c r="Y52" i="13" s="1"/>
  <c r="Y6" i="13"/>
  <c r="Y11" i="13" s="1"/>
  <c r="Y12" i="13" s="1"/>
  <c r="AC72" i="12"/>
  <c r="CP9" i="5" s="1"/>
  <c r="AH72" i="12"/>
  <c r="CT9" i="5" s="1"/>
  <c r="Z35" i="12"/>
  <c r="Z35" i="13" s="1"/>
  <c r="Z39" i="12"/>
  <c r="Z39" i="13" s="1"/>
  <c r="Z38" i="12"/>
  <c r="Z38" i="13" s="1"/>
  <c r="Y34" i="13"/>
  <c r="Y37" i="13" s="1"/>
  <c r="Z76" i="13"/>
  <c r="Z81" i="13"/>
  <c r="AD72" i="12"/>
  <c r="CQ9" i="5" s="1"/>
  <c r="Y54" i="12"/>
  <c r="Y54" i="13" s="1"/>
  <c r="Z14" i="12"/>
  <c r="Z14" i="13" s="1"/>
  <c r="Z15" i="12"/>
  <c r="Z15" i="13" s="1"/>
  <c r="Y33" i="12"/>
  <c r="Y56" i="12" s="1"/>
  <c r="Y56" i="13" s="1"/>
  <c r="AA6" i="12"/>
  <c r="AA6" i="13" s="1"/>
  <c r="AF72" i="12"/>
  <c r="CS9" i="5" s="1"/>
  <c r="Z23" i="12"/>
  <c r="Z54" i="12" s="1"/>
  <c r="Z54" i="13" s="1"/>
  <c r="Z29" i="12"/>
  <c r="Z29" i="13" s="1"/>
  <c r="Z34" i="12"/>
  <c r="Z34" i="13" s="1"/>
  <c r="Z58" i="12"/>
  <c r="Z58" i="13" s="1"/>
  <c r="Z77" i="13"/>
  <c r="AJ72" i="12"/>
  <c r="CV9" i="5" s="1"/>
  <c r="Z9" i="12"/>
  <c r="Z9" i="13" s="1"/>
  <c r="Z84" i="12"/>
  <c r="Z84" i="13" s="1"/>
  <c r="Z79" i="13"/>
  <c r="X25" i="12"/>
  <c r="X28" i="12" s="1"/>
  <c r="Z31" i="13"/>
  <c r="V28" i="13"/>
  <c r="W25" i="13"/>
  <c r="AL68" i="12"/>
  <c r="V52" i="13"/>
  <c r="W52" i="12"/>
  <c r="V60" i="12"/>
  <c r="W60" i="12" s="1"/>
  <c r="S61" i="13"/>
  <c r="T61" i="13" s="1"/>
  <c r="U61" i="13" s="1"/>
  <c r="AA76" i="13"/>
  <c r="AB76" i="13" s="1"/>
  <c r="Y33" i="13"/>
  <c r="X17" i="13"/>
  <c r="AG68" i="12"/>
  <c r="I40" i="7"/>
  <c r="I40" i="10" s="1"/>
  <c r="I41" i="7"/>
  <c r="I41" i="10" s="1"/>
  <c r="I72" i="7"/>
  <c r="AX9" i="5" s="1"/>
  <c r="J68" i="7"/>
  <c r="AK69" i="7"/>
  <c r="AK73" i="7" s="1"/>
  <c r="AJ69" i="7"/>
  <c r="AJ73" i="7" s="1"/>
  <c r="AF69" i="7"/>
  <c r="AF73" i="7" s="1"/>
  <c r="AI69" i="7"/>
  <c r="AI73" i="7" s="1"/>
  <c r="AC69" i="7"/>
  <c r="AC73" i="7" s="1"/>
  <c r="AH69" i="7"/>
  <c r="AH73" i="7" s="1"/>
  <c r="AE69" i="7"/>
  <c r="AE73" i="7" s="1"/>
  <c r="AD69" i="7"/>
  <c r="AD73" i="7" s="1"/>
  <c r="AF74" i="7"/>
  <c r="BQ11" i="5" s="1"/>
  <c r="AG70" i="7"/>
  <c r="AK74" i="7"/>
  <c r="BU11" i="5" s="1"/>
  <c r="AL70" i="7"/>
  <c r="AB76" i="12"/>
  <c r="Y22" i="5" s="1"/>
  <c r="AL71" i="12"/>
  <c r="V45" i="12"/>
  <c r="W28" i="12"/>
  <c r="AG71" i="12"/>
  <c r="X52" i="12"/>
  <c r="X52" i="13" s="1"/>
  <c r="AG86" i="10"/>
  <c r="AL85" i="10"/>
  <c r="AL88" i="10"/>
  <c r="AG88" i="10"/>
  <c r="AL86" i="10"/>
  <c r="AG89" i="10"/>
  <c r="AL90" i="10"/>
  <c r="AG90" i="10"/>
  <c r="AL87" i="10"/>
  <c r="AG85" i="10"/>
  <c r="AL89" i="10"/>
  <c r="AG87" i="10"/>
  <c r="N22" i="5"/>
  <c r="AB73" i="7"/>
  <c r="AB65" i="7"/>
  <c r="Z3" i="5" s="1"/>
  <c r="Z10" i="5" s="1"/>
  <c r="H10" i="7"/>
  <c r="H83" i="7"/>
  <c r="H30" i="7"/>
  <c r="H8" i="7"/>
  <c r="H78" i="7"/>
  <c r="N4" i="5" s="1"/>
  <c r="N24" i="5" s="1"/>
  <c r="F56" i="7"/>
  <c r="F56" i="10" s="1"/>
  <c r="H89" i="7"/>
  <c r="AL4" i="5" s="1"/>
  <c r="AL29" i="5" s="1"/>
  <c r="E27" i="7"/>
  <c r="E55" i="7" s="1"/>
  <c r="E55" i="10" s="1"/>
  <c r="H87" i="7"/>
  <c r="AL2" i="5" s="1"/>
  <c r="AL27" i="5" s="1"/>
  <c r="H19" i="7"/>
  <c r="F27" i="7"/>
  <c r="F55" i="7" s="1"/>
  <c r="F55" i="10" s="1"/>
  <c r="H90" i="7"/>
  <c r="AL5" i="5" s="1"/>
  <c r="AL30" i="5" s="1"/>
  <c r="G56" i="7"/>
  <c r="G56" i="10" s="1"/>
  <c r="H23" i="7"/>
  <c r="H31" i="7"/>
  <c r="H24" i="7"/>
  <c r="H81" i="7"/>
  <c r="H82" i="7"/>
  <c r="G27" i="7"/>
  <c r="G55" i="7" s="1"/>
  <c r="G55" i="10" s="1"/>
  <c r="H88" i="7"/>
  <c r="AL3" i="5" s="1"/>
  <c r="AL28" i="5" s="1"/>
  <c r="H32" i="7"/>
  <c r="E56" i="7"/>
  <c r="E56" i="10" s="1"/>
  <c r="D31" i="2"/>
  <c r="D29" i="2"/>
  <c r="D27" i="2"/>
  <c r="W45" i="12" l="1"/>
  <c r="W47" i="12" s="1"/>
  <c r="AB85" i="12"/>
  <c r="AM23" i="5" s="1"/>
  <c r="AE65" i="7"/>
  <c r="BP10" i="5"/>
  <c r="AF65" i="7"/>
  <c r="BQ10" i="5"/>
  <c r="AJ65" i="7"/>
  <c r="BT10" i="5"/>
  <c r="AK65" i="7"/>
  <c r="BU10" i="5"/>
  <c r="AD65" i="7"/>
  <c r="BO10" i="5"/>
  <c r="AH65" i="7"/>
  <c r="BR10" i="5"/>
  <c r="AC65" i="7"/>
  <c r="BN10" i="5"/>
  <c r="AI65" i="7"/>
  <c r="BS10" i="5"/>
  <c r="AB88" i="12"/>
  <c r="AU28" i="5" s="1"/>
  <c r="AB31" i="12"/>
  <c r="AB89" i="12"/>
  <c r="AU29" i="5" s="1"/>
  <c r="AB31" i="13"/>
  <c r="AB80" i="12"/>
  <c r="AE41" i="12"/>
  <c r="AE41" i="13" s="1"/>
  <c r="AI41" i="12"/>
  <c r="AI41" i="13" s="1"/>
  <c r="CS11" i="5"/>
  <c r="AF66" i="12"/>
  <c r="AG66" i="12" s="1"/>
  <c r="AA13" i="5" s="1"/>
  <c r="AG74" i="12"/>
  <c r="AK66" i="12"/>
  <c r="AL66" i="12" s="1"/>
  <c r="AB13" i="5" s="1"/>
  <c r="CW11" i="5"/>
  <c r="AL74" i="12"/>
  <c r="AA9" i="12"/>
  <c r="AA9" i="13" s="1"/>
  <c r="AB9" i="13" s="1"/>
  <c r="AJ65" i="12"/>
  <c r="CV10" i="5"/>
  <c r="AB78" i="12"/>
  <c r="Y24" i="5" s="1"/>
  <c r="AD41" i="12"/>
  <c r="AD41" i="13" s="1"/>
  <c r="AD40" i="12"/>
  <c r="AD40" i="13" s="1"/>
  <c r="AC40" i="12"/>
  <c r="AC40" i="13" s="1"/>
  <c r="AB87" i="12"/>
  <c r="AU27" i="5" s="1"/>
  <c r="AE65" i="12"/>
  <c r="CR10" i="5"/>
  <c r="AI40" i="12"/>
  <c r="AI40" i="13" s="1"/>
  <c r="AC65" i="12"/>
  <c r="CP10" i="5"/>
  <c r="AA80" i="13"/>
  <c r="AB80" i="13" s="1"/>
  <c r="AJ41" i="12"/>
  <c r="AJ41" i="13" s="1"/>
  <c r="AF41" i="12"/>
  <c r="AF41" i="13" s="1"/>
  <c r="AD65" i="12"/>
  <c r="CQ10" i="5"/>
  <c r="AB79" i="12"/>
  <c r="AA39" i="12"/>
  <c r="AA39" i="13" s="1"/>
  <c r="AB39" i="13" s="1"/>
  <c r="AI65" i="12"/>
  <c r="CU10" i="5"/>
  <c r="AA84" i="12"/>
  <c r="AA84" i="13" s="1"/>
  <c r="AB84" i="13" s="1"/>
  <c r="AA78" i="13"/>
  <c r="AB78" i="13" s="1"/>
  <c r="AC41" i="12"/>
  <c r="AH65" i="12"/>
  <c r="CT10" i="5"/>
  <c r="AA26" i="12"/>
  <c r="AA27" i="12" s="1"/>
  <c r="AA55" i="12" s="1"/>
  <c r="AA16" i="12"/>
  <c r="AA16" i="13" s="1"/>
  <c r="AB16" i="13" s="1"/>
  <c r="AB81" i="12"/>
  <c r="AA32" i="13"/>
  <c r="AB32" i="13" s="1"/>
  <c r="AB77" i="12"/>
  <c r="Y23" i="5" s="1"/>
  <c r="AB30" i="12"/>
  <c r="AA83" i="13"/>
  <c r="AB83" i="13" s="1"/>
  <c r="AA82" i="13"/>
  <c r="AB82" i="13" s="1"/>
  <c r="AA58" i="12"/>
  <c r="AB58" i="12" s="1"/>
  <c r="AA34" i="12"/>
  <c r="AA34" i="13" s="1"/>
  <c r="AB34" i="13" s="1"/>
  <c r="AA19" i="13"/>
  <c r="AA23" i="13" s="1"/>
  <c r="AB90" i="12"/>
  <c r="AU30" i="5" s="1"/>
  <c r="AA77" i="13"/>
  <c r="AB77" i="13" s="1"/>
  <c r="AA81" i="13"/>
  <c r="AB81" i="13" s="1"/>
  <c r="AA23" i="12"/>
  <c r="AA54" i="12" s="1"/>
  <c r="AA54" i="13" s="1"/>
  <c r="AB54" i="13" s="1"/>
  <c r="Z44" i="13"/>
  <c r="AA38" i="12"/>
  <c r="AB38" i="12" s="1"/>
  <c r="AF40" i="12"/>
  <c r="AF40" i="13" s="1"/>
  <c r="AJ40" i="12"/>
  <c r="AJ40" i="13" s="1"/>
  <c r="AA35" i="12"/>
  <c r="AB35" i="12" s="1"/>
  <c r="AK40" i="12"/>
  <c r="AK40" i="13" s="1"/>
  <c r="AB82" i="12"/>
  <c r="AA15" i="12"/>
  <c r="AA15" i="13" s="1"/>
  <c r="AB15" i="13" s="1"/>
  <c r="AK41" i="12"/>
  <c r="AK41" i="13" s="1"/>
  <c r="AF73" i="12"/>
  <c r="AF89" i="12" s="1"/>
  <c r="AF31" i="12" s="1"/>
  <c r="AF31" i="13" s="1"/>
  <c r="AG69" i="12"/>
  <c r="AH40" i="12" s="1"/>
  <c r="AE40" i="12"/>
  <c r="AE40" i="13" s="1"/>
  <c r="AK73" i="12"/>
  <c r="CW10" i="5" s="1"/>
  <c r="AL69" i="12"/>
  <c r="Z11" i="13"/>
  <c r="Z12" i="13" s="1"/>
  <c r="Z11" i="12"/>
  <c r="Z12" i="12" s="1"/>
  <c r="AB6" i="12"/>
  <c r="Y25" i="13"/>
  <c r="Y28" i="13" s="1"/>
  <c r="Y45" i="13" s="1"/>
  <c r="Z37" i="13"/>
  <c r="AB14" i="13"/>
  <c r="Z33" i="12"/>
  <c r="Z56" i="12" s="1"/>
  <c r="Z56" i="13" s="1"/>
  <c r="Z17" i="13"/>
  <c r="Z18" i="13" s="1"/>
  <c r="Y60" i="13"/>
  <c r="Z26" i="13"/>
  <c r="Z27" i="13" s="1"/>
  <c r="Y60" i="12"/>
  <c r="Z24" i="12"/>
  <c r="AD81" i="12"/>
  <c r="AD13" i="12" s="1"/>
  <c r="AD87" i="12"/>
  <c r="AD88" i="12"/>
  <c r="AD30" i="12" s="1"/>
  <c r="AD30" i="13" s="1"/>
  <c r="AD64" i="12"/>
  <c r="AD80" i="12"/>
  <c r="AD10" i="12" s="1"/>
  <c r="AD85" i="12"/>
  <c r="AD42" i="12" s="1"/>
  <c r="AD42" i="13" s="1"/>
  <c r="AD77" i="12"/>
  <c r="AD7" i="12" s="1"/>
  <c r="AD76" i="12"/>
  <c r="AD79" i="12"/>
  <c r="AD79" i="13" s="1"/>
  <c r="AD82" i="12"/>
  <c r="AD90" i="12"/>
  <c r="AD32" i="12" s="1"/>
  <c r="AD32" i="13" s="1"/>
  <c r="AD83" i="12"/>
  <c r="AD83" i="13" s="1"/>
  <c r="AD78" i="12"/>
  <c r="AD8" i="12" s="1"/>
  <c r="AD86" i="12"/>
  <c r="AD89" i="12"/>
  <c r="AD31" i="12" s="1"/>
  <c r="AD31" i="13" s="1"/>
  <c r="AD19" i="12"/>
  <c r="AI82" i="12"/>
  <c r="AI78" i="12"/>
  <c r="AI8" i="12" s="1"/>
  <c r="AI83" i="12"/>
  <c r="AI83" i="13" s="1"/>
  <c r="AI85" i="12"/>
  <c r="AI42" i="12" s="1"/>
  <c r="AI42" i="13" s="1"/>
  <c r="AI81" i="12"/>
  <c r="AI13" i="12" s="1"/>
  <c r="AI79" i="12"/>
  <c r="AI90" i="12"/>
  <c r="AI32" i="12" s="1"/>
  <c r="AI32" i="13" s="1"/>
  <c r="AI77" i="12"/>
  <c r="AI7" i="12" s="1"/>
  <c r="AI86" i="12"/>
  <c r="AI88" i="12"/>
  <c r="AI30" i="12" s="1"/>
  <c r="AI30" i="13" s="1"/>
  <c r="AI64" i="12"/>
  <c r="AI76" i="12"/>
  <c r="AI19" i="12"/>
  <c r="AI89" i="12"/>
  <c r="AI31" i="12" s="1"/>
  <c r="AI31" i="13" s="1"/>
  <c r="AI87" i="12"/>
  <c r="AI80" i="12"/>
  <c r="AI10" i="12" s="1"/>
  <c r="AF64" i="12"/>
  <c r="AG64" i="12" s="1"/>
  <c r="AA9" i="5" s="1"/>
  <c r="Z44" i="12"/>
  <c r="Z57" i="12" s="1"/>
  <c r="Z17" i="12"/>
  <c r="Z18" i="12" s="1"/>
  <c r="Z53" i="12" s="1"/>
  <c r="Z53" i="13" s="1"/>
  <c r="Z37" i="12"/>
  <c r="AC64" i="12"/>
  <c r="AC88" i="12"/>
  <c r="AC87" i="12"/>
  <c r="AC81" i="12"/>
  <c r="AC13" i="12" s="1"/>
  <c r="AC86" i="12"/>
  <c r="AC77" i="12"/>
  <c r="AC7" i="12" s="1"/>
  <c r="AC89" i="12"/>
  <c r="AC31" i="12" s="1"/>
  <c r="AC82" i="12"/>
  <c r="AC79" i="12"/>
  <c r="AC79" i="13" s="1"/>
  <c r="AC76" i="12"/>
  <c r="AC80" i="12"/>
  <c r="AC10" i="12" s="1"/>
  <c r="AC78" i="12"/>
  <c r="AC8" i="12" s="1"/>
  <c r="AC85" i="12"/>
  <c r="AC42" i="12" s="1"/>
  <c r="AC90" i="12"/>
  <c r="AC32" i="12" s="1"/>
  <c r="AC83" i="12"/>
  <c r="AC83" i="13" s="1"/>
  <c r="AC19" i="12"/>
  <c r="AC19" i="13" s="1"/>
  <c r="Y25" i="12"/>
  <c r="Y28" i="12" s="1"/>
  <c r="Y45" i="12" s="1"/>
  <c r="AJ79" i="12"/>
  <c r="AJ64" i="12"/>
  <c r="AJ19" i="12"/>
  <c r="AJ87" i="12"/>
  <c r="AJ78" i="12"/>
  <c r="AJ8" i="12" s="1"/>
  <c r="AJ86" i="12"/>
  <c r="AJ80" i="12"/>
  <c r="AJ10" i="12" s="1"/>
  <c r="AJ81" i="12"/>
  <c r="AJ13" i="12" s="1"/>
  <c r="AJ85" i="12"/>
  <c r="AJ42" i="12" s="1"/>
  <c r="AJ42" i="13" s="1"/>
  <c r="AJ77" i="12"/>
  <c r="AJ7" i="12" s="1"/>
  <c r="AJ88" i="12"/>
  <c r="AJ30" i="12" s="1"/>
  <c r="AJ30" i="13" s="1"/>
  <c r="AJ76" i="12"/>
  <c r="AJ82" i="12"/>
  <c r="AJ89" i="12"/>
  <c r="AJ31" i="12" s="1"/>
  <c r="AJ31" i="13" s="1"/>
  <c r="AJ83" i="12"/>
  <c r="AJ83" i="13" s="1"/>
  <c r="AJ90" i="12"/>
  <c r="AJ32" i="12" s="1"/>
  <c r="AJ32" i="13" s="1"/>
  <c r="AH76" i="12"/>
  <c r="AH78" i="12"/>
  <c r="AH8" i="12" s="1"/>
  <c r="AH81" i="12"/>
  <c r="AH13" i="12" s="1"/>
  <c r="AH85" i="12"/>
  <c r="AH42" i="12" s="1"/>
  <c r="AH86" i="12"/>
  <c r="AH89" i="12"/>
  <c r="AH31" i="12" s="1"/>
  <c r="AH82" i="12"/>
  <c r="AH64" i="12"/>
  <c r="AH87" i="12"/>
  <c r="AH83" i="12"/>
  <c r="AH90" i="12"/>
  <c r="AH32" i="12" s="1"/>
  <c r="AH79" i="12"/>
  <c r="AH79" i="13" s="1"/>
  <c r="AH77" i="12"/>
  <c r="AH7" i="12" s="1"/>
  <c r="AH88" i="12"/>
  <c r="AH19" i="12"/>
  <c r="AH19" i="13" s="1"/>
  <c r="AH80" i="12"/>
  <c r="AH10" i="12" s="1"/>
  <c r="AE79" i="12"/>
  <c r="AE79" i="13" s="1"/>
  <c r="AE90" i="12"/>
  <c r="AE32" i="12" s="1"/>
  <c r="AE32" i="13" s="1"/>
  <c r="AE19" i="12"/>
  <c r="AE80" i="12"/>
  <c r="AE10" i="12" s="1"/>
  <c r="AE83" i="12"/>
  <c r="AE83" i="13" s="1"/>
  <c r="AE86" i="12"/>
  <c r="AE87" i="12"/>
  <c r="AE85" i="12"/>
  <c r="AE42" i="12" s="1"/>
  <c r="AE42" i="13" s="1"/>
  <c r="AE81" i="12"/>
  <c r="AE13" i="12" s="1"/>
  <c r="AE76" i="12"/>
  <c r="AE89" i="12"/>
  <c r="AE31" i="12" s="1"/>
  <c r="AE31" i="13" s="1"/>
  <c r="AE64" i="12"/>
  <c r="AE82" i="12"/>
  <c r="AE88" i="12"/>
  <c r="AE30" i="12" s="1"/>
  <c r="AE30" i="13" s="1"/>
  <c r="AE78" i="12"/>
  <c r="AE8" i="12" s="1"/>
  <c r="AE77" i="12"/>
  <c r="AE7" i="12" s="1"/>
  <c r="AK64" i="12"/>
  <c r="AL64" i="12" s="1"/>
  <c r="AB9" i="5" s="1"/>
  <c r="Z33" i="13"/>
  <c r="V61" i="12"/>
  <c r="W61" i="12" s="1"/>
  <c r="AB8" i="12"/>
  <c r="AA8" i="13"/>
  <c r="AB8" i="13" s="1"/>
  <c r="AB29" i="13"/>
  <c r="V60" i="13"/>
  <c r="W60" i="13" s="1"/>
  <c r="W52" i="13"/>
  <c r="V45" i="13"/>
  <c r="W45" i="13" s="1"/>
  <c r="W28" i="13"/>
  <c r="AB14" i="12"/>
  <c r="AB6" i="13"/>
  <c r="AB10" i="12"/>
  <c r="AA10" i="13"/>
  <c r="AB10" i="13" s="1"/>
  <c r="AB42" i="12"/>
  <c r="AA42" i="13"/>
  <c r="AB42" i="13" s="1"/>
  <c r="X18" i="13"/>
  <c r="AL72" i="12"/>
  <c r="AB7" i="12"/>
  <c r="AA7" i="13"/>
  <c r="AB7" i="13" s="1"/>
  <c r="AG72" i="12"/>
  <c r="AB13" i="13"/>
  <c r="AK66" i="7"/>
  <c r="AL66" i="7" s="1"/>
  <c r="AB4" i="5" s="1"/>
  <c r="AB12" i="5" s="1"/>
  <c r="AL74" i="7"/>
  <c r="J41" i="7"/>
  <c r="J41" i="10" s="1"/>
  <c r="J40" i="7"/>
  <c r="J40" i="10" s="1"/>
  <c r="J72" i="7"/>
  <c r="AY9" i="5" s="1"/>
  <c r="K68" i="7"/>
  <c r="AF66" i="7"/>
  <c r="AG66" i="7" s="1"/>
  <c r="AA4" i="5" s="1"/>
  <c r="AA12" i="5" s="1"/>
  <c r="AG74" i="7"/>
  <c r="I87" i="7"/>
  <c r="I76" i="7"/>
  <c r="I76" i="10" s="1"/>
  <c r="I77" i="7"/>
  <c r="I7" i="7" s="1"/>
  <c r="I7" i="10" s="1"/>
  <c r="I86" i="7"/>
  <c r="I39" i="7" s="1"/>
  <c r="I85" i="7"/>
  <c r="I42" i="7" s="1"/>
  <c r="I42" i="10" s="1"/>
  <c r="I82" i="7"/>
  <c r="I80" i="7"/>
  <c r="I10" i="7" s="1"/>
  <c r="I10" i="10" s="1"/>
  <c r="I78" i="7"/>
  <c r="I8" i="7" s="1"/>
  <c r="I8" i="10" s="1"/>
  <c r="I90" i="7"/>
  <c r="I32" i="7" s="1"/>
  <c r="I32" i="10" s="1"/>
  <c r="I89" i="7"/>
  <c r="I31" i="7" s="1"/>
  <c r="I31" i="10" s="1"/>
  <c r="I79" i="7"/>
  <c r="I81" i="7"/>
  <c r="I13" i="7" s="1"/>
  <c r="I13" i="10" s="1"/>
  <c r="I88" i="7"/>
  <c r="I30" i="7" s="1"/>
  <c r="I30" i="10" s="1"/>
  <c r="I64" i="7"/>
  <c r="I83" i="7"/>
  <c r="I83" i="10" s="1"/>
  <c r="I19" i="7"/>
  <c r="I23" i="7" s="1"/>
  <c r="I54" i="7" s="1"/>
  <c r="I54" i="10" s="1"/>
  <c r="AB13" i="12"/>
  <c r="AA33" i="12"/>
  <c r="AB29" i="12"/>
  <c r="AL75" i="12"/>
  <c r="AL67" i="12"/>
  <c r="AB15" i="5" s="1"/>
  <c r="X45" i="12"/>
  <c r="X59" i="12"/>
  <c r="AB59" i="12" s="1"/>
  <c r="AG75" i="12"/>
  <c r="AG67" i="12"/>
  <c r="AA15" i="5" s="1"/>
  <c r="D14" i="10"/>
  <c r="E14" i="10"/>
  <c r="F14" i="10"/>
  <c r="G14" i="10"/>
  <c r="D15" i="10"/>
  <c r="E15" i="10"/>
  <c r="F15" i="10"/>
  <c r="G15" i="10"/>
  <c r="F52" i="7"/>
  <c r="F52" i="10" s="1"/>
  <c r="AG69" i="7"/>
  <c r="AL69" i="7"/>
  <c r="H16" i="7"/>
  <c r="E52" i="7"/>
  <c r="E52" i="10" s="1"/>
  <c r="H7" i="7"/>
  <c r="D33" i="7"/>
  <c r="D56" i="7" s="1"/>
  <c r="D56" i="10" s="1"/>
  <c r="H56" i="10" s="1"/>
  <c r="H29" i="7"/>
  <c r="H9" i="7"/>
  <c r="H6" i="7"/>
  <c r="H26" i="7"/>
  <c r="D27" i="7"/>
  <c r="D55" i="7" s="1"/>
  <c r="D55" i="10" s="1"/>
  <c r="H55" i="10" s="1"/>
  <c r="AK83" i="12" l="1"/>
  <c r="AK83" i="13" s="1"/>
  <c r="AK88" i="12"/>
  <c r="AK30" i="12" s="1"/>
  <c r="AK30" i="13" s="1"/>
  <c r="AB9" i="12"/>
  <c r="AA11" i="12"/>
  <c r="AA12" i="12" s="1"/>
  <c r="AA52" i="12" s="1"/>
  <c r="AA52" i="13" s="1"/>
  <c r="AF78" i="12"/>
  <c r="AF8" i="12" s="1"/>
  <c r="AB39" i="12"/>
  <c r="AB84" i="12"/>
  <c r="AG41" i="12"/>
  <c r="AK19" i="12"/>
  <c r="AK19" i="13" s="1"/>
  <c r="AK23" i="13" s="1"/>
  <c r="AK24" i="13" s="1"/>
  <c r="AC41" i="13"/>
  <c r="AG41" i="13" s="1"/>
  <c r="AK86" i="12"/>
  <c r="AK39" i="12" s="1"/>
  <c r="AK39" i="13" s="1"/>
  <c r="AK82" i="12"/>
  <c r="AK15" i="12" s="1"/>
  <c r="AK15" i="13" s="1"/>
  <c r="AK87" i="12"/>
  <c r="AL87" i="12" s="1"/>
  <c r="AY27" i="5" s="1"/>
  <c r="AK89" i="12"/>
  <c r="AK31" i="12" s="1"/>
  <c r="AK31" i="13" s="1"/>
  <c r="AK85" i="12"/>
  <c r="AK42" i="12" s="1"/>
  <c r="AK42" i="13" s="1"/>
  <c r="AK76" i="12"/>
  <c r="AK6" i="12" s="1"/>
  <c r="AK6" i="13" s="1"/>
  <c r="AK81" i="12"/>
  <c r="AK13" i="12" s="1"/>
  <c r="AK13" i="13" s="1"/>
  <c r="AK77" i="12"/>
  <c r="AK7" i="12" s="1"/>
  <c r="AK80" i="12"/>
  <c r="AK10" i="12" s="1"/>
  <c r="AK10" i="13" s="1"/>
  <c r="AK79" i="12"/>
  <c r="AK79" i="13" s="1"/>
  <c r="AL79" i="13" s="1"/>
  <c r="AK78" i="12"/>
  <c r="AK8" i="12" s="1"/>
  <c r="AK90" i="12"/>
  <c r="AK32" i="12" s="1"/>
  <c r="AK32" i="13" s="1"/>
  <c r="AF86" i="12"/>
  <c r="AF38" i="12" s="1"/>
  <c r="AF38" i="13" s="1"/>
  <c r="CS10" i="5"/>
  <c r="AB26" i="12"/>
  <c r="AA26" i="13"/>
  <c r="AA27" i="13" s="1"/>
  <c r="AB27" i="13" s="1"/>
  <c r="AB16" i="12"/>
  <c r="AA24" i="12"/>
  <c r="AB24" i="12" s="1"/>
  <c r="AB19" i="13"/>
  <c r="AA33" i="13"/>
  <c r="AB33" i="13" s="1"/>
  <c r="AA17" i="12"/>
  <c r="AA18" i="12" s="1"/>
  <c r="AB34" i="12"/>
  <c r="AA58" i="13"/>
  <c r="AB58" i="13" s="1"/>
  <c r="AA38" i="13"/>
  <c r="AA44" i="13" s="1"/>
  <c r="AB44" i="13" s="1"/>
  <c r="AG40" i="12"/>
  <c r="AB15" i="12"/>
  <c r="AG40" i="13"/>
  <c r="AA17" i="13"/>
  <c r="AA18" i="13" s="1"/>
  <c r="AB18" i="13" s="1"/>
  <c r="AA44" i="12"/>
  <c r="AA57" i="12" s="1"/>
  <c r="AA57" i="13" s="1"/>
  <c r="AB23" i="12"/>
  <c r="AA35" i="13"/>
  <c r="AB35" i="13" s="1"/>
  <c r="AA37" i="12"/>
  <c r="AB37" i="12" s="1"/>
  <c r="AL40" i="12"/>
  <c r="AH40" i="13"/>
  <c r="AL40" i="13" s="1"/>
  <c r="AF65" i="12"/>
  <c r="AG65" i="12" s="1"/>
  <c r="AA11" i="5" s="1"/>
  <c r="AG73" i="12"/>
  <c r="AF88" i="12"/>
  <c r="AF30" i="12" s="1"/>
  <c r="AF30" i="13" s="1"/>
  <c r="AF82" i="12"/>
  <c r="AF14" i="12" s="1"/>
  <c r="AF14" i="13" s="1"/>
  <c r="AF90" i="12"/>
  <c r="AF32" i="12" s="1"/>
  <c r="AF32" i="13" s="1"/>
  <c r="AF81" i="12"/>
  <c r="AF13" i="12" s="1"/>
  <c r="AF13" i="13" s="1"/>
  <c r="AF19" i="12"/>
  <c r="AF23" i="12" s="1"/>
  <c r="AF54" i="12" s="1"/>
  <c r="AF54" i="13" s="1"/>
  <c r="AF85" i="12"/>
  <c r="AF42" i="12" s="1"/>
  <c r="AF42" i="13" s="1"/>
  <c r="AF79" i="12"/>
  <c r="AF79" i="13" s="1"/>
  <c r="AG79" i="13" s="1"/>
  <c r="AF87" i="12"/>
  <c r="AF29" i="12" s="1"/>
  <c r="AF76" i="12"/>
  <c r="AH41" i="12"/>
  <c r="AL41" i="12" s="1"/>
  <c r="AF80" i="12"/>
  <c r="AF10" i="12" s="1"/>
  <c r="AF83" i="12"/>
  <c r="AF83" i="13" s="1"/>
  <c r="AG83" i="13" s="1"/>
  <c r="AK65" i="12"/>
  <c r="AL65" i="12" s="1"/>
  <c r="AB11" i="5" s="1"/>
  <c r="AL73" i="12"/>
  <c r="AF77" i="12"/>
  <c r="AF7" i="12" s="1"/>
  <c r="AF7" i="13" s="1"/>
  <c r="AB54" i="12"/>
  <c r="AC6" i="12"/>
  <c r="AC6" i="13" s="1"/>
  <c r="AC26" i="12"/>
  <c r="AC26" i="13" s="1"/>
  <c r="AI9" i="12"/>
  <c r="AI9" i="13" s="1"/>
  <c r="AI84" i="12"/>
  <c r="AI84" i="13" s="1"/>
  <c r="AD29" i="12"/>
  <c r="AD34" i="12"/>
  <c r="AD34" i="13" s="1"/>
  <c r="AD58" i="12"/>
  <c r="AD58" i="13" s="1"/>
  <c r="AI15" i="12"/>
  <c r="AI15" i="13" s="1"/>
  <c r="AI14" i="12"/>
  <c r="AI14" i="13" s="1"/>
  <c r="AE15" i="12"/>
  <c r="AE15" i="13" s="1"/>
  <c r="AE14" i="12"/>
  <c r="AE14" i="13" s="1"/>
  <c r="AH34" i="12"/>
  <c r="AH34" i="13" s="1"/>
  <c r="AH29" i="12"/>
  <c r="AH29" i="13" s="1"/>
  <c r="AJ38" i="12"/>
  <c r="AJ39" i="12"/>
  <c r="AJ39" i="13" s="1"/>
  <c r="AJ35" i="12"/>
  <c r="AJ35" i="13" s="1"/>
  <c r="AC29" i="12"/>
  <c r="AC29" i="13" s="1"/>
  <c r="AC34" i="12"/>
  <c r="AC34" i="13" s="1"/>
  <c r="AC58" i="12"/>
  <c r="AC58" i="13" s="1"/>
  <c r="AI38" i="12"/>
  <c r="AI38" i="13" s="1"/>
  <c r="AI35" i="12"/>
  <c r="AI35" i="13" s="1"/>
  <c r="AI39" i="12"/>
  <c r="AI39" i="13" s="1"/>
  <c r="AH39" i="12"/>
  <c r="AH38" i="12"/>
  <c r="AH38" i="13" s="1"/>
  <c r="AH35" i="12"/>
  <c r="AH35" i="13" s="1"/>
  <c r="AI79" i="13"/>
  <c r="AE84" i="12"/>
  <c r="AE84" i="13" s="1"/>
  <c r="AE9" i="12"/>
  <c r="AE9" i="13" s="1"/>
  <c r="AH15" i="12"/>
  <c r="AH15" i="13" s="1"/>
  <c r="AH14" i="12"/>
  <c r="AH14" i="13" s="1"/>
  <c r="AJ58" i="12"/>
  <c r="AJ58" i="13" s="1"/>
  <c r="AJ29" i="12"/>
  <c r="AJ34" i="12"/>
  <c r="AJ34" i="13" s="1"/>
  <c r="AD35" i="12"/>
  <c r="AD35" i="13" s="1"/>
  <c r="AD39" i="12"/>
  <c r="AD39" i="13" s="1"/>
  <c r="AD38" i="12"/>
  <c r="AE16" i="12"/>
  <c r="AE26" i="12"/>
  <c r="AE6" i="12"/>
  <c r="AE6" i="13" s="1"/>
  <c r="AJ6" i="12"/>
  <c r="AJ6" i="13" s="1"/>
  <c r="AJ26" i="12"/>
  <c r="AJ16" i="12"/>
  <c r="AJ16" i="13" s="1"/>
  <c r="AC9" i="12"/>
  <c r="AC9" i="13" s="1"/>
  <c r="AC84" i="12"/>
  <c r="AC84" i="13" s="1"/>
  <c r="AC16" i="12"/>
  <c r="AC16" i="13" s="1"/>
  <c r="AJ9" i="12"/>
  <c r="AJ9" i="13" s="1"/>
  <c r="AJ84" i="12"/>
  <c r="AJ84" i="13" s="1"/>
  <c r="AC15" i="12"/>
  <c r="AC15" i="13" s="1"/>
  <c r="AC14" i="12"/>
  <c r="AC14" i="13" s="1"/>
  <c r="AI58" i="12"/>
  <c r="AI58" i="13" s="1"/>
  <c r="AI29" i="12"/>
  <c r="AI34" i="12"/>
  <c r="AI34" i="13" s="1"/>
  <c r="AD14" i="12"/>
  <c r="AD14" i="13" s="1"/>
  <c r="AD15" i="12"/>
  <c r="AD15" i="13" s="1"/>
  <c r="AJ79" i="13"/>
  <c r="AE35" i="12"/>
  <c r="AE35" i="13" s="1"/>
  <c r="AE38" i="12"/>
  <c r="AE38" i="13" s="1"/>
  <c r="AE39" i="12"/>
  <c r="AE39" i="13" s="1"/>
  <c r="AH9" i="12"/>
  <c r="AH9" i="13" s="1"/>
  <c r="AH84" i="12"/>
  <c r="AH84" i="13" s="1"/>
  <c r="AD9" i="12"/>
  <c r="AD9" i="13" s="1"/>
  <c r="AD84" i="12"/>
  <c r="AD84" i="13" s="1"/>
  <c r="AJ14" i="12"/>
  <c r="AJ14" i="13" s="1"/>
  <c r="AJ15" i="12"/>
  <c r="AJ15" i="13" s="1"/>
  <c r="AE34" i="12"/>
  <c r="AE58" i="12"/>
  <c r="AE58" i="13" s="1"/>
  <c r="AE29" i="12"/>
  <c r="AH6" i="12"/>
  <c r="AH6" i="13" s="1"/>
  <c r="AH26" i="12"/>
  <c r="AH26" i="13" s="1"/>
  <c r="AC35" i="12"/>
  <c r="AC35" i="13" s="1"/>
  <c r="AC39" i="12"/>
  <c r="AC39" i="13" s="1"/>
  <c r="AC38" i="12"/>
  <c r="AC38" i="13" s="1"/>
  <c r="AI26" i="12"/>
  <c r="AI16" i="12"/>
  <c r="AI16" i="13" s="1"/>
  <c r="AI6" i="12"/>
  <c r="AI6" i="13" s="1"/>
  <c r="AD6" i="12"/>
  <c r="AD6" i="13" s="1"/>
  <c r="AD26" i="12"/>
  <c r="AD16" i="12"/>
  <c r="AD16" i="13" s="1"/>
  <c r="V61" i="13"/>
  <c r="W61" i="13" s="1"/>
  <c r="AD82" i="13"/>
  <c r="AJ7" i="13"/>
  <c r="AJ77" i="13"/>
  <c r="AI82" i="13"/>
  <c r="AH23" i="13"/>
  <c r="AC7" i="13"/>
  <c r="AC77" i="13"/>
  <c r="AI76" i="13"/>
  <c r="AJ81" i="13"/>
  <c r="AJ13" i="13"/>
  <c r="AA55" i="13"/>
  <c r="AB55" i="13" s="1"/>
  <c r="AB55" i="12"/>
  <c r="AB27" i="12"/>
  <c r="AD13" i="13"/>
  <c r="AD81" i="13"/>
  <c r="W48" i="12"/>
  <c r="AE23" i="12"/>
  <c r="AE54" i="12" s="1"/>
  <c r="AE54" i="13" s="1"/>
  <c r="AE19" i="13"/>
  <c r="AE23" i="13" s="1"/>
  <c r="AE24" i="13" s="1"/>
  <c r="AH76" i="13"/>
  <c r="AC82" i="13"/>
  <c r="AI8" i="13"/>
  <c r="AI78" i="13"/>
  <c r="AJ76" i="13"/>
  <c r="AE82" i="13"/>
  <c r="AC23" i="13"/>
  <c r="AI23" i="12"/>
  <c r="AI54" i="12" s="1"/>
  <c r="AI54" i="13" s="1"/>
  <c r="AI19" i="13"/>
  <c r="AI23" i="13" s="1"/>
  <c r="AI24" i="13" s="1"/>
  <c r="AJ23" i="12"/>
  <c r="AJ54" i="12" s="1"/>
  <c r="AJ54" i="13" s="1"/>
  <c r="AJ19" i="13"/>
  <c r="AJ23" i="13" s="1"/>
  <c r="AJ24" i="13" s="1"/>
  <c r="W47" i="13"/>
  <c r="X59" i="13" s="1"/>
  <c r="AH82" i="13"/>
  <c r="Z57" i="13"/>
  <c r="AC8" i="13"/>
  <c r="AC78" i="13"/>
  <c r="AI81" i="13"/>
  <c r="AI13" i="13"/>
  <c r="AJ82" i="13"/>
  <c r="AA24" i="13"/>
  <c r="AB23" i="13"/>
  <c r="AL83" i="12"/>
  <c r="AH83" i="13"/>
  <c r="AD76" i="13"/>
  <c r="AH81" i="13"/>
  <c r="AH13" i="13"/>
  <c r="X60" i="12"/>
  <c r="X61" i="12" s="1"/>
  <c r="Y61" i="12" s="1"/>
  <c r="AE13" i="13"/>
  <c r="AE81" i="13"/>
  <c r="AE8" i="13"/>
  <c r="AE78" i="13"/>
  <c r="AC10" i="13"/>
  <c r="AC80" i="13"/>
  <c r="X25" i="13"/>
  <c r="AD7" i="13"/>
  <c r="AD77" i="13"/>
  <c r="AD10" i="13"/>
  <c r="AD80" i="13"/>
  <c r="AC81" i="13"/>
  <c r="AC13" i="13"/>
  <c r="AD8" i="13"/>
  <c r="AD78" i="13"/>
  <c r="AD23" i="12"/>
  <c r="AD54" i="12" s="1"/>
  <c r="AD54" i="13" s="1"/>
  <c r="AD19" i="13"/>
  <c r="AD23" i="13" s="1"/>
  <c r="AD24" i="13" s="1"/>
  <c r="AE10" i="13"/>
  <c r="AE80" i="13"/>
  <c r="AE76" i="13"/>
  <c r="AH7" i="13"/>
  <c r="AH77" i="13"/>
  <c r="AJ10" i="13"/>
  <c r="AJ80" i="13"/>
  <c r="AA11" i="13"/>
  <c r="AI10" i="13"/>
  <c r="AI80" i="13"/>
  <c r="AH10" i="13"/>
  <c r="AH80" i="13"/>
  <c r="AJ8" i="13"/>
  <c r="AJ78" i="13"/>
  <c r="AE7" i="13"/>
  <c r="AE77" i="13"/>
  <c r="AH8" i="13"/>
  <c r="AH78" i="13"/>
  <c r="AC76" i="13"/>
  <c r="AI7" i="13"/>
  <c r="AI77" i="13"/>
  <c r="Z25" i="13"/>
  <c r="Z28" i="13" s="1"/>
  <c r="Z45" i="13" s="1"/>
  <c r="J87" i="7"/>
  <c r="J76" i="7"/>
  <c r="J77" i="7"/>
  <c r="J7" i="7" s="1"/>
  <c r="J7" i="10" s="1"/>
  <c r="J80" i="7"/>
  <c r="J10" i="7" s="1"/>
  <c r="J10" i="10" s="1"/>
  <c r="J64" i="7"/>
  <c r="J88" i="7"/>
  <c r="J30" i="7" s="1"/>
  <c r="J30" i="10" s="1"/>
  <c r="J79" i="7"/>
  <c r="J79" i="10" s="1"/>
  <c r="J82" i="7"/>
  <c r="J19" i="7"/>
  <c r="J23" i="7" s="1"/>
  <c r="J24" i="7" s="1"/>
  <c r="J85" i="7"/>
  <c r="J42" i="7" s="1"/>
  <c r="J42" i="10" s="1"/>
  <c r="J89" i="7"/>
  <c r="J31" i="7" s="1"/>
  <c r="J31" i="10" s="1"/>
  <c r="J78" i="7"/>
  <c r="J8" i="7" s="1"/>
  <c r="J8" i="10" s="1"/>
  <c r="J90" i="7"/>
  <c r="J32" i="7" s="1"/>
  <c r="J32" i="10" s="1"/>
  <c r="J86" i="7"/>
  <c r="J39" i="7" s="1"/>
  <c r="J81" i="7"/>
  <c r="J13" i="7" s="1"/>
  <c r="J13" i="10" s="1"/>
  <c r="J83" i="7"/>
  <c r="J83" i="10" s="1"/>
  <c r="I26" i="7"/>
  <c r="I27" i="7" s="1"/>
  <c r="I55" i="7" s="1"/>
  <c r="I55" i="10" s="1"/>
  <c r="I6" i="7"/>
  <c r="I6" i="10" s="1"/>
  <c r="I16" i="7"/>
  <c r="I16" i="10" s="1"/>
  <c r="I9" i="7"/>
  <c r="I9" i="10" s="1"/>
  <c r="I84" i="7"/>
  <c r="I84" i="10" s="1"/>
  <c r="I29" i="7"/>
  <c r="I33" i="7" s="1"/>
  <c r="I56" i="7" s="1"/>
  <c r="I56" i="10" s="1"/>
  <c r="I58" i="7"/>
  <c r="I58" i="10" s="1"/>
  <c r="K40" i="7"/>
  <c r="K40" i="10" s="1"/>
  <c r="K41" i="7"/>
  <c r="K41" i="10" s="1"/>
  <c r="K72" i="7"/>
  <c r="AZ9" i="5" s="1"/>
  <c r="L68" i="7"/>
  <c r="M68" i="7" s="1"/>
  <c r="I15" i="7"/>
  <c r="I15" i="10" s="1"/>
  <c r="I14" i="7"/>
  <c r="I14" i="10" s="1"/>
  <c r="I38" i="7"/>
  <c r="I38" i="10" s="1"/>
  <c r="I35" i="7"/>
  <c r="I35" i="10" s="1"/>
  <c r="I19" i="10"/>
  <c r="I23" i="10" s="1"/>
  <c r="I24" i="10" s="1"/>
  <c r="I34" i="7"/>
  <c r="I34" i="10" s="1"/>
  <c r="I81" i="10"/>
  <c r="I77" i="10"/>
  <c r="I78" i="10"/>
  <c r="I39" i="10"/>
  <c r="I82" i="10"/>
  <c r="I79" i="10"/>
  <c r="I80" i="10"/>
  <c r="AC30" i="12"/>
  <c r="Z52" i="12"/>
  <c r="Z52" i="13" s="1"/>
  <c r="AG89" i="12"/>
  <c r="AW29" i="5" s="1"/>
  <c r="AA56" i="12"/>
  <c r="AB33" i="12"/>
  <c r="AC23" i="12"/>
  <c r="Z25" i="12"/>
  <c r="AG86" i="12"/>
  <c r="AO22" i="5" s="1"/>
  <c r="AL88" i="12"/>
  <c r="AY28" i="5" s="1"/>
  <c r="AH30" i="12"/>
  <c r="AH23" i="12"/>
  <c r="I24" i="7"/>
  <c r="H15" i="10"/>
  <c r="E13" i="10"/>
  <c r="E17" i="10" s="1"/>
  <c r="E18" i="10" s="1"/>
  <c r="E25" i="10" s="1"/>
  <c r="E28" i="10" s="1"/>
  <c r="E45" i="10" s="1"/>
  <c r="E17" i="7"/>
  <c r="E18" i="7" s="1"/>
  <c r="H14" i="10"/>
  <c r="G13" i="10"/>
  <c r="G17" i="10" s="1"/>
  <c r="G18" i="10" s="1"/>
  <c r="G25" i="10" s="1"/>
  <c r="G28" i="10" s="1"/>
  <c r="G45" i="10" s="1"/>
  <c r="G17" i="7"/>
  <c r="G18" i="7" s="1"/>
  <c r="F13" i="10"/>
  <c r="F17" i="10" s="1"/>
  <c r="F18" i="10" s="1"/>
  <c r="F25" i="10" s="1"/>
  <c r="F28" i="10" s="1"/>
  <c r="F45" i="10" s="1"/>
  <c r="F17" i="7"/>
  <c r="F18" i="7" s="1"/>
  <c r="D13" i="10"/>
  <c r="D17" i="7"/>
  <c r="D18" i="7" s="1"/>
  <c r="AL73" i="7"/>
  <c r="AL65" i="7"/>
  <c r="AB3" i="5" s="1"/>
  <c r="AB10" i="5" s="1"/>
  <c r="AG73" i="7"/>
  <c r="AG65" i="7"/>
  <c r="AA3" i="5" s="1"/>
  <c r="AA10" i="5" s="1"/>
  <c r="H11" i="7"/>
  <c r="G52" i="7"/>
  <c r="G52" i="10" s="1"/>
  <c r="H27" i="7"/>
  <c r="H55" i="7"/>
  <c r="H33" i="7"/>
  <c r="H56" i="7"/>
  <c r="H14" i="7"/>
  <c r="H15" i="7"/>
  <c r="H13" i="7"/>
  <c r="D52" i="7"/>
  <c r="D52" i="10" s="1"/>
  <c r="AL83" i="13" l="1"/>
  <c r="AB11" i="12"/>
  <c r="AB12" i="12"/>
  <c r="AL81" i="12"/>
  <c r="AG90" i="12"/>
  <c r="AW30" i="5" s="1"/>
  <c r="AK81" i="13"/>
  <c r="AL81" i="13" s="1"/>
  <c r="AL77" i="12"/>
  <c r="AA23" i="5" s="1"/>
  <c r="AL78" i="12"/>
  <c r="AA24" i="5" s="1"/>
  <c r="AK76" i="13"/>
  <c r="AL76" i="13" s="1"/>
  <c r="AF78" i="13"/>
  <c r="AG78" i="13" s="1"/>
  <c r="AL85" i="12"/>
  <c r="AQ23" i="5" s="1"/>
  <c r="AL89" i="12"/>
  <c r="AY29" i="5" s="1"/>
  <c r="AL76" i="12"/>
  <c r="AA22" i="5" s="1"/>
  <c r="AG78" i="12"/>
  <c r="Z24" i="5" s="1"/>
  <c r="AK29" i="12"/>
  <c r="AL29" i="12" s="1"/>
  <c r="AF35" i="12"/>
  <c r="AF35" i="13" s="1"/>
  <c r="AG35" i="13" s="1"/>
  <c r="AF39" i="12"/>
  <c r="AF39" i="13" s="1"/>
  <c r="AG39" i="13" s="1"/>
  <c r="AL82" i="12"/>
  <c r="AL86" i="12"/>
  <c r="AQ22" i="5" s="1"/>
  <c r="AK77" i="13"/>
  <c r="AL77" i="13" s="1"/>
  <c r="AK23" i="12"/>
  <c r="AK54" i="12" s="1"/>
  <c r="AK54" i="13" s="1"/>
  <c r="AL80" i="12"/>
  <c r="AL19" i="12"/>
  <c r="AK80" i="13"/>
  <c r="AL80" i="13" s="1"/>
  <c r="AL79" i="12"/>
  <c r="AK84" i="12"/>
  <c r="AL84" i="12" s="1"/>
  <c r="AK9" i="12"/>
  <c r="AK9" i="13" s="1"/>
  <c r="AL9" i="13" s="1"/>
  <c r="AK14" i="12"/>
  <c r="AK14" i="13" s="1"/>
  <c r="AL14" i="13" s="1"/>
  <c r="AL90" i="12"/>
  <c r="AY30" i="5" s="1"/>
  <c r="AK16" i="12"/>
  <c r="AK16" i="13" s="1"/>
  <c r="AK38" i="12"/>
  <c r="AL38" i="12" s="1"/>
  <c r="AK35" i="12"/>
  <c r="AK35" i="13" s="1"/>
  <c r="AL35" i="13" s="1"/>
  <c r="AK34" i="12"/>
  <c r="AK34" i="13" s="1"/>
  <c r="AK26" i="12"/>
  <c r="AK27" i="12" s="1"/>
  <c r="AK55" i="12" s="1"/>
  <c r="AK55" i="13" s="1"/>
  <c r="AK58" i="12"/>
  <c r="AK58" i="13" s="1"/>
  <c r="AK82" i="13"/>
  <c r="AL82" i="13" s="1"/>
  <c r="AK78" i="13"/>
  <c r="AL78" i="13" s="1"/>
  <c r="AB26" i="13"/>
  <c r="AB44" i="12"/>
  <c r="AB57" i="13"/>
  <c r="AB57" i="12"/>
  <c r="AB17" i="12"/>
  <c r="AF16" i="12"/>
  <c r="AF16" i="13" s="1"/>
  <c r="AG76" i="12"/>
  <c r="Z22" i="5" s="1"/>
  <c r="AB38" i="13"/>
  <c r="AA37" i="13"/>
  <c r="AB37" i="13" s="1"/>
  <c r="AG77" i="12"/>
  <c r="Z23" i="5" s="1"/>
  <c r="AG87" i="12"/>
  <c r="AW27" i="5" s="1"/>
  <c r="AB17" i="13"/>
  <c r="AG79" i="12"/>
  <c r="AF34" i="12"/>
  <c r="AF34" i="13" s="1"/>
  <c r="W49" i="12"/>
  <c r="I9" i="5"/>
  <c r="AG81" i="12"/>
  <c r="AF76" i="13"/>
  <c r="AG76" i="13" s="1"/>
  <c r="AF81" i="13"/>
  <c r="AG81" i="13" s="1"/>
  <c r="AF6" i="12"/>
  <c r="AF6" i="13" s="1"/>
  <c r="AG6" i="13" s="1"/>
  <c r="AF9" i="12"/>
  <c r="AF9" i="13" s="1"/>
  <c r="AG9" i="13" s="1"/>
  <c r="AG82" i="12"/>
  <c r="AG88" i="12"/>
  <c r="AW28" i="5" s="1"/>
  <c r="AF77" i="13"/>
  <c r="AG77" i="13" s="1"/>
  <c r="AF26" i="12"/>
  <c r="AF27" i="12" s="1"/>
  <c r="AF55" i="12" s="1"/>
  <c r="AF55" i="13" s="1"/>
  <c r="AF15" i="12"/>
  <c r="AF15" i="13" s="1"/>
  <c r="AH58" i="12"/>
  <c r="AH58" i="13" s="1"/>
  <c r="AF82" i="13"/>
  <c r="AG82" i="13" s="1"/>
  <c r="AF58" i="12"/>
  <c r="AF58" i="13" s="1"/>
  <c r="AG58" i="13" s="1"/>
  <c r="AG19" i="12"/>
  <c r="AG83" i="12"/>
  <c r="AF80" i="13"/>
  <c r="AG80" i="13" s="1"/>
  <c r="AF84" i="12"/>
  <c r="AG84" i="12" s="1"/>
  <c r="AG85" i="12"/>
  <c r="AO23" i="5" s="1"/>
  <c r="AF19" i="13"/>
  <c r="AF23" i="13" s="1"/>
  <c r="AF24" i="13" s="1"/>
  <c r="AG80" i="12"/>
  <c r="AH41" i="13"/>
  <c r="AL41" i="13" s="1"/>
  <c r="J78" i="10"/>
  <c r="J16" i="7"/>
  <c r="J16" i="10" s="1"/>
  <c r="AJ37" i="13"/>
  <c r="AD17" i="12"/>
  <c r="AD18" i="12" s="1"/>
  <c r="AD53" i="12" s="1"/>
  <c r="AD53" i="13" s="1"/>
  <c r="AI44" i="13"/>
  <c r="AD37" i="13"/>
  <c r="AI24" i="12"/>
  <c r="AE24" i="12"/>
  <c r="AJ24" i="12"/>
  <c r="AL15" i="13"/>
  <c r="AI17" i="13"/>
  <c r="AI18" i="13" s="1"/>
  <c r="AD17" i="13"/>
  <c r="AD18" i="13" s="1"/>
  <c r="W48" i="13"/>
  <c r="W49" i="13" s="1"/>
  <c r="AL10" i="13"/>
  <c r="AE27" i="12"/>
  <c r="AE55" i="12" s="1"/>
  <c r="AE55" i="13" s="1"/>
  <c r="AE26" i="13"/>
  <c r="AE27" i="13" s="1"/>
  <c r="AI37" i="13"/>
  <c r="AG31" i="12"/>
  <c r="AC31" i="13"/>
  <c r="AG31" i="13" s="1"/>
  <c r="AF33" i="12"/>
  <c r="AF56" i="12" s="1"/>
  <c r="AF56" i="13" s="1"/>
  <c r="AF29" i="13"/>
  <c r="AF33" i="13" s="1"/>
  <c r="AJ11" i="12"/>
  <c r="AJ12" i="12" s="1"/>
  <c r="AJ52" i="12" s="1"/>
  <c r="AJ52" i="13" s="1"/>
  <c r="AG30" i="12"/>
  <c r="AC30" i="13"/>
  <c r="AG30" i="13" s="1"/>
  <c r="X28" i="13"/>
  <c r="AH11" i="13"/>
  <c r="AL6" i="13"/>
  <c r="AI27" i="12"/>
  <c r="AI55" i="12" s="1"/>
  <c r="AI55" i="13" s="1"/>
  <c r="AI26" i="13"/>
  <c r="AI27" i="13" s="1"/>
  <c r="AE11" i="13"/>
  <c r="AE12" i="13" s="1"/>
  <c r="AJ11" i="13"/>
  <c r="AJ12" i="13" s="1"/>
  <c r="AJ17" i="13"/>
  <c r="AJ18" i="13" s="1"/>
  <c r="AG7" i="12"/>
  <c r="AL8" i="12"/>
  <c r="AK8" i="13"/>
  <c r="AL8" i="13" s="1"/>
  <c r="AL39" i="12"/>
  <c r="AH39" i="13"/>
  <c r="AL39" i="13" s="1"/>
  <c r="AJ27" i="12"/>
  <c r="AJ55" i="12" s="1"/>
  <c r="AJ55" i="13" s="1"/>
  <c r="AJ26" i="13"/>
  <c r="AJ27" i="13" s="1"/>
  <c r="AA12" i="13"/>
  <c r="AB12" i="13" s="1"/>
  <c r="AB11" i="13"/>
  <c r="AG13" i="13"/>
  <c r="AC17" i="13"/>
  <c r="AG42" i="12"/>
  <c r="AC42" i="13"/>
  <c r="AG42" i="13" s="1"/>
  <c r="AL19" i="13"/>
  <c r="AG13" i="12"/>
  <c r="AL13" i="12"/>
  <c r="AI11" i="12"/>
  <c r="AI12" i="12" s="1"/>
  <c r="AI52" i="12" s="1"/>
  <c r="AI52" i="13" s="1"/>
  <c r="AI33" i="12"/>
  <c r="AI56" i="12" s="1"/>
  <c r="AI56" i="13" s="1"/>
  <c r="AI29" i="13"/>
  <c r="AI33" i="13" s="1"/>
  <c r="AD24" i="12"/>
  <c r="AD27" i="12"/>
  <c r="AD55" i="12" s="1"/>
  <c r="AD55" i="13" s="1"/>
  <c r="AD26" i="13"/>
  <c r="AD27" i="13" s="1"/>
  <c r="AF24" i="12"/>
  <c r="AL13" i="13"/>
  <c r="AB24" i="13"/>
  <c r="AE44" i="13"/>
  <c r="AG10" i="12"/>
  <c r="AF10" i="13"/>
  <c r="AG10" i="13" s="1"/>
  <c r="AC27" i="13"/>
  <c r="AB59" i="13"/>
  <c r="X60" i="13"/>
  <c r="AL31" i="12"/>
  <c r="AH31" i="13"/>
  <c r="AL31" i="13" s="1"/>
  <c r="AI17" i="12"/>
  <c r="AI18" i="12" s="1"/>
  <c r="AI53" i="12" s="1"/>
  <c r="AI53" i="13" s="1"/>
  <c r="AL30" i="12"/>
  <c r="AH30" i="13"/>
  <c r="AL30" i="13" s="1"/>
  <c r="AJ44" i="12"/>
  <c r="AJ57" i="12" s="1"/>
  <c r="AJ57" i="13" s="1"/>
  <c r="AJ38" i="13"/>
  <c r="AJ44" i="13" s="1"/>
  <c r="AL10" i="12"/>
  <c r="AJ17" i="12"/>
  <c r="AJ18" i="12" s="1"/>
  <c r="AJ53" i="12" s="1"/>
  <c r="AJ53" i="13" s="1"/>
  <c r="AG8" i="12"/>
  <c r="AF8" i="13"/>
  <c r="AG8" i="13" s="1"/>
  <c r="AI11" i="13"/>
  <c r="AI12" i="13" s="1"/>
  <c r="AE37" i="12"/>
  <c r="AE34" i="13"/>
  <c r="AE37" i="13" s="1"/>
  <c r="AE33" i="12"/>
  <c r="AE56" i="12" s="1"/>
  <c r="AE56" i="13" s="1"/>
  <c r="AE29" i="13"/>
  <c r="AE33" i="13" s="1"/>
  <c r="AC37" i="13"/>
  <c r="AL32" i="12"/>
  <c r="AH32" i="13"/>
  <c r="AL32" i="13" s="1"/>
  <c r="AL42" i="12"/>
  <c r="AH42" i="13"/>
  <c r="AL42" i="13" s="1"/>
  <c r="AG32" i="12"/>
  <c r="AC32" i="13"/>
  <c r="AG32" i="13" s="1"/>
  <c r="AJ33" i="12"/>
  <c r="AJ56" i="12" s="1"/>
  <c r="AJ56" i="13" s="1"/>
  <c r="AJ29" i="13"/>
  <c r="AJ33" i="13" s="1"/>
  <c r="AB56" i="12"/>
  <c r="AA56" i="13"/>
  <c r="AB56" i="13" s="1"/>
  <c r="AD33" i="12"/>
  <c r="AD56" i="12" s="1"/>
  <c r="AD56" i="13" s="1"/>
  <c r="AD29" i="13"/>
  <c r="AE17" i="12"/>
  <c r="AE18" i="12" s="1"/>
  <c r="AE53" i="12" s="1"/>
  <c r="AE53" i="13" s="1"/>
  <c r="AE16" i="13"/>
  <c r="AE17" i="13" s="1"/>
  <c r="AE18" i="13" s="1"/>
  <c r="AH37" i="13"/>
  <c r="AC11" i="13"/>
  <c r="AC24" i="13"/>
  <c r="AH24" i="13"/>
  <c r="AL23" i="13"/>
  <c r="AC17" i="12"/>
  <c r="AC18" i="12" s="1"/>
  <c r="AD44" i="12"/>
  <c r="AD57" i="12" s="1"/>
  <c r="AD57" i="13" s="1"/>
  <c r="AD38" i="13"/>
  <c r="AD44" i="13" s="1"/>
  <c r="AH27" i="13"/>
  <c r="AL7" i="12"/>
  <c r="AK7" i="13"/>
  <c r="AE11" i="12"/>
  <c r="AE12" i="12" s="1"/>
  <c r="AE52" i="12" s="1"/>
  <c r="AE52" i="13" s="1"/>
  <c r="Z60" i="13"/>
  <c r="AB52" i="13"/>
  <c r="AD11" i="13"/>
  <c r="AD12" i="13" s="1"/>
  <c r="AG14" i="13"/>
  <c r="AG7" i="13"/>
  <c r="L40" i="7"/>
  <c r="M40" i="7" s="1"/>
  <c r="L41" i="7"/>
  <c r="M41" i="7" s="1"/>
  <c r="L72" i="7"/>
  <c r="BA9" i="5" s="1"/>
  <c r="J15" i="7"/>
  <c r="J15" i="10" s="1"/>
  <c r="J14" i="7"/>
  <c r="J14" i="10" s="1"/>
  <c r="K88" i="7"/>
  <c r="K30" i="7" s="1"/>
  <c r="K30" i="10" s="1"/>
  <c r="K78" i="7"/>
  <c r="K8" i="7" s="1"/>
  <c r="K8" i="10" s="1"/>
  <c r="K80" i="7"/>
  <c r="K10" i="7" s="1"/>
  <c r="K10" i="10" s="1"/>
  <c r="K89" i="7"/>
  <c r="K31" i="7" s="1"/>
  <c r="K31" i="10" s="1"/>
  <c r="K82" i="7"/>
  <c r="K87" i="7"/>
  <c r="K76" i="7"/>
  <c r="K76" i="10" s="1"/>
  <c r="K81" i="7"/>
  <c r="K13" i="7" s="1"/>
  <c r="K13" i="10" s="1"/>
  <c r="K64" i="7"/>
  <c r="K79" i="7"/>
  <c r="K90" i="7"/>
  <c r="K32" i="7" s="1"/>
  <c r="K32" i="10" s="1"/>
  <c r="K85" i="7"/>
  <c r="K42" i="7" s="1"/>
  <c r="K42" i="10" s="1"/>
  <c r="K77" i="7"/>
  <c r="K7" i="7" s="1"/>
  <c r="K7" i="10" s="1"/>
  <c r="K83" i="7"/>
  <c r="K83" i="10" s="1"/>
  <c r="K86" i="7"/>
  <c r="K39" i="7" s="1"/>
  <c r="K19" i="7"/>
  <c r="K23" i="7" s="1"/>
  <c r="K54" i="7" s="1"/>
  <c r="K54" i="10" s="1"/>
  <c r="J9" i="7"/>
  <c r="J9" i="10" s="1"/>
  <c r="J84" i="7"/>
  <c r="J84" i="10" s="1"/>
  <c r="N68" i="7"/>
  <c r="J38" i="7"/>
  <c r="J38" i="10" s="1"/>
  <c r="J35" i="7"/>
  <c r="J35" i="10" s="1"/>
  <c r="J26" i="7"/>
  <c r="J27" i="7" s="1"/>
  <c r="J55" i="7" s="1"/>
  <c r="J55" i="10" s="1"/>
  <c r="J6" i="7"/>
  <c r="J6" i="10" s="1"/>
  <c r="J29" i="7"/>
  <c r="J33" i="7" s="1"/>
  <c r="J56" i="7" s="1"/>
  <c r="J56" i="10" s="1"/>
  <c r="J58" i="7"/>
  <c r="J58" i="10" s="1"/>
  <c r="J34" i="7"/>
  <c r="J34" i="10" s="1"/>
  <c r="J77" i="10"/>
  <c r="I17" i="10"/>
  <c r="I18" i="10" s="1"/>
  <c r="J81" i="10"/>
  <c r="J19" i="10"/>
  <c r="J23" i="10" s="1"/>
  <c r="J24" i="10" s="1"/>
  <c r="I29" i="10"/>
  <c r="I33" i="10" s="1"/>
  <c r="I44" i="10"/>
  <c r="I37" i="10"/>
  <c r="J80" i="10"/>
  <c r="I26" i="10"/>
  <c r="I27" i="10" s="1"/>
  <c r="I11" i="7"/>
  <c r="I12" i="7" s="1"/>
  <c r="I52" i="7" s="1"/>
  <c r="I52" i="10" s="1"/>
  <c r="I44" i="7"/>
  <c r="I57" i="7" s="1"/>
  <c r="I57" i="10" s="1"/>
  <c r="J39" i="10"/>
  <c r="I37" i="7"/>
  <c r="M72" i="7"/>
  <c r="I17" i="7"/>
  <c r="I18" i="7" s="1"/>
  <c r="J76" i="10"/>
  <c r="J82" i="10"/>
  <c r="AL15" i="12"/>
  <c r="AA53" i="12"/>
  <c r="AA53" i="13" s="1"/>
  <c r="AB18" i="12"/>
  <c r="AA25" i="12"/>
  <c r="AA28" i="12" s="1"/>
  <c r="AA45" i="12" s="1"/>
  <c r="AC44" i="12"/>
  <c r="AG38" i="12"/>
  <c r="AH54" i="12"/>
  <c r="AH24" i="12"/>
  <c r="AD11" i="12"/>
  <c r="AD12" i="12" s="1"/>
  <c r="AD52" i="12" s="1"/>
  <c r="AG14" i="12"/>
  <c r="AH11" i="12"/>
  <c r="AL6" i="12"/>
  <c r="Z60" i="12"/>
  <c r="Z61" i="12" s="1"/>
  <c r="AB52" i="12"/>
  <c r="AE44" i="12"/>
  <c r="AE57" i="12" s="1"/>
  <c r="AH27" i="12"/>
  <c r="AC11" i="12"/>
  <c r="Z28" i="12"/>
  <c r="AG29" i="12"/>
  <c r="AC33" i="12"/>
  <c r="AC27" i="12"/>
  <c r="AI44" i="12"/>
  <c r="AI57" i="12" s="1"/>
  <c r="AI57" i="13" s="1"/>
  <c r="AD37" i="12"/>
  <c r="AH33" i="12"/>
  <c r="AC37" i="12"/>
  <c r="AJ37" i="12"/>
  <c r="AH37" i="12"/>
  <c r="AH44" i="12"/>
  <c r="AC54" i="12"/>
  <c r="AG23" i="12"/>
  <c r="AC24" i="12"/>
  <c r="AI37" i="12"/>
  <c r="D17" i="10"/>
  <c r="H13" i="10"/>
  <c r="J54" i="7"/>
  <c r="J54" i="10" s="1"/>
  <c r="I11" i="10"/>
  <c r="H52" i="10"/>
  <c r="H52" i="7"/>
  <c r="H12" i="7"/>
  <c r="H17" i="7"/>
  <c r="AK37" i="13" l="1"/>
  <c r="AL9" i="12"/>
  <c r="AG39" i="12"/>
  <c r="AK11" i="12"/>
  <c r="AK12" i="12" s="1"/>
  <c r="AK52" i="12" s="1"/>
  <c r="AK52" i="13" s="1"/>
  <c r="AF44" i="13"/>
  <c r="AF44" i="12"/>
  <c r="AF57" i="12" s="1"/>
  <c r="AF57" i="13" s="1"/>
  <c r="AG35" i="12"/>
  <c r="AF37" i="13"/>
  <c r="AG37" i="13" s="1"/>
  <c r="AK84" i="13"/>
  <c r="AL84" i="13" s="1"/>
  <c r="AK29" i="13"/>
  <c r="AK33" i="13" s="1"/>
  <c r="AK33" i="12"/>
  <c r="AK56" i="12" s="1"/>
  <c r="AK56" i="13" s="1"/>
  <c r="AL23" i="12"/>
  <c r="AK24" i="12"/>
  <c r="AL24" i="12" s="1"/>
  <c r="AL34" i="12"/>
  <c r="AL26" i="12"/>
  <c r="AK37" i="12"/>
  <c r="AL37" i="12" s="1"/>
  <c r="AL35" i="12"/>
  <c r="AL14" i="12"/>
  <c r="AK17" i="13"/>
  <c r="AK18" i="13" s="1"/>
  <c r="AK26" i="13"/>
  <c r="AK27" i="13" s="1"/>
  <c r="AL27" i="13" s="1"/>
  <c r="AK38" i="13"/>
  <c r="AK44" i="13" s="1"/>
  <c r="AK44" i="12"/>
  <c r="AK57" i="12" s="1"/>
  <c r="AK57" i="13" s="1"/>
  <c r="AK17" i="12"/>
  <c r="AK18" i="12" s="1"/>
  <c r="AK53" i="12" s="1"/>
  <c r="AK53" i="13" s="1"/>
  <c r="AL58" i="13"/>
  <c r="AL58" i="12"/>
  <c r="AF17" i="13"/>
  <c r="AF18" i="13" s="1"/>
  <c r="AF37" i="12"/>
  <c r="AG37" i="12" s="1"/>
  <c r="AG16" i="12"/>
  <c r="AF84" i="13"/>
  <c r="AG84" i="13" s="1"/>
  <c r="AH16" i="12"/>
  <c r="AL16" i="12" s="1"/>
  <c r="AG9" i="12"/>
  <c r="AG58" i="12"/>
  <c r="AG34" i="12"/>
  <c r="AG6" i="12"/>
  <c r="AF11" i="12"/>
  <c r="AF12" i="12" s="1"/>
  <c r="AF52" i="12" s="1"/>
  <c r="AF52" i="13" s="1"/>
  <c r="AG23" i="13"/>
  <c r="AG26" i="12"/>
  <c r="AF26" i="13"/>
  <c r="AF27" i="13" s="1"/>
  <c r="AG27" i="13" s="1"/>
  <c r="AG15" i="13"/>
  <c r="AG19" i="13"/>
  <c r="AG15" i="12"/>
  <c r="AF17" i="12"/>
  <c r="AF18" i="12" s="1"/>
  <c r="AF53" i="12" s="1"/>
  <c r="AF53" i="13" s="1"/>
  <c r="AH33" i="13"/>
  <c r="AC33" i="13"/>
  <c r="AB25" i="12"/>
  <c r="AI25" i="13"/>
  <c r="AI28" i="13" s="1"/>
  <c r="AI45" i="13" s="1"/>
  <c r="AE25" i="13"/>
  <c r="AE28" i="13" s="1"/>
  <c r="AE45" i="13" s="1"/>
  <c r="AJ25" i="13"/>
  <c r="AJ28" i="13" s="1"/>
  <c r="AJ45" i="13" s="1"/>
  <c r="AK11" i="13"/>
  <c r="AK12" i="13" s="1"/>
  <c r="AL34" i="13"/>
  <c r="AL37" i="13"/>
  <c r="AG16" i="13"/>
  <c r="AL7" i="13"/>
  <c r="AA25" i="13"/>
  <c r="AA28" i="13" s="1"/>
  <c r="AA45" i="13" s="1"/>
  <c r="AE25" i="12"/>
  <c r="AE28" i="12" s="1"/>
  <c r="AE45" i="12" s="1"/>
  <c r="AE60" i="12"/>
  <c r="AE57" i="13"/>
  <c r="AE60" i="13" s="1"/>
  <c r="X61" i="13"/>
  <c r="Y61" i="13" s="1"/>
  <c r="Z61" i="13" s="1"/>
  <c r="AI25" i="12"/>
  <c r="AI28" i="12" s="1"/>
  <c r="AI45" i="12" s="1"/>
  <c r="AL24" i="13"/>
  <c r="AL54" i="12"/>
  <c r="AH54" i="13"/>
  <c r="AL54" i="13" s="1"/>
  <c r="AC12" i="13"/>
  <c r="AH12" i="13"/>
  <c r="AI60" i="13"/>
  <c r="X45" i="13"/>
  <c r="AJ60" i="12"/>
  <c r="AJ25" i="12"/>
  <c r="AJ28" i="12" s="1"/>
  <c r="AJ45" i="12" s="1"/>
  <c r="AG38" i="13"/>
  <c r="AC18" i="13"/>
  <c r="AD60" i="12"/>
  <c r="AD52" i="13"/>
  <c r="AD60" i="13" s="1"/>
  <c r="AB53" i="13"/>
  <c r="AA60" i="13"/>
  <c r="AB60" i="13" s="1"/>
  <c r="AG34" i="13"/>
  <c r="AF11" i="13"/>
  <c r="AF12" i="13" s="1"/>
  <c r="AD25" i="13"/>
  <c r="AD28" i="13" s="1"/>
  <c r="AC44" i="13"/>
  <c r="AG54" i="12"/>
  <c r="AC54" i="13"/>
  <c r="AG54" i="13" s="1"/>
  <c r="AI60" i="12"/>
  <c r="AG29" i="13"/>
  <c r="AD33" i="13"/>
  <c r="AJ60" i="13"/>
  <c r="AG24" i="13"/>
  <c r="AH44" i="13"/>
  <c r="N72" i="7"/>
  <c r="BB9" i="5" s="1"/>
  <c r="N41" i="7"/>
  <c r="N41" i="10" s="1"/>
  <c r="N40" i="7"/>
  <c r="N40" i="10" s="1"/>
  <c r="K38" i="7"/>
  <c r="K38" i="10" s="1"/>
  <c r="K35" i="7"/>
  <c r="K35" i="10" s="1"/>
  <c r="K15" i="7"/>
  <c r="K15" i="10" s="1"/>
  <c r="K14" i="7"/>
  <c r="K14" i="10" s="1"/>
  <c r="K82" i="10"/>
  <c r="K84" i="7"/>
  <c r="K84" i="10" s="1"/>
  <c r="K9" i="7"/>
  <c r="K9" i="10" s="1"/>
  <c r="O68" i="7"/>
  <c r="L88" i="7"/>
  <c r="L78" i="7"/>
  <c r="L8" i="7" s="1"/>
  <c r="L8" i="10" s="1"/>
  <c r="M8" i="10" s="1"/>
  <c r="L80" i="7"/>
  <c r="L10" i="7" s="1"/>
  <c r="L10" i="10" s="1"/>
  <c r="M10" i="10" s="1"/>
  <c r="L86" i="7"/>
  <c r="L39" i="7" s="1"/>
  <c r="L77" i="7"/>
  <c r="L7" i="7" s="1"/>
  <c r="L7" i="10" s="1"/>
  <c r="M7" i="10" s="1"/>
  <c r="L76" i="7"/>
  <c r="M76" i="7" s="1"/>
  <c r="L81" i="7"/>
  <c r="L13" i="7" s="1"/>
  <c r="L13" i="10" s="1"/>
  <c r="M13" i="10" s="1"/>
  <c r="L87" i="7"/>
  <c r="L83" i="7"/>
  <c r="M83" i="7" s="1"/>
  <c r="L64" i="7"/>
  <c r="M64" i="7" s="1"/>
  <c r="W2" i="5" s="1"/>
  <c r="W8" i="5" s="1"/>
  <c r="L79" i="7"/>
  <c r="L79" i="10" s="1"/>
  <c r="M79" i="10" s="1"/>
  <c r="L89" i="7"/>
  <c r="L31" i="7" s="1"/>
  <c r="L31" i="10" s="1"/>
  <c r="M31" i="10" s="1"/>
  <c r="L90" i="7"/>
  <c r="L32" i="7" s="1"/>
  <c r="L32" i="10" s="1"/>
  <c r="M32" i="10" s="1"/>
  <c r="L85" i="7"/>
  <c r="L42" i="7" s="1"/>
  <c r="M42" i="7" s="1"/>
  <c r="L19" i="7"/>
  <c r="L23" i="7" s="1"/>
  <c r="L82" i="7"/>
  <c r="L82" i="10" s="1"/>
  <c r="K26" i="7"/>
  <c r="K26" i="10" s="1"/>
  <c r="K6" i="7"/>
  <c r="K6" i="10" s="1"/>
  <c r="K16" i="7"/>
  <c r="K16" i="10" s="1"/>
  <c r="K29" i="7"/>
  <c r="K29" i="10" s="1"/>
  <c r="K58" i="7"/>
  <c r="K58" i="10" s="1"/>
  <c r="K34" i="7"/>
  <c r="K34" i="10" s="1"/>
  <c r="J11" i="10"/>
  <c r="J12" i="10" s="1"/>
  <c r="J44" i="10"/>
  <c r="K77" i="10"/>
  <c r="J26" i="10"/>
  <c r="J27" i="10" s="1"/>
  <c r="J29" i="10"/>
  <c r="J33" i="10" s="1"/>
  <c r="K81" i="10"/>
  <c r="L41" i="10"/>
  <c r="M41" i="10" s="1"/>
  <c r="J37" i="7"/>
  <c r="L40" i="10"/>
  <c r="M40" i="10" s="1"/>
  <c r="J17" i="10"/>
  <c r="J18" i="10" s="1"/>
  <c r="J37" i="10"/>
  <c r="K78" i="10"/>
  <c r="K19" i="10"/>
  <c r="K23" i="10" s="1"/>
  <c r="K24" i="10" s="1"/>
  <c r="J11" i="7"/>
  <c r="J12" i="7" s="1"/>
  <c r="J52" i="7" s="1"/>
  <c r="J52" i="10" s="1"/>
  <c r="J44" i="7"/>
  <c r="J57" i="7" s="1"/>
  <c r="J57" i="10" s="1"/>
  <c r="K79" i="10"/>
  <c r="J17" i="7"/>
  <c r="J18" i="7" s="1"/>
  <c r="J53" i="7" s="1"/>
  <c r="K80" i="10"/>
  <c r="K39" i="10"/>
  <c r="AD25" i="12"/>
  <c r="AD28" i="12" s="1"/>
  <c r="AD45" i="12" s="1"/>
  <c r="AC53" i="12"/>
  <c r="AC55" i="12"/>
  <c r="AG27" i="12"/>
  <c r="Z45" i="12"/>
  <c r="AB45" i="12" s="1"/>
  <c r="AB47" i="12" s="1"/>
  <c r="AB28" i="12"/>
  <c r="AC56" i="12"/>
  <c r="AG33" i="12"/>
  <c r="AH12" i="12"/>
  <c r="AC57" i="12"/>
  <c r="AG24" i="12"/>
  <c r="AC12" i="12"/>
  <c r="AC25" i="12" s="1"/>
  <c r="AB53" i="12"/>
  <c r="AA60" i="12"/>
  <c r="AB60" i="12" s="1"/>
  <c r="AH57" i="12"/>
  <c r="AH56" i="12"/>
  <c r="AH55" i="12"/>
  <c r="AL27" i="12"/>
  <c r="K24" i="7"/>
  <c r="D18" i="10"/>
  <c r="H17" i="10"/>
  <c r="I12" i="10"/>
  <c r="F25" i="7"/>
  <c r="F28" i="7" s="1"/>
  <c r="F45" i="7" s="1"/>
  <c r="F53" i="7"/>
  <c r="E25" i="7"/>
  <c r="E28" i="7" s="1"/>
  <c r="E45" i="7" s="1"/>
  <c r="E53" i="7"/>
  <c r="G25" i="7"/>
  <c r="G28" i="7" s="1"/>
  <c r="G45" i="7" s="1"/>
  <c r="G53" i="7"/>
  <c r="AL26" i="13" l="1"/>
  <c r="AL33" i="13"/>
  <c r="AL29" i="13"/>
  <c r="AL11" i="12"/>
  <c r="AL33" i="12"/>
  <c r="AG44" i="13"/>
  <c r="AG44" i="12"/>
  <c r="AK60" i="13"/>
  <c r="AL44" i="13"/>
  <c r="AK25" i="13"/>
  <c r="AK28" i="13" s="1"/>
  <c r="AK45" i="13" s="1"/>
  <c r="AL44" i="12"/>
  <c r="AK60" i="12"/>
  <c r="E5" i="14"/>
  <c r="E6" i="14" s="1"/>
  <c r="AL38" i="13"/>
  <c r="AK25" i="12"/>
  <c r="AK28" i="12" s="1"/>
  <c r="AK45" i="12" s="1"/>
  <c r="AF25" i="13"/>
  <c r="AF28" i="13" s="1"/>
  <c r="AF45" i="13" s="1"/>
  <c r="AG18" i="13"/>
  <c r="AG17" i="13"/>
  <c r="AH16" i="13"/>
  <c r="AL16" i="13" s="1"/>
  <c r="AH17" i="12"/>
  <c r="AH18" i="12" s="1"/>
  <c r="AH25" i="12" s="1"/>
  <c r="AG26" i="13"/>
  <c r="AG18" i="12"/>
  <c r="AG17" i="12"/>
  <c r="AF60" i="13"/>
  <c r="AF25" i="12"/>
  <c r="AF28" i="12" s="1"/>
  <c r="AF45" i="12" s="1"/>
  <c r="AG11" i="12"/>
  <c r="AF60" i="12"/>
  <c r="M79" i="7"/>
  <c r="M82" i="10"/>
  <c r="AG33" i="13"/>
  <c r="AL11" i="13"/>
  <c r="AL12" i="13"/>
  <c r="AB28" i="13"/>
  <c r="AA61" i="13"/>
  <c r="AB61" i="13" s="1"/>
  <c r="AB25" i="13"/>
  <c r="AG12" i="13"/>
  <c r="AB45" i="13"/>
  <c r="AB47" i="13" s="1"/>
  <c r="AC59" i="13" s="1"/>
  <c r="AG59" i="13" s="1"/>
  <c r="AL55" i="12"/>
  <c r="AH55" i="13"/>
  <c r="AL55" i="13" s="1"/>
  <c r="AD45" i="13"/>
  <c r="AG56" i="12"/>
  <c r="AC56" i="13"/>
  <c r="AG56" i="13" s="1"/>
  <c r="AC25" i="13"/>
  <c r="AA61" i="12"/>
  <c r="AB61" i="12" s="1"/>
  <c r="AG11" i="13"/>
  <c r="AL56" i="12"/>
  <c r="AH56" i="13"/>
  <c r="AL56" i="13" s="1"/>
  <c r="AL57" i="12"/>
  <c r="AH57" i="13"/>
  <c r="AL57" i="13" s="1"/>
  <c r="AG55" i="12"/>
  <c r="AC55" i="13"/>
  <c r="AG55" i="13" s="1"/>
  <c r="AG57" i="12"/>
  <c r="AC57" i="13"/>
  <c r="AG57" i="13" s="1"/>
  <c r="AG53" i="12"/>
  <c r="AC53" i="13"/>
  <c r="AG53" i="13" s="1"/>
  <c r="L29" i="7"/>
  <c r="L29" i="10" s="1"/>
  <c r="L58" i="7"/>
  <c r="L58" i="10" s="1"/>
  <c r="M58" i="10" s="1"/>
  <c r="L14" i="7"/>
  <c r="M14" i="7" s="1"/>
  <c r="L15" i="7"/>
  <c r="L15" i="10" s="1"/>
  <c r="M15" i="10" s="1"/>
  <c r="L26" i="7"/>
  <c r="M26" i="7" s="1"/>
  <c r="L6" i="7"/>
  <c r="L6" i="10" s="1"/>
  <c r="M6" i="10" s="1"/>
  <c r="L16" i="7"/>
  <c r="L16" i="10" s="1"/>
  <c r="M16" i="10" s="1"/>
  <c r="L38" i="7"/>
  <c r="L38" i="10" s="1"/>
  <c r="M38" i="10" s="1"/>
  <c r="L35" i="7"/>
  <c r="M35" i="7" s="1"/>
  <c r="L84" i="7"/>
  <c r="L84" i="10" s="1"/>
  <c r="M84" i="10" s="1"/>
  <c r="L9" i="7"/>
  <c r="M9" i="7" s="1"/>
  <c r="O40" i="7"/>
  <c r="O40" i="10" s="1"/>
  <c r="O72" i="7"/>
  <c r="BC9" i="5" s="1"/>
  <c r="O41" i="7"/>
  <c r="O41" i="10" s="1"/>
  <c r="P68" i="7"/>
  <c r="N79" i="7"/>
  <c r="N81" i="7"/>
  <c r="N13" i="7" s="1"/>
  <c r="N64" i="7"/>
  <c r="N76" i="7"/>
  <c r="N83" i="7"/>
  <c r="N83" i="10" s="1"/>
  <c r="N19" i="7"/>
  <c r="N86" i="7"/>
  <c r="N39" i="7" s="1"/>
  <c r="N85" i="7"/>
  <c r="N42" i="7" s="1"/>
  <c r="N42" i="10" s="1"/>
  <c r="N90" i="7"/>
  <c r="N32" i="7" s="1"/>
  <c r="N32" i="10" s="1"/>
  <c r="N78" i="7"/>
  <c r="N8" i="7" s="1"/>
  <c r="N77" i="7"/>
  <c r="N7" i="7" s="1"/>
  <c r="N82" i="7"/>
  <c r="N88" i="7"/>
  <c r="N30" i="7" s="1"/>
  <c r="N30" i="10" s="1"/>
  <c r="N80" i="7"/>
  <c r="N10" i="7" s="1"/>
  <c r="N87" i="7"/>
  <c r="N89" i="7"/>
  <c r="N31" i="7" s="1"/>
  <c r="N31" i="10" s="1"/>
  <c r="J25" i="10"/>
  <c r="J28" i="10" s="1"/>
  <c r="J45" i="10" s="1"/>
  <c r="M87" i="7"/>
  <c r="AM2" i="5" s="1"/>
  <c r="AN27" i="5" s="1"/>
  <c r="L34" i="7"/>
  <c r="L34" i="10" s="1"/>
  <c r="M34" i="10" s="1"/>
  <c r="M32" i="7"/>
  <c r="K33" i="7"/>
  <c r="K56" i="7" s="1"/>
  <c r="K56" i="10" s="1"/>
  <c r="K44" i="10"/>
  <c r="K11" i="10"/>
  <c r="K12" i="10" s="1"/>
  <c r="M85" i="7"/>
  <c r="AE3" i="5" s="1"/>
  <c r="AF23" i="5" s="1"/>
  <c r="M31" i="7"/>
  <c r="L42" i="10"/>
  <c r="M42" i="10" s="1"/>
  <c r="L83" i="10"/>
  <c r="M83" i="10" s="1"/>
  <c r="K37" i="10"/>
  <c r="K17" i="10"/>
  <c r="K18" i="10" s="1"/>
  <c r="L19" i="10"/>
  <c r="L23" i="10" s="1"/>
  <c r="M23" i="10" s="1"/>
  <c r="M19" i="7"/>
  <c r="L81" i="10"/>
  <c r="M81" i="10" s="1"/>
  <c r="L77" i="10"/>
  <c r="M77" i="10" s="1"/>
  <c r="M77" i="7"/>
  <c r="O3" i="5" s="1"/>
  <c r="O23" i="5" s="1"/>
  <c r="M78" i="7"/>
  <c r="O4" i="5" s="1"/>
  <c r="O24" i="5" s="1"/>
  <c r="K27" i="7"/>
  <c r="K55" i="7" s="1"/>
  <c r="K55" i="10" s="1"/>
  <c r="M80" i="7"/>
  <c r="L78" i="10"/>
  <c r="M78" i="10" s="1"/>
  <c r="K37" i="7"/>
  <c r="K17" i="7"/>
  <c r="K18" i="7" s="1"/>
  <c r="L76" i="10"/>
  <c r="M76" i="10" s="1"/>
  <c r="L80" i="10"/>
  <c r="M80" i="10" s="1"/>
  <c r="K11" i="7"/>
  <c r="K12" i="7" s="1"/>
  <c r="K52" i="7" s="1"/>
  <c r="K52" i="10" s="1"/>
  <c r="M39" i="7"/>
  <c r="M86" i="7"/>
  <c r="AE2" i="5" s="1"/>
  <c r="AF22" i="5" s="1"/>
  <c r="M90" i="7"/>
  <c r="AM5" i="5" s="1"/>
  <c r="AN30" i="5" s="1"/>
  <c r="K44" i="7"/>
  <c r="K57" i="7" s="1"/>
  <c r="K57" i="10" s="1"/>
  <c r="M81" i="7"/>
  <c r="L30" i="7"/>
  <c r="L30" i="10" s="1"/>
  <c r="M30" i="10" s="1"/>
  <c r="M82" i="7"/>
  <c r="M88" i="7"/>
  <c r="AM3" i="5" s="1"/>
  <c r="AN28" i="5" s="1"/>
  <c r="M89" i="7"/>
  <c r="AM4" i="5" s="1"/>
  <c r="AN29" i="5" s="1"/>
  <c r="AC28" i="12"/>
  <c r="AH52" i="12"/>
  <c r="AH52" i="13" s="1"/>
  <c r="AL12" i="12"/>
  <c r="AC52" i="12"/>
  <c r="AC52" i="13" s="1"/>
  <c r="AG12" i="12"/>
  <c r="AC59" i="12"/>
  <c r="AG59" i="12" s="1"/>
  <c r="M10" i="7"/>
  <c r="D25" i="10"/>
  <c r="H18" i="10"/>
  <c r="M7" i="7"/>
  <c r="M13" i="7"/>
  <c r="E60" i="7"/>
  <c r="E53" i="10"/>
  <c r="E60" i="10" s="1"/>
  <c r="G60" i="7"/>
  <c r="G53" i="10"/>
  <c r="G60" i="10" s="1"/>
  <c r="M8" i="7"/>
  <c r="F60" i="7"/>
  <c r="F53" i="10"/>
  <c r="F60" i="10" s="1"/>
  <c r="I25" i="10"/>
  <c r="K27" i="10"/>
  <c r="J60" i="7"/>
  <c r="J53" i="10"/>
  <c r="J60" i="10" s="1"/>
  <c r="K33" i="10"/>
  <c r="O2" i="5"/>
  <c r="O22" i="5" s="1"/>
  <c r="J25" i="7"/>
  <c r="J28" i="7" s="1"/>
  <c r="J45" i="7" s="1"/>
  <c r="I25" i="7"/>
  <c r="I28" i="7" s="1"/>
  <c r="I45" i="7" s="1"/>
  <c r="I53" i="7"/>
  <c r="I53" i="10" s="1"/>
  <c r="L24" i="7"/>
  <c r="M24" i="7" s="1"/>
  <c r="L54" i="7"/>
  <c r="D25" i="7"/>
  <c r="D28" i="7" s="1"/>
  <c r="D45" i="7" s="1"/>
  <c r="D13" i="14" s="1" a="1"/>
  <c r="D13" i="14" s="1"/>
  <c r="D53" i="7"/>
  <c r="D53" i="10" s="1"/>
  <c r="M23" i="7"/>
  <c r="H18" i="7"/>
  <c r="AL25" i="12" l="1"/>
  <c r="AL17" i="12"/>
  <c r="AL18" i="12"/>
  <c r="AH53" i="12"/>
  <c r="AH53" i="13" s="1"/>
  <c r="AL53" i="13" s="1"/>
  <c r="AH17" i="13"/>
  <c r="AH18" i="13" s="1"/>
  <c r="AL18" i="13" s="1"/>
  <c r="AG25" i="12"/>
  <c r="M30" i="7"/>
  <c r="AH28" i="12"/>
  <c r="AL28" i="12" s="1"/>
  <c r="AB48" i="13"/>
  <c r="AB49" i="13" s="1"/>
  <c r="AG52" i="13"/>
  <c r="AC60" i="13"/>
  <c r="AG25" i="13"/>
  <c r="AC28" i="13"/>
  <c r="AL52" i="13"/>
  <c r="N6" i="7"/>
  <c r="N6" i="10" s="1"/>
  <c r="N26" i="7"/>
  <c r="N14" i="7"/>
  <c r="N14" i="10" s="1"/>
  <c r="N15" i="7"/>
  <c r="N15" i="10" s="1"/>
  <c r="N84" i="7"/>
  <c r="N84" i="10" s="1"/>
  <c r="N9" i="7"/>
  <c r="N9" i="10" s="1"/>
  <c r="P72" i="7"/>
  <c r="BD9" i="5" s="1"/>
  <c r="P40" i="7"/>
  <c r="P40" i="10" s="1"/>
  <c r="P41" i="7"/>
  <c r="P41" i="10" s="1"/>
  <c r="Q68" i="7"/>
  <c r="O79" i="7"/>
  <c r="O81" i="7"/>
  <c r="O13" i="7" s="1"/>
  <c r="O64" i="7"/>
  <c r="O89" i="7"/>
  <c r="O31" i="7" s="1"/>
  <c r="O31" i="10" s="1"/>
  <c r="O83" i="7"/>
  <c r="O83" i="10" s="1"/>
  <c r="O90" i="7"/>
  <c r="O32" i="7" s="1"/>
  <c r="O32" i="10" s="1"/>
  <c r="O87" i="7"/>
  <c r="O78" i="7"/>
  <c r="O8" i="7" s="1"/>
  <c r="O19" i="7"/>
  <c r="O88" i="7"/>
  <c r="O86" i="7"/>
  <c r="O85" i="7"/>
  <c r="O42" i="7" s="1"/>
  <c r="O42" i="10" s="1"/>
  <c r="O82" i="7"/>
  <c r="O77" i="7"/>
  <c r="O7" i="7" s="1"/>
  <c r="O76" i="7"/>
  <c r="O80" i="7"/>
  <c r="O10" i="7" s="1"/>
  <c r="N38" i="7"/>
  <c r="N38" i="10" s="1"/>
  <c r="N35" i="7"/>
  <c r="N35" i="10" s="1"/>
  <c r="N29" i="7"/>
  <c r="N58" i="7"/>
  <c r="N58" i="10" s="1"/>
  <c r="N16" i="7"/>
  <c r="N16" i="10" s="1"/>
  <c r="N34" i="7"/>
  <c r="N34" i="10" s="1"/>
  <c r="K25" i="10"/>
  <c r="K28" i="10" s="1"/>
  <c r="K45" i="10" s="1"/>
  <c r="L14" i="10"/>
  <c r="M14" i="10" s="1"/>
  <c r="L35" i="10"/>
  <c r="M35" i="10" s="1"/>
  <c r="M19" i="10"/>
  <c r="M15" i="7"/>
  <c r="M34" i="7"/>
  <c r="L26" i="10"/>
  <c r="L27" i="10" s="1"/>
  <c r="M27" i="10" s="1"/>
  <c r="M16" i="7"/>
  <c r="L24" i="10"/>
  <c r="M24" i="10" s="1"/>
  <c r="L17" i="7"/>
  <c r="M17" i="7" s="1"/>
  <c r="M6" i="7"/>
  <c r="L33" i="10"/>
  <c r="M33" i="10" s="1"/>
  <c r="M29" i="7"/>
  <c r="L37" i="7"/>
  <c r="M37" i="7" s="1"/>
  <c r="M84" i="7"/>
  <c r="L11" i="7"/>
  <c r="L12" i="7" s="1"/>
  <c r="L33" i="7"/>
  <c r="L56" i="7" s="1"/>
  <c r="L56" i="10" s="1"/>
  <c r="M56" i="10" s="1"/>
  <c r="N10" i="10"/>
  <c r="M58" i="7"/>
  <c r="M38" i="7"/>
  <c r="L44" i="7"/>
  <c r="L57" i="7" s="1"/>
  <c r="L57" i="10" s="1"/>
  <c r="M57" i="10" s="1"/>
  <c r="L27" i="7"/>
  <c r="L55" i="7" s="1"/>
  <c r="L55" i="10" s="1"/>
  <c r="M55" i="10" s="1"/>
  <c r="N7" i="10"/>
  <c r="N39" i="10"/>
  <c r="L9" i="10"/>
  <c r="M9" i="10" s="1"/>
  <c r="L39" i="10"/>
  <c r="M39" i="10" s="1"/>
  <c r="N79" i="10"/>
  <c r="O30" i="7"/>
  <c r="O30" i="10" s="1"/>
  <c r="N82" i="10"/>
  <c r="N76" i="10"/>
  <c r="AL52" i="12"/>
  <c r="AC45" i="12"/>
  <c r="AG45" i="12" s="1"/>
  <c r="AG47" i="12" s="1"/>
  <c r="AG28" i="12"/>
  <c r="AC60" i="12"/>
  <c r="AG52" i="12"/>
  <c r="AB48" i="12"/>
  <c r="D28" i="10"/>
  <c r="H25" i="10"/>
  <c r="M29" i="10"/>
  <c r="H53" i="10"/>
  <c r="D60" i="10"/>
  <c r="D61" i="10" s="1"/>
  <c r="E61" i="10" s="1"/>
  <c r="F61" i="10" s="1"/>
  <c r="G61" i="10" s="1"/>
  <c r="H61" i="10" s="1"/>
  <c r="N23" i="7"/>
  <c r="N54" i="7" s="1"/>
  <c r="N54" i="10" s="1"/>
  <c r="N19" i="10"/>
  <c r="N80" i="10"/>
  <c r="I28" i="10"/>
  <c r="N13" i="10"/>
  <c r="N81" i="10"/>
  <c r="N77" i="10"/>
  <c r="N8" i="10"/>
  <c r="N78" i="10"/>
  <c r="M54" i="7"/>
  <c r="L54" i="10"/>
  <c r="M54" i="10" s="1"/>
  <c r="H45" i="7"/>
  <c r="H47" i="7" s="1"/>
  <c r="H28" i="7"/>
  <c r="K25" i="7"/>
  <c r="K28" i="7" s="1"/>
  <c r="K45" i="7" s="1"/>
  <c r="K53" i="7"/>
  <c r="D60" i="7"/>
  <c r="H53" i="7"/>
  <c r="H25" i="7"/>
  <c r="AL53" i="12" l="1"/>
  <c r="AL17" i="13"/>
  <c r="AH25" i="13"/>
  <c r="AH28" i="13" s="1"/>
  <c r="AL28" i="13" s="1"/>
  <c r="AH45" i="12"/>
  <c r="AL45" i="12" s="1"/>
  <c r="AB49" i="12"/>
  <c r="J9" i="5"/>
  <c r="AC45" i="13"/>
  <c r="AG45" i="13" s="1"/>
  <c r="AG28" i="13"/>
  <c r="AG60" i="13"/>
  <c r="AC61" i="13"/>
  <c r="AD61" i="13" s="1"/>
  <c r="AE61" i="13" s="1"/>
  <c r="AF61" i="13" s="1"/>
  <c r="Q40" i="7"/>
  <c r="Q41" i="7"/>
  <c r="Q72" i="7"/>
  <c r="BE9" i="5" s="1"/>
  <c r="O29" i="7"/>
  <c r="O58" i="7"/>
  <c r="O58" i="10" s="1"/>
  <c r="P89" i="7"/>
  <c r="P31" i="7" s="1"/>
  <c r="P31" i="10" s="1"/>
  <c r="P82" i="7"/>
  <c r="P88" i="7"/>
  <c r="P30" i="7" s="1"/>
  <c r="P30" i="10" s="1"/>
  <c r="P77" i="7"/>
  <c r="P7" i="7" s="1"/>
  <c r="P79" i="7"/>
  <c r="P81" i="7"/>
  <c r="P13" i="7" s="1"/>
  <c r="P85" i="7"/>
  <c r="P42" i="7" s="1"/>
  <c r="P42" i="10" s="1"/>
  <c r="P76" i="7"/>
  <c r="P78" i="7"/>
  <c r="P8" i="7" s="1"/>
  <c r="P83" i="7"/>
  <c r="P83" i="10" s="1"/>
  <c r="P87" i="7"/>
  <c r="P19" i="7"/>
  <c r="P86" i="7"/>
  <c r="P64" i="7"/>
  <c r="P80" i="7"/>
  <c r="P10" i="7" s="1"/>
  <c r="P90" i="7"/>
  <c r="P32" i="7" s="1"/>
  <c r="P32" i="10" s="1"/>
  <c r="O16" i="7"/>
  <c r="O16" i="10" s="1"/>
  <c r="O6" i="7"/>
  <c r="O6" i="10" s="1"/>
  <c r="O26" i="7"/>
  <c r="O34" i="7"/>
  <c r="O34" i="10" s="1"/>
  <c r="O15" i="7"/>
  <c r="O15" i="10" s="1"/>
  <c r="O14" i="7"/>
  <c r="O14" i="10" s="1"/>
  <c r="O35" i="7"/>
  <c r="O35" i="10" s="1"/>
  <c r="O38" i="7"/>
  <c r="O38" i="10" s="1"/>
  <c r="O39" i="7"/>
  <c r="O39" i="10" s="1"/>
  <c r="O84" i="7"/>
  <c r="O84" i="10" s="1"/>
  <c r="O9" i="7"/>
  <c r="O9" i="10" s="1"/>
  <c r="L37" i="10"/>
  <c r="M37" i="10" s="1"/>
  <c r="L17" i="10"/>
  <c r="L18" i="10" s="1"/>
  <c r="M18" i="10" s="1"/>
  <c r="M26" i="10"/>
  <c r="L11" i="10"/>
  <c r="L12" i="10" s="1"/>
  <c r="M12" i="10" s="1"/>
  <c r="M33" i="7"/>
  <c r="M11" i="7"/>
  <c r="L18" i="7"/>
  <c r="L53" i="7" s="1"/>
  <c r="L53" i="10" s="1"/>
  <c r="M57" i="7"/>
  <c r="M44" i="7"/>
  <c r="L44" i="10"/>
  <c r="M44" i="10" s="1"/>
  <c r="M56" i="7"/>
  <c r="M55" i="7"/>
  <c r="M27" i="7"/>
  <c r="O79" i="10"/>
  <c r="O76" i="10"/>
  <c r="O82" i="10"/>
  <c r="AH59" i="12"/>
  <c r="AG60" i="12"/>
  <c r="AC61" i="12"/>
  <c r="AD61" i="12" s="1"/>
  <c r="AE61" i="12" s="1"/>
  <c r="AF61" i="12" s="1"/>
  <c r="H60" i="10"/>
  <c r="D45" i="10"/>
  <c r="H45" i="10" s="1"/>
  <c r="H28" i="10"/>
  <c r="N11" i="7"/>
  <c r="N12" i="7" s="1"/>
  <c r="N52" i="7" s="1"/>
  <c r="N52" i="10" s="1"/>
  <c r="N27" i="7"/>
  <c r="N55" i="7" s="1"/>
  <c r="N55" i="10" s="1"/>
  <c r="N26" i="10"/>
  <c r="N11" i="10"/>
  <c r="N23" i="10"/>
  <c r="O10" i="10"/>
  <c r="O80" i="10"/>
  <c r="I45" i="10"/>
  <c r="O8" i="10"/>
  <c r="O78" i="10"/>
  <c r="O13" i="10"/>
  <c r="O81" i="10"/>
  <c r="N44" i="10"/>
  <c r="N17" i="10"/>
  <c r="N24" i="7"/>
  <c r="O23" i="7"/>
  <c r="O24" i="7" s="1"/>
  <c r="O19" i="10"/>
  <c r="O23" i="10" s="1"/>
  <c r="O24" i="10" s="1"/>
  <c r="K60" i="7"/>
  <c r="K53" i="10"/>
  <c r="N33" i="7"/>
  <c r="N56" i="7" s="1"/>
  <c r="N56" i="10" s="1"/>
  <c r="N29" i="10"/>
  <c r="O7" i="10"/>
  <c r="O77" i="10"/>
  <c r="N37" i="10"/>
  <c r="N17" i="7"/>
  <c r="N18" i="7" s="1"/>
  <c r="N44" i="7"/>
  <c r="N57" i="7" s="1"/>
  <c r="N57" i="10" s="1"/>
  <c r="N37" i="7"/>
  <c r="R68" i="7"/>
  <c r="H48" i="7"/>
  <c r="M12" i="7"/>
  <c r="L52" i="7"/>
  <c r="D61" i="7"/>
  <c r="H60" i="7"/>
  <c r="AL47" i="12" l="1"/>
  <c r="AL48" i="12" s="1"/>
  <c r="L9" i="5" s="1"/>
  <c r="E13" i="14" a="1"/>
  <c r="E13" i="14" s="1"/>
  <c r="F13" i="14" s="1"/>
  <c r="AH45" i="13"/>
  <c r="AL45" i="13" s="1"/>
  <c r="AL47" i="13" s="1"/>
  <c r="AL48" i="13" s="1"/>
  <c r="AL25" i="13"/>
  <c r="AG61" i="13"/>
  <c r="AG47" i="13"/>
  <c r="AH59" i="13" s="1"/>
  <c r="P29" i="7"/>
  <c r="P33" i="7" s="1"/>
  <c r="P56" i="7" s="1"/>
  <c r="P56" i="10" s="1"/>
  <c r="P58" i="7"/>
  <c r="P58" i="10" s="1"/>
  <c r="P34" i="7"/>
  <c r="P34" i="10" s="1"/>
  <c r="P84" i="7"/>
  <c r="P84" i="10" s="1"/>
  <c r="P9" i="7"/>
  <c r="P9" i="10" s="1"/>
  <c r="P35" i="7"/>
  <c r="P35" i="10" s="1"/>
  <c r="P38" i="7"/>
  <c r="P38" i="10" s="1"/>
  <c r="P39" i="7"/>
  <c r="P39" i="10" s="1"/>
  <c r="P14" i="7"/>
  <c r="P14" i="10" s="1"/>
  <c r="P15" i="7"/>
  <c r="P15" i="10" s="1"/>
  <c r="P16" i="7"/>
  <c r="P16" i="10" s="1"/>
  <c r="P6" i="7"/>
  <c r="P6" i="10" s="1"/>
  <c r="P26" i="7"/>
  <c r="Q89" i="7"/>
  <c r="Q31" i="7" s="1"/>
  <c r="Q31" i="10" s="1"/>
  <c r="R31" i="10" s="1"/>
  <c r="Q82" i="7"/>
  <c r="Q19" i="7"/>
  <c r="Q19" i="10" s="1"/>
  <c r="Q23" i="10" s="1"/>
  <c r="Q24" i="10" s="1"/>
  <c r="Q86" i="7"/>
  <c r="Q77" i="7"/>
  <c r="Q7" i="7" s="1"/>
  <c r="Q80" i="7"/>
  <c r="Q10" i="7" s="1"/>
  <c r="Q64" i="7"/>
  <c r="R64" i="7" s="1"/>
  <c r="X2" i="5" s="1"/>
  <c r="X8" i="5" s="1"/>
  <c r="Q90" i="7"/>
  <c r="Q32" i="7" s="1"/>
  <c r="Q32" i="10" s="1"/>
  <c r="R32" i="10" s="1"/>
  <c r="Q87" i="7"/>
  <c r="Q76" i="7"/>
  <c r="Q79" i="7"/>
  <c r="Q78" i="7"/>
  <c r="Q8" i="7" s="1"/>
  <c r="Q83" i="7"/>
  <c r="Q88" i="7"/>
  <c r="Q30" i="7" s="1"/>
  <c r="Q30" i="10" s="1"/>
  <c r="R30" i="10" s="1"/>
  <c r="Q81" i="7"/>
  <c r="Q13" i="7" s="1"/>
  <c r="Q85" i="7"/>
  <c r="Q42" i="7" s="1"/>
  <c r="Q42" i="10" s="1"/>
  <c r="R42" i="10" s="1"/>
  <c r="S68" i="7"/>
  <c r="M11" i="10"/>
  <c r="M17" i="10"/>
  <c r="M18" i="7"/>
  <c r="L25" i="7"/>
  <c r="L28" i="7" s="1"/>
  <c r="L45" i="7" s="1"/>
  <c r="M53" i="7"/>
  <c r="P79" i="10"/>
  <c r="P76" i="10"/>
  <c r="P82" i="10"/>
  <c r="AL59" i="12"/>
  <c r="AH60" i="12"/>
  <c r="AL60" i="12" s="1"/>
  <c r="AG48" i="12"/>
  <c r="AG61" i="12"/>
  <c r="O37" i="10"/>
  <c r="H47" i="10"/>
  <c r="I59" i="10" s="1"/>
  <c r="O44" i="10"/>
  <c r="O33" i="7"/>
  <c r="O56" i="7" s="1"/>
  <c r="O56" i="10" s="1"/>
  <c r="O29" i="10"/>
  <c r="O33" i="10" s="1"/>
  <c r="O17" i="10"/>
  <c r="O18" i="10" s="1"/>
  <c r="N12" i="10"/>
  <c r="P8" i="10"/>
  <c r="P78" i="10"/>
  <c r="P7" i="10"/>
  <c r="P77" i="10"/>
  <c r="P13" i="10"/>
  <c r="P81" i="10"/>
  <c r="L25" i="10"/>
  <c r="N18" i="10"/>
  <c r="R41" i="7"/>
  <c r="Q41" i="10"/>
  <c r="R41" i="10" s="1"/>
  <c r="O27" i="7"/>
  <c r="O55" i="7" s="1"/>
  <c r="O55" i="10" s="1"/>
  <c r="O26" i="10"/>
  <c r="O27" i="10" s="1"/>
  <c r="N24" i="10"/>
  <c r="K60" i="10"/>
  <c r="M53" i="10"/>
  <c r="N27" i="10"/>
  <c r="P10" i="10"/>
  <c r="P80" i="10"/>
  <c r="M52" i="7"/>
  <c r="L52" i="10"/>
  <c r="O54" i="7"/>
  <c r="O54" i="10" s="1"/>
  <c r="R40" i="7"/>
  <c r="Q40" i="10"/>
  <c r="R40" i="10" s="1"/>
  <c r="P23" i="7"/>
  <c r="P24" i="7" s="1"/>
  <c r="P19" i="10"/>
  <c r="P23" i="10" s="1"/>
  <c r="P24" i="10" s="1"/>
  <c r="O11" i="10"/>
  <c r="O12" i="10" s="1"/>
  <c r="N33" i="10"/>
  <c r="O44" i="7"/>
  <c r="O57" i="7" s="1"/>
  <c r="O57" i="10" s="1"/>
  <c r="O11" i="7"/>
  <c r="O12" i="7" s="1"/>
  <c r="O52" i="7" s="1"/>
  <c r="O52" i="10" s="1"/>
  <c r="O17" i="7"/>
  <c r="O37" i="7"/>
  <c r="I59" i="7"/>
  <c r="M59" i="7" s="1"/>
  <c r="R72" i="7"/>
  <c r="E61" i="7"/>
  <c r="F61" i="7" s="1"/>
  <c r="G61" i="7" s="1"/>
  <c r="H61" i="7" s="1"/>
  <c r="H49" i="7"/>
  <c r="F2" i="5"/>
  <c r="F8" i="5" s="1"/>
  <c r="L60" i="7"/>
  <c r="N53" i="7"/>
  <c r="N53" i="10" s="1"/>
  <c r="Q34" i="7" l="1"/>
  <c r="Q34" i="10" s="1"/>
  <c r="P29" i="10"/>
  <c r="P33" i="10" s="1"/>
  <c r="AG49" i="12"/>
  <c r="K9" i="5"/>
  <c r="P37" i="10"/>
  <c r="P44" i="10"/>
  <c r="P44" i="7"/>
  <c r="P57" i="7" s="1"/>
  <c r="P57" i="10" s="1"/>
  <c r="AH61" i="12"/>
  <c r="AI61" i="12" s="1"/>
  <c r="AJ61" i="12" s="1"/>
  <c r="AK61" i="12" s="1"/>
  <c r="AL61" i="12" s="1"/>
  <c r="E14" i="14" s="1" a="1"/>
  <c r="E14" i="14" s="1"/>
  <c r="AG48" i="13"/>
  <c r="AG49" i="13" s="1"/>
  <c r="AL49" i="13" s="1"/>
  <c r="AL59" i="13"/>
  <c r="AH60" i="13"/>
  <c r="Q14" i="7"/>
  <c r="Q15" i="7"/>
  <c r="Q35" i="7"/>
  <c r="Q38" i="7"/>
  <c r="Q38" i="10" s="1"/>
  <c r="Q39" i="7"/>
  <c r="Q84" i="7"/>
  <c r="Q9" i="7"/>
  <c r="Q9" i="10" s="1"/>
  <c r="R9" i="10" s="1"/>
  <c r="S40" i="7"/>
  <c r="S40" i="10" s="1"/>
  <c r="S41" i="7"/>
  <c r="S41" i="10" s="1"/>
  <c r="S72" i="7"/>
  <c r="BF9" i="5" s="1"/>
  <c r="Q16" i="7"/>
  <c r="Q16" i="10" s="1"/>
  <c r="R16" i="10" s="1"/>
  <c r="Q6" i="7"/>
  <c r="Q26" i="7"/>
  <c r="Q26" i="10" s="1"/>
  <c r="Q27" i="10" s="1"/>
  <c r="T68" i="7"/>
  <c r="Q58" i="7"/>
  <c r="Q29" i="7"/>
  <c r="M25" i="7"/>
  <c r="Q79" i="10"/>
  <c r="R79" i="10" s="1"/>
  <c r="H48" i="10"/>
  <c r="H49" i="10" s="1"/>
  <c r="Q82" i="10"/>
  <c r="R82" i="10" s="1"/>
  <c r="P37" i="7"/>
  <c r="Q76" i="10"/>
  <c r="R76" i="10" s="1"/>
  <c r="R19" i="10"/>
  <c r="O25" i="10"/>
  <c r="O28" i="10" s="1"/>
  <c r="O45" i="10" s="1"/>
  <c r="P54" i="7"/>
  <c r="P54" i="10" s="1"/>
  <c r="M59" i="10"/>
  <c r="I60" i="10"/>
  <c r="I61" i="10" s="1"/>
  <c r="J61" i="10" s="1"/>
  <c r="K61" i="10" s="1"/>
  <c r="Q7" i="10"/>
  <c r="R7" i="10" s="1"/>
  <c r="Q77" i="10"/>
  <c r="R77" i="10" s="1"/>
  <c r="L60" i="10"/>
  <c r="M52" i="10"/>
  <c r="N25" i="10"/>
  <c r="R24" i="10"/>
  <c r="Q13" i="10"/>
  <c r="Q81" i="10"/>
  <c r="R81" i="10" s="1"/>
  <c r="P27" i="7"/>
  <c r="P55" i="7" s="1"/>
  <c r="P55" i="10" s="1"/>
  <c r="P26" i="10"/>
  <c r="P27" i="10" s="1"/>
  <c r="R23" i="10"/>
  <c r="Q8" i="10"/>
  <c r="R8" i="10" s="1"/>
  <c r="Q78" i="10"/>
  <c r="R78" i="10" s="1"/>
  <c r="Q10" i="10"/>
  <c r="R10" i="10" s="1"/>
  <c r="Q80" i="10"/>
  <c r="R80" i="10" s="1"/>
  <c r="P17" i="10"/>
  <c r="L28" i="10"/>
  <c r="M25" i="10"/>
  <c r="R83" i="7"/>
  <c r="Q83" i="10"/>
  <c r="R83" i="10" s="1"/>
  <c r="P11" i="10"/>
  <c r="P12" i="10" s="1"/>
  <c r="P17" i="7"/>
  <c r="P18" i="7" s="1"/>
  <c r="P11" i="7"/>
  <c r="P12" i="7" s="1"/>
  <c r="P52" i="7" s="1"/>
  <c r="P52" i="10" s="1"/>
  <c r="I60" i="7"/>
  <c r="I61" i="7" s="1"/>
  <c r="R85" i="7"/>
  <c r="AF3" i="5" s="1"/>
  <c r="AH23" i="5" s="1"/>
  <c r="R42" i="7"/>
  <c r="R81" i="7"/>
  <c r="R82" i="7"/>
  <c r="R76" i="7"/>
  <c r="R87" i="7"/>
  <c r="AN2" i="5" s="1"/>
  <c r="AP27" i="5" s="1"/>
  <c r="R86" i="7"/>
  <c r="AF2" i="5" s="1"/>
  <c r="AH22" i="5" s="1"/>
  <c r="R78" i="7"/>
  <c r="P4" i="5" s="1"/>
  <c r="P24" i="5" s="1"/>
  <c r="R32" i="7"/>
  <c r="R90" i="7"/>
  <c r="AN5" i="5" s="1"/>
  <c r="AP30" i="5" s="1"/>
  <c r="R30" i="7"/>
  <c r="R88" i="7"/>
  <c r="AN3" i="5" s="1"/>
  <c r="AP28" i="5" s="1"/>
  <c r="R31" i="7"/>
  <c r="R89" i="7"/>
  <c r="AN4" i="5" s="1"/>
  <c r="AP29" i="5" s="1"/>
  <c r="R77" i="7"/>
  <c r="P3" i="5" s="1"/>
  <c r="P23" i="5" s="1"/>
  <c r="R79" i="7"/>
  <c r="R80" i="7"/>
  <c r="Q23" i="7"/>
  <c r="R19" i="7"/>
  <c r="O18" i="7"/>
  <c r="O53" i="7" s="1"/>
  <c r="M28" i="7"/>
  <c r="N25" i="7"/>
  <c r="AL49" i="12" l="1"/>
  <c r="E7" i="14" s="1"/>
  <c r="E9" i="14" s="1"/>
  <c r="AL60" i="13"/>
  <c r="AH61" i="13"/>
  <c r="AI61" i="13" s="1"/>
  <c r="AJ61" i="13" s="1"/>
  <c r="AK61" i="13" s="1"/>
  <c r="AL61" i="13" s="1"/>
  <c r="S86" i="7"/>
  <c r="S39" i="7" s="1"/>
  <c r="S83" i="7"/>
  <c r="S83" i="10" s="1"/>
  <c r="S77" i="7"/>
  <c r="S7" i="7" s="1"/>
  <c r="S90" i="7"/>
  <c r="S32" i="7" s="1"/>
  <c r="S32" i="10" s="1"/>
  <c r="S87" i="7"/>
  <c r="S76" i="7"/>
  <c r="S82" i="7"/>
  <c r="S89" i="7"/>
  <c r="S31" i="7" s="1"/>
  <c r="S31" i="10" s="1"/>
  <c r="S81" i="7"/>
  <c r="S13" i="7" s="1"/>
  <c r="S13" i="10" s="1"/>
  <c r="S80" i="7"/>
  <c r="S10" i="7" s="1"/>
  <c r="S10" i="10" s="1"/>
  <c r="S64" i="7"/>
  <c r="S85" i="7"/>
  <c r="S42" i="7" s="1"/>
  <c r="S42" i="10" s="1"/>
  <c r="S88" i="7"/>
  <c r="S30" i="7" s="1"/>
  <c r="S30" i="10" s="1"/>
  <c r="S79" i="7"/>
  <c r="S79" i="10" s="1"/>
  <c r="S19" i="7"/>
  <c r="S23" i="7" s="1"/>
  <c r="S54" i="7" s="1"/>
  <c r="S54" i="10" s="1"/>
  <c r="S78" i="7"/>
  <c r="S8" i="7" s="1"/>
  <c r="S8" i="10" s="1"/>
  <c r="T40" i="7"/>
  <c r="T40" i="10" s="1"/>
  <c r="T72" i="7"/>
  <c r="BG9" i="5" s="1"/>
  <c r="T41" i="7"/>
  <c r="T41" i="10" s="1"/>
  <c r="U68" i="7"/>
  <c r="R26" i="10"/>
  <c r="R7" i="7"/>
  <c r="L61" i="10"/>
  <c r="M61" i="10" s="1"/>
  <c r="R27" i="10"/>
  <c r="R10" i="7"/>
  <c r="R8" i="7"/>
  <c r="Q33" i="7"/>
  <c r="Q29" i="10"/>
  <c r="R15" i="7"/>
  <c r="Q15" i="10"/>
  <c r="R15" i="10" s="1"/>
  <c r="R58" i="7"/>
  <c r="Q58" i="10"/>
  <c r="R58" i="10" s="1"/>
  <c r="R84" i="7"/>
  <c r="Q84" i="10"/>
  <c r="R84" i="10" s="1"/>
  <c r="R13" i="10"/>
  <c r="R34" i="10"/>
  <c r="R14" i="7"/>
  <c r="Q14" i="10"/>
  <c r="R14" i="10" s="1"/>
  <c r="P18" i="10"/>
  <c r="R39" i="7"/>
  <c r="Q39" i="10"/>
  <c r="R39" i="10" s="1"/>
  <c r="R35" i="7"/>
  <c r="Q35" i="10"/>
  <c r="R35" i="10" s="1"/>
  <c r="Q11" i="7"/>
  <c r="Q12" i="7" s="1"/>
  <c r="Q6" i="10"/>
  <c r="M60" i="10"/>
  <c r="N28" i="10"/>
  <c r="R38" i="10"/>
  <c r="L45" i="10"/>
  <c r="M45" i="10" s="1"/>
  <c r="M28" i="10"/>
  <c r="O60" i="7"/>
  <c r="O53" i="10"/>
  <c r="Q17" i="7"/>
  <c r="R16" i="7"/>
  <c r="O25" i="7"/>
  <c r="O28" i="7" s="1"/>
  <c r="O45" i="7" s="1"/>
  <c r="Q37" i="7"/>
  <c r="R37" i="7" s="1"/>
  <c r="P2" i="5"/>
  <c r="P22" i="5" s="1"/>
  <c r="M60" i="7"/>
  <c r="R34" i="7"/>
  <c r="Q27" i="7"/>
  <c r="R26" i="7"/>
  <c r="Q54" i="7"/>
  <c r="R23" i="7"/>
  <c r="Q24" i="7"/>
  <c r="R24" i="7" s="1"/>
  <c r="R6" i="7"/>
  <c r="R13" i="7"/>
  <c r="R9" i="7"/>
  <c r="R29" i="7"/>
  <c r="R38" i="7"/>
  <c r="Q44" i="7"/>
  <c r="Q57" i="7" s="1"/>
  <c r="Q57" i="10" s="1"/>
  <c r="R57" i="10" s="1"/>
  <c r="M45" i="7"/>
  <c r="M47" i="7" s="1"/>
  <c r="J61" i="7"/>
  <c r="K61" i="7" s="1"/>
  <c r="L61" i="7" s="1"/>
  <c r="M61" i="7" s="1"/>
  <c r="N28" i="7"/>
  <c r="N45" i="7" s="1"/>
  <c r="E8" i="14" l="1"/>
  <c r="E12" i="14" a="1"/>
  <c r="E12" i="14" s="1"/>
  <c r="E10" i="14"/>
  <c r="S77" i="10"/>
  <c r="S81" i="10"/>
  <c r="S26" i="7"/>
  <c r="S26" i="10" s="1"/>
  <c r="S27" i="10" s="1"/>
  <c r="S6" i="7"/>
  <c r="S6" i="10" s="1"/>
  <c r="S29" i="7"/>
  <c r="S58" i="7"/>
  <c r="S58" i="10" s="1"/>
  <c r="U40" i="7"/>
  <c r="U40" i="10" s="1"/>
  <c r="U41" i="7"/>
  <c r="U41" i="10" s="1"/>
  <c r="U72" i="7"/>
  <c r="BH9" i="5" s="1"/>
  <c r="V68" i="7"/>
  <c r="S80" i="10"/>
  <c r="T86" i="7"/>
  <c r="T39" i="7" s="1"/>
  <c r="T83" i="7"/>
  <c r="T83" i="10" s="1"/>
  <c r="T88" i="7"/>
  <c r="T30" i="7" s="1"/>
  <c r="T30" i="10" s="1"/>
  <c r="T76" i="7"/>
  <c r="T79" i="7"/>
  <c r="T82" i="7"/>
  <c r="T90" i="7"/>
  <c r="T32" i="7" s="1"/>
  <c r="T32" i="10" s="1"/>
  <c r="T78" i="7"/>
  <c r="T8" i="7" s="1"/>
  <c r="T8" i="10" s="1"/>
  <c r="T80" i="7"/>
  <c r="T10" i="7" s="1"/>
  <c r="T10" i="10" s="1"/>
  <c r="T89" i="7"/>
  <c r="T31" i="7" s="1"/>
  <c r="T31" i="10" s="1"/>
  <c r="T19" i="7"/>
  <c r="T77" i="7"/>
  <c r="T7" i="7" s="1"/>
  <c r="T81" i="7"/>
  <c r="T13" i="7" s="1"/>
  <c r="T64" i="7"/>
  <c r="T85" i="7"/>
  <c r="T42" i="7" s="1"/>
  <c r="T42" i="10" s="1"/>
  <c r="T87" i="7"/>
  <c r="S15" i="7"/>
  <c r="S15" i="10" s="1"/>
  <c r="S14" i="7"/>
  <c r="S14" i="10" s="1"/>
  <c r="S9" i="7"/>
  <c r="S9" i="10" s="1"/>
  <c r="S84" i="7"/>
  <c r="S84" i="10" s="1"/>
  <c r="S78" i="10"/>
  <c r="S16" i="7"/>
  <c r="S16" i="10" s="1"/>
  <c r="S38" i="7"/>
  <c r="S38" i="10" s="1"/>
  <c r="S35" i="7"/>
  <c r="S35" i="10" s="1"/>
  <c r="S34" i="7"/>
  <c r="S34" i="10" s="1"/>
  <c r="S19" i="10"/>
  <c r="S23" i="10" s="1"/>
  <c r="S76" i="10"/>
  <c r="S7" i="10"/>
  <c r="S39" i="10"/>
  <c r="S82" i="10"/>
  <c r="Q17" i="10"/>
  <c r="Q18" i="10" s="1"/>
  <c r="R18" i="10" s="1"/>
  <c r="S24" i="7"/>
  <c r="Q11" i="10"/>
  <c r="R6" i="10"/>
  <c r="O60" i="10"/>
  <c r="R11" i="7"/>
  <c r="Q33" i="10"/>
  <c r="R33" i="10" s="1"/>
  <c r="R29" i="10"/>
  <c r="Q44" i="10"/>
  <c r="R44" i="10" s="1"/>
  <c r="M47" i="10"/>
  <c r="N59" i="10" s="1"/>
  <c r="P25" i="10"/>
  <c r="N45" i="10"/>
  <c r="R54" i="7"/>
  <c r="Q54" i="10"/>
  <c r="R54" i="10" s="1"/>
  <c r="Q37" i="10"/>
  <c r="R37" i="10" s="1"/>
  <c r="Q56" i="7"/>
  <c r="R33" i="7"/>
  <c r="Q52" i="7"/>
  <c r="Q52" i="10" s="1"/>
  <c r="R57" i="7"/>
  <c r="R44" i="7"/>
  <c r="Q55" i="7"/>
  <c r="R27" i="7"/>
  <c r="N59" i="7"/>
  <c r="Q18" i="7"/>
  <c r="Q53" i="7" s="1"/>
  <c r="Q53" i="10" s="1"/>
  <c r="R17" i="7"/>
  <c r="P25" i="7"/>
  <c r="P28" i="7" s="1"/>
  <c r="P45" i="7" s="1"/>
  <c r="P53" i="7"/>
  <c r="P53" i="10" s="1"/>
  <c r="P60" i="10" s="1"/>
  <c r="T35" i="7" l="1"/>
  <c r="T35" i="10" s="1"/>
  <c r="T38" i="7"/>
  <c r="T38" i="10" s="1"/>
  <c r="V41" i="7"/>
  <c r="V41" i="10" s="1"/>
  <c r="W41" i="10" s="1"/>
  <c r="V40" i="7"/>
  <c r="V40" i="10" s="1"/>
  <c r="W40" i="10" s="1"/>
  <c r="V72" i="7"/>
  <c r="BI9" i="5" s="1"/>
  <c r="U87" i="7"/>
  <c r="U76" i="7"/>
  <c r="U77" i="7"/>
  <c r="U7" i="7" s="1"/>
  <c r="U78" i="7"/>
  <c r="U8" i="7" s="1"/>
  <c r="U80" i="7"/>
  <c r="U10" i="7" s="1"/>
  <c r="U85" i="7"/>
  <c r="U42" i="7" s="1"/>
  <c r="U42" i="10" s="1"/>
  <c r="U19" i="7"/>
  <c r="U88" i="7"/>
  <c r="U83" i="7"/>
  <c r="U83" i="10" s="1"/>
  <c r="U81" i="7"/>
  <c r="U13" i="7" s="1"/>
  <c r="U82" i="7"/>
  <c r="U86" i="7"/>
  <c r="U39" i="7" s="1"/>
  <c r="U89" i="7"/>
  <c r="U31" i="7" s="1"/>
  <c r="U31" i="10" s="1"/>
  <c r="U79" i="7"/>
  <c r="U90" i="7"/>
  <c r="U32" i="7" s="1"/>
  <c r="U32" i="10" s="1"/>
  <c r="U64" i="7"/>
  <c r="T29" i="7"/>
  <c r="T58" i="7"/>
  <c r="T58" i="10" s="1"/>
  <c r="T15" i="7"/>
  <c r="T15" i="10" s="1"/>
  <c r="T14" i="7"/>
  <c r="T14" i="10" s="1"/>
  <c r="T9" i="7"/>
  <c r="T9" i="10" s="1"/>
  <c r="T84" i="7"/>
  <c r="T84" i="10" s="1"/>
  <c r="T26" i="7"/>
  <c r="T6" i="7"/>
  <c r="T16" i="7"/>
  <c r="T16" i="10" s="1"/>
  <c r="T79" i="10"/>
  <c r="T34" i="7"/>
  <c r="T34" i="10" s="1"/>
  <c r="S44" i="10"/>
  <c r="S11" i="10"/>
  <c r="S12" i="10" s="1"/>
  <c r="S27" i="7"/>
  <c r="S55" i="7" s="1"/>
  <c r="S55" i="10" s="1"/>
  <c r="S37" i="10"/>
  <c r="T80" i="10"/>
  <c r="W68" i="7"/>
  <c r="T39" i="10"/>
  <c r="S33" i="7"/>
  <c r="S56" i="7" s="1"/>
  <c r="S56" i="10" s="1"/>
  <c r="S29" i="10"/>
  <c r="S33" i="10" s="1"/>
  <c r="T82" i="10"/>
  <c r="S17" i="7"/>
  <c r="S18" i="7" s="1"/>
  <c r="S53" i="7" s="1"/>
  <c r="S53" i="10" s="1"/>
  <c r="T7" i="10"/>
  <c r="T77" i="10"/>
  <c r="T76" i="10"/>
  <c r="S11" i="7"/>
  <c r="S12" i="7" s="1"/>
  <c r="S52" i="7" s="1"/>
  <c r="S52" i="10" s="1"/>
  <c r="S37" i="7"/>
  <c r="T19" i="10"/>
  <c r="T23" i="10" s="1"/>
  <c r="T24" i="10" s="1"/>
  <c r="T23" i="7"/>
  <c r="S44" i="7"/>
  <c r="S57" i="7" s="1"/>
  <c r="S57" i="10" s="1"/>
  <c r="T78" i="10"/>
  <c r="U30" i="7"/>
  <c r="U30" i="10" s="1"/>
  <c r="T13" i="10"/>
  <c r="T81" i="10"/>
  <c r="R17" i="10"/>
  <c r="M48" i="10"/>
  <c r="M49" i="10" s="1"/>
  <c r="R53" i="10"/>
  <c r="R56" i="7"/>
  <c r="Q56" i="10"/>
  <c r="R56" i="10" s="1"/>
  <c r="R52" i="10"/>
  <c r="P28" i="10"/>
  <c r="Q12" i="10"/>
  <c r="R11" i="10"/>
  <c r="S17" i="10"/>
  <c r="R59" i="10"/>
  <c r="N60" i="10"/>
  <c r="N61" i="10" s="1"/>
  <c r="O61" i="10" s="1"/>
  <c r="P61" i="10" s="1"/>
  <c r="R55" i="7"/>
  <c r="Q55" i="10"/>
  <c r="R55" i="10" s="1"/>
  <c r="S24" i="10"/>
  <c r="M48" i="7"/>
  <c r="G2" i="5" s="1"/>
  <c r="G8" i="5" s="1"/>
  <c r="R12" i="7"/>
  <c r="N60" i="7"/>
  <c r="N61" i="7" s="1"/>
  <c r="R59" i="7"/>
  <c r="R18" i="7"/>
  <c r="Q25" i="7"/>
  <c r="Q28" i="7" s="1"/>
  <c r="Q45" i="7" s="1"/>
  <c r="R45" i="7" s="1"/>
  <c r="R47" i="7" s="1"/>
  <c r="R53" i="7"/>
  <c r="P60" i="7"/>
  <c r="R52" i="7"/>
  <c r="Q60" i="7"/>
  <c r="X68" i="7" l="1"/>
  <c r="Y68" i="7" s="1"/>
  <c r="U84" i="7"/>
  <c r="U84" i="10" s="1"/>
  <c r="U9" i="7"/>
  <c r="U9" i="10" s="1"/>
  <c r="U38" i="7"/>
  <c r="U35" i="7"/>
  <c r="U35" i="10" s="1"/>
  <c r="U26" i="7"/>
  <c r="U6" i="7"/>
  <c r="U16" i="7"/>
  <c r="U16" i="10" s="1"/>
  <c r="U14" i="7"/>
  <c r="U14" i="10" s="1"/>
  <c r="U15" i="7"/>
  <c r="U15" i="10" s="1"/>
  <c r="U29" i="7"/>
  <c r="U58" i="7"/>
  <c r="U58" i="10" s="1"/>
  <c r="V87" i="7"/>
  <c r="V76" i="7"/>
  <c r="V77" i="7"/>
  <c r="V7" i="7" s="1"/>
  <c r="V78" i="7"/>
  <c r="V8" i="7" s="1"/>
  <c r="V81" i="7"/>
  <c r="V13" i="7" s="1"/>
  <c r="V89" i="7"/>
  <c r="V31" i="7" s="1"/>
  <c r="W31" i="7" s="1"/>
  <c r="V83" i="7"/>
  <c r="V83" i="10" s="1"/>
  <c r="W83" i="10" s="1"/>
  <c r="V19" i="7"/>
  <c r="V85" i="7"/>
  <c r="V42" i="7" s="1"/>
  <c r="V64" i="7"/>
  <c r="W64" i="7" s="1"/>
  <c r="Y2" i="5" s="1"/>
  <c r="Y8" i="5" s="1"/>
  <c r="V88" i="7"/>
  <c r="V30" i="7" s="1"/>
  <c r="W30" i="7" s="1"/>
  <c r="V82" i="7"/>
  <c r="V80" i="7"/>
  <c r="V10" i="7" s="1"/>
  <c r="V79" i="7"/>
  <c r="V90" i="7"/>
  <c r="V32" i="7" s="1"/>
  <c r="V86" i="7"/>
  <c r="V39" i="7" s="1"/>
  <c r="U34" i="7"/>
  <c r="T37" i="10"/>
  <c r="S25" i="7"/>
  <c r="S28" i="7" s="1"/>
  <c r="S45" i="7" s="1"/>
  <c r="T17" i="10"/>
  <c r="T18" i="10" s="1"/>
  <c r="T37" i="7"/>
  <c r="U8" i="10"/>
  <c r="U78" i="10"/>
  <c r="U7" i="10"/>
  <c r="U77" i="10"/>
  <c r="U81" i="10"/>
  <c r="W41" i="7"/>
  <c r="T44" i="10"/>
  <c r="U79" i="10"/>
  <c r="T44" i="7"/>
  <c r="T57" i="7" s="1"/>
  <c r="T57" i="10" s="1"/>
  <c r="T24" i="7"/>
  <c r="T54" i="7"/>
  <c r="T54" i="10" s="1"/>
  <c r="T6" i="10"/>
  <c r="T11" i="10" s="1"/>
  <c r="T12" i="10" s="1"/>
  <c r="T11" i="7"/>
  <c r="T12" i="7" s="1"/>
  <c r="T52" i="7" s="1"/>
  <c r="T52" i="10" s="1"/>
  <c r="T29" i="10"/>
  <c r="T33" i="10" s="1"/>
  <c r="T33" i="7"/>
  <c r="T56" i="7" s="1"/>
  <c r="T56" i="10" s="1"/>
  <c r="U10" i="10"/>
  <c r="U80" i="10"/>
  <c r="T27" i="7"/>
  <c r="T55" i="7" s="1"/>
  <c r="T55" i="10" s="1"/>
  <c r="T26" i="10"/>
  <c r="T27" i="10" s="1"/>
  <c r="U76" i="10"/>
  <c r="U23" i="7"/>
  <c r="U19" i="10"/>
  <c r="U23" i="10" s="1"/>
  <c r="U24" i="10" s="1"/>
  <c r="U82" i="10"/>
  <c r="W72" i="7"/>
  <c r="T17" i="7"/>
  <c r="T18" i="7" s="1"/>
  <c r="T53" i="7" s="1"/>
  <c r="T53" i="10" s="1"/>
  <c r="U39" i="10"/>
  <c r="W40" i="7"/>
  <c r="S18" i="10"/>
  <c r="S25" i="10" s="1"/>
  <c r="Q60" i="10"/>
  <c r="R60" i="10" s="1"/>
  <c r="R12" i="10"/>
  <c r="Q25" i="10"/>
  <c r="P45" i="10"/>
  <c r="M49" i="7"/>
  <c r="D12" i="14" s="1" a="1"/>
  <c r="D12" i="14" s="1"/>
  <c r="F12" i="14" s="1"/>
  <c r="R25" i="7"/>
  <c r="R28" i="7"/>
  <c r="S59" i="7"/>
  <c r="R60" i="7"/>
  <c r="O61" i="7"/>
  <c r="P61" i="7" s="1"/>
  <c r="Q61" i="7" s="1"/>
  <c r="R61" i="7" s="1"/>
  <c r="V31" i="10" l="1"/>
  <c r="W31" i="10" s="1"/>
  <c r="V9" i="7"/>
  <c r="V84" i="7"/>
  <c r="V16" i="7"/>
  <c r="V14" i="7"/>
  <c r="V15" i="7"/>
  <c r="V26" i="7"/>
  <c r="V6" i="7"/>
  <c r="V29" i="7"/>
  <c r="V58" i="7"/>
  <c r="Y40" i="7"/>
  <c r="Y40" i="10" s="1"/>
  <c r="Y72" i="7"/>
  <c r="BK9" i="5" s="1"/>
  <c r="Y41" i="7"/>
  <c r="Y41" i="10" s="1"/>
  <c r="Z68" i="7"/>
  <c r="V30" i="10"/>
  <c r="W30" i="10" s="1"/>
  <c r="V38" i="7"/>
  <c r="V35" i="7"/>
  <c r="X40" i="7"/>
  <c r="X40" i="10" s="1"/>
  <c r="X72" i="7"/>
  <c r="BJ9" i="5" s="1"/>
  <c r="X41" i="7"/>
  <c r="X41" i="10" s="1"/>
  <c r="T25" i="10"/>
  <c r="T28" i="10" s="1"/>
  <c r="T45" i="10" s="1"/>
  <c r="V34" i="7"/>
  <c r="W34" i="7" s="1"/>
  <c r="W83" i="7"/>
  <c r="W88" i="7"/>
  <c r="AO3" i="5" s="1"/>
  <c r="AR28" i="5" s="1"/>
  <c r="U38" i="10"/>
  <c r="U44" i="7"/>
  <c r="U57" i="7" s="1"/>
  <c r="U57" i="10" s="1"/>
  <c r="W90" i="7"/>
  <c r="AO5" i="5" s="1"/>
  <c r="AR30" i="5" s="1"/>
  <c r="U13" i="10"/>
  <c r="U17" i="7"/>
  <c r="U18" i="7" s="1"/>
  <c r="U53" i="7" s="1"/>
  <c r="W77" i="7"/>
  <c r="Q3" i="5" s="1"/>
  <c r="Q23" i="5" s="1"/>
  <c r="V77" i="10"/>
  <c r="W77" i="10" s="1"/>
  <c r="W82" i="7"/>
  <c r="V82" i="10"/>
  <c r="W82" i="10" s="1"/>
  <c r="W86" i="7"/>
  <c r="AG2" i="5" s="1"/>
  <c r="AJ22" i="5" s="1"/>
  <c r="W85" i="7"/>
  <c r="AG3" i="5" s="1"/>
  <c r="AJ23" i="5" s="1"/>
  <c r="U24" i="7"/>
  <c r="U54" i="7"/>
  <c r="U54" i="10" s="1"/>
  <c r="U34" i="10"/>
  <c r="U37" i="7"/>
  <c r="W80" i="7"/>
  <c r="V80" i="10"/>
  <c r="W80" i="10" s="1"/>
  <c r="V19" i="10"/>
  <c r="V23" i="10" s="1"/>
  <c r="V24" i="10" s="1"/>
  <c r="W24" i="10" s="1"/>
  <c r="V23" i="7"/>
  <c r="U26" i="10"/>
  <c r="U27" i="10" s="1"/>
  <c r="U27" i="7"/>
  <c r="U55" i="7" s="1"/>
  <c r="U55" i="10" s="1"/>
  <c r="U33" i="7"/>
  <c r="U56" i="7" s="1"/>
  <c r="U56" i="10" s="1"/>
  <c r="U29" i="10"/>
  <c r="T25" i="7"/>
  <c r="T28" i="7" s="1"/>
  <c r="T45" i="7" s="1"/>
  <c r="W89" i="7"/>
  <c r="AO4" i="5" s="1"/>
  <c r="AR29" i="5" s="1"/>
  <c r="V8" i="10"/>
  <c r="W8" i="10" s="1"/>
  <c r="W78" i="7"/>
  <c r="Q4" i="5" s="1"/>
  <c r="Q24" i="5" s="1"/>
  <c r="V78" i="10"/>
  <c r="W78" i="10" s="1"/>
  <c r="W79" i="7"/>
  <c r="V79" i="10"/>
  <c r="W79" i="10" s="1"/>
  <c r="W87" i="7"/>
  <c r="AO2" i="5" s="1"/>
  <c r="AR27" i="5" s="1"/>
  <c r="U6" i="10"/>
  <c r="U11" i="10" s="1"/>
  <c r="U12" i="10" s="1"/>
  <c r="U11" i="7"/>
  <c r="U12" i="7" s="1"/>
  <c r="U52" i="7" s="1"/>
  <c r="U52" i="10" s="1"/>
  <c r="V81" i="10"/>
  <c r="W81" i="10" s="1"/>
  <c r="W81" i="7"/>
  <c r="W76" i="7"/>
  <c r="V76" i="10"/>
  <c r="W76" i="10" s="1"/>
  <c r="W19" i="7"/>
  <c r="Q61" i="10"/>
  <c r="Q28" i="10"/>
  <c r="R25" i="10"/>
  <c r="T60" i="10"/>
  <c r="S28" i="10"/>
  <c r="R48" i="7"/>
  <c r="R49" i="7" s="1"/>
  <c r="W59" i="7"/>
  <c r="S60" i="7"/>
  <c r="T60" i="7"/>
  <c r="X88" i="7" l="1"/>
  <c r="X78" i="7"/>
  <c r="X8" i="7" s="1"/>
  <c r="X80" i="7"/>
  <c r="X10" i="7" s="1"/>
  <c r="X64" i="7"/>
  <c r="X85" i="7"/>
  <c r="X42" i="7" s="1"/>
  <c r="X42" i="10" s="1"/>
  <c r="X79" i="7"/>
  <c r="X81" i="7"/>
  <c r="X13" i="7" s="1"/>
  <c r="X83" i="7"/>
  <c r="X83" i="10" s="1"/>
  <c r="X90" i="7"/>
  <c r="X32" i="7" s="1"/>
  <c r="X32" i="10" s="1"/>
  <c r="X76" i="7"/>
  <c r="X82" i="7"/>
  <c r="X89" i="7"/>
  <c r="X31" i="7" s="1"/>
  <c r="X31" i="10" s="1"/>
  <c r="X87" i="7"/>
  <c r="X19" i="7"/>
  <c r="X86" i="7"/>
  <c r="X77" i="7"/>
  <c r="X7" i="7" s="1"/>
  <c r="Z72" i="7"/>
  <c r="BL9" i="5" s="1"/>
  <c r="Z41" i="7"/>
  <c r="Z41" i="10" s="1"/>
  <c r="Z40" i="7"/>
  <c r="Z40" i="10" s="1"/>
  <c r="AA68" i="7"/>
  <c r="Y88" i="7"/>
  <c r="Y78" i="7"/>
  <c r="Y8" i="7" s="1"/>
  <c r="Y80" i="7"/>
  <c r="Y10" i="7" s="1"/>
  <c r="Y87" i="7"/>
  <c r="Y64" i="7"/>
  <c r="Y79" i="7"/>
  <c r="Y82" i="7"/>
  <c r="Y81" i="7"/>
  <c r="Y13" i="7" s="1"/>
  <c r="Y86" i="7"/>
  <c r="Y39" i="7" s="1"/>
  <c r="Y90" i="7"/>
  <c r="Y32" i="7" s="1"/>
  <c r="Y32" i="10" s="1"/>
  <c r="Y77" i="7"/>
  <c r="Y7" i="7" s="1"/>
  <c r="Y83" i="7"/>
  <c r="Y83" i="10" s="1"/>
  <c r="Y89" i="7"/>
  <c r="Y31" i="7" s="1"/>
  <c r="Y31" i="10" s="1"/>
  <c r="Y85" i="7"/>
  <c r="Y42" i="7" s="1"/>
  <c r="Y42" i="10" s="1"/>
  <c r="Y19" i="7"/>
  <c r="Y76" i="7"/>
  <c r="Q2" i="5"/>
  <c r="Q22" i="5" s="1"/>
  <c r="W23" i="10"/>
  <c r="U25" i="7"/>
  <c r="U28" i="7" s="1"/>
  <c r="U45" i="7" s="1"/>
  <c r="W19" i="10"/>
  <c r="V38" i="10"/>
  <c r="W38" i="10" s="1"/>
  <c r="W38" i="7"/>
  <c r="V44" i="7"/>
  <c r="V7" i="10"/>
  <c r="W7" i="10" s="1"/>
  <c r="W7" i="7"/>
  <c r="U44" i="10"/>
  <c r="W9" i="7"/>
  <c r="V9" i="10"/>
  <c r="W9" i="10" s="1"/>
  <c r="V35" i="10"/>
  <c r="W35" i="10" s="1"/>
  <c r="W35" i="7"/>
  <c r="X30" i="7"/>
  <c r="X30" i="10" s="1"/>
  <c r="V13" i="10"/>
  <c r="W13" i="10" s="1"/>
  <c r="V17" i="7"/>
  <c r="W13" i="7"/>
  <c r="W84" i="7"/>
  <c r="V84" i="10"/>
  <c r="W84" i="10" s="1"/>
  <c r="V29" i="10"/>
  <c r="W29" i="7"/>
  <c r="V33" i="7"/>
  <c r="W8" i="7"/>
  <c r="V6" i="10"/>
  <c r="V11" i="7"/>
  <c r="V10" i="10"/>
  <c r="W10" i="10" s="1"/>
  <c r="W10" i="7"/>
  <c r="V14" i="10"/>
  <c r="W14" i="10" s="1"/>
  <c r="W14" i="7"/>
  <c r="U17" i="10"/>
  <c r="U18" i="10" s="1"/>
  <c r="U25" i="10" s="1"/>
  <c r="V16" i="10"/>
  <c r="W16" i="10" s="1"/>
  <c r="W16" i="7"/>
  <c r="V34" i="10"/>
  <c r="W34" i="10" s="1"/>
  <c r="V37" i="7"/>
  <c r="W37" i="7" s="1"/>
  <c r="V54" i="7"/>
  <c r="W23" i="7"/>
  <c r="V24" i="7"/>
  <c r="W24" i="7" s="1"/>
  <c r="V42" i="10"/>
  <c r="W42" i="10" s="1"/>
  <c r="W42" i="7"/>
  <c r="W32" i="7"/>
  <c r="V32" i="10"/>
  <c r="W32" i="10" s="1"/>
  <c r="W39" i="7"/>
  <c r="V39" i="10"/>
  <c r="W39" i="10" s="1"/>
  <c r="W6" i="7"/>
  <c r="V27" i="7"/>
  <c r="V55" i="7" s="1"/>
  <c r="V26" i="10"/>
  <c r="W58" i="7"/>
  <c r="V58" i="10"/>
  <c r="W58" i="10" s="1"/>
  <c r="U33" i="10"/>
  <c r="U37" i="10"/>
  <c r="W15" i="7"/>
  <c r="V15" i="10"/>
  <c r="W15" i="10" s="1"/>
  <c r="W26" i="7"/>
  <c r="Q45" i="10"/>
  <c r="R45" i="10" s="1"/>
  <c r="R28" i="10"/>
  <c r="U60" i="7"/>
  <c r="U53" i="10"/>
  <c r="R61" i="10"/>
  <c r="S45" i="10"/>
  <c r="H2" i="5"/>
  <c r="H8" i="5" s="1"/>
  <c r="S61" i="7"/>
  <c r="Y26" i="7" l="1"/>
  <c r="Y6" i="7"/>
  <c r="Y16" i="7"/>
  <c r="Y16" i="10" s="1"/>
  <c r="Y84" i="7"/>
  <c r="Y84" i="10" s="1"/>
  <c r="Y9" i="7"/>
  <c r="Y9" i="10" s="1"/>
  <c r="X84" i="7"/>
  <c r="X84" i="10" s="1"/>
  <c r="X9" i="7"/>
  <c r="X9" i="10" s="1"/>
  <c r="AA72" i="7"/>
  <c r="BM9" i="5" s="1"/>
  <c r="AA41" i="7"/>
  <c r="AA40" i="7"/>
  <c r="X26" i="7"/>
  <c r="X6" i="7"/>
  <c r="Y35" i="7"/>
  <c r="Y35" i="10" s="1"/>
  <c r="Y38" i="7"/>
  <c r="X16" i="7"/>
  <c r="X16" i="10" s="1"/>
  <c r="Y15" i="7"/>
  <c r="Y15" i="10" s="1"/>
  <c r="Y14" i="7"/>
  <c r="Y14" i="10" s="1"/>
  <c r="Z79" i="7"/>
  <c r="Z81" i="7"/>
  <c r="Z13" i="7" s="1"/>
  <c r="Z64" i="7"/>
  <c r="Z86" i="7"/>
  <c r="Z77" i="7"/>
  <c r="Z7" i="7" s="1"/>
  <c r="Z80" i="7"/>
  <c r="Z10" i="7" s="1"/>
  <c r="Z19" i="7"/>
  <c r="Z88" i="7"/>
  <c r="Z30" i="7" s="1"/>
  <c r="Z30" i="10" s="1"/>
  <c r="Z87" i="7"/>
  <c r="Z90" i="7"/>
  <c r="Z32" i="7" s="1"/>
  <c r="Z32" i="10" s="1"/>
  <c r="Z76" i="7"/>
  <c r="Z78" i="7"/>
  <c r="Z8" i="7" s="1"/>
  <c r="Z83" i="7"/>
  <c r="Z83" i="10" s="1"/>
  <c r="Z82" i="7"/>
  <c r="Z85" i="7"/>
  <c r="Z42" i="7" s="1"/>
  <c r="Z42" i="10" s="1"/>
  <c r="Z89" i="7"/>
  <c r="Z31" i="7" s="1"/>
  <c r="Z31" i="10" s="1"/>
  <c r="X35" i="7"/>
  <c r="X35" i="10" s="1"/>
  <c r="X38" i="7"/>
  <c r="Y29" i="7"/>
  <c r="Y58" i="7"/>
  <c r="Y58" i="10" s="1"/>
  <c r="X39" i="7"/>
  <c r="X39" i="10" s="1"/>
  <c r="X29" i="7"/>
  <c r="X58" i="7"/>
  <c r="X58" i="10" s="1"/>
  <c r="X14" i="7"/>
  <c r="X14" i="10" s="1"/>
  <c r="X15" i="7"/>
  <c r="X15" i="10" s="1"/>
  <c r="Y34" i="7"/>
  <c r="X34" i="7"/>
  <c r="V33" i="10"/>
  <c r="W33" i="10" s="1"/>
  <c r="Y30" i="7"/>
  <c r="Y30" i="10" s="1"/>
  <c r="Y8" i="10"/>
  <c r="Y78" i="10"/>
  <c r="V54" i="10"/>
  <c r="W54" i="10" s="1"/>
  <c r="W54" i="7"/>
  <c r="X79" i="10"/>
  <c r="V12" i="7"/>
  <c r="W11" i="7"/>
  <c r="Y82" i="10"/>
  <c r="Y79" i="10"/>
  <c r="Z39" i="7"/>
  <c r="V18" i="7"/>
  <c r="W17" i="7"/>
  <c r="X7" i="10"/>
  <c r="X77" i="10"/>
  <c r="W29" i="10"/>
  <c r="V17" i="10"/>
  <c r="W26" i="10"/>
  <c r="V27" i="10"/>
  <c r="W27" i="10" s="1"/>
  <c r="V56" i="7"/>
  <c r="W33" i="7"/>
  <c r="X82" i="10"/>
  <c r="X10" i="10"/>
  <c r="X80" i="10"/>
  <c r="W27" i="7"/>
  <c r="V57" i="7"/>
  <c r="W44" i="7"/>
  <c r="Y39" i="10"/>
  <c r="Y10" i="10"/>
  <c r="Y80" i="10"/>
  <c r="AB68" i="7"/>
  <c r="X8" i="10"/>
  <c r="X78" i="10"/>
  <c r="X76" i="10"/>
  <c r="Y7" i="10"/>
  <c r="Y77" i="10"/>
  <c r="Y23" i="7"/>
  <c r="Y19" i="10"/>
  <c r="Y23" i="10" s="1"/>
  <c r="Y24" i="10" s="1"/>
  <c r="V55" i="10"/>
  <c r="W55" i="10" s="1"/>
  <c r="W55" i="7"/>
  <c r="Y76" i="10"/>
  <c r="Y81" i="10"/>
  <c r="X81" i="10"/>
  <c r="V37" i="10"/>
  <c r="W37" i="10" s="1"/>
  <c r="W6" i="10"/>
  <c r="V11" i="10"/>
  <c r="X19" i="10"/>
  <c r="X23" i="10" s="1"/>
  <c r="X24" i="10" s="1"/>
  <c r="X23" i="7"/>
  <c r="V44" i="10"/>
  <c r="W44" i="10" s="1"/>
  <c r="U60" i="10"/>
  <c r="R47" i="10"/>
  <c r="S59" i="10" s="1"/>
  <c r="U28" i="10"/>
  <c r="T61" i="7"/>
  <c r="U61" i="7" s="1"/>
  <c r="Z6" i="7" l="1"/>
  <c r="Z16" i="7"/>
  <c r="Z16" i="10" s="1"/>
  <c r="Z26" i="7"/>
  <c r="Z9" i="7"/>
  <c r="Z9" i="10" s="1"/>
  <c r="Z84" i="7"/>
  <c r="Z84" i="10" s="1"/>
  <c r="AA79" i="7"/>
  <c r="AA81" i="7"/>
  <c r="AA13" i="7" s="1"/>
  <c r="AA64" i="7"/>
  <c r="AB64" i="7" s="1"/>
  <c r="Z2" i="5" s="1"/>
  <c r="Z8" i="5" s="1"/>
  <c r="AA86" i="7"/>
  <c r="AA77" i="7"/>
  <c r="AA7" i="7" s="1"/>
  <c r="AA80" i="7"/>
  <c r="AA10" i="7" s="1"/>
  <c r="AA90" i="7"/>
  <c r="AA32" i="7" s="1"/>
  <c r="AA88" i="7"/>
  <c r="AA76" i="7"/>
  <c r="AA89" i="7"/>
  <c r="AA31" i="7" s="1"/>
  <c r="AA82" i="7"/>
  <c r="AA85" i="7"/>
  <c r="AA42" i="7" s="1"/>
  <c r="AA19" i="7"/>
  <c r="AA87" i="7"/>
  <c r="AA78" i="7"/>
  <c r="AA8" i="7" s="1"/>
  <c r="AA83" i="7"/>
  <c r="AA83" i="10" s="1"/>
  <c r="AB83" i="10" s="1"/>
  <c r="Z29" i="7"/>
  <c r="Z58" i="7"/>
  <c r="Z58" i="10" s="1"/>
  <c r="AI68" i="7"/>
  <c r="AH68" i="7"/>
  <c r="AD68" i="7"/>
  <c r="AK68" i="7"/>
  <c r="AF68" i="7"/>
  <c r="AE68" i="7"/>
  <c r="AJ68" i="7"/>
  <c r="AC68" i="7"/>
  <c r="Z15" i="7"/>
  <c r="Z15" i="10" s="1"/>
  <c r="Z14" i="7"/>
  <c r="Z14" i="10" s="1"/>
  <c r="Z38" i="7"/>
  <c r="Z35" i="7"/>
  <c r="Z35" i="10" s="1"/>
  <c r="Z34" i="7"/>
  <c r="AB72" i="7"/>
  <c r="V53" i="7"/>
  <c r="W18" i="7"/>
  <c r="V25" i="7"/>
  <c r="AA40" i="10"/>
  <c r="AB40" i="10" s="1"/>
  <c r="AB40" i="7"/>
  <c r="Z10" i="10"/>
  <c r="Z80" i="10"/>
  <c r="V18" i="10"/>
  <c r="W17" i="10"/>
  <c r="Z7" i="10"/>
  <c r="Z77" i="10"/>
  <c r="X34" i="10"/>
  <c r="X37" i="10" s="1"/>
  <c r="X37" i="7"/>
  <c r="Z82" i="10"/>
  <c r="Z39" i="10"/>
  <c r="Y38" i="10"/>
  <c r="Y44" i="10" s="1"/>
  <c r="Y44" i="7"/>
  <c r="Y57" i="7" s="1"/>
  <c r="Y57" i="10" s="1"/>
  <c r="Z76" i="10"/>
  <c r="Z23" i="7"/>
  <c r="Z19" i="10"/>
  <c r="Z23" i="10" s="1"/>
  <c r="Z24" i="10" s="1"/>
  <c r="Y29" i="10"/>
  <c r="Y33" i="10" s="1"/>
  <c r="Y33" i="7"/>
  <c r="Y56" i="7" s="1"/>
  <c r="Y56" i="10" s="1"/>
  <c r="X13" i="10"/>
  <c r="X17" i="10" s="1"/>
  <c r="X18" i="10" s="1"/>
  <c r="X17" i="7"/>
  <c r="X18" i="7" s="1"/>
  <c r="X53" i="7" s="1"/>
  <c r="X53" i="10" s="1"/>
  <c r="Y24" i="7"/>
  <c r="Y54" i="7"/>
  <c r="Y54" i="10" s="1"/>
  <c r="AA41" i="10"/>
  <c r="AB41" i="10" s="1"/>
  <c r="AB41" i="7"/>
  <c r="W56" i="7"/>
  <c r="V56" i="10"/>
  <c r="W56" i="10" s="1"/>
  <c r="Y13" i="10"/>
  <c r="Y17" i="10" s="1"/>
  <c r="Y18" i="10" s="1"/>
  <c r="Y17" i="7"/>
  <c r="Y18" i="7" s="1"/>
  <c r="V57" i="10"/>
  <c r="W57" i="10" s="1"/>
  <c r="W57" i="7"/>
  <c r="Z8" i="10"/>
  <c r="Z78" i="10"/>
  <c r="X24" i="7"/>
  <c r="X54" i="7"/>
  <c r="X54" i="10" s="1"/>
  <c r="Y27" i="7"/>
  <c r="Y55" i="7" s="1"/>
  <c r="Y55" i="10" s="1"/>
  <c r="Y26" i="10"/>
  <c r="Y27" i="10" s="1"/>
  <c r="X27" i="7"/>
  <c r="X55" i="7" s="1"/>
  <c r="X55" i="10" s="1"/>
  <c r="X26" i="10"/>
  <c r="X27" i="10" s="1"/>
  <c r="X33" i="7"/>
  <c r="X56" i="7" s="1"/>
  <c r="X56" i="10" s="1"/>
  <c r="X29" i="10"/>
  <c r="X33" i="10" s="1"/>
  <c r="X38" i="10"/>
  <c r="X44" i="10" s="1"/>
  <c r="X44" i="7"/>
  <c r="X57" i="7" s="1"/>
  <c r="X57" i="10" s="1"/>
  <c r="Z79" i="10"/>
  <c r="V52" i="7"/>
  <c r="W12" i="7"/>
  <c r="V12" i="10"/>
  <c r="W12" i="10" s="1"/>
  <c r="W11" i="10"/>
  <c r="Y6" i="10"/>
  <c r="Y11" i="10" s="1"/>
  <c r="Y12" i="10" s="1"/>
  <c r="Y11" i="7"/>
  <c r="Y12" i="7" s="1"/>
  <c r="Y52" i="7" s="1"/>
  <c r="Y52" i="10" s="1"/>
  <c r="X6" i="10"/>
  <c r="X11" i="10" s="1"/>
  <c r="X12" i="10" s="1"/>
  <c r="X11" i="7"/>
  <c r="X12" i="7" s="1"/>
  <c r="X52" i="7" s="1"/>
  <c r="X52" i="10" s="1"/>
  <c r="Z81" i="10"/>
  <c r="Y34" i="10"/>
  <c r="Y37" i="10" s="1"/>
  <c r="Y37" i="7"/>
  <c r="R48" i="10"/>
  <c r="R49" i="10" s="1"/>
  <c r="W59" i="10"/>
  <c r="S60" i="10"/>
  <c r="S61" i="10" s="1"/>
  <c r="T61" i="10" s="1"/>
  <c r="U61" i="10" s="1"/>
  <c r="U45" i="10"/>
  <c r="AJ40" i="7" l="1"/>
  <c r="AJ40" i="10" s="1"/>
  <c r="AJ41" i="7"/>
  <c r="AJ41" i="10" s="1"/>
  <c r="AJ72" i="7"/>
  <c r="BT9" i="5" s="1"/>
  <c r="AE72" i="7"/>
  <c r="BP9" i="5" s="1"/>
  <c r="AE40" i="7"/>
  <c r="AE40" i="10" s="1"/>
  <c r="AE41" i="7"/>
  <c r="AE41" i="10" s="1"/>
  <c r="AA29" i="7"/>
  <c r="AB29" i="7" s="1"/>
  <c r="AA58" i="7"/>
  <c r="AA38" i="7"/>
  <c r="AB38" i="7" s="1"/>
  <c r="AA35" i="7"/>
  <c r="AB87" i="7"/>
  <c r="AP2" i="5" s="1"/>
  <c r="AT27" i="5" s="1"/>
  <c r="AA39" i="7"/>
  <c r="AF72" i="7"/>
  <c r="BQ9" i="5" s="1"/>
  <c r="AF41" i="7"/>
  <c r="AF41" i="10" s="1"/>
  <c r="AF40" i="7"/>
  <c r="AF40" i="10" s="1"/>
  <c r="AK40" i="7"/>
  <c r="AK40" i="10" s="1"/>
  <c r="AK41" i="7"/>
  <c r="AK41" i="10" s="1"/>
  <c r="AK72" i="7"/>
  <c r="BU9" i="5" s="1"/>
  <c r="AD40" i="7"/>
  <c r="AD40" i="10" s="1"/>
  <c r="AD41" i="7"/>
  <c r="AD41" i="10" s="1"/>
  <c r="AD72" i="7"/>
  <c r="BO9" i="5" s="1"/>
  <c r="AA14" i="7"/>
  <c r="AA15" i="7"/>
  <c r="AA15" i="10" s="1"/>
  <c r="AB15" i="10" s="1"/>
  <c r="AA9" i="7"/>
  <c r="AA84" i="7"/>
  <c r="AH72" i="7"/>
  <c r="BR9" i="5" s="1"/>
  <c r="AI40" i="7"/>
  <c r="AI40" i="10" s="1"/>
  <c r="AI41" i="7"/>
  <c r="AI41" i="10" s="1"/>
  <c r="AI72" i="7"/>
  <c r="BS9" i="5" s="1"/>
  <c r="AA26" i="7"/>
  <c r="AB26" i="7" s="1"/>
  <c r="AA16" i="7"/>
  <c r="AA6" i="7"/>
  <c r="AB6" i="7" s="1"/>
  <c r="AC40" i="7"/>
  <c r="AC41" i="7"/>
  <c r="AC72" i="7"/>
  <c r="BN9" i="5" s="1"/>
  <c r="AA34" i="7"/>
  <c r="AB34" i="7" s="1"/>
  <c r="AB86" i="7"/>
  <c r="AH2" i="5" s="1"/>
  <c r="AL22" i="5" s="1"/>
  <c r="Y25" i="7"/>
  <c r="Y28" i="7" s="1"/>
  <c r="Y45" i="7" s="1"/>
  <c r="Y25" i="10"/>
  <c r="Y28" i="10" s="1"/>
  <c r="Y45" i="10" s="1"/>
  <c r="Z27" i="7"/>
  <c r="Z55" i="7" s="1"/>
  <c r="Z55" i="10" s="1"/>
  <c r="Z26" i="10"/>
  <c r="Z27" i="10" s="1"/>
  <c r="AG68" i="7"/>
  <c r="AH40" i="7" s="1"/>
  <c r="AB82" i="7"/>
  <c r="AA82" i="10"/>
  <c r="AB82" i="10" s="1"/>
  <c r="Z6" i="10"/>
  <c r="Z11" i="7"/>
  <c r="Z12" i="7" s="1"/>
  <c r="Z52" i="7" s="1"/>
  <c r="Z52" i="10" s="1"/>
  <c r="AL68" i="7"/>
  <c r="Z33" i="7"/>
  <c r="Z56" i="7" s="1"/>
  <c r="Z56" i="10" s="1"/>
  <c r="Z29" i="10"/>
  <c r="Z33" i="10" s="1"/>
  <c r="AA76" i="10"/>
  <c r="AB76" i="10" s="1"/>
  <c r="AB76" i="7"/>
  <c r="Z34" i="10"/>
  <c r="Z37" i="10" s="1"/>
  <c r="Z37" i="7"/>
  <c r="AB90" i="7"/>
  <c r="AP5" i="5" s="1"/>
  <c r="AT30" i="5" s="1"/>
  <c r="AA10" i="10"/>
  <c r="AB10" i="10" s="1"/>
  <c r="AA80" i="10"/>
  <c r="AB80" i="10" s="1"/>
  <c r="AB80" i="7"/>
  <c r="Z38" i="10"/>
  <c r="Z44" i="7"/>
  <c r="Z57" i="7" s="1"/>
  <c r="Z57" i="10" s="1"/>
  <c r="AA77" i="10"/>
  <c r="AB77" i="10" s="1"/>
  <c r="AB77" i="7"/>
  <c r="R3" i="5" s="1"/>
  <c r="R23" i="5" s="1"/>
  <c r="Y53" i="7"/>
  <c r="Y60" i="7" s="1"/>
  <c r="Z54" i="7"/>
  <c r="Z54" i="10" s="1"/>
  <c r="Z24" i="7"/>
  <c r="V53" i="10"/>
  <c r="W53" i="10" s="1"/>
  <c r="W53" i="7"/>
  <c r="AA30" i="7"/>
  <c r="AB88" i="7"/>
  <c r="AP3" i="5" s="1"/>
  <c r="AT28" i="5" s="1"/>
  <c r="AA81" i="10"/>
  <c r="AB81" i="10" s="1"/>
  <c r="AB81" i="7"/>
  <c r="AA31" i="10"/>
  <c r="AB31" i="10" s="1"/>
  <c r="AB31" i="7"/>
  <c r="AB78" i="7"/>
  <c r="R4" i="5" s="1"/>
  <c r="R24" i="5" s="1"/>
  <c r="AA78" i="10"/>
  <c r="AB78" i="10" s="1"/>
  <c r="AB89" i="7"/>
  <c r="AP4" i="5" s="1"/>
  <c r="AT29" i="5" s="1"/>
  <c r="Z13" i="10"/>
  <c r="Z17" i="10" s="1"/>
  <c r="Z17" i="7"/>
  <c r="Z18" i="7" s="1"/>
  <c r="AB83" i="7"/>
  <c r="X25" i="10"/>
  <c r="X28" i="10" s="1"/>
  <c r="X45" i="10" s="1"/>
  <c r="W18" i="10"/>
  <c r="V25" i="10"/>
  <c r="AA23" i="7"/>
  <c r="AA19" i="10"/>
  <c r="AA79" i="10"/>
  <c r="AB79" i="10" s="1"/>
  <c r="AB79" i="7"/>
  <c r="V52" i="10"/>
  <c r="V60" i="7"/>
  <c r="W52" i="7"/>
  <c r="X25" i="7"/>
  <c r="X28" i="7" s="1"/>
  <c r="X45" i="7" s="1"/>
  <c r="V28" i="7"/>
  <c r="W25" i="7"/>
  <c r="AB85" i="7"/>
  <c r="AH3" i="5" s="1"/>
  <c r="AL23" i="5" s="1"/>
  <c r="AB19" i="7"/>
  <c r="AH41" i="7" l="1"/>
  <c r="AK88" i="7"/>
  <c r="AK30" i="7" s="1"/>
  <c r="AK30" i="10" s="1"/>
  <c r="AK78" i="7"/>
  <c r="AK8" i="7" s="1"/>
  <c r="AK80" i="7"/>
  <c r="AK10" i="7" s="1"/>
  <c r="AK76" i="7"/>
  <c r="AK81" i="7"/>
  <c r="AK13" i="7" s="1"/>
  <c r="AK89" i="7"/>
  <c r="AK31" i="7" s="1"/>
  <c r="AK31" i="10" s="1"/>
  <c r="AK83" i="7"/>
  <c r="AK83" i="10" s="1"/>
  <c r="AK85" i="7"/>
  <c r="AK42" i="7" s="1"/>
  <c r="AK42" i="10" s="1"/>
  <c r="AK77" i="7"/>
  <c r="AK7" i="7" s="1"/>
  <c r="AK82" i="7"/>
  <c r="AK19" i="7"/>
  <c r="AK87" i="7"/>
  <c r="AK64" i="7"/>
  <c r="AL64" i="7" s="1"/>
  <c r="AB2" i="5" s="1"/>
  <c r="AB8" i="5" s="1"/>
  <c r="AK86" i="7"/>
  <c r="AK39" i="7" s="1"/>
  <c r="AK90" i="7"/>
  <c r="AK32" i="7" s="1"/>
  <c r="AK32" i="10" s="1"/>
  <c r="AK79" i="7"/>
  <c r="AC89" i="7"/>
  <c r="AC31" i="7" s="1"/>
  <c r="AC31" i="10" s="1"/>
  <c r="AC82" i="7"/>
  <c r="AC79" i="7"/>
  <c r="AC87" i="7"/>
  <c r="AC19" i="7"/>
  <c r="AC85" i="7"/>
  <c r="AC42" i="7" s="1"/>
  <c r="AC78" i="7"/>
  <c r="AC8" i="7" s="1"/>
  <c r="AC80" i="7"/>
  <c r="AC10" i="7" s="1"/>
  <c r="AC81" i="7"/>
  <c r="AC13" i="7" s="1"/>
  <c r="AC88" i="7"/>
  <c r="AC86" i="7"/>
  <c r="AC39" i="7" s="1"/>
  <c r="AC76" i="7"/>
  <c r="AC83" i="7"/>
  <c r="AC77" i="7"/>
  <c r="AC7" i="7" s="1"/>
  <c r="AC64" i="7"/>
  <c r="AC90" i="7"/>
  <c r="AC32" i="7" s="1"/>
  <c r="AH87" i="7"/>
  <c r="AH76" i="7"/>
  <c r="AH77" i="7"/>
  <c r="AH7" i="7" s="1"/>
  <c r="AH88" i="7"/>
  <c r="AH83" i="7"/>
  <c r="AH90" i="7"/>
  <c r="AH32" i="7" s="1"/>
  <c r="AH79" i="7"/>
  <c r="AH81" i="7"/>
  <c r="AH13" i="7" s="1"/>
  <c r="AH64" i="7"/>
  <c r="AH86" i="7"/>
  <c r="AH85" i="7"/>
  <c r="AH42" i="7" s="1"/>
  <c r="AH82" i="7"/>
  <c r="AH80" i="7"/>
  <c r="AH10" i="7" s="1"/>
  <c r="AH19" i="7"/>
  <c r="AH89" i="7"/>
  <c r="AH31" i="7" s="1"/>
  <c r="AH31" i="10" s="1"/>
  <c r="AH78" i="7"/>
  <c r="AH8" i="7" s="1"/>
  <c r="AE86" i="7"/>
  <c r="AE83" i="7"/>
  <c r="AE83" i="10" s="1"/>
  <c r="AE87" i="7"/>
  <c r="AE76" i="7"/>
  <c r="AE89" i="7"/>
  <c r="AE31" i="7" s="1"/>
  <c r="AE31" i="10" s="1"/>
  <c r="AE82" i="7"/>
  <c r="AE19" i="7"/>
  <c r="AE78" i="7"/>
  <c r="AE8" i="7" s="1"/>
  <c r="AE64" i="7"/>
  <c r="AE88" i="7"/>
  <c r="AE30" i="7" s="1"/>
  <c r="AE30" i="10" s="1"/>
  <c r="AE80" i="7"/>
  <c r="AE10" i="7" s="1"/>
  <c r="AE77" i="7"/>
  <c r="AE7" i="7" s="1"/>
  <c r="AE79" i="7"/>
  <c r="AE90" i="7"/>
  <c r="AE32" i="7" s="1"/>
  <c r="AE32" i="10" s="1"/>
  <c r="AE85" i="7"/>
  <c r="AE42" i="7" s="1"/>
  <c r="AE42" i="10" s="1"/>
  <c r="AE81" i="7"/>
  <c r="AE13" i="7" s="1"/>
  <c r="AF86" i="7"/>
  <c r="AF39" i="7" s="1"/>
  <c r="AF83" i="7"/>
  <c r="AF83" i="10" s="1"/>
  <c r="AF89" i="7"/>
  <c r="AF31" i="7" s="1"/>
  <c r="AF31" i="10" s="1"/>
  <c r="AF77" i="7"/>
  <c r="AF7" i="7" s="1"/>
  <c r="AF80" i="7"/>
  <c r="AF10" i="7" s="1"/>
  <c r="AF64" i="7"/>
  <c r="AG64" i="7" s="1"/>
  <c r="AA2" i="5" s="1"/>
  <c r="AA8" i="5" s="1"/>
  <c r="AF90" i="7"/>
  <c r="AF32" i="7" s="1"/>
  <c r="AF32" i="10" s="1"/>
  <c r="AF88" i="7"/>
  <c r="AF79" i="7"/>
  <c r="AF81" i="7"/>
  <c r="AF13" i="7" s="1"/>
  <c r="AF19" i="7"/>
  <c r="AF87" i="7"/>
  <c r="AF85" i="7"/>
  <c r="AF42" i="7" s="1"/>
  <c r="AF42" i="10" s="1"/>
  <c r="AF76" i="7"/>
  <c r="AF78" i="7"/>
  <c r="AF8" i="7" s="1"/>
  <c r="AF82" i="7"/>
  <c r="AJ88" i="7"/>
  <c r="AJ30" i="7" s="1"/>
  <c r="AJ30" i="10" s="1"/>
  <c r="AJ78" i="7"/>
  <c r="AJ8" i="7" s="1"/>
  <c r="AJ80" i="7"/>
  <c r="AJ10" i="7" s="1"/>
  <c r="AJ85" i="7"/>
  <c r="AJ42" i="7" s="1"/>
  <c r="AJ42" i="10" s="1"/>
  <c r="AJ86" i="7"/>
  <c r="AJ39" i="7" s="1"/>
  <c r="AJ89" i="7"/>
  <c r="AJ31" i="7" s="1"/>
  <c r="AJ31" i="10" s="1"/>
  <c r="AJ82" i="7"/>
  <c r="AJ19" i="7"/>
  <c r="AJ87" i="7"/>
  <c r="AJ64" i="7"/>
  <c r="AJ90" i="7"/>
  <c r="AJ32" i="7" s="1"/>
  <c r="AJ32" i="10" s="1"/>
  <c r="AJ83" i="7"/>
  <c r="AJ83" i="10" s="1"/>
  <c r="AJ81" i="7"/>
  <c r="AJ13" i="7" s="1"/>
  <c r="AJ79" i="7"/>
  <c r="AJ76" i="7"/>
  <c r="AJ77" i="7"/>
  <c r="AJ7" i="7" s="1"/>
  <c r="AI87" i="7"/>
  <c r="AI76" i="7"/>
  <c r="AI77" i="7"/>
  <c r="AI7" i="7" s="1"/>
  <c r="AI88" i="7"/>
  <c r="AI30" i="7" s="1"/>
  <c r="AI30" i="10" s="1"/>
  <c r="AI79" i="7"/>
  <c r="AI82" i="7"/>
  <c r="AI86" i="7"/>
  <c r="AI39" i="7" s="1"/>
  <c r="AI19" i="7"/>
  <c r="AI85" i="7"/>
  <c r="AI42" i="7" s="1"/>
  <c r="AI42" i="10" s="1"/>
  <c r="AI83" i="7"/>
  <c r="AI83" i="10" s="1"/>
  <c r="AI90" i="7"/>
  <c r="AI32" i="7" s="1"/>
  <c r="AI32" i="10" s="1"/>
  <c r="AI64" i="7"/>
  <c r="AI89" i="7"/>
  <c r="AI31" i="7" s="1"/>
  <c r="AI31" i="10" s="1"/>
  <c r="AI81" i="7"/>
  <c r="AI13" i="7" s="1"/>
  <c r="AI80" i="7"/>
  <c r="AI10" i="7" s="1"/>
  <c r="AI78" i="7"/>
  <c r="AI8" i="7" s="1"/>
  <c r="AD89" i="7"/>
  <c r="AD31" i="7" s="1"/>
  <c r="AD31" i="10" s="1"/>
  <c r="AD82" i="7"/>
  <c r="AD83" i="7"/>
  <c r="AD83" i="10" s="1"/>
  <c r="AD19" i="7"/>
  <c r="AD87" i="7"/>
  <c r="AD78" i="7"/>
  <c r="AD8" i="7" s="1"/>
  <c r="AD81" i="7"/>
  <c r="AD13" i="7" s="1"/>
  <c r="AD76" i="7"/>
  <c r="AD80" i="7"/>
  <c r="AD10" i="7" s="1"/>
  <c r="AD88" i="7"/>
  <c r="AD86" i="7"/>
  <c r="AD39" i="7" s="1"/>
  <c r="AD79" i="7"/>
  <c r="AD77" i="7"/>
  <c r="AD7" i="7" s="1"/>
  <c r="AD64" i="7"/>
  <c r="AD90" i="7"/>
  <c r="AD32" i="7" s="1"/>
  <c r="AD32" i="10" s="1"/>
  <c r="AD85" i="7"/>
  <c r="AD42" i="7" s="1"/>
  <c r="AD42" i="10" s="1"/>
  <c r="R2" i="5"/>
  <c r="R22" i="5" s="1"/>
  <c r="AB10" i="7"/>
  <c r="AB15" i="7"/>
  <c r="Y53" i="10"/>
  <c r="Y60" i="10" s="1"/>
  <c r="Z25" i="7"/>
  <c r="Z28" i="7" s="1"/>
  <c r="Z45" i="7" s="1"/>
  <c r="Z18" i="10"/>
  <c r="AA24" i="7"/>
  <c r="AB24" i="7" s="1"/>
  <c r="AB23" i="7"/>
  <c r="AA54" i="7"/>
  <c r="AA54" i="10" s="1"/>
  <c r="AB54" i="10" s="1"/>
  <c r="AC41" i="10"/>
  <c r="AG41" i="10" s="1"/>
  <c r="AG41" i="7"/>
  <c r="W60" i="7"/>
  <c r="V61" i="7"/>
  <c r="W61" i="7" s="1"/>
  <c r="AD30" i="7"/>
  <c r="AD30" i="10" s="1"/>
  <c r="AL41" i="7"/>
  <c r="AA7" i="10"/>
  <c r="AB7" i="10" s="1"/>
  <c r="AB7" i="7"/>
  <c r="AB35" i="7"/>
  <c r="AA35" i="10"/>
  <c r="AB35" i="10" s="1"/>
  <c r="AA26" i="10"/>
  <c r="AA27" i="7"/>
  <c r="AA84" i="10"/>
  <c r="AB84" i="10" s="1"/>
  <c r="AB84" i="7"/>
  <c r="AH39" i="7"/>
  <c r="AA39" i="10"/>
  <c r="AB39" i="10" s="1"/>
  <c r="AB39" i="7"/>
  <c r="AA6" i="10"/>
  <c r="AA11" i="7"/>
  <c r="AA32" i="10"/>
  <c r="AB32" i="10" s="1"/>
  <c r="AB32" i="7"/>
  <c r="V28" i="10"/>
  <c r="W25" i="10"/>
  <c r="AA9" i="10"/>
  <c r="AB9" i="10" s="1"/>
  <c r="AB9" i="7"/>
  <c r="Z44" i="10"/>
  <c r="AA38" i="10"/>
  <c r="AA44" i="7"/>
  <c r="AB14" i="7"/>
  <c r="AA14" i="10"/>
  <c r="AA13" i="10"/>
  <c r="AB13" i="10" s="1"/>
  <c r="AA17" i="7"/>
  <c r="AA18" i="7" s="1"/>
  <c r="AA53" i="7" s="1"/>
  <c r="AA53" i="10" s="1"/>
  <c r="AL72" i="7"/>
  <c r="AA33" i="7"/>
  <c r="AA29" i="10"/>
  <c r="AA23" i="10"/>
  <c r="AB19" i="10"/>
  <c r="AB13" i="7"/>
  <c r="AB42" i="7"/>
  <c r="AA42" i="10"/>
  <c r="AB42" i="10" s="1"/>
  <c r="AF30" i="7"/>
  <c r="AF30" i="10" s="1"/>
  <c r="AG72" i="7"/>
  <c r="V45" i="7"/>
  <c r="W45" i="7" s="1"/>
  <c r="W28" i="7"/>
  <c r="AA30" i="10"/>
  <c r="AB30" i="10" s="1"/>
  <c r="AB30" i="7"/>
  <c r="Z53" i="7"/>
  <c r="Z53" i="10" s="1"/>
  <c r="Z60" i="10" s="1"/>
  <c r="AC40" i="10"/>
  <c r="AG40" i="10" s="1"/>
  <c r="AG40" i="7"/>
  <c r="W52" i="10"/>
  <c r="V60" i="10"/>
  <c r="AB58" i="7"/>
  <c r="AA58" i="10"/>
  <c r="AB58" i="10" s="1"/>
  <c r="AA34" i="10"/>
  <c r="AA37" i="7"/>
  <c r="AB37" i="7" s="1"/>
  <c r="AA8" i="10"/>
  <c r="AB8" i="10" s="1"/>
  <c r="AB8" i="7"/>
  <c r="AA16" i="10"/>
  <c r="AB16" i="10" s="1"/>
  <c r="AB16" i="7"/>
  <c r="Z11" i="10"/>
  <c r="Z12" i="10" s="1"/>
  <c r="AC16" i="7" l="1"/>
  <c r="AD16" i="7"/>
  <c r="AD16" i="10" s="1"/>
  <c r="AD6" i="7"/>
  <c r="AD26" i="7"/>
  <c r="AF15" i="7"/>
  <c r="AF15" i="10" s="1"/>
  <c r="AF14" i="7"/>
  <c r="AF14" i="10" s="1"/>
  <c r="AC29" i="7"/>
  <c r="AC58" i="7"/>
  <c r="AK14" i="7"/>
  <c r="AK14" i="10" s="1"/>
  <c r="AK15" i="7"/>
  <c r="AK15" i="10" s="1"/>
  <c r="AJ29" i="7"/>
  <c r="AJ58" i="7"/>
  <c r="AJ58" i="10" s="1"/>
  <c r="AE35" i="7"/>
  <c r="AE35" i="10" s="1"/>
  <c r="AE38" i="7"/>
  <c r="AH84" i="7"/>
  <c r="AH84" i="10" s="1"/>
  <c r="AH9" i="7"/>
  <c r="AC9" i="7"/>
  <c r="AC84" i="7"/>
  <c r="AC84" i="10" s="1"/>
  <c r="AI6" i="7"/>
  <c r="AI26" i="7"/>
  <c r="AF26" i="7"/>
  <c r="AF6" i="7"/>
  <c r="AF16" i="7"/>
  <c r="AF16" i="10" s="1"/>
  <c r="AC6" i="7"/>
  <c r="AC26" i="7"/>
  <c r="AC14" i="7"/>
  <c r="AC15" i="7"/>
  <c r="AD58" i="7"/>
  <c r="AD58" i="10" s="1"/>
  <c r="AD29" i="7"/>
  <c r="AI29" i="7"/>
  <c r="AI58" i="7"/>
  <c r="AI58" i="10" s="1"/>
  <c r="AJ15" i="7"/>
  <c r="AJ15" i="10" s="1"/>
  <c r="AJ14" i="7"/>
  <c r="AJ14" i="10" s="1"/>
  <c r="AC38" i="7"/>
  <c r="AC35" i="7"/>
  <c r="AF29" i="7"/>
  <c r="AF58" i="7"/>
  <c r="AF58" i="10" s="1"/>
  <c r="AK84" i="7"/>
  <c r="AK9" i="7"/>
  <c r="AK9" i="10" s="1"/>
  <c r="AJ26" i="7"/>
  <c r="AJ6" i="7"/>
  <c r="AJ16" i="7"/>
  <c r="AJ16" i="10" s="1"/>
  <c r="AJ38" i="7"/>
  <c r="AJ35" i="7"/>
  <c r="AJ35" i="10" s="1"/>
  <c r="AF35" i="7"/>
  <c r="AF35" i="10" s="1"/>
  <c r="AF38" i="7"/>
  <c r="AD84" i="7"/>
  <c r="AD84" i="10" s="1"/>
  <c r="AD9" i="7"/>
  <c r="AD9" i="10" s="1"/>
  <c r="AD14" i="7"/>
  <c r="AD14" i="10" s="1"/>
  <c r="AD15" i="7"/>
  <c r="AD15" i="10" s="1"/>
  <c r="AJ84" i="7"/>
  <c r="AJ84" i="10" s="1"/>
  <c r="AJ9" i="7"/>
  <c r="AJ9" i="10" s="1"/>
  <c r="AE15" i="7"/>
  <c r="AE15" i="10" s="1"/>
  <c r="AE14" i="7"/>
  <c r="AE14" i="10" s="1"/>
  <c r="AH14" i="7"/>
  <c r="AH15" i="7"/>
  <c r="AI16" i="7"/>
  <c r="AI16" i="10" s="1"/>
  <c r="AH6" i="7"/>
  <c r="AH26" i="7"/>
  <c r="AK38" i="7"/>
  <c r="AK35" i="7"/>
  <c r="AK35" i="10" s="1"/>
  <c r="AK26" i="7"/>
  <c r="AK6" i="7"/>
  <c r="AK16" i="7"/>
  <c r="AK16" i="10" s="1"/>
  <c r="AD35" i="7"/>
  <c r="AD35" i="10" s="1"/>
  <c r="AD38" i="7"/>
  <c r="AI38" i="7"/>
  <c r="AI35" i="7"/>
  <c r="AI35" i="10" s="1"/>
  <c r="AF9" i="7"/>
  <c r="AF9" i="10" s="1"/>
  <c r="AF84" i="7"/>
  <c r="AH29" i="7"/>
  <c r="AH58" i="7"/>
  <c r="AE39" i="7"/>
  <c r="AE39" i="10" s="1"/>
  <c r="AI15" i="7"/>
  <c r="AI15" i="10" s="1"/>
  <c r="AI14" i="7"/>
  <c r="AI14" i="10" s="1"/>
  <c r="AE26" i="7"/>
  <c r="AE6" i="7"/>
  <c r="AE16" i="7"/>
  <c r="AE16" i="10" s="1"/>
  <c r="AH38" i="7"/>
  <c r="AH35" i="7"/>
  <c r="AK29" i="7"/>
  <c r="AK58" i="7"/>
  <c r="AK58" i="10" s="1"/>
  <c r="AI84" i="7"/>
  <c r="AI84" i="10" s="1"/>
  <c r="AI9" i="7"/>
  <c r="AI9" i="10" s="1"/>
  <c r="AE9" i="7"/>
  <c r="AE9" i="10" s="1"/>
  <c r="AE84" i="7"/>
  <c r="AE84" i="10" s="1"/>
  <c r="AE29" i="7"/>
  <c r="AE58" i="7"/>
  <c r="AE58" i="10" s="1"/>
  <c r="W47" i="7"/>
  <c r="X59" i="7" s="1"/>
  <c r="AH34" i="7"/>
  <c r="AF34" i="7"/>
  <c r="AD34" i="7"/>
  <c r="AC34" i="7"/>
  <c r="AE34" i="7"/>
  <c r="AJ34" i="7"/>
  <c r="AK34" i="7"/>
  <c r="AI34" i="7"/>
  <c r="AB54" i="7"/>
  <c r="AB53" i="10"/>
  <c r="AH41" i="10"/>
  <c r="AL41" i="10" s="1"/>
  <c r="AA11" i="10"/>
  <c r="AA12" i="10" s="1"/>
  <c r="AB12" i="10" s="1"/>
  <c r="Z60" i="7"/>
  <c r="AG89" i="7"/>
  <c r="AQ4" i="5" s="1"/>
  <c r="AV29" i="5" s="1"/>
  <c r="AG82" i="7"/>
  <c r="AC82" i="10"/>
  <c r="AE8" i="10"/>
  <c r="AE78" i="10"/>
  <c r="AK8" i="10"/>
  <c r="AL78" i="7"/>
  <c r="T4" i="5" s="1"/>
  <c r="T24" i="5" s="1"/>
  <c r="AK78" i="10"/>
  <c r="AL78" i="10" s="1"/>
  <c r="AH79" i="10"/>
  <c r="AC83" i="10"/>
  <c r="AG83" i="10" s="1"/>
  <c r="AG83" i="7"/>
  <c r="AF82" i="10"/>
  <c r="AL85" i="7"/>
  <c r="AJ3" i="5" s="1"/>
  <c r="AP23" i="5" s="1"/>
  <c r="AF8" i="10"/>
  <c r="AF78" i="10"/>
  <c r="AG78" i="10" s="1"/>
  <c r="AG78" i="7"/>
  <c r="S4" i="5" s="1"/>
  <c r="S24" i="5" s="1"/>
  <c r="AA55" i="7"/>
  <c r="AB27" i="7"/>
  <c r="AF7" i="10"/>
  <c r="AF77" i="10"/>
  <c r="AG77" i="10" s="1"/>
  <c r="AG77" i="7"/>
  <c r="S3" i="5" s="1"/>
  <c r="S23" i="5" s="1"/>
  <c r="AK82" i="10"/>
  <c r="AI8" i="10"/>
  <c r="AI78" i="10"/>
  <c r="AH80" i="10"/>
  <c r="AJ81" i="10"/>
  <c r="AI10" i="10"/>
  <c r="AI80" i="10"/>
  <c r="AL87" i="7"/>
  <c r="AR2" i="5" s="1"/>
  <c r="AX27" i="5" s="1"/>
  <c r="AC79" i="10"/>
  <c r="AG31" i="10"/>
  <c r="AJ8" i="10"/>
  <c r="AJ78" i="10"/>
  <c r="AE81" i="10"/>
  <c r="AK10" i="10"/>
  <c r="AK80" i="10"/>
  <c r="AL80" i="10" s="1"/>
  <c r="AL80" i="7"/>
  <c r="AK76" i="10"/>
  <c r="AL76" i="10" s="1"/>
  <c r="AL76" i="7"/>
  <c r="T2" i="5" s="1"/>
  <c r="T22" i="5" s="1"/>
  <c r="AI81" i="10"/>
  <c r="AL19" i="7"/>
  <c r="AH19" i="10"/>
  <c r="AH23" i="7"/>
  <c r="AH30" i="7"/>
  <c r="AL88" i="7"/>
  <c r="AR3" i="5" s="1"/>
  <c r="AX28" i="5" s="1"/>
  <c r="AD76" i="10"/>
  <c r="AC76" i="10"/>
  <c r="W60" i="10"/>
  <c r="V61" i="10"/>
  <c r="W61" i="10" s="1"/>
  <c r="AG85" i="7"/>
  <c r="AI3" i="5" s="1"/>
  <c r="AN23" i="5" s="1"/>
  <c r="AF10" i="10"/>
  <c r="AF80" i="10"/>
  <c r="AG80" i="10" s="1"/>
  <c r="AG80" i="7"/>
  <c r="AI39" i="10"/>
  <c r="AC80" i="10"/>
  <c r="AF23" i="7"/>
  <c r="AF19" i="10"/>
  <c r="AF23" i="10" s="1"/>
  <c r="AF24" i="10" s="1"/>
  <c r="AE10" i="10"/>
  <c r="AE80" i="10"/>
  <c r="AK7" i="10"/>
  <c r="AL77" i="7"/>
  <c r="T3" i="5" s="1"/>
  <c r="T23" i="5" s="1"/>
  <c r="AK77" i="10"/>
  <c r="AL77" i="10" s="1"/>
  <c r="AH40" i="10"/>
  <c r="AL40" i="10" s="1"/>
  <c r="AL40" i="7"/>
  <c r="AL90" i="7"/>
  <c r="AR5" i="5" s="1"/>
  <c r="AX30" i="5" s="1"/>
  <c r="AD79" i="10"/>
  <c r="AB6" i="10"/>
  <c r="AC30" i="7"/>
  <c r="AG88" i="7"/>
  <c r="AQ3" i="5" s="1"/>
  <c r="AV28" i="5" s="1"/>
  <c r="AC23" i="7"/>
  <c r="AC19" i="10"/>
  <c r="AG19" i="7"/>
  <c r="AJ39" i="10"/>
  <c r="AJ76" i="10"/>
  <c r="AA24" i="10"/>
  <c r="AB24" i="10" s="1"/>
  <c r="AB23" i="10"/>
  <c r="AH78" i="10"/>
  <c r="AD19" i="10"/>
  <c r="AD23" i="10" s="1"/>
  <c r="AD24" i="10" s="1"/>
  <c r="AD23" i="7"/>
  <c r="AG76" i="7"/>
  <c r="AF76" i="10"/>
  <c r="AG76" i="10" s="1"/>
  <c r="AA56" i="7"/>
  <c r="AB33" i="7"/>
  <c r="AA17" i="10"/>
  <c r="AB14" i="10"/>
  <c r="V45" i="10"/>
  <c r="W45" i="10" s="1"/>
  <c r="W28" i="10"/>
  <c r="AD81" i="10"/>
  <c r="AJ10" i="10"/>
  <c r="AJ80" i="10"/>
  <c r="AE76" i="10"/>
  <c r="AI82" i="10"/>
  <c r="AL31" i="10"/>
  <c r="AG90" i="7"/>
  <c r="AQ5" i="5" s="1"/>
  <c r="AV30" i="5" s="1"/>
  <c r="AA44" i="10"/>
  <c r="AB44" i="10" s="1"/>
  <c r="AL86" i="7"/>
  <c r="AJ2" i="5" s="1"/>
  <c r="AP22" i="5" s="1"/>
  <c r="AD7" i="10"/>
  <c r="AD77" i="10"/>
  <c r="AC77" i="10"/>
  <c r="AJ7" i="10"/>
  <c r="AJ77" i="10"/>
  <c r="AF39" i="10"/>
  <c r="AI79" i="10"/>
  <c r="AG31" i="7"/>
  <c r="AC81" i="10"/>
  <c r="AC78" i="10"/>
  <c r="AJ79" i="10"/>
  <c r="AF81" i="10"/>
  <c r="AG81" i="10" s="1"/>
  <c r="AG81" i="7"/>
  <c r="AE23" i="7"/>
  <c r="AE19" i="10"/>
  <c r="AE23" i="10" s="1"/>
  <c r="AE24" i="10" s="1"/>
  <c r="AE79" i="10"/>
  <c r="AA33" i="10"/>
  <c r="AB33" i="10" s="1"/>
  <c r="AB29" i="10"/>
  <c r="AI19" i="10"/>
  <c r="AI23" i="10" s="1"/>
  <c r="AI24" i="10" s="1"/>
  <c r="AI23" i="7"/>
  <c r="AA12" i="7"/>
  <c r="AA52" i="7" s="1"/>
  <c r="AA52" i="10" s="1"/>
  <c r="AB11" i="7"/>
  <c r="AH77" i="10"/>
  <c r="AD39" i="10"/>
  <c r="AI76" i="10"/>
  <c r="AE7" i="10"/>
  <c r="AE77" i="10"/>
  <c r="AK81" i="10"/>
  <c r="AL81" i="10" s="1"/>
  <c r="AL81" i="7"/>
  <c r="AD10" i="10"/>
  <c r="AD80" i="10"/>
  <c r="AE82" i="10"/>
  <c r="AL79" i="7"/>
  <c r="AK79" i="10"/>
  <c r="AL79" i="10" s="1"/>
  <c r="AB44" i="7"/>
  <c r="AA57" i="7"/>
  <c r="AA27" i="10"/>
  <c r="AB27" i="10" s="1"/>
  <c r="AB26" i="10"/>
  <c r="AG86" i="7"/>
  <c r="AI2" i="5" s="1"/>
  <c r="AN22" i="5" s="1"/>
  <c r="AJ23" i="7"/>
  <c r="AJ19" i="10"/>
  <c r="AJ23" i="10" s="1"/>
  <c r="AJ24" i="10" s="1"/>
  <c r="AK19" i="10"/>
  <c r="AK23" i="10" s="1"/>
  <c r="AK24" i="10" s="1"/>
  <c r="AK23" i="7"/>
  <c r="AB38" i="10"/>
  <c r="AI7" i="10"/>
  <c r="AI77" i="10"/>
  <c r="AH76" i="10"/>
  <c r="AH81" i="10"/>
  <c r="AD82" i="10"/>
  <c r="AB34" i="10"/>
  <c r="AA37" i="10"/>
  <c r="AB37" i="10" s="1"/>
  <c r="AG87" i="7"/>
  <c r="AQ2" i="5" s="1"/>
  <c r="AV27" i="5" s="1"/>
  <c r="AJ82" i="10"/>
  <c r="AF79" i="10"/>
  <c r="AG79" i="10" s="1"/>
  <c r="AG79" i="7"/>
  <c r="AK39" i="10"/>
  <c r="AH83" i="10"/>
  <c r="AL83" i="10" s="1"/>
  <c r="AL83" i="7"/>
  <c r="AL82" i="7"/>
  <c r="AH82" i="10"/>
  <c r="AD8" i="10"/>
  <c r="AD78" i="10"/>
  <c r="AB17" i="7"/>
  <c r="Z25" i="10"/>
  <c r="Z28" i="10" s="1"/>
  <c r="Z45" i="10" s="1"/>
  <c r="AB53" i="7"/>
  <c r="AB18" i="7"/>
  <c r="AH16" i="7" l="1"/>
  <c r="AB59" i="7"/>
  <c r="X60" i="7"/>
  <c r="X61" i="7" s="1"/>
  <c r="Y61" i="7" s="1"/>
  <c r="Z61" i="7" s="1"/>
  <c r="W48" i="7"/>
  <c r="W49" i="7" s="1"/>
  <c r="AB11" i="10"/>
  <c r="AB12" i="7"/>
  <c r="AB52" i="7"/>
  <c r="AA25" i="7"/>
  <c r="AA28" i="7" s="1"/>
  <c r="AA45" i="7" s="1"/>
  <c r="AL19" i="10"/>
  <c r="AH23" i="10"/>
  <c r="AH10" i="10"/>
  <c r="AL10" i="10" s="1"/>
  <c r="AL10" i="7"/>
  <c r="AA55" i="10"/>
  <c r="AB55" i="10" s="1"/>
  <c r="AB55" i="7"/>
  <c r="AJ29" i="10"/>
  <c r="AJ33" i="10" s="1"/>
  <c r="AJ33" i="7"/>
  <c r="AK84" i="10"/>
  <c r="AL84" i="10" s="1"/>
  <c r="AL84" i="7"/>
  <c r="AH33" i="7"/>
  <c r="AH56" i="7" s="1"/>
  <c r="AH56" i="10" s="1"/>
  <c r="AL29" i="7"/>
  <c r="AH29" i="10"/>
  <c r="AH26" i="10"/>
  <c r="AH27" i="7"/>
  <c r="AL26" i="7"/>
  <c r="AC8" i="10"/>
  <c r="AG8" i="10" s="1"/>
  <c r="AG8" i="7"/>
  <c r="AE6" i="10"/>
  <c r="AE11" i="10" s="1"/>
  <c r="AE12" i="10" s="1"/>
  <c r="AE11" i="7"/>
  <c r="AE12" i="7" s="1"/>
  <c r="AE52" i="7" s="1"/>
  <c r="AE52" i="10" s="1"/>
  <c r="AC6" i="10"/>
  <c r="AC11" i="7"/>
  <c r="AG6" i="7"/>
  <c r="AC34" i="10"/>
  <c r="AG34" i="7"/>
  <c r="AC37" i="7"/>
  <c r="AF33" i="7"/>
  <c r="AF56" i="7" s="1"/>
  <c r="AF56" i="10" s="1"/>
  <c r="AF29" i="10"/>
  <c r="AF33" i="10" s="1"/>
  <c r="AA57" i="10"/>
  <c r="AB57" i="10" s="1"/>
  <c r="AB57" i="7"/>
  <c r="AI26" i="10"/>
  <c r="AI27" i="10" s="1"/>
  <c r="AI27" i="7"/>
  <c r="AI55" i="7" s="1"/>
  <c r="AI55" i="10" s="1"/>
  <c r="AI33" i="7"/>
  <c r="AI56" i="7" s="1"/>
  <c r="AI56" i="10" s="1"/>
  <c r="AI29" i="10"/>
  <c r="AI33" i="10" s="1"/>
  <c r="AJ54" i="7"/>
  <c r="AJ54" i="10" s="1"/>
  <c r="AJ24" i="7"/>
  <c r="AH14" i="10"/>
  <c r="AL14" i="10" s="1"/>
  <c r="AL14" i="7"/>
  <c r="AD38" i="10"/>
  <c r="AD44" i="10" s="1"/>
  <c r="AD44" i="7"/>
  <c r="AD57" i="7" s="1"/>
  <c r="AD57" i="10" s="1"/>
  <c r="AF13" i="10"/>
  <c r="AF17" i="10" s="1"/>
  <c r="AF18" i="10" s="1"/>
  <c r="AF17" i="7"/>
  <c r="AF18" i="7" s="1"/>
  <c r="AF53" i="7" s="1"/>
  <c r="AF53" i="10" s="1"/>
  <c r="AF27" i="7"/>
  <c r="AF55" i="7" s="1"/>
  <c r="AF55" i="10" s="1"/>
  <c r="AF26" i="10"/>
  <c r="AF27" i="10" s="1"/>
  <c r="AH32" i="10"/>
  <c r="AL32" i="10" s="1"/>
  <c r="AL32" i="7"/>
  <c r="AJ13" i="10"/>
  <c r="AJ17" i="10" s="1"/>
  <c r="AJ18" i="10" s="1"/>
  <c r="AJ17" i="7"/>
  <c r="AJ18" i="7" s="1"/>
  <c r="AJ53" i="7" s="1"/>
  <c r="AJ53" i="10" s="1"/>
  <c r="AC39" i="10"/>
  <c r="AG39" i="10" s="1"/>
  <c r="AG39" i="7"/>
  <c r="AF38" i="10"/>
  <c r="AF44" i="10" s="1"/>
  <c r="AF44" i="7"/>
  <c r="AF57" i="7" s="1"/>
  <c r="AF57" i="10" s="1"/>
  <c r="AA18" i="10"/>
  <c r="AB18" i="10" s="1"/>
  <c r="AB17" i="10"/>
  <c r="AC16" i="10"/>
  <c r="AG16" i="10" s="1"/>
  <c r="AG16" i="7"/>
  <c r="AG29" i="7"/>
  <c r="AC33" i="7"/>
  <c r="AC29" i="10"/>
  <c r="AH39" i="10"/>
  <c r="AL39" i="10" s="1"/>
  <c r="AL39" i="7"/>
  <c r="AE27" i="7"/>
  <c r="AE55" i="7" s="1"/>
  <c r="AE55" i="10" s="1"/>
  <c r="AE26" i="10"/>
  <c r="AE27" i="10" s="1"/>
  <c r="AC30" i="10"/>
  <c r="AG30" i="10" s="1"/>
  <c r="AG30" i="7"/>
  <c r="AF34" i="10"/>
  <c r="AF37" i="10" s="1"/>
  <c r="AF37" i="7"/>
  <c r="AG82" i="10"/>
  <c r="AH7" i="10"/>
  <c r="AL7" i="10" s="1"/>
  <c r="AL7" i="7"/>
  <c r="AI24" i="7"/>
  <c r="AI54" i="7"/>
  <c r="AI54" i="10" s="1"/>
  <c r="AF6" i="10"/>
  <c r="AF11" i="10" s="1"/>
  <c r="AF12" i="10" s="1"/>
  <c r="AF11" i="7"/>
  <c r="AF12" i="7" s="1"/>
  <c r="AF52" i="7" s="1"/>
  <c r="AF24" i="7"/>
  <c r="AF54" i="7"/>
  <c r="AF54" i="10" s="1"/>
  <c r="AC42" i="10"/>
  <c r="AG42" i="10" s="1"/>
  <c r="AG42" i="7"/>
  <c r="AD6" i="10"/>
  <c r="AD11" i="10" s="1"/>
  <c r="AD12" i="10" s="1"/>
  <c r="AD11" i="7"/>
  <c r="AD12" i="7" s="1"/>
  <c r="AD52" i="7" s="1"/>
  <c r="AD52" i="10" s="1"/>
  <c r="AC35" i="10"/>
  <c r="AG35" i="10" s="1"/>
  <c r="AG35" i="7"/>
  <c r="W47" i="10"/>
  <c r="X59" i="10" s="1"/>
  <c r="AD24" i="7"/>
  <c r="AD54" i="7"/>
  <c r="AD54" i="10" s="1"/>
  <c r="AE44" i="7"/>
  <c r="AE57" i="7" s="1"/>
  <c r="AE57" i="10" s="1"/>
  <c r="AE38" i="10"/>
  <c r="AE44" i="10" s="1"/>
  <c r="AC23" i="10"/>
  <c r="AG19" i="10"/>
  <c r="AC10" i="10"/>
  <c r="AG10" i="10" s="1"/>
  <c r="AG10" i="7"/>
  <c r="AH30" i="10"/>
  <c r="AL30" i="10" s="1"/>
  <c r="AL30" i="7"/>
  <c r="AK6" i="10"/>
  <c r="AK11" i="10" s="1"/>
  <c r="AK12" i="10" s="1"/>
  <c r="AK11" i="7"/>
  <c r="AK12" i="7" s="1"/>
  <c r="AK52" i="7" s="1"/>
  <c r="AK52" i="10" s="1"/>
  <c r="AK38" i="10"/>
  <c r="AK44" i="10" s="1"/>
  <c r="AK44" i="7"/>
  <c r="AK57" i="7" s="1"/>
  <c r="AK57" i="10" s="1"/>
  <c r="AD34" i="10"/>
  <c r="AD37" i="10" s="1"/>
  <c r="AD37" i="7"/>
  <c r="AC26" i="10"/>
  <c r="AG26" i="7"/>
  <c r="AC27" i="7"/>
  <c r="AC58" i="10"/>
  <c r="AG58" i="10" s="1"/>
  <c r="AG58" i="7"/>
  <c r="AA56" i="10"/>
  <c r="AB56" i="10" s="1"/>
  <c r="AB56" i="7"/>
  <c r="AJ6" i="10"/>
  <c r="AJ11" i="10" s="1"/>
  <c r="AJ12" i="10" s="1"/>
  <c r="AJ11" i="7"/>
  <c r="AJ12" i="7" s="1"/>
  <c r="AJ52" i="7" s="1"/>
  <c r="AJ52" i="10" s="1"/>
  <c r="AA60" i="7"/>
  <c r="AH15" i="10"/>
  <c r="AL15" i="10" s="1"/>
  <c r="AL15" i="7"/>
  <c r="AK34" i="10"/>
  <c r="AK37" i="10" s="1"/>
  <c r="AK37" i="7"/>
  <c r="AD13" i="10"/>
  <c r="AD17" i="10" s="1"/>
  <c r="AD18" i="10" s="1"/>
  <c r="AD17" i="7"/>
  <c r="AD18" i="7" s="1"/>
  <c r="AD53" i="7" s="1"/>
  <c r="AE33" i="7"/>
  <c r="AE56" i="7" s="1"/>
  <c r="AE56" i="10" s="1"/>
  <c r="AE29" i="10"/>
  <c r="AE33" i="10" s="1"/>
  <c r="AK27" i="7"/>
  <c r="AK55" i="7" s="1"/>
  <c r="AK55" i="10" s="1"/>
  <c r="AK26" i="10"/>
  <c r="AK27" i="10" s="1"/>
  <c r="AC38" i="10"/>
  <c r="AG38" i="7"/>
  <c r="AC44" i="7"/>
  <c r="AK13" i="10"/>
  <c r="AK17" i="10" s="1"/>
  <c r="AK18" i="10" s="1"/>
  <c r="AK17" i="7"/>
  <c r="AK18" i="7" s="1"/>
  <c r="AK53" i="7" s="1"/>
  <c r="AK53" i="10" s="1"/>
  <c r="AH35" i="10"/>
  <c r="AL35" i="10" s="1"/>
  <c r="AL35" i="7"/>
  <c r="AC54" i="7"/>
  <c r="AG23" i="7"/>
  <c r="AC24" i="7"/>
  <c r="AI38" i="10"/>
  <c r="AI44" i="10" s="1"/>
  <c r="AI44" i="7"/>
  <c r="AI57" i="7" s="1"/>
  <c r="AI57" i="10" s="1"/>
  <c r="AH54" i="7"/>
  <c r="AL23" i="7"/>
  <c r="AH24" i="7"/>
  <c r="AC9" i="10"/>
  <c r="AG9" i="10" s="1"/>
  <c r="AG9" i="7"/>
  <c r="AJ34" i="10"/>
  <c r="AJ37" i="10" s="1"/>
  <c r="AJ37" i="7"/>
  <c r="AH13" i="10"/>
  <c r="AL13" i="7"/>
  <c r="AK24" i="7"/>
  <c r="AK54" i="7"/>
  <c r="AK54" i="10" s="1"/>
  <c r="AD29" i="10"/>
  <c r="AD33" i="10" s="1"/>
  <c r="AD33" i="7"/>
  <c r="AD56" i="7" s="1"/>
  <c r="AD56" i="10" s="1"/>
  <c r="AH38" i="10"/>
  <c r="AH44" i="7"/>
  <c r="AL38" i="7"/>
  <c r="AH8" i="10"/>
  <c r="AL8" i="10" s="1"/>
  <c r="AL8" i="7"/>
  <c r="AJ26" i="10"/>
  <c r="AJ27" i="10" s="1"/>
  <c r="AJ27" i="7"/>
  <c r="AJ55" i="7" s="1"/>
  <c r="AJ55" i="10" s="1"/>
  <c r="AH58" i="10"/>
  <c r="AL58" i="10" s="1"/>
  <c r="AL58" i="7"/>
  <c r="AH9" i="10"/>
  <c r="AL9" i="10" s="1"/>
  <c r="AL9" i="7"/>
  <c r="AH6" i="10"/>
  <c r="AH11" i="7"/>
  <c r="AL6" i="7"/>
  <c r="AI13" i="10"/>
  <c r="AI17" i="10" s="1"/>
  <c r="AI18" i="10" s="1"/>
  <c r="AI17" i="7"/>
  <c r="AI18" i="7" s="1"/>
  <c r="AI53" i="7" s="1"/>
  <c r="AI53" i="10" s="1"/>
  <c r="AE13" i="10"/>
  <c r="AE17" i="10" s="1"/>
  <c r="AE18" i="10" s="1"/>
  <c r="AE17" i="7"/>
  <c r="AE18" i="7" s="1"/>
  <c r="AE53" i="7" s="1"/>
  <c r="AE53" i="10" s="1"/>
  <c r="AH34" i="10"/>
  <c r="AL34" i="7"/>
  <c r="AH37" i="7"/>
  <c r="AL82" i="10"/>
  <c r="AI34" i="10"/>
  <c r="AI37" i="10" s="1"/>
  <c r="AI37" i="7"/>
  <c r="AE24" i="7"/>
  <c r="AE54" i="7"/>
  <c r="AE54" i="10" s="1"/>
  <c r="AC13" i="10"/>
  <c r="AC17" i="7"/>
  <c r="AG13" i="7"/>
  <c r="AC32" i="10"/>
  <c r="AG32" i="10" s="1"/>
  <c r="AG32" i="7"/>
  <c r="S2" i="5"/>
  <c r="S22" i="5" s="1"/>
  <c r="AD26" i="10"/>
  <c r="AD27" i="10" s="1"/>
  <c r="AD27" i="7"/>
  <c r="AD55" i="7" s="1"/>
  <c r="AD55" i="10" s="1"/>
  <c r="AC15" i="10"/>
  <c r="AG15" i="10" s="1"/>
  <c r="AG15" i="7"/>
  <c r="AF84" i="10"/>
  <c r="AG84" i="10" s="1"/>
  <c r="AG84" i="7"/>
  <c r="AK33" i="7"/>
  <c r="AK29" i="10"/>
  <c r="AK33" i="10" s="1"/>
  <c r="AI6" i="10"/>
  <c r="AI11" i="10" s="1"/>
  <c r="AI12" i="10" s="1"/>
  <c r="AI11" i="7"/>
  <c r="AI12" i="7" s="1"/>
  <c r="AI52" i="7" s="1"/>
  <c r="AI52" i="10" s="1"/>
  <c r="AC7" i="10"/>
  <c r="AG7" i="10" s="1"/>
  <c r="AG7" i="7"/>
  <c r="AE34" i="10"/>
  <c r="AE37" i="10" s="1"/>
  <c r="AE37" i="7"/>
  <c r="AJ38" i="10"/>
  <c r="AJ44" i="10" s="1"/>
  <c r="AJ44" i="7"/>
  <c r="AJ57" i="7" s="1"/>
  <c r="AJ57" i="10" s="1"/>
  <c r="AH42" i="10"/>
  <c r="AL42" i="10" s="1"/>
  <c r="AL42" i="7"/>
  <c r="AC14" i="10"/>
  <c r="AG14" i="10" s="1"/>
  <c r="AG14" i="7"/>
  <c r="AB52" i="10"/>
  <c r="D5" i="14" l="1"/>
  <c r="AE25" i="10"/>
  <c r="AE28" i="10" s="1"/>
  <c r="AE45" i="10" s="1"/>
  <c r="I2" i="5"/>
  <c r="I8" i="5" s="1"/>
  <c r="AB25" i="7"/>
  <c r="AL91" i="13"/>
  <c r="AB60" i="7"/>
  <c r="AK25" i="10"/>
  <c r="AK28" i="10" s="1"/>
  <c r="AK45" i="10" s="1"/>
  <c r="AK25" i="7"/>
  <c r="AK28" i="7" s="1"/>
  <c r="AD60" i="7"/>
  <c r="AD25" i="10"/>
  <c r="AD28" i="10" s="1"/>
  <c r="AD45" i="10" s="1"/>
  <c r="AD25" i="7"/>
  <c r="AD28" i="7" s="1"/>
  <c r="AD45" i="7" s="1"/>
  <c r="D5" i="9"/>
  <c r="D6" i="9" s="1"/>
  <c r="AA60" i="10"/>
  <c r="AE60" i="10"/>
  <c r="AE25" i="7"/>
  <c r="AE28" i="7" s="1"/>
  <c r="AE45" i="7" s="1"/>
  <c r="AI25" i="10"/>
  <c r="AI28" i="10" s="1"/>
  <c r="AI45" i="10" s="1"/>
  <c r="AI25" i="7"/>
  <c r="AI28" i="7" s="1"/>
  <c r="AI45" i="7" s="1"/>
  <c r="AD53" i="10"/>
  <c r="AD60" i="10" s="1"/>
  <c r="AH54" i="10"/>
  <c r="AL54" i="10" s="1"/>
  <c r="AL54" i="7"/>
  <c r="AC57" i="7"/>
  <c r="AG44" i="7"/>
  <c r="AC55" i="7"/>
  <c r="AG27" i="7"/>
  <c r="AB59" i="10"/>
  <c r="X60" i="10"/>
  <c r="X61" i="10" s="1"/>
  <c r="Y61" i="10" s="1"/>
  <c r="Z61" i="10" s="1"/>
  <c r="AG34" i="10"/>
  <c r="AC37" i="10"/>
  <c r="AG37" i="10" s="1"/>
  <c r="AG13" i="10"/>
  <c r="AC17" i="10"/>
  <c r="AC44" i="10"/>
  <c r="AG44" i="10" s="1"/>
  <c r="AG38" i="10"/>
  <c r="AC27" i="10"/>
  <c r="AG27" i="10" s="1"/>
  <c r="AG26" i="10"/>
  <c r="AF25" i="10"/>
  <c r="AF28" i="10" s="1"/>
  <c r="AF45" i="10" s="1"/>
  <c r="AC11" i="10"/>
  <c r="AG6" i="10"/>
  <c r="AH11" i="10"/>
  <c r="AL6" i="10"/>
  <c r="AH57" i="7"/>
  <c r="AL44" i="7"/>
  <c r="AH44" i="10"/>
  <c r="AL44" i="10" s="1"/>
  <c r="AL38" i="10"/>
  <c r="AJ25" i="10"/>
  <c r="AJ28" i="10" s="1"/>
  <c r="AJ45" i="10" s="1"/>
  <c r="AA25" i="10"/>
  <c r="AC56" i="7"/>
  <c r="AG33" i="7"/>
  <c r="AF25" i="7"/>
  <c r="AF28" i="7" s="1"/>
  <c r="AF45" i="7" s="1"/>
  <c r="AL24" i="7"/>
  <c r="AJ25" i="7"/>
  <c r="AJ28" i="7" s="1"/>
  <c r="AG37" i="7"/>
  <c r="AC18" i="7"/>
  <c r="AG17" i="7"/>
  <c r="AH27" i="10"/>
  <c r="AL27" i="10" s="1"/>
  <c r="AL26" i="10"/>
  <c r="AG24" i="7"/>
  <c r="AL16" i="7"/>
  <c r="AH16" i="10"/>
  <c r="AL16" i="10" s="1"/>
  <c r="AH17" i="7"/>
  <c r="AL37" i="7"/>
  <c r="AA61" i="7"/>
  <c r="AB61" i="7" s="1"/>
  <c r="AE60" i="7"/>
  <c r="AL34" i="10"/>
  <c r="AH37" i="10"/>
  <c r="AL37" i="10" s="1"/>
  <c r="W48" i="10"/>
  <c r="W49" i="10" s="1"/>
  <c r="AH55" i="7"/>
  <c r="AL27" i="7"/>
  <c r="AL29" i="10"/>
  <c r="AH33" i="10"/>
  <c r="AL33" i="10" s="1"/>
  <c r="AC12" i="7"/>
  <c r="AG11" i="7"/>
  <c r="AL23" i="10"/>
  <c r="AH24" i="10"/>
  <c r="AL24" i="10" s="1"/>
  <c r="AL13" i="10"/>
  <c r="AC24" i="10"/>
  <c r="AG23" i="10"/>
  <c r="AH12" i="7"/>
  <c r="AL11" i="7"/>
  <c r="AC54" i="10"/>
  <c r="AG54" i="10" s="1"/>
  <c r="AG54" i="7"/>
  <c r="AC33" i="10"/>
  <c r="AG33" i="10" s="1"/>
  <c r="AG29" i="10"/>
  <c r="AI60" i="10"/>
  <c r="AF52" i="10"/>
  <c r="AI60" i="7"/>
  <c r="AF60" i="7"/>
  <c r="AB45" i="7"/>
  <c r="AB47" i="7" s="1"/>
  <c r="AB28" i="7"/>
  <c r="AL89" i="7"/>
  <c r="AR4" i="5" s="1"/>
  <c r="AX29" i="5" s="1"/>
  <c r="D6" i="14" l="1"/>
  <c r="F6" i="14" s="1"/>
  <c r="F5" i="14"/>
  <c r="AA61" i="10"/>
  <c r="AB61" i="10" s="1"/>
  <c r="AB60" i="10"/>
  <c r="AG17" i="10"/>
  <c r="AC18" i="10"/>
  <c r="AG18" i="10" s="1"/>
  <c r="AH17" i="10"/>
  <c r="AC56" i="10"/>
  <c r="AG56" i="10" s="1"/>
  <c r="AG56" i="7"/>
  <c r="AG11" i="10"/>
  <c r="AC12" i="10"/>
  <c r="AG12" i="10" s="1"/>
  <c r="AC52" i="7"/>
  <c r="AG12" i="7"/>
  <c r="AC53" i="7"/>
  <c r="AG18" i="7"/>
  <c r="AC55" i="10"/>
  <c r="AG55" i="10" s="1"/>
  <c r="AG55" i="7"/>
  <c r="AH18" i="7"/>
  <c r="AL17" i="7"/>
  <c r="AH57" i="10"/>
  <c r="AL57" i="10" s="1"/>
  <c r="AL57" i="7"/>
  <c r="AC25" i="7"/>
  <c r="AB25" i="10"/>
  <c r="AA28" i="10"/>
  <c r="AH52" i="7"/>
  <c r="AL12" i="7"/>
  <c r="AC57" i="10"/>
  <c r="AG57" i="10" s="1"/>
  <c r="AG57" i="7"/>
  <c r="AG24" i="10"/>
  <c r="AH55" i="10"/>
  <c r="AL55" i="10" s="1"/>
  <c r="AL55" i="7"/>
  <c r="AL11" i="10"/>
  <c r="AH12" i="10"/>
  <c r="AL12" i="10" s="1"/>
  <c r="AF60" i="10"/>
  <c r="AB48" i="7"/>
  <c r="AJ56" i="7"/>
  <c r="AJ56" i="10" s="1"/>
  <c r="AJ45" i="7"/>
  <c r="AK56" i="7"/>
  <c r="AK45" i="7"/>
  <c r="AL33" i="7"/>
  <c r="AL31" i="7"/>
  <c r="AC25" i="10" l="1"/>
  <c r="AC28" i="10" s="1"/>
  <c r="AB28" i="10"/>
  <c r="AA45" i="10"/>
  <c r="AB45" i="10" s="1"/>
  <c r="AB47" i="10" s="1"/>
  <c r="AC59" i="10" s="1"/>
  <c r="AG59" i="10" s="1"/>
  <c r="AC53" i="10"/>
  <c r="AG53" i="10" s="1"/>
  <c r="AG53" i="7"/>
  <c r="AL17" i="10"/>
  <c r="AH18" i="10"/>
  <c r="AC28" i="7"/>
  <c r="AG25" i="7"/>
  <c r="AC52" i="10"/>
  <c r="AG52" i="10" s="1"/>
  <c r="AG52" i="7"/>
  <c r="AH53" i="7"/>
  <c r="AL18" i="7"/>
  <c r="AH25" i="7"/>
  <c r="AH52" i="10"/>
  <c r="AL52" i="10" s="1"/>
  <c r="AL52" i="7"/>
  <c r="AK60" i="7"/>
  <c r="AK56" i="10"/>
  <c r="AK60" i="10" s="1"/>
  <c r="AJ60" i="10"/>
  <c r="AC59" i="7"/>
  <c r="AG59" i="7" s="1"/>
  <c r="AB49" i="7"/>
  <c r="J2" i="5"/>
  <c r="J8" i="5" s="1"/>
  <c r="AJ60" i="7"/>
  <c r="AL56" i="7"/>
  <c r="AG25" i="10" l="1"/>
  <c r="AC45" i="10"/>
  <c r="AG45" i="10" s="1"/>
  <c r="AG47" i="10" s="1"/>
  <c r="AH59" i="10" s="1"/>
  <c r="AL59" i="10" s="1"/>
  <c r="AG28" i="10"/>
  <c r="AH53" i="10"/>
  <c r="AL53" i="10" s="1"/>
  <c r="AL53" i="7"/>
  <c r="AL18" i="10"/>
  <c r="AH25" i="10"/>
  <c r="AL25" i="7"/>
  <c r="AH28" i="7"/>
  <c r="AC60" i="10"/>
  <c r="AC61" i="10" s="1"/>
  <c r="AD61" i="10" s="1"/>
  <c r="AE61" i="10" s="1"/>
  <c r="AF61" i="10" s="1"/>
  <c r="AG61" i="10" s="1"/>
  <c r="AB48" i="10"/>
  <c r="AB49" i="10" s="1"/>
  <c r="AC45" i="7"/>
  <c r="AG45" i="7" s="1"/>
  <c r="AG47" i="7" s="1"/>
  <c r="AG28" i="7"/>
  <c r="AL56" i="10"/>
  <c r="AC60" i="7"/>
  <c r="AG60" i="7" s="1"/>
  <c r="D13" i="9" a="1"/>
  <c r="D13" i="9" s="1"/>
  <c r="AG48" i="10" l="1"/>
  <c r="AG49" i="10" s="1"/>
  <c r="AG60" i="10"/>
  <c r="AH60" i="10"/>
  <c r="AL60" i="10" s="1"/>
  <c r="AH45" i="7"/>
  <c r="AL45" i="7" s="1"/>
  <c r="AL47" i="7" s="1"/>
  <c r="AL28" i="7"/>
  <c r="AL25" i="10"/>
  <c r="AH28" i="10"/>
  <c r="AH59" i="7"/>
  <c r="AL59" i="7" s="1"/>
  <c r="AC61" i="7"/>
  <c r="AD61" i="7" s="1"/>
  <c r="AE61" i="7" s="1"/>
  <c r="AF61" i="7" s="1"/>
  <c r="AG61" i="7" s="1"/>
  <c r="AH61" i="10" l="1"/>
  <c r="AI61" i="10" s="1"/>
  <c r="AJ61" i="10" s="1"/>
  <c r="AK61" i="10" s="1"/>
  <c r="AL61" i="10" s="1"/>
  <c r="AH60" i="7"/>
  <c r="AL60" i="7" s="1"/>
  <c r="AL28" i="10"/>
  <c r="AH45" i="10"/>
  <c r="AL45" i="10" s="1"/>
  <c r="AL47" i="10" s="1"/>
  <c r="AL48" i="10" s="1"/>
  <c r="AL49" i="10" s="1"/>
  <c r="AG48" i="7"/>
  <c r="AL48" i="7"/>
  <c r="L2" i="5" s="1"/>
  <c r="L8" i="5" s="1"/>
  <c r="D12" i="9" a="1"/>
  <c r="D12" i="9" s="1"/>
  <c r="AH61" i="7" l="1"/>
  <c r="AI61" i="7" s="1"/>
  <c r="AJ61" i="7" s="1"/>
  <c r="AK61" i="7" s="1"/>
  <c r="AL61" i="7" s="1"/>
  <c r="D14" i="14" s="1" a="1"/>
  <c r="D14" i="14" s="1"/>
  <c r="F14" i="14" s="1"/>
  <c r="K2" i="5"/>
  <c r="K8" i="5" s="1"/>
  <c r="AG49" i="7"/>
  <c r="AL49" i="7" s="1"/>
  <c r="D7" i="14" s="1"/>
  <c r="F7" i="14" s="1"/>
  <c r="D14" i="9" a="1"/>
  <c r="D14" i="9" s="1"/>
  <c r="D7" i="9" l="1"/>
  <c r="D9" i="9" s="1"/>
  <c r="D10" i="9" s="1"/>
  <c r="AL91" i="12"/>
  <c r="D8" i="9" l="1"/>
  <c r="D9" i="14"/>
  <c r="D8" i="14"/>
  <c r="F8" i="14" s="1"/>
  <c r="D10" i="14" l="1"/>
  <c r="F10" i="14" s="1"/>
  <c r="F9"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<sst xmlns="http://schemas.openxmlformats.org/spreadsheetml/2006/main" count="2141" uniqueCount="705">
  <si>
    <t>Business Case Tool</t>
  </si>
  <si>
    <t xml:space="preserve">INVEST: The Process &amp; Toolkit for Unleashing SME Banking </t>
  </si>
  <si>
    <r>
      <rPr>
        <b/>
        <sz val="12"/>
        <color theme="1"/>
        <rFont val="Calibri"/>
        <family val="2"/>
        <scheme val="minor"/>
      </rPr>
      <t>Last modified:</t>
    </r>
    <r>
      <rPr>
        <sz val="12"/>
        <color theme="1"/>
        <rFont val="Calibri"/>
        <family val="2"/>
        <scheme val="minor"/>
      </rPr>
      <t xml:space="preserve"> June XX, 2025</t>
    </r>
  </si>
  <si>
    <t>OVERVIEW</t>
  </si>
  <si>
    <r>
      <rPr>
        <b/>
        <sz val="12"/>
        <rFont val="Calibri"/>
        <family val="2"/>
        <scheme val="minor"/>
      </rPr>
      <t xml:space="preserve">The Business Case Tool </t>
    </r>
    <r>
      <rPr>
        <sz val="12"/>
        <rFont val="Calibri"/>
        <family val="2"/>
        <scheme val="minor"/>
      </rPr>
      <t xml:space="preserve">is an Excel-based diagnostic designed to help commercial banks estimate the return they could expect on their SME banking expansion. It ties in with the market sizing tool, a data-driven summary of over 160 markets, and combines the specific cost and revenue drivers of the institution to evaluate the upfront costs, overall returns, break even points and cash flow over a 7-year horizon. The tool relies on assessments made by the user in order to best align with the prevaling market conditions, various strategy options and the policies pursued by the institution for which the user is making their assessment.
</t>
    </r>
  </si>
  <si>
    <t>Focus audience:</t>
  </si>
  <si>
    <t xml:space="preserve">USE CASE </t>
  </si>
  <si>
    <r>
      <t>The tool allows users to formulate a goal and a combination of strategies for achieving it, and assess:</t>
    </r>
    <r>
      <rPr>
        <b/>
        <sz val="12"/>
        <rFont val="Calibri"/>
        <family val="2"/>
        <scheme val="minor"/>
      </rPr>
      <t xml:space="preserve"> 1) Total investment requirements, 2) Total returns, 3) Profit and cash flows, and 4) Operational indicators.</t>
    </r>
    <r>
      <rPr>
        <sz val="12"/>
        <rFont val="Calibri"/>
        <family val="2"/>
        <scheme val="minor"/>
      </rPr>
      <t xml:space="preserve">
It supports confident strategy formulation and prioritization by estimating the outcomes each approach would deliver over the medium-term. Please note that despite the 7-year horizon, the model calculates the figures in current real terms, since the financial institutions it is being used for could adopt different policies to control for macroeconomic factors such as inflation and wage growth and are the best suited to foresee how these factors might influence their local economy in the medium term.</t>
    </r>
  </si>
  <si>
    <t>OBJECTIVES</t>
  </si>
  <si>
    <t>1. Provide a quick and intuitive assessment of the revenue potential of an expansion into the SME segment.
2. Enable users to assess the feasibility of their objectives and adjust them to target the optimal outcome.
3. Support evidence-based decision-making for SME banking expansion in their market.</t>
  </si>
  <si>
    <t>GUIDANCE</t>
  </si>
  <si>
    <t>This file consists of seven tabs, including this one. Below is a high-level description of each tab, along with specific instructions on how users can interact with them to leverage the tool succesfully.</t>
  </si>
  <si>
    <t>Tab Name</t>
  </si>
  <si>
    <t>Description</t>
  </si>
  <si>
    <t>Instructions</t>
  </si>
  <si>
    <t>Assumptions</t>
  </si>
  <si>
    <t>This tab allows the user to set their targets and insert the conditions under which they would operate in order to achieve those targets and to set alternative values to run a sensitivity analysis on the factors laid out in the model.</t>
  </si>
  <si>
    <t>Insert the conditions under which you want to model the scenario.</t>
  </si>
  <si>
    <t>Outputs overview</t>
  </si>
  <si>
    <t>This tab highlights the most important outcomes determining the feasibility of the expansion and provides a visual representation of the progression of the project.</t>
  </si>
  <si>
    <t>Review key outputs for your primary scenario.</t>
  </si>
  <si>
    <t>Sensitivity analysis</t>
  </si>
  <si>
    <t>This tab follows the layout of the "Outputs overview" but highlights the differences in the outcomes resulting from the sensitivity analysis.</t>
  </si>
  <si>
    <t>Review differences in key outputs between your primary and comparison scenarios.</t>
  </si>
  <si>
    <t>Key financial and ops fig.s LCY</t>
  </si>
  <si>
    <t>This sheet gives detailed figures on the financial outcomes and operating parameters of the project on a quarterly and annual level over a 7-year horizon.</t>
  </si>
  <si>
    <t>-</t>
  </si>
  <si>
    <t>Alt. scenario LCY</t>
  </si>
  <si>
    <t>This sheet gives the same figures as the previous sheet for the alternative scenario that the sensitivity analysis is based on.</t>
  </si>
  <si>
    <t>Key financial and ops fig.s COM</t>
  </si>
  <si>
    <t>Since it is common practice, especially in smaller markets where the local currency is weak or unstable, to assess major projects in a foreign currency, like reserve currencies, this sheet provides an overview of the same numbers as the previous sheet presented in a second currency of the user's choosing.</t>
  </si>
  <si>
    <t>Alt. scenario COM</t>
  </si>
  <si>
    <t>All scenarios</t>
  </si>
  <si>
    <t>This sheet consolidates the figures from the previous four sheets and provides a side by side comparison.</t>
  </si>
  <si>
    <t>If you would like to view the individual scenarios in a single sheet, go straight to this sheet.</t>
  </si>
  <si>
    <t>Baseline Headcount Estimate</t>
  </si>
  <si>
    <t>This tab contains an extract from the related Market Sizing Tool to enable this tool to estimate the project's market share and feasibility of the user's targets within the wider context of the selected market.</t>
  </si>
  <si>
    <t>Lists</t>
  </si>
  <si>
    <t>Location of Pull-Down lists used in this model</t>
  </si>
  <si>
    <t>USING THIS TOOL EFFECTIVELY</t>
  </si>
  <si>
    <t>This tool is designed for a wide range of users—including TA funders, commercial banks, and ecosystem enablers—who want to assess the feasibility and the expected returns of a push for expansion in the SME sector using various combinations of strategies.</t>
  </si>
  <si>
    <t>The tool provides a strong foundation for project assessment. Users can set their targets, align parameters with the existing conditions under which they operate or the conditions they strive for, the tool provides an assessment of the bank's readiness and opportunity for SME banking.</t>
  </si>
  <si>
    <t>LINKS TO USER GUIDE AND VIDEO TUTORIAL</t>
  </si>
  <si>
    <t>Move to the next sheet to begin screening potential partner banks and identifying the most suitable candidates!</t>
  </si>
  <si>
    <t>User Guide:</t>
  </si>
  <si>
    <t>[insert link]</t>
  </si>
  <si>
    <t>Video tutorial:</t>
  </si>
  <si>
    <t>Please only fill in the orange cells in columns D and G. If your selections render any other fields unnecessary, they will automatically be blacked out.</t>
  </si>
  <si>
    <t>Please select your country</t>
  </si>
  <si>
    <t>Albania</t>
  </si>
  <si>
    <t>Please select the country for which you want to use the tool from the drop-down menu</t>
  </si>
  <si>
    <t>Local currency</t>
  </si>
  <si>
    <t>ALL</t>
  </si>
  <si>
    <t>Please enter the local currency of the country for which you want to use the tool. Please note that all inputs should be done in the local currency.</t>
  </si>
  <si>
    <t>Rounding (local currency)</t>
  </si>
  <si>
    <t>no rounding</t>
  </si>
  <si>
    <t>Please select if you want the results displayed in full amounts, thousands, millions or billions of local currency</t>
  </si>
  <si>
    <t>Comparison currency</t>
  </si>
  <si>
    <t>USD</t>
  </si>
  <si>
    <t>If you want to see the results modelled in a second currency, please insert that currency here. Please note that the compariosn currency is for illustrative purposes only. Inputs in the model should be done in local currency.</t>
  </si>
  <si>
    <t>Rounding (comparison currency)</t>
  </si>
  <si>
    <t>Please select if you want the results displayed in full amounts, thousands, millions or billions of comparison currency</t>
  </si>
  <si>
    <t>Exchange rate</t>
  </si>
  <si>
    <t>Please insert the exchange rate between the two currencies (in a format of one unit of local currency to one unit in comparison currency)</t>
  </si>
  <si>
    <t>Target share of market captured by sector</t>
  </si>
  <si>
    <t>Captured share of overall market</t>
  </si>
  <si>
    <t>Values for sensitivity analysis
Overwrite cells where you want to compare with different values from column D</t>
  </si>
  <si>
    <t>- medium</t>
  </si>
  <si>
    <t>Please insert the target number of clients in this sector you would like to achieve</t>
  </si>
  <si>
    <t>- small</t>
  </si>
  <si>
    <t>- very small</t>
  </si>
  <si>
    <t>- self-employed and micro</t>
  </si>
  <si>
    <t>Target timeline for acquisition of new clients</t>
  </si>
  <si>
    <t>Please insert the time (in years, between 1 and 5) in which you would like to achieve the targets set out above</t>
  </si>
  <si>
    <t>Share of electronic banking</t>
  </si>
  <si>
    <t>Please insert the share of your clients that do their banking primarily online</t>
  </si>
  <si>
    <t>Interest rates and fees</t>
  </si>
  <si>
    <t>Interest rate on business loans</t>
  </si>
  <si>
    <t>Please insert the average interest rate on business loans that your institution charges clients</t>
  </si>
  <si>
    <t>Interest rate on mortgages</t>
  </si>
  <si>
    <t>Please insert the average interest rate on mortgage-backed home loans that your institution charges clients</t>
  </si>
  <si>
    <t>Interest rate on autoloans</t>
  </si>
  <si>
    <t>Please insert the average interest rate on autoloans that your institution charges clients</t>
  </si>
  <si>
    <t>Interest rate on deposits</t>
  </si>
  <si>
    <t>Please insert the average interest rate on savings and long-term deposits that your institution pays clients</t>
  </si>
  <si>
    <t>Refinancing rate</t>
  </si>
  <si>
    <t>Please insert the average refinancing rate of the local financial market</t>
  </si>
  <si>
    <t>Account maintenance fee</t>
  </si>
  <si>
    <t>Please insert average account maintenance fee as % of average account balance. If no such fee is charged, insert 0</t>
  </si>
  <si>
    <t>Interest rate on checking accounts</t>
  </si>
  <si>
    <t>Please insert the average interest rate paid to clients for balances in their checking accounts. If no such interest rate is paid, insert 0</t>
  </si>
  <si>
    <t>Transaction fees (intrabank)</t>
  </si>
  <si>
    <t>Please insert the transaction fees (as % of the transaction amount) charged to clients for transactions made to other acounts in your institution for a payment order submitted in person in a bank branch</t>
  </si>
  <si>
    <t>Transaction fees e-banking (intrabank)</t>
  </si>
  <si>
    <t>Please insert the transaction fees (as % of the transaction amount) charged to clients for transactions made to other acounts in your institution for a payment order submitted through electronic banking</t>
  </si>
  <si>
    <t>Transaction fees (interbank)</t>
  </si>
  <si>
    <t>Please insert the transaction fees (as % of the transaction amount) charged to clients for transactions made to acounts in another financial institution less fees payable to intermediaries and receiving institution for a payment order submitted in person in a bank branch</t>
  </si>
  <si>
    <t>Transaction fees e-banking (interbank)</t>
  </si>
  <si>
    <t>Please insert the transaction fees (as % of the transaction amount) charged to clients for transactions made to acounts in another financial institution less fees payable to intermediaries and receiving institution for a payment order submitted through electronic banking</t>
  </si>
  <si>
    <t>Transaction fees (international)</t>
  </si>
  <si>
    <t>Please insert the transaction fees (as % of the transaction amount) charged to clients for international transactions less fees payable to intermediaries and receiving institution for a payment order submitted in person in a bank branch</t>
  </si>
  <si>
    <t>Transaction fees e-banking (international)</t>
  </si>
  <si>
    <t>Please insert the transaction fees (as % of the transaction amount) charged to clients for international transactions less fees payable to intermediaries and receiving institution for a payment order submitted through electronic banking</t>
  </si>
  <si>
    <t>Loan processing fee</t>
  </si>
  <si>
    <t>Please insert the fee (as % of loan amount) charged for processing loans</t>
  </si>
  <si>
    <t>Services</t>
  </si>
  <si>
    <t>In comparison currency (if applicable)</t>
  </si>
  <si>
    <t>NPL</t>
  </si>
  <si>
    <t>Please insert the proportion of loans written down annually as non-performing</t>
  </si>
  <si>
    <t>Reserve requirement</t>
  </si>
  <si>
    <t>Please insert the minimum reserve rate mandated by the central bank</t>
  </si>
  <si>
    <t>Interest earned on minimum reserves</t>
  </si>
  <si>
    <t>If the central bank pays any interest on the reserves, please insert the interest rate here. Otherwise, insert 0</t>
  </si>
  <si>
    <t>Average business loan volume for medium enterprises</t>
  </si>
  <si>
    <t>Please insert the average loan volume outstanding for a company in this sector with your institution</t>
  </si>
  <si>
    <t>Average business loan volume for small enterprises</t>
  </si>
  <si>
    <t>Average business loan volume for very small enterprises</t>
  </si>
  <si>
    <t>Average business loan volume for micro enterprises and self employed entrepreneurs</t>
  </si>
  <si>
    <t>Average business loan uptake for medium enterprises</t>
  </si>
  <si>
    <t>Please insert the proportion of companies in this sector that have loans outstanding with your institution</t>
  </si>
  <si>
    <t>Average business loan uptake for small enterprises</t>
  </si>
  <si>
    <t>Average business loan uptake for very small enterprises</t>
  </si>
  <si>
    <t>Average business loan uptake for micro enterprises and self employed entrepreneurs</t>
  </si>
  <si>
    <t>Average home loan volume</t>
  </si>
  <si>
    <t>Please insert the average home loan volume with your institution</t>
  </si>
  <si>
    <t>Average home loan uptake</t>
  </si>
  <si>
    <t>Please insert the proportion of clients which have outstanding home loans with your institution</t>
  </si>
  <si>
    <t>Average auto loan volume</t>
  </si>
  <si>
    <t>Please insert the average auto loan volume with your institution</t>
  </si>
  <si>
    <t>Average auto loan uptake</t>
  </si>
  <si>
    <t>Please insert the proportion of clients which have outstanding auto loans with your institution</t>
  </si>
  <si>
    <t>Average savings deposit amount</t>
  </si>
  <si>
    <t>Please insert the average balance of a long-term or savings deposit with your institution</t>
  </si>
  <si>
    <t>Average savings uptake</t>
  </si>
  <si>
    <t>Please insert the proportion of clients which have outstanding savings loans with your institution</t>
  </si>
  <si>
    <t>Average checking account balance</t>
  </si>
  <si>
    <t>Please insert the average balance of a checking account with your institution</t>
  </si>
  <si>
    <t>Average intrabank transactions (monthly)</t>
  </si>
  <si>
    <t>Please insert the average volume of intrabank transactions an enterprise makes through your institution</t>
  </si>
  <si>
    <t>Average interbank transactions (monthly)</t>
  </si>
  <si>
    <t>Please insert the average volume of interbank transactions an enterprise makes through your institution</t>
  </si>
  <si>
    <t>Average international transactions (monthly)</t>
  </si>
  <si>
    <t>Please insert the average volume of international transactions an enterprise makes through your institution</t>
  </si>
  <si>
    <t>Average insurance premium (yearly)</t>
  </si>
  <si>
    <t>Please insert the average insurance premium amount underwritten by your institution</t>
  </si>
  <si>
    <t>Average insurance uptake</t>
  </si>
  <si>
    <t>Please insert the proportion of clients which get insurance through your institution</t>
  </si>
  <si>
    <t>Income from providing non-financial services</t>
  </si>
  <si>
    <t>If your institution plans on providing non-financial services such as newsletters, workshops, webinars, CSR initiatives, networking events and such, insert the total income expected to be derived from these activities. If no such services are planned, insert 0.</t>
  </si>
  <si>
    <t>Cost for providing non-financial services</t>
  </si>
  <si>
    <t>If your institution plans on providing non-financial services such as newsletters, workshops, webinars, CSR initiatives, networking events and such, insert the total cost to organize these activities (note, some of these services may be conducted at a loss in order to raise the profile of the institution, so the costs can exceed the incomes stated above). If no such services are planned, insert 0.</t>
  </si>
  <si>
    <t>Number of non-financial services clients annually</t>
  </si>
  <si>
    <t>If your institution plans on providing non-financial services such as newsletters, workshops, webinars, CSR initiatives, networking events and such to participants who are not existing clients, insert the total number of participants who are not existing clients in these activities. If no such activities are planned, insert 0.</t>
  </si>
  <si>
    <t>Expected conversion of NFS clients to financial services clients</t>
  </si>
  <si>
    <t>If your institution plans on providing non-financial services such as newsletters, workshops, webinars, CSR initiatives, networking events and such to participants who are not existing clients insert the proportion of those expected to convert to clients</t>
  </si>
  <si>
    <t>CIT rate</t>
  </si>
  <si>
    <t>Please insert the applicable corporate income tax rate in your jurisdiction</t>
  </si>
  <si>
    <t>Employee effectiveness</t>
  </si>
  <si>
    <t>Average clients served by in clerk in person</t>
  </si>
  <si>
    <t>Please insert the average number of clients a bank clerk can service in a branch</t>
  </si>
  <si>
    <t>Average clients served by support online</t>
  </si>
  <si>
    <t>Please insert the average number of clients a back office employee can service for online support</t>
  </si>
  <si>
    <t>Average loans processed by loan officer</t>
  </si>
  <si>
    <t>Please insert the average number of loan applications a loan officer can process</t>
  </si>
  <si>
    <t>Average clients supervised by manager</t>
  </si>
  <si>
    <t>Please insert the average number of clients for which a branch manager can be responsible</t>
  </si>
  <si>
    <t>Employee compensation</t>
  </si>
  <si>
    <t>Average annual compensation and costs clerk</t>
  </si>
  <si>
    <t>Please insert the average compensation and additional training, development and retention costs for the position</t>
  </si>
  <si>
    <t>Average annual compensation and costs support</t>
  </si>
  <si>
    <t>Average annual compensation and costs loan officer</t>
  </si>
  <si>
    <t>Average annual compensation and costs manager</t>
  </si>
  <si>
    <t>Infrastructure and operating costs</t>
  </si>
  <si>
    <t>Average number of clients serviced by one branch</t>
  </si>
  <si>
    <t>Please insert the number of MSME clients that one branch could effectively service</t>
  </si>
  <si>
    <t>Average number of clients serviced by one service agent outlet</t>
  </si>
  <si>
    <t>If your institution uses third-party service agents to provide a portion of the services on behalf of the bank, please insert the number of MSME clients that one agent outlet could effectively service</t>
  </si>
  <si>
    <t>Share of transactions conducted through service agents</t>
  </si>
  <si>
    <t>If your institution uses third-party service agents to provide a portion of the services on behalf of the bank, please insert the percentage of transactions that are carried out through them</t>
  </si>
  <si>
    <t>Average monthly commisions paid to service agents</t>
  </si>
  <si>
    <t>If your institution uses third-party service agents to provide a portion of the services on behalf of the bank, please insert the average commissions paid monthly to one such service agent</t>
  </si>
  <si>
    <t>Annual cost for renting and maintaing one branch</t>
  </si>
  <si>
    <t>Please insert the cost of premises for one branch, including rent, maintenance, cleaning, security</t>
  </si>
  <si>
    <t>Value of equipment installed in one branch</t>
  </si>
  <si>
    <t>Please insert the value of the equipment required for the general functioning of the branch (common area furniture, server, survailance etc.)</t>
  </si>
  <si>
    <t>Value of equipment for individual use of employees</t>
  </si>
  <si>
    <t>Please insert the value of one fully equipped workspace (desk, chair, computer and all accompanying accessories)</t>
  </si>
  <si>
    <t>Value of IT infrastructure</t>
  </si>
  <si>
    <t>Please insert the value of the IT infrastructure (servers and propriatery software) required to service the target additional business</t>
  </si>
  <si>
    <t>IT maintenance</t>
  </si>
  <si>
    <t>Please insert the annual cost for maintenance of IT equipment</t>
  </si>
  <si>
    <t>Average cost of office supplies for one branch</t>
  </si>
  <si>
    <t>Please insert the annual cost of office supplies used by one branch</t>
  </si>
  <si>
    <t>Client acquisiton and retention</t>
  </si>
  <si>
    <t>Attrition rate</t>
  </si>
  <si>
    <t>Please insert the proportion of clients that stop doing business with your institution every year</t>
  </si>
  <si>
    <t>Advertising and marketing expenditure</t>
  </si>
  <si>
    <t>Please insert the average marketing spend required for the acquisiton of one client</t>
  </si>
  <si>
    <t>Projected organic growth</t>
  </si>
  <si>
    <t>Please insert the expected client acquisiton through recommendations from other clients and word-of-month</t>
  </si>
  <si>
    <t>Target share of clients acquired through commission-based agents</t>
  </si>
  <si>
    <t>If your institution plans on engaging commissions based agents for client acquisition or a bonus system for acquired clients from in-house staff, please insert the share of clients you target acquiring through this channel</t>
  </si>
  <si>
    <t>Average agent commision for acquired client</t>
  </si>
  <si>
    <t>If your institution plans on engaging commissions based agents for client acquisition or a bonus system for acquired clients from in-house staff, please insert the average commission paid to the agent</t>
  </si>
  <si>
    <t>ABSOLUTE ROI</t>
  </si>
  <si>
    <t>ANNUALIZED ROI</t>
  </si>
  <si>
    <t>BREAK EVEN</t>
  </si>
  <si>
    <t>FIRST PROFITABLE QUARTER</t>
  </si>
  <si>
    <t>REPAYMENT OF INVESTMENT</t>
  </si>
  <si>
    <t>Base scenario</t>
  </si>
  <si>
    <t>Alternative scenario</t>
  </si>
  <si>
    <t>Difference</t>
  </si>
  <si>
    <t>.</t>
  </si>
  <si>
    <t>INCOME STATEMENT</t>
  </si>
  <si>
    <t>Q1 Y1</t>
  </si>
  <si>
    <t>Q2 Y1</t>
  </si>
  <si>
    <t>Q3 Y1</t>
  </si>
  <si>
    <t>Q4 Y1</t>
  </si>
  <si>
    <t>Y1</t>
  </si>
  <si>
    <t>Q1 Y2</t>
  </si>
  <si>
    <t>Q2 Y2</t>
  </si>
  <si>
    <t>Q3 Y2</t>
  </si>
  <si>
    <t>Q4 Y2</t>
  </si>
  <si>
    <t>Y2</t>
  </si>
  <si>
    <t>Q1 Y3</t>
  </si>
  <si>
    <t>Q2 Y3</t>
  </si>
  <si>
    <t>Q3 Y3</t>
  </si>
  <si>
    <t>Q4 Y3</t>
  </si>
  <si>
    <t>Y3</t>
  </si>
  <si>
    <t>Q1 Y4</t>
  </si>
  <si>
    <t>Q2 Y4</t>
  </si>
  <si>
    <t>Q3 Y4</t>
  </si>
  <si>
    <t>Q4 Y4</t>
  </si>
  <si>
    <t>Y4</t>
  </si>
  <si>
    <t>Q1 Y5</t>
  </si>
  <si>
    <t>Q2 Y5</t>
  </si>
  <si>
    <t>Q3 Y5</t>
  </si>
  <si>
    <t>Q4 Y5</t>
  </si>
  <si>
    <t>Y5</t>
  </si>
  <si>
    <t>Q1 Y6</t>
  </si>
  <si>
    <t>Q2 Y6</t>
  </si>
  <si>
    <t>Q3 Y6</t>
  </si>
  <si>
    <t>Q4 Y6</t>
  </si>
  <si>
    <t>Y6</t>
  </si>
  <si>
    <t>Q1 Y7</t>
  </si>
  <si>
    <t>Q2 Y7</t>
  </si>
  <si>
    <t>Q3 Y7</t>
  </si>
  <si>
    <t>Q4 Y7</t>
  </si>
  <si>
    <t>Y7</t>
  </si>
  <si>
    <t>Net interest income on business loans</t>
  </si>
  <si>
    <t>Net interest income on mortgages</t>
  </si>
  <si>
    <t>Net interest income on auto loans and leasing</t>
  </si>
  <si>
    <t>Net interest income on deposits</t>
  </si>
  <si>
    <t>Net interest income on checking account balances</t>
  </si>
  <si>
    <t>Net interest income</t>
  </si>
  <si>
    <t>NET INTEREST INCOME</t>
  </si>
  <si>
    <t>Net intrabank transaction fees income</t>
  </si>
  <si>
    <t>Net interbank transaction fees income</t>
  </si>
  <si>
    <t>Net international transaction fees income</t>
  </si>
  <si>
    <t>Loan processing fees income</t>
  </si>
  <si>
    <t>Fee income</t>
  </si>
  <si>
    <t>NET FEE INCOME</t>
  </si>
  <si>
    <t>Insurance premium income</t>
  </si>
  <si>
    <t>Non-financial services (NFS) income</t>
  </si>
  <si>
    <t>Non-financial services (NFS) costs</t>
  </si>
  <si>
    <t>Net income from non-financial services</t>
  </si>
  <si>
    <t>Non-banking income</t>
  </si>
  <si>
    <t>NON-BANKING INCOME</t>
  </si>
  <si>
    <t>TOTAL INCOME BEFORE CREDIT IMPAIRMENT CHARGE</t>
  </si>
  <si>
    <t>Charges for credit losses</t>
  </si>
  <si>
    <t>TOTAL INCOME AFTER CREDIT IMPAIRMENT CHARGE</t>
  </si>
  <si>
    <t>Employee compensation (clerks)</t>
  </si>
  <si>
    <t>Employee compensation (IT and support)</t>
  </si>
  <si>
    <t>Employee compensation (loan officers)</t>
  </si>
  <si>
    <t>Employee compensation (management)</t>
  </si>
  <si>
    <t>Depreciation of workspace equipment</t>
  </si>
  <si>
    <t>Depreciation of branch inventory</t>
  </si>
  <si>
    <t>Depreciation of server and infrastructure equipment</t>
  </si>
  <si>
    <t>Depreciation</t>
  </si>
  <si>
    <t>Premises cost (rent and maintenance)</t>
  </si>
  <si>
    <t>Office supplies</t>
  </si>
  <si>
    <t>Marketing and advertising</t>
  </si>
  <si>
    <t>Client acqusition agent commissions</t>
  </si>
  <si>
    <t>Client service agent commissions</t>
  </si>
  <si>
    <t>IT expenses</t>
  </si>
  <si>
    <t>Other operating expenses</t>
  </si>
  <si>
    <t>EARNINGS BEFORE TAX</t>
  </si>
  <si>
    <t>Corporate tax</t>
  </si>
  <si>
    <t>NET INCOME</t>
  </si>
  <si>
    <t>ACCUMULATED GAINS FROM BUSINESS UNIT</t>
  </si>
  <si>
    <t>CASH FLOW STATEMENT</t>
  </si>
  <si>
    <t>NON-FINANCIAL INCOME</t>
  </si>
  <si>
    <t>WRITE-DOWN OF NON-PERFORMING LOANS</t>
  </si>
  <si>
    <t>EMPLOYEE COMPENSATION</t>
  </si>
  <si>
    <t>OPERATING EXPENSES</t>
  </si>
  <si>
    <t>CAPITAL EXPENDITURES</t>
  </si>
  <si>
    <t>CORPORATE TAX</t>
  </si>
  <si>
    <t>FREE CASH FLOW</t>
  </si>
  <si>
    <t>ACCUMULATED CASH FLOW</t>
  </si>
  <si>
    <t>OTHER INFORMATION</t>
  </si>
  <si>
    <t>Share of medium sector</t>
  </si>
  <si>
    <t>Share of small sector</t>
  </si>
  <si>
    <t>Share of very small sector</t>
  </si>
  <si>
    <t>Share of micro and self employed sector</t>
  </si>
  <si>
    <t>Medium market captured (cummulative)</t>
  </si>
  <si>
    <t>Small market captured (cummulative)</t>
  </si>
  <si>
    <t>Very small market captured (cummulative)</t>
  </si>
  <si>
    <t>Micro and self-employed market captured (cummulative)</t>
  </si>
  <si>
    <t>Number of active medium clients</t>
  </si>
  <si>
    <t>Number of active small clients</t>
  </si>
  <si>
    <t>Number of active very small clients</t>
  </si>
  <si>
    <t>Number of active micro and self-employed clients</t>
  </si>
  <si>
    <t>Business loans volume (cummulative)</t>
  </si>
  <si>
    <t>Mortgages volume (cummulative)</t>
  </si>
  <si>
    <t>Auto loans and leasing volume (cummulative)</t>
  </si>
  <si>
    <t>Deposits volume (cummulative)</t>
  </si>
  <si>
    <t>Checking account balances volume (cummulative)</t>
  </si>
  <si>
    <t>Intrabank transactions volume (cummulative)</t>
  </si>
  <si>
    <t>Interbank transactions volume (cummulative)</t>
  </si>
  <si>
    <t>International transactions volume (cummulative)</t>
  </si>
  <si>
    <t>no. of service agents</t>
  </si>
  <si>
    <t>no. of branches</t>
  </si>
  <si>
    <t>no. of employed clerks</t>
  </si>
  <si>
    <t>no. of employed IT and support</t>
  </si>
  <si>
    <t>no. of employed loan officers</t>
  </si>
  <si>
    <t>no. of employed managers</t>
  </si>
  <si>
    <t>Side-by-side comparison of all scenarios</t>
  </si>
  <si>
    <t>Baseline Headcount Estimates</t>
  </si>
  <si>
    <t>Sources</t>
  </si>
  <si>
    <t>Weights:</t>
  </si>
  <si>
    <t>GEM</t>
  </si>
  <si>
    <t>Mix (ILO, WB Entrepeneurship &amp; WB Enterprise Survey)</t>
  </si>
  <si>
    <t>IFC Enterprise Gap</t>
  </si>
  <si>
    <t>numbers in thousands</t>
  </si>
  <si>
    <t>iso3</t>
  </si>
  <si>
    <t>Country</t>
  </si>
  <si>
    <t>Number of Sources Used</t>
  </si>
  <si>
    <t>Male</t>
  </si>
  <si>
    <t>Female</t>
  </si>
  <si>
    <t>Sex: Male</t>
  </si>
  <si>
    <t>Sex: Female</t>
  </si>
  <si>
    <t>Total number of businesses</t>
  </si>
  <si>
    <t>Micro &amp; Self-employed</t>
  </si>
  <si>
    <t>Very Small</t>
  </si>
  <si>
    <t>Small</t>
  </si>
  <si>
    <t>Medium</t>
  </si>
  <si>
    <t>Micro &amp; Self-Employed</t>
  </si>
  <si>
    <t>ALB</t>
  </si>
  <si>
    <t>3 sources</t>
  </si>
  <si>
    <t>BIH</t>
  </si>
  <si>
    <t>Bosnia and Herzegovina</t>
  </si>
  <si>
    <t>CIV</t>
  </si>
  <si>
    <t>Côte d'Ivoire</t>
  </si>
  <si>
    <t>DOM</t>
  </si>
  <si>
    <t>Dominican Republic</t>
  </si>
  <si>
    <t>EGY</t>
  </si>
  <si>
    <t>Egypt</t>
  </si>
  <si>
    <t>FJI</t>
  </si>
  <si>
    <t>Fiji</t>
  </si>
  <si>
    <t>GEO</t>
  </si>
  <si>
    <t>Georgia</t>
  </si>
  <si>
    <t>GHA</t>
  </si>
  <si>
    <t>Ghana</t>
  </si>
  <si>
    <t>IDN</t>
  </si>
  <si>
    <t>Indonesia</t>
  </si>
  <si>
    <t>JOR</t>
  </si>
  <si>
    <t>Jordan</t>
  </si>
  <si>
    <t>KAZ</t>
  </si>
  <si>
    <t>Kazakhstan</t>
  </si>
  <si>
    <t>XKX</t>
  </si>
  <si>
    <t>Kosovo</t>
  </si>
  <si>
    <t>KGZ</t>
  </si>
  <si>
    <t>Kyrgyzstan</t>
  </si>
  <si>
    <t>MDG</t>
  </si>
  <si>
    <t>Madagascar</t>
  </si>
  <si>
    <t>MNG</t>
  </si>
  <si>
    <t>Mongolia</t>
  </si>
  <si>
    <t>MNE</t>
  </si>
  <si>
    <t>Montenegro</t>
  </si>
  <si>
    <t>MAR</t>
  </si>
  <si>
    <t>Morocco</t>
  </si>
  <si>
    <t>MOZ</t>
  </si>
  <si>
    <t>Mozambique</t>
  </si>
  <si>
    <t>NGA</t>
  </si>
  <si>
    <t>Nigeria</t>
  </si>
  <si>
    <t>MKD</t>
  </si>
  <si>
    <t>North Macedonia</t>
  </si>
  <si>
    <t>PAK</t>
  </si>
  <si>
    <t>Pakistan</t>
  </si>
  <si>
    <t>RWA</t>
  </si>
  <si>
    <t>Rwanda</t>
  </si>
  <si>
    <t>SEN</t>
  </si>
  <si>
    <t>Senegal</t>
  </si>
  <si>
    <t>SRB</t>
  </si>
  <si>
    <t>Serbia</t>
  </si>
  <si>
    <t>SOM</t>
  </si>
  <si>
    <t>Somalia</t>
  </si>
  <si>
    <t>LKA</t>
  </si>
  <si>
    <t>Sri Lanka</t>
  </si>
  <si>
    <t>TJK</t>
  </si>
  <si>
    <t>Tajikistan</t>
  </si>
  <si>
    <t>TZA</t>
  </si>
  <si>
    <t>Tanzania (United Republic of)</t>
  </si>
  <si>
    <t>UZB</t>
  </si>
  <si>
    <t>Uzbekistan</t>
  </si>
  <si>
    <t>ZWE</t>
  </si>
  <si>
    <t>Zimbabwe</t>
  </si>
  <si>
    <t>AGO</t>
  </si>
  <si>
    <t>Angola</t>
  </si>
  <si>
    <t>ARE</t>
  </si>
  <si>
    <t>United Arab Emirates</t>
  </si>
  <si>
    <t>ARG</t>
  </si>
  <si>
    <t>Argentina</t>
  </si>
  <si>
    <t>ARM</t>
  </si>
  <si>
    <t>Armenia</t>
  </si>
  <si>
    <t>AUS</t>
  </si>
  <si>
    <t>Australia</t>
  </si>
  <si>
    <t>AUT</t>
  </si>
  <si>
    <t>Austria</t>
  </si>
  <si>
    <t>BEL</t>
  </si>
  <si>
    <t>Belgium</t>
  </si>
  <si>
    <t>BFA</t>
  </si>
  <si>
    <t>Burkina Faso</t>
  </si>
  <si>
    <t>BGR</t>
  </si>
  <si>
    <t>Bulgaria</t>
  </si>
  <si>
    <t>BLR</t>
  </si>
  <si>
    <t>Belarus</t>
  </si>
  <si>
    <t>BLZ</t>
  </si>
  <si>
    <t>Belize</t>
  </si>
  <si>
    <t>BRA</t>
  </si>
  <si>
    <t>Brazil</t>
  </si>
  <si>
    <t>BRB</t>
  </si>
  <si>
    <t>Barbados</t>
  </si>
  <si>
    <t>BWA</t>
  </si>
  <si>
    <t>Botswana</t>
  </si>
  <si>
    <t>CAN</t>
  </si>
  <si>
    <t>Canada</t>
  </si>
  <si>
    <t>CHE</t>
  </si>
  <si>
    <t>Switzerland</t>
  </si>
  <si>
    <t>CHL</t>
  </si>
  <si>
    <t>Chile</t>
  </si>
  <si>
    <t>CHN</t>
  </si>
  <si>
    <t>China</t>
  </si>
  <si>
    <t>CMR</t>
  </si>
  <si>
    <t>Cameroon</t>
  </si>
  <si>
    <t>COL</t>
  </si>
  <si>
    <t>Colombia</t>
  </si>
  <si>
    <t>DEU</t>
  </si>
  <si>
    <t>Germany</t>
  </si>
  <si>
    <t>ECU</t>
  </si>
  <si>
    <t>Ecuador</t>
  </si>
  <si>
    <t>ESP</t>
  </si>
  <si>
    <t>Spain</t>
  </si>
  <si>
    <t>EST</t>
  </si>
  <si>
    <t>Estonia</t>
  </si>
  <si>
    <t>FIN</t>
  </si>
  <si>
    <t>Finland</t>
  </si>
  <si>
    <t>FRA</t>
  </si>
  <si>
    <t>France</t>
  </si>
  <si>
    <t>GBR</t>
  </si>
  <si>
    <t>United Kingdom</t>
  </si>
  <si>
    <t>GRC</t>
  </si>
  <si>
    <t>Greece</t>
  </si>
  <si>
    <t>GTM</t>
  </si>
  <si>
    <t>Guatemala</t>
  </si>
  <si>
    <t>HKG</t>
  </si>
  <si>
    <t>Hong Kong, China (SAR)</t>
  </si>
  <si>
    <t>HRV</t>
  </si>
  <si>
    <t>Croatia</t>
  </si>
  <si>
    <t>HUN</t>
  </si>
  <si>
    <t>Hungary</t>
  </si>
  <si>
    <t>IND</t>
  </si>
  <si>
    <t>India</t>
  </si>
  <si>
    <t>IRL</t>
  </si>
  <si>
    <t>Ireland</t>
  </si>
  <si>
    <t>IRN</t>
  </si>
  <si>
    <t>Iran (Islamic Republic of)</t>
  </si>
  <si>
    <t>ITA</t>
  </si>
  <si>
    <t>Italy</t>
  </si>
  <si>
    <t>JAM</t>
  </si>
  <si>
    <t>Jamaica</t>
  </si>
  <si>
    <t>JPN</t>
  </si>
  <si>
    <t>Japan</t>
  </si>
  <si>
    <t>KOR</t>
  </si>
  <si>
    <t>Korea (Republic of)</t>
  </si>
  <si>
    <t>KWT</t>
  </si>
  <si>
    <t>Kuwait</t>
  </si>
  <si>
    <t>LBN</t>
  </si>
  <si>
    <t>Lebanon</t>
  </si>
  <si>
    <t>LUX</t>
  </si>
  <si>
    <t>Luxembourg</t>
  </si>
  <si>
    <t>LVA</t>
  </si>
  <si>
    <t>Latvia</t>
  </si>
  <si>
    <t>MEX</t>
  </si>
  <si>
    <t>Mexico</t>
  </si>
  <si>
    <t>MYS</t>
  </si>
  <si>
    <t>Malaysia</t>
  </si>
  <si>
    <t>NLD</t>
  </si>
  <si>
    <t>Netherlands</t>
  </si>
  <si>
    <t>NOR</t>
  </si>
  <si>
    <t>Norway</t>
  </si>
  <si>
    <t>OMN</t>
  </si>
  <si>
    <t>Oman</t>
  </si>
  <si>
    <t>PAN</t>
  </si>
  <si>
    <t>Panama</t>
  </si>
  <si>
    <t>PER</t>
  </si>
  <si>
    <t>Peru</t>
  </si>
  <si>
    <t>PHL</t>
  </si>
  <si>
    <t>Philippines</t>
  </si>
  <si>
    <t>POL</t>
  </si>
  <si>
    <t>Poland</t>
  </si>
  <si>
    <t>PRT</t>
  </si>
  <si>
    <t>Portugal</t>
  </si>
  <si>
    <t>QAT</t>
  </si>
  <si>
    <t>Qatar</t>
  </si>
  <si>
    <t>ROU</t>
  </si>
  <si>
    <t>Romania</t>
  </si>
  <si>
    <t>RUS</t>
  </si>
  <si>
    <t>Russian Federation</t>
  </si>
  <si>
    <t>SAU</t>
  </si>
  <si>
    <t>Saudi Arabia</t>
  </si>
  <si>
    <t>SDN</t>
  </si>
  <si>
    <t>Sudan</t>
  </si>
  <si>
    <t>SLV</t>
  </si>
  <si>
    <t>El Salvador</t>
  </si>
  <si>
    <t>SVK</t>
  </si>
  <si>
    <t>Slovakia</t>
  </si>
  <si>
    <t>SVN</t>
  </si>
  <si>
    <t>Slovenia</t>
  </si>
  <si>
    <t>SWE</t>
  </si>
  <si>
    <t>Sweden</t>
  </si>
  <si>
    <t>TGO</t>
  </si>
  <si>
    <t>Togo</t>
  </si>
  <si>
    <t>THA</t>
  </si>
  <si>
    <t>Thailand</t>
  </si>
  <si>
    <t>TUN</t>
  </si>
  <si>
    <t>Tunisia</t>
  </si>
  <si>
    <t>TUR</t>
  </si>
  <si>
    <t>Türkiye</t>
  </si>
  <si>
    <t>URY</t>
  </si>
  <si>
    <t>Uruguay</t>
  </si>
  <si>
    <t>USA</t>
  </si>
  <si>
    <t>United States</t>
  </si>
  <si>
    <t>VNM</t>
  </si>
  <si>
    <t>Viet Nam</t>
  </si>
  <si>
    <t>ZAF</t>
  </si>
  <si>
    <t>South Africa</t>
  </si>
  <si>
    <t>AZE</t>
  </si>
  <si>
    <t>Azerbaijan</t>
  </si>
  <si>
    <t>2 sources</t>
  </si>
  <si>
    <t>BDI</t>
  </si>
  <si>
    <t>Burundi</t>
  </si>
  <si>
    <t>BEN</t>
  </si>
  <si>
    <t>Benin</t>
  </si>
  <si>
    <t>BGD</t>
  </si>
  <si>
    <t>Bangladesh</t>
  </si>
  <si>
    <t>BHR</t>
  </si>
  <si>
    <t>Bahrain</t>
  </si>
  <si>
    <t>BHS</t>
  </si>
  <si>
    <t>Bahamas</t>
  </si>
  <si>
    <t>BOL</t>
  </si>
  <si>
    <t>Bolivia (Plurinational State of)</t>
  </si>
  <si>
    <t>BRN</t>
  </si>
  <si>
    <t>Brunei Darussalam</t>
  </si>
  <si>
    <t>BTN</t>
  </si>
  <si>
    <t>Bhutan</t>
  </si>
  <si>
    <t>CAF</t>
  </si>
  <si>
    <t>Central African Republic</t>
  </si>
  <si>
    <t>COD</t>
  </si>
  <si>
    <t>Congo (Democratic Republic of the)</t>
  </si>
  <si>
    <t>COM</t>
  </si>
  <si>
    <t>Comoros</t>
  </si>
  <si>
    <t>CPV</t>
  </si>
  <si>
    <t>Cabo Verde</t>
  </si>
  <si>
    <t>CRI</t>
  </si>
  <si>
    <t>Costa Rica</t>
  </si>
  <si>
    <t>CUB</t>
  </si>
  <si>
    <t>Cuba</t>
  </si>
  <si>
    <t>CZE</t>
  </si>
  <si>
    <t>Czechia</t>
  </si>
  <si>
    <t>DJI</t>
  </si>
  <si>
    <t>Djibouti</t>
  </si>
  <si>
    <t>DNK</t>
  </si>
  <si>
    <t>Denmark</t>
  </si>
  <si>
    <t>DZA</t>
  </si>
  <si>
    <t>Algeria</t>
  </si>
  <si>
    <t>ERI</t>
  </si>
  <si>
    <t>Eritrea</t>
  </si>
  <si>
    <t>ETH</t>
  </si>
  <si>
    <t>Ethiopia</t>
  </si>
  <si>
    <t>FSM</t>
  </si>
  <si>
    <t>Micronesia (Federated States of)</t>
  </si>
  <si>
    <t>GAB</t>
  </si>
  <si>
    <t>Gabon</t>
  </si>
  <si>
    <t>GIN</t>
  </si>
  <si>
    <t>Guinea</t>
  </si>
  <si>
    <t>GMB</t>
  </si>
  <si>
    <t>Gambia</t>
  </si>
  <si>
    <t>GNB</t>
  </si>
  <si>
    <t>Guinea-Bissau</t>
  </si>
  <si>
    <t>GNQ</t>
  </si>
  <si>
    <t>Equatorial Guinea</t>
  </si>
  <si>
    <t>GRD</t>
  </si>
  <si>
    <t>Grenada</t>
  </si>
  <si>
    <t>GUY</t>
  </si>
  <si>
    <t>Guyana</t>
  </si>
  <si>
    <t>HND</t>
  </si>
  <si>
    <t>Honduras</t>
  </si>
  <si>
    <t>HTI</t>
  </si>
  <si>
    <t>Haiti</t>
  </si>
  <si>
    <t>IRQ</t>
  </si>
  <si>
    <t>Iraq</t>
  </si>
  <si>
    <t>ISL</t>
  </si>
  <si>
    <t>Iceland</t>
  </si>
  <si>
    <t>KEN</t>
  </si>
  <si>
    <t>Kenya</t>
  </si>
  <si>
    <t>KHM</t>
  </si>
  <si>
    <t>Cambodia</t>
  </si>
  <si>
    <t>LAO</t>
  </si>
  <si>
    <t>Lao People's Democratic Republic</t>
  </si>
  <si>
    <t>LBY</t>
  </si>
  <si>
    <t>Libya</t>
  </si>
  <si>
    <t>LCA</t>
  </si>
  <si>
    <t>Saint Lucia</t>
  </si>
  <si>
    <t>LSO</t>
  </si>
  <si>
    <t>Lesotho</t>
  </si>
  <si>
    <t>LTU</t>
  </si>
  <si>
    <t>Lithuania</t>
  </si>
  <si>
    <t>MDA</t>
  </si>
  <si>
    <t>Moldova (Republic of)</t>
  </si>
  <si>
    <t>MDV</t>
  </si>
  <si>
    <t>Maldives</t>
  </si>
  <si>
    <t>MLI</t>
  </si>
  <si>
    <t>Mali</t>
  </si>
  <si>
    <t>MMR</t>
  </si>
  <si>
    <t>Myanmar</t>
  </si>
  <si>
    <t>MRT</t>
  </si>
  <si>
    <t>Mauritania</t>
  </si>
  <si>
    <t>MUS</t>
  </si>
  <si>
    <t>Mauritius</t>
  </si>
  <si>
    <t>MWI</t>
  </si>
  <si>
    <t>Malawi</t>
  </si>
  <si>
    <t>NAM</t>
  </si>
  <si>
    <t>Namibia</t>
  </si>
  <si>
    <t>NER</t>
  </si>
  <si>
    <t>Niger</t>
  </si>
  <si>
    <t>NIC</t>
  </si>
  <si>
    <t>Nicaragua</t>
  </si>
  <si>
    <t>Nepal</t>
  </si>
  <si>
    <t>NZL</t>
  </si>
  <si>
    <t>New Zealand</t>
  </si>
  <si>
    <t>PNG</t>
  </si>
  <si>
    <t>Papua New Guinea</t>
  </si>
  <si>
    <t>PRY</t>
  </si>
  <si>
    <t>Paraguay</t>
  </si>
  <si>
    <t>PSE</t>
  </si>
  <si>
    <t>Palestine, State of</t>
  </si>
  <si>
    <t>SGP</t>
  </si>
  <si>
    <t>Singapore</t>
  </si>
  <si>
    <t>SLB</t>
  </si>
  <si>
    <t>Solomon Islands</t>
  </si>
  <si>
    <t>STP</t>
  </si>
  <si>
    <t>Sao Tome and Principe</t>
  </si>
  <si>
    <t>SUR</t>
  </si>
  <si>
    <t>Suriname</t>
  </si>
  <si>
    <t>SWZ</t>
  </si>
  <si>
    <t>Eswatini (Kingdom of)</t>
  </si>
  <si>
    <t>SYR</t>
  </si>
  <si>
    <t>Syrian Arab Republic</t>
  </si>
  <si>
    <t>TCD</t>
  </si>
  <si>
    <t>Chad</t>
  </si>
  <si>
    <t>TLS</t>
  </si>
  <si>
    <t>Timor-Leste</t>
  </si>
  <si>
    <t>TON</t>
  </si>
  <si>
    <t>Tonga</t>
  </si>
  <si>
    <t>TTO</t>
  </si>
  <si>
    <t>Trinidad and Tobago</t>
  </si>
  <si>
    <t>VCT</t>
  </si>
  <si>
    <t>Saint Vincent and the Grenadines</t>
  </si>
  <si>
    <t>WSM</t>
  </si>
  <si>
    <t>Samoa</t>
  </si>
  <si>
    <t>Rounding</t>
  </si>
  <si>
    <t>Number of branches</t>
  </si>
  <si>
    <t>thousands</t>
  </si>
  <si>
    <t>Number of service agents</t>
  </si>
  <si>
    <t>millions</t>
  </si>
  <si>
    <t>billions</t>
  </si>
  <si>
    <t>NET INCOME (Base scenario)</t>
  </si>
  <si>
    <t>Share of medium sector (Base scenario)</t>
  </si>
  <si>
    <t>NET INCOME (Alternative scenario)</t>
  </si>
  <si>
    <t>Share of medium sector (Alternative scenario)</t>
  </si>
  <si>
    <t xml:space="preserve">Number of active medium clients </t>
  </si>
  <si>
    <t>Share of small sector (Base scenario)</t>
  </si>
  <si>
    <t xml:space="preserve">Number of active small clients </t>
  </si>
  <si>
    <t>Share of small sector (Alternative scenario)</t>
  </si>
  <si>
    <t>Very small market captured (cummulative) (Base scenario)</t>
  </si>
  <si>
    <t xml:space="preserve">Number of active micro and self-emplyed clients </t>
  </si>
  <si>
    <t>Very small market captured (cummulative) (Alternative scenario)</t>
  </si>
  <si>
    <t>Micro and self-employed market captured (cummulative) (Base scenario)</t>
  </si>
  <si>
    <t>Micro and self-employed market captured (cummulative) (Alternative scenario)</t>
  </si>
  <si>
    <t xml:space="preserve">Number of service agents </t>
  </si>
  <si>
    <t xml:space="preserve">no. of employed clerks </t>
  </si>
  <si>
    <t xml:space="preserve">no. of employed IT and support </t>
  </si>
  <si>
    <t xml:space="preserve">no. of employed loan officers </t>
  </si>
  <si>
    <t xml:space="preserve">no. of employed managers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</si>
</sst>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0.00_ ;\-#,##0.00\ "/>
    <numFmt numFmtId="166" formatCode="_(* #,##0_);_(* \(#,##0\);_(* &quot;-&quot;??_);_(@_)"/>
    <numFmt numFmtId="167" formatCode="0.0%"/>
    <numFmt numFmtId="168" formatCode="_(* #,##0.000000_);_(* \(#,##0.000000\);_(* &quot;-&quot;??_);_(@_)"/>
  </numFmts>
  <fonts count="38">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2"/>
      <color theme="1"/>
      <name val="Calibri"/>
      <family val="2"/>
      <scheme val="minor"/>
    </font>
    <font>
      <sz val="11"/>
      <color rgb="FFFFB700"/>
      <name val="Calibri"/>
      <family val="2"/>
      <scheme val="minor"/>
    </font>
    <font>
      <b/>
      <sz val="12"/>
      <color rgb="FFFFB700"/>
      <name val="Calibri"/>
      <family val="2"/>
      <scheme val="minor"/>
    </font>
    <font>
      <sz val="12"/>
      <color rgb="FF11213F"/>
      <name val="Calibri"/>
      <family val="2"/>
      <scheme val="minor"/>
    </font>
    <font>
      <b/>
      <sz val="12"/>
      <color rgb="FF11213F"/>
      <name val="Calibri"/>
      <family val="2"/>
      <scheme val="minor"/>
    </font>
    <font>
      <b/>
      <sz val="11"/>
      <color rgb="FFFFB700"/>
      <name val="Calibri"/>
      <family val="2"/>
      <scheme val="minor"/>
    </font>
    <font>
      <sz val="10"/>
      <name val="Arial"/>
      <family val="2"/>
    </font>
    <font>
      <sz val="11"/>
      <name val="Calibri"/>
      <family val="2"/>
      <scheme val="minor"/>
    </font>
    <font>
      <sz val="11"/>
      <color rgb="FF11213F"/>
      <name val="Calibri"/>
      <family val="2"/>
      <scheme val="minor"/>
    </font>
    <font>
      <sz val="11"/>
      <name val="Arial"/>
      <family val="2"/>
    </font>
    <font>
      <b/>
      <sz val="11"/>
      <color rgb="FF11213F"/>
      <name val="Calibri"/>
      <family val="2"/>
      <scheme val="minor"/>
    </font>
    <font>
      <b/>
      <sz val="14"/>
      <color rgb="FF11213F"/>
      <name val="Calibri"/>
      <family val="2"/>
      <scheme val="minor"/>
    </font>
    <font>
      <i/>
      <sz val="11"/>
      <color rgb="FF11213F"/>
      <name val="Calibri"/>
      <family val="2"/>
      <scheme val="minor"/>
    </font>
    <font>
      <i/>
      <sz val="12"/>
      <color rgb="FF11213F"/>
      <name val="Calibri"/>
      <family val="2"/>
      <scheme val="minor"/>
    </font>
    <font>
      <sz val="14"/>
      <color rgb="FF11213F"/>
      <name val="Calibri"/>
      <family val="2"/>
      <scheme val="minor"/>
    </font>
    <font>
      <i/>
      <sz val="14"/>
      <color rgb="FF11213F"/>
      <name val="Calibri"/>
      <family val="2"/>
      <scheme val="minor"/>
    </font>
    <font>
      <sz val="11"/>
      <color theme="0"/>
      <name val="Calibri"/>
      <family val="2"/>
      <scheme val="minor"/>
    </font>
    <font>
      <b/>
      <sz val="11"/>
      <color theme="3"/>
      <name val="Calibri"/>
      <family val="2"/>
      <scheme val="minor"/>
    </font>
    <font>
      <u/>
      <sz val="11"/>
      <color theme="10"/>
      <name val="Calibri"/>
      <family val="2"/>
      <scheme val="minor"/>
    </font>
    <font>
      <i/>
      <sz val="8"/>
      <color theme="1"/>
      <name val="Calibri"/>
      <family val="2"/>
      <scheme val="minor"/>
    </font>
    <font>
      <sz val="16"/>
      <color theme="1"/>
      <name val="Calibri"/>
      <family val="2"/>
      <scheme val="minor"/>
    </font>
    <font>
      <b/>
      <sz val="18"/>
      <color rgb="FFFFB700"/>
      <name val="Calibri"/>
      <family val="2"/>
      <scheme val="minor"/>
    </font>
    <font>
      <b/>
      <i/>
      <sz val="18"/>
      <color rgb="FFFFB700"/>
      <name val="Calibri"/>
      <family val="2"/>
      <scheme val="minor"/>
    </font>
    <font>
      <b/>
      <sz val="12"/>
      <color theme="1"/>
      <name val="Calibri"/>
      <family val="2"/>
      <scheme val="minor"/>
    </font>
    <font>
      <b/>
      <sz val="16"/>
      <color rgb="FF11213F"/>
      <name val="Calibri"/>
      <family val="2"/>
      <scheme val="minor"/>
    </font>
    <font>
      <b/>
      <sz val="16"/>
      <color rgb="FFBE2381"/>
      <name val="Calibri"/>
      <family val="2"/>
      <scheme val="minor"/>
    </font>
    <font>
      <b/>
      <sz val="12"/>
      <color rgb="FFBE2381"/>
      <name val="Calibri"/>
      <family val="2"/>
      <scheme val="minor"/>
    </font>
    <font>
      <sz val="12"/>
      <name val="Calibri"/>
      <family val="2"/>
      <scheme val="minor"/>
    </font>
    <font>
      <b/>
      <sz val="12"/>
      <name val="Calibri"/>
      <family val="2"/>
      <scheme val="minor"/>
    </font>
    <font>
      <b/>
      <sz val="14"/>
      <color theme="1"/>
      <name val="Calibri"/>
      <family val="2"/>
      <scheme val="minor"/>
    </font>
    <font>
      <i/>
      <sz val="12"/>
      <color theme="1"/>
      <name val="Calibri"/>
      <family val="2"/>
      <scheme val="minor"/>
    </font>
    <font>
      <b/>
      <sz val="11"/>
      <color rgb="FFFF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11213F"/>
        <bgColor indexed="64"/>
      </patternFill>
    </fill>
    <fill>
      <patternFill patternType="solid">
        <fgColor rgb="FFFFB700"/>
        <bgColor indexed="64"/>
      </patternFill>
    </fill>
    <fill>
      <patternFill patternType="solid">
        <fgColor theme="0" tint="-0.14999847407452621"/>
        <bgColor indexed="64"/>
      </patternFill>
    </fill>
    <fill>
      <patternFill patternType="solid">
        <fgColor theme="2"/>
        <bgColor indexed="64"/>
      </patternFill>
    </fill>
    <fill>
      <patternFill patternType="solid">
        <fgColor rgb="FFFFD15D"/>
        <bgColor indexed="64"/>
      </patternFill>
    </fill>
    <fill>
      <patternFill patternType="solid">
        <fgColor theme="8" tint="0.79998168889431442"/>
        <bgColor indexed="64"/>
      </patternFill>
    </fill>
    <fill>
      <patternFill patternType="solid">
        <fgColor theme="7" tint="0.79998168889431442"/>
        <bgColor indexed="64"/>
      </patternFill>
    </fill>
  </fills>
  <borders count="53">
    <border>
      <left/>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auto="1"/>
      </right>
      <top/>
      <bottom style="thin">
        <color indexed="64"/>
      </bottom>
      <diagonal/>
    </border>
    <border>
      <left/>
      <right style="thin">
        <color auto="1"/>
      </right>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theme="1"/>
      </right>
      <top style="thin">
        <color indexed="64"/>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thin">
        <color indexed="64"/>
      </left>
      <right style="thin">
        <color theme="1"/>
      </right>
      <top/>
      <bottom style="thin">
        <color indexed="64"/>
      </bottom>
      <diagonal/>
    </border>
    <border>
      <left style="thin">
        <color theme="1"/>
      </left>
      <right style="thin">
        <color theme="1"/>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top style="thin">
        <color indexed="64"/>
      </top>
      <bottom style="thin">
        <color indexed="64"/>
      </bottom>
      <diagonal/>
    </border>
    <border>
      <left style="medium">
        <color indexed="64"/>
      </left>
      <right style="thin">
        <color auto="1"/>
      </right>
      <top style="medium">
        <color indexed="64"/>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top/>
      <bottom style="thin">
        <color indexed="64"/>
      </bottom>
      <diagonal/>
    </border>
    <border>
      <left/>
      <right/>
      <top style="thick">
        <color indexed="64"/>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6">
    <xf numFmtId="0" fontId="0" fillId="0" borderId="0"/>
    <xf numFmtId="9" fontId="2" fillId="0" borderId="0" applyFont="0" applyFill="0" applyBorder="0" applyAlignment="0" applyProtection="0"/>
    <xf numFmtId="0" fontId="6" fillId="0" borderId="0"/>
    <xf numFmtId="43" fontId="2" fillId="0" borderId="0" applyFont="0" applyFill="0" applyBorder="0" applyAlignment="0" applyProtection="0"/>
    <xf numFmtId="0" fontId="12" fillId="0" borderId="0" applyNumberFormat="0" applyFont="0" applyFill="0" applyBorder="0" applyAlignment="0" applyProtection="0"/>
    <xf numFmtId="0" fontId="24" fillId="0" borderId="0" applyNumberFormat="0" applyFill="0" applyBorder="0" applyAlignment="0" applyProtection="0"/>
  </cellStyleXfs>
  <cellXfs count="287">
    <xf numFmtId="0" fontId="0" fillId="0" borderId="0" xfId="0"/>
    <xf numFmtId="3" fontId="0" fillId="0" borderId="0" xfId="0" applyNumberFormat="1"/>
    <xf numFmtId="0" fontId="0" fillId="2" borderId="0" xfId="0" applyFill="1"/>
    <xf numFmtId="0" fontId="7" fillId="3" borderId="0" xfId="0" applyFont="1" applyFill="1"/>
    <xf numFmtId="0" fontId="8" fillId="3" borderId="0" xfId="0" applyFont="1" applyFill="1"/>
    <xf numFmtId="0" fontId="9" fillId="4" borderId="0" xfId="0" applyFont="1" applyFill="1"/>
    <xf numFmtId="0" fontId="10" fillId="4" borderId="0" xfId="0" applyFont="1" applyFill="1"/>
    <xf numFmtId="0" fontId="9" fillId="4" borderId="0" xfId="0" applyFont="1" applyFill="1" applyAlignment="1">
      <alignment vertical="top" wrapText="1"/>
    </xf>
    <xf numFmtId="3" fontId="0" fillId="4" borderId="13" xfId="0" applyNumberFormat="1" applyFill="1" applyBorder="1"/>
    <xf numFmtId="0" fontId="13" fillId="2" borderId="0" xfId="4" applyNumberFormat="1" applyFont="1" applyFill="1" applyBorder="1" applyAlignment="1" applyProtection="1"/>
    <xf numFmtId="0" fontId="7" fillId="2" borderId="0" xfId="0" applyFont="1" applyFill="1"/>
    <xf numFmtId="0" fontId="11" fillId="3" borderId="22" xfId="0" applyFont="1" applyFill="1" applyBorder="1" applyAlignment="1">
      <alignment horizontal="center" vertical="center" wrapText="1"/>
    </xf>
    <xf numFmtId="2" fontId="11" fillId="3" borderId="22" xfId="0" applyNumberFormat="1" applyFont="1" applyFill="1" applyBorder="1" applyAlignment="1">
      <alignment horizontal="center" vertical="center" wrapText="1"/>
    </xf>
    <xf numFmtId="0" fontId="0" fillId="0" borderId="28" xfId="0" applyBorder="1"/>
    <xf numFmtId="43" fontId="0" fillId="0" borderId="28" xfId="3" applyFont="1" applyBorder="1"/>
    <xf numFmtId="165" fontId="0" fillId="0" borderId="28" xfId="3" applyNumberFormat="1" applyFont="1" applyBorder="1"/>
    <xf numFmtId="0" fontId="0" fillId="0" borderId="29" xfId="0" applyBorder="1"/>
    <xf numFmtId="43" fontId="0" fillId="0" borderId="29" xfId="3" applyFont="1" applyBorder="1"/>
    <xf numFmtId="0" fontId="15" fillId="5" borderId="0" xfId="4" applyFont="1" applyFill="1"/>
    <xf numFmtId="0" fontId="0" fillId="5" borderId="0" xfId="0" applyFill="1"/>
    <xf numFmtId="9" fontId="0" fillId="5" borderId="0" xfId="1" applyFont="1" applyFill="1"/>
    <xf numFmtId="43" fontId="0" fillId="5" borderId="0" xfId="3" applyFont="1" applyFill="1"/>
    <xf numFmtId="0" fontId="0" fillId="0" borderId="30" xfId="0" applyBorder="1"/>
    <xf numFmtId="43" fontId="0" fillId="0" borderId="30" xfId="3" applyFont="1" applyBorder="1"/>
    <xf numFmtId="0" fontId="8" fillId="2" borderId="0" xfId="0" applyFont="1" applyFill="1"/>
    <xf numFmtId="0" fontId="5" fillId="2" borderId="0" xfId="0" applyFont="1" applyFill="1"/>
    <xf numFmtId="0" fontId="3" fillId="2" borderId="0" xfId="0" applyFont="1" applyFill="1"/>
    <xf numFmtId="164" fontId="7" fillId="2" borderId="0" xfId="0" applyNumberFormat="1" applyFont="1" applyFill="1"/>
    <xf numFmtId="0" fontId="16" fillId="2" borderId="10" xfId="0" applyFont="1" applyFill="1" applyBorder="1"/>
    <xf numFmtId="0" fontId="14" fillId="2" borderId="19" xfId="0" applyFont="1" applyFill="1" applyBorder="1"/>
    <xf numFmtId="0" fontId="14" fillId="2" borderId="18" xfId="0" applyFont="1" applyFill="1" applyBorder="1"/>
    <xf numFmtId="0" fontId="14" fillId="2" borderId="6" xfId="0" applyFont="1" applyFill="1" applyBorder="1"/>
    <xf numFmtId="0" fontId="14" fillId="2" borderId="0" xfId="0" applyFont="1" applyFill="1"/>
    <xf numFmtId="0" fontId="14" fillId="2" borderId="7" xfId="0" applyFont="1" applyFill="1" applyBorder="1"/>
    <xf numFmtId="0" fontId="16" fillId="2" borderId="0" xfId="0" applyFont="1" applyFill="1"/>
    <xf numFmtId="0" fontId="16" fillId="2" borderId="7" xfId="0" applyFont="1" applyFill="1" applyBorder="1"/>
    <xf numFmtId="0" fontId="10" fillId="2" borderId="6" xfId="0" applyFont="1" applyFill="1" applyBorder="1"/>
    <xf numFmtId="0" fontId="10" fillId="2" borderId="0" xfId="0" applyFont="1" applyFill="1"/>
    <xf numFmtId="0" fontId="10" fillId="2" borderId="7" xfId="0" applyFont="1" applyFill="1" applyBorder="1"/>
    <xf numFmtId="0" fontId="10" fillId="2" borderId="3" xfId="0" applyFont="1" applyFill="1" applyBorder="1"/>
    <xf numFmtId="0" fontId="10" fillId="2" borderId="2" xfId="0" applyFont="1" applyFill="1" applyBorder="1"/>
    <xf numFmtId="0" fontId="10" fillId="2" borderId="4" xfId="0" applyFont="1" applyFill="1" applyBorder="1"/>
    <xf numFmtId="0" fontId="17" fillId="2" borderId="0" xfId="0" applyFont="1" applyFill="1"/>
    <xf numFmtId="0" fontId="10" fillId="2" borderId="8" xfId="0" applyFont="1" applyFill="1" applyBorder="1"/>
    <xf numFmtId="3" fontId="10" fillId="2" borderId="8" xfId="0" applyNumberFormat="1" applyFont="1" applyFill="1" applyBorder="1"/>
    <xf numFmtId="3" fontId="10" fillId="2" borderId="2" xfId="0" applyNumberFormat="1" applyFont="1" applyFill="1" applyBorder="1"/>
    <xf numFmtId="3" fontId="14" fillId="2" borderId="6" xfId="0" applyNumberFormat="1" applyFont="1" applyFill="1" applyBorder="1"/>
    <xf numFmtId="3" fontId="14" fillId="2" borderId="0" xfId="0" applyNumberFormat="1" applyFont="1" applyFill="1"/>
    <xf numFmtId="3" fontId="9" fillId="2" borderId="5" xfId="0" applyNumberFormat="1" applyFont="1" applyFill="1" applyBorder="1"/>
    <xf numFmtId="3" fontId="16" fillId="2" borderId="6" xfId="0" applyNumberFormat="1" applyFont="1" applyFill="1" applyBorder="1"/>
    <xf numFmtId="3" fontId="16" fillId="2" borderId="0" xfId="0" applyNumberFormat="1" applyFont="1" applyFill="1"/>
    <xf numFmtId="3" fontId="10" fillId="2" borderId="5" xfId="0" applyNumberFormat="1" applyFont="1" applyFill="1" applyBorder="1"/>
    <xf numFmtId="3" fontId="10" fillId="2" borderId="3" xfId="0" applyNumberFormat="1" applyFont="1" applyFill="1" applyBorder="1"/>
    <xf numFmtId="3" fontId="10" fillId="2" borderId="1" xfId="0" applyNumberFormat="1" applyFont="1" applyFill="1" applyBorder="1"/>
    <xf numFmtId="3" fontId="17" fillId="2" borderId="0" xfId="0" applyNumberFormat="1" applyFont="1" applyFill="1"/>
    <xf numFmtId="0" fontId="18" fillId="2" borderId="6" xfId="0" applyFont="1" applyFill="1" applyBorder="1"/>
    <xf numFmtId="0" fontId="18" fillId="2" borderId="0" xfId="0" applyFont="1" applyFill="1"/>
    <xf numFmtId="3" fontId="19" fillId="2" borderId="5" xfId="0" applyNumberFormat="1" applyFont="1" applyFill="1" applyBorder="1"/>
    <xf numFmtId="3" fontId="19" fillId="2" borderId="0" xfId="0" applyNumberFormat="1" applyFont="1" applyFill="1"/>
    <xf numFmtId="1" fontId="19" fillId="2" borderId="5" xfId="0" applyNumberFormat="1" applyFont="1" applyFill="1" applyBorder="1"/>
    <xf numFmtId="3" fontId="9" fillId="2" borderId="7" xfId="0" applyNumberFormat="1" applyFont="1" applyFill="1" applyBorder="1"/>
    <xf numFmtId="3" fontId="10" fillId="2" borderId="7" xfId="0" applyNumberFormat="1" applyFont="1" applyFill="1" applyBorder="1"/>
    <xf numFmtId="1" fontId="19" fillId="2" borderId="7" xfId="0" applyNumberFormat="1" applyFont="1" applyFill="1" applyBorder="1"/>
    <xf numFmtId="3" fontId="14" fillId="4" borderId="15" xfId="0" applyNumberFormat="1" applyFont="1" applyFill="1" applyBorder="1"/>
    <xf numFmtId="3" fontId="14" fillId="4" borderId="13" xfId="0" applyNumberFormat="1" applyFont="1" applyFill="1" applyBorder="1"/>
    <xf numFmtId="3" fontId="16" fillId="4" borderId="15" xfId="0" applyNumberFormat="1" applyFont="1" applyFill="1" applyBorder="1"/>
    <xf numFmtId="3" fontId="16" fillId="4" borderId="13" xfId="0" applyNumberFormat="1" applyFont="1" applyFill="1" applyBorder="1"/>
    <xf numFmtId="3" fontId="18" fillId="2" borderId="0" xfId="0" applyNumberFormat="1" applyFont="1" applyFill="1"/>
    <xf numFmtId="3" fontId="18" fillId="4" borderId="15" xfId="0" applyNumberFormat="1" applyFont="1" applyFill="1" applyBorder="1"/>
    <xf numFmtId="3" fontId="18" fillId="4" borderId="13" xfId="0" applyNumberFormat="1" applyFont="1" applyFill="1" applyBorder="1"/>
    <xf numFmtId="0" fontId="18" fillId="4" borderId="15" xfId="0" applyFont="1" applyFill="1" applyBorder="1"/>
    <xf numFmtId="0" fontId="18" fillId="4" borderId="13" xfId="0" applyFont="1" applyFill="1" applyBorder="1"/>
    <xf numFmtId="43" fontId="14" fillId="2" borderId="0" xfId="3" applyFont="1" applyFill="1"/>
    <xf numFmtId="9" fontId="14" fillId="2" borderId="0" xfId="0" applyNumberFormat="1" applyFont="1" applyFill="1"/>
    <xf numFmtId="10" fontId="14" fillId="2" borderId="0" xfId="1" applyNumberFormat="1" applyFont="1" applyFill="1"/>
    <xf numFmtId="0" fontId="7" fillId="3" borderId="0" xfId="0" applyFont="1" applyFill="1" applyAlignment="1">
      <alignment wrapText="1"/>
    </xf>
    <xf numFmtId="0" fontId="9" fillId="4" borderId="0" xfId="0" applyFont="1" applyFill="1" applyAlignment="1">
      <alignment wrapText="1"/>
    </xf>
    <xf numFmtId="0" fontId="14" fillId="2" borderId="0" xfId="0" applyFont="1" applyFill="1" applyAlignment="1">
      <alignment wrapText="1"/>
    </xf>
    <xf numFmtId="0" fontId="14" fillId="2" borderId="12" xfId="0" applyFont="1" applyFill="1" applyBorder="1"/>
    <xf numFmtId="0" fontId="16" fillId="2" borderId="31" xfId="0" applyFont="1" applyFill="1" applyBorder="1"/>
    <xf numFmtId="0" fontId="0" fillId="4" borderId="13" xfId="0" applyFill="1" applyBorder="1"/>
    <xf numFmtId="0" fontId="14" fillId="2" borderId="13" xfId="0" applyFont="1" applyFill="1" applyBorder="1" applyAlignment="1">
      <alignment wrapText="1"/>
    </xf>
    <xf numFmtId="0" fontId="14" fillId="2" borderId="31" xfId="0" applyFont="1" applyFill="1" applyBorder="1"/>
    <xf numFmtId="9" fontId="0" fillId="4" borderId="13" xfId="0" applyNumberFormat="1" applyFill="1" applyBorder="1"/>
    <xf numFmtId="168" fontId="0" fillId="4" borderId="13" xfId="3" applyNumberFormat="1" applyFont="1" applyFill="1" applyBorder="1"/>
    <xf numFmtId="10" fontId="0" fillId="4" borderId="13" xfId="0" applyNumberFormat="1" applyFill="1" applyBorder="1"/>
    <xf numFmtId="10" fontId="0" fillId="4" borderId="13" xfId="1" applyNumberFormat="1" applyFont="1" applyFill="1" applyBorder="1"/>
    <xf numFmtId="4" fontId="0" fillId="4" borderId="13" xfId="0" applyNumberFormat="1" applyFill="1" applyBorder="1"/>
    <xf numFmtId="0" fontId="16" fillId="2" borderId="18" xfId="0" applyFont="1" applyFill="1" applyBorder="1"/>
    <xf numFmtId="0" fontId="14" fillId="2" borderId="31" xfId="0" applyFont="1" applyFill="1" applyBorder="1" applyAlignment="1">
      <alignment wrapText="1"/>
    </xf>
    <xf numFmtId="0" fontId="14" fillId="2" borderId="14" xfId="0" applyFont="1" applyFill="1" applyBorder="1" applyAlignment="1">
      <alignment wrapText="1"/>
    </xf>
    <xf numFmtId="3" fontId="19" fillId="2" borderId="7" xfId="0" applyNumberFormat="1" applyFont="1" applyFill="1" applyBorder="1"/>
    <xf numFmtId="3" fontId="18" fillId="4" borderId="35" xfId="0" applyNumberFormat="1" applyFont="1" applyFill="1" applyBorder="1"/>
    <xf numFmtId="0" fontId="18" fillId="4" borderId="35" xfId="0" applyFont="1" applyFill="1" applyBorder="1"/>
    <xf numFmtId="3" fontId="18" fillId="4" borderId="36" xfId="0" applyNumberFormat="1" applyFont="1" applyFill="1" applyBorder="1"/>
    <xf numFmtId="3" fontId="18" fillId="4" borderId="37" xfId="0" applyNumberFormat="1" applyFont="1" applyFill="1" applyBorder="1"/>
    <xf numFmtId="3" fontId="18" fillId="4" borderId="38" xfId="0" applyNumberFormat="1" applyFont="1" applyFill="1" applyBorder="1"/>
    <xf numFmtId="3" fontId="9" fillId="2" borderId="0" xfId="0" applyNumberFormat="1" applyFont="1" applyFill="1"/>
    <xf numFmtId="1" fontId="19" fillId="2" borderId="4" xfId="0" applyNumberFormat="1" applyFont="1" applyFill="1" applyBorder="1"/>
    <xf numFmtId="1" fontId="19" fillId="2" borderId="1" xfId="0" applyNumberFormat="1" applyFont="1" applyFill="1" applyBorder="1"/>
    <xf numFmtId="9" fontId="0" fillId="4" borderId="13" xfId="1" applyFont="1" applyFill="1" applyBorder="1"/>
    <xf numFmtId="43" fontId="0" fillId="4" borderId="13" xfId="3" applyFont="1" applyFill="1" applyBorder="1"/>
    <xf numFmtId="0" fontId="16" fillId="0" borderId="0" xfId="0" applyFont="1"/>
    <xf numFmtId="0" fontId="16" fillId="2" borderId="39" xfId="0" applyFont="1" applyFill="1" applyBorder="1"/>
    <xf numFmtId="0" fontId="16" fillId="2" borderId="19" xfId="0" applyFont="1" applyFill="1" applyBorder="1"/>
    <xf numFmtId="3" fontId="14" fillId="4" borderId="32" xfId="0" applyNumberFormat="1" applyFont="1" applyFill="1" applyBorder="1"/>
    <xf numFmtId="3" fontId="14" fillId="4" borderId="33" xfId="0" applyNumberFormat="1" applyFont="1" applyFill="1" applyBorder="1"/>
    <xf numFmtId="3" fontId="14" fillId="4" borderId="34" xfId="0" applyNumberFormat="1" applyFont="1" applyFill="1" applyBorder="1"/>
    <xf numFmtId="3" fontId="14" fillId="4" borderId="35" xfId="0" applyNumberFormat="1" applyFont="1" applyFill="1" applyBorder="1"/>
    <xf numFmtId="0" fontId="20" fillId="2" borderId="0" xfId="0" applyFont="1" applyFill="1"/>
    <xf numFmtId="3" fontId="17" fillId="2" borderId="9" xfId="0" applyNumberFormat="1" applyFont="1" applyFill="1" applyBorder="1"/>
    <xf numFmtId="3" fontId="17" fillId="2" borderId="40" xfId="0" applyNumberFormat="1" applyFont="1" applyFill="1" applyBorder="1"/>
    <xf numFmtId="3" fontId="10" fillId="2" borderId="0" xfId="0" applyNumberFormat="1" applyFont="1" applyFill="1"/>
    <xf numFmtId="0" fontId="7" fillId="2" borderId="0" xfId="0" applyFont="1" applyFill="1" applyAlignment="1">
      <alignment wrapText="1"/>
    </xf>
    <xf numFmtId="0" fontId="14" fillId="2" borderId="14" xfId="0" quotePrefix="1" applyFont="1" applyFill="1" applyBorder="1" applyAlignment="1">
      <alignment wrapText="1"/>
    </xf>
    <xf numFmtId="166" fontId="3" fillId="4" borderId="13" xfId="3" applyNumberFormat="1" applyFont="1" applyFill="1" applyBorder="1"/>
    <xf numFmtId="167" fontId="3" fillId="4" borderId="13" xfId="0" applyNumberFormat="1" applyFont="1" applyFill="1" applyBorder="1"/>
    <xf numFmtId="0" fontId="11" fillId="2" borderId="39" xfId="0" applyFont="1" applyFill="1" applyBorder="1" applyAlignment="1">
      <alignment wrapText="1"/>
    </xf>
    <xf numFmtId="3" fontId="11" fillId="2" borderId="18" xfId="0" applyNumberFormat="1" applyFont="1" applyFill="1" applyBorder="1"/>
    <xf numFmtId="0" fontId="11" fillId="2" borderId="6" xfId="0" applyFont="1" applyFill="1" applyBorder="1" applyAlignment="1">
      <alignment wrapText="1"/>
    </xf>
    <xf numFmtId="3" fontId="11" fillId="2" borderId="7" xfId="0" applyNumberFormat="1" applyFont="1" applyFill="1" applyBorder="1"/>
    <xf numFmtId="9" fontId="11" fillId="2" borderId="7" xfId="1" applyFont="1" applyFill="1" applyBorder="1"/>
    <xf numFmtId="0" fontId="11" fillId="2" borderId="3" xfId="0" applyFont="1" applyFill="1" applyBorder="1" applyAlignment="1">
      <alignment wrapText="1"/>
    </xf>
    <xf numFmtId="9" fontId="11" fillId="2" borderId="4" xfId="1" applyFont="1" applyFill="1" applyBorder="1"/>
    <xf numFmtId="0" fontId="11" fillId="2" borderId="18" xfId="0" applyFont="1" applyFill="1" applyBorder="1" applyAlignment="1">
      <alignment horizontal="right"/>
    </xf>
    <xf numFmtId="0" fontId="11" fillId="2" borderId="7" xfId="0" applyFont="1" applyFill="1" applyBorder="1" applyAlignment="1">
      <alignment horizontal="right"/>
    </xf>
    <xf numFmtId="0" fontId="11" fillId="2" borderId="4" xfId="0" applyFont="1" applyFill="1" applyBorder="1" applyAlignment="1">
      <alignment horizontal="right"/>
    </xf>
    <xf numFmtId="0" fontId="11" fillId="2" borderId="0" xfId="0" applyFont="1" applyFill="1" applyAlignment="1">
      <alignment wrapText="1"/>
    </xf>
    <xf numFmtId="0" fontId="11" fillId="2" borderId="0" xfId="0" applyFont="1" applyFill="1" applyAlignment="1">
      <alignment horizontal="right"/>
    </xf>
    <xf numFmtId="10" fontId="19" fillId="2" borderId="7" xfId="1" applyNumberFormat="1" applyFont="1" applyFill="1" applyBorder="1"/>
    <xf numFmtId="10" fontId="18" fillId="4" borderId="32" xfId="1" applyNumberFormat="1" applyFont="1" applyFill="1" applyBorder="1"/>
    <xf numFmtId="10" fontId="18" fillId="4" borderId="13" xfId="1" applyNumberFormat="1" applyFont="1" applyFill="1" applyBorder="1"/>
    <xf numFmtId="10" fontId="18" fillId="4" borderId="15" xfId="1" applyNumberFormat="1" applyFont="1" applyFill="1" applyBorder="1"/>
    <xf numFmtId="10" fontId="18" fillId="4" borderId="35" xfId="1" applyNumberFormat="1" applyFont="1" applyFill="1" applyBorder="1"/>
    <xf numFmtId="10" fontId="0" fillId="0" borderId="0" xfId="0" applyNumberFormat="1"/>
    <xf numFmtId="0" fontId="16" fillId="2" borderId="0" xfId="0" applyFont="1" applyFill="1" applyAlignment="1">
      <alignment wrapText="1"/>
    </xf>
    <xf numFmtId="9" fontId="7" fillId="3" borderId="0" xfId="1" applyFont="1" applyFill="1"/>
    <xf numFmtId="0" fontId="14" fillId="3" borderId="0" xfId="0" applyFont="1" applyFill="1"/>
    <xf numFmtId="4" fontId="7" fillId="3" borderId="0" xfId="0" applyNumberFormat="1" applyFont="1" applyFill="1"/>
    <xf numFmtId="0" fontId="22" fillId="2" borderId="0" xfId="0" applyFont="1" applyFill="1"/>
    <xf numFmtId="1" fontId="0" fillId="0" borderId="0" xfId="0" applyNumberFormat="1"/>
    <xf numFmtId="3" fontId="16" fillId="4" borderId="35" xfId="0" applyNumberFormat="1" applyFont="1" applyFill="1" applyBorder="1"/>
    <xf numFmtId="3" fontId="16" fillId="4" borderId="36" xfId="0" applyNumberFormat="1" applyFont="1" applyFill="1" applyBorder="1"/>
    <xf numFmtId="3" fontId="16" fillId="4" borderId="37" xfId="0" applyNumberFormat="1" applyFont="1" applyFill="1" applyBorder="1"/>
    <xf numFmtId="3" fontId="16" fillId="4" borderId="38" xfId="0" applyNumberFormat="1" applyFont="1" applyFill="1" applyBorder="1"/>
    <xf numFmtId="3" fontId="17" fillId="4" borderId="41" xfId="0" applyNumberFormat="1" applyFont="1" applyFill="1" applyBorder="1"/>
    <xf numFmtId="3" fontId="17" fillId="4" borderId="42" xfId="0" applyNumberFormat="1" applyFont="1" applyFill="1" applyBorder="1"/>
    <xf numFmtId="3" fontId="17" fillId="4" borderId="43" xfId="0" applyNumberFormat="1" applyFont="1" applyFill="1" applyBorder="1"/>
    <xf numFmtId="0" fontId="16" fillId="3" borderId="39" xfId="0" applyFont="1" applyFill="1" applyBorder="1"/>
    <xf numFmtId="0" fontId="16" fillId="3" borderId="19" xfId="0" applyFont="1" applyFill="1" applyBorder="1"/>
    <xf numFmtId="10" fontId="18" fillId="4" borderId="33" xfId="1" applyNumberFormat="1" applyFont="1" applyFill="1" applyBorder="1"/>
    <xf numFmtId="10" fontId="18" fillId="4" borderId="34" xfId="1" applyNumberFormat="1" applyFont="1" applyFill="1" applyBorder="1"/>
    <xf numFmtId="0" fontId="6" fillId="6" borderId="0" xfId="0" applyFont="1" applyFill="1"/>
    <xf numFmtId="0" fontId="25" fillId="3" borderId="0" xfId="0" applyFont="1" applyFill="1" applyAlignment="1">
      <alignment vertical="top"/>
    </xf>
    <xf numFmtId="0" fontId="26" fillId="3" borderId="0" xfId="0" applyFont="1" applyFill="1"/>
    <xf numFmtId="0" fontId="26" fillId="2" borderId="0" xfId="0" applyFont="1" applyFill="1" applyAlignment="1">
      <alignment vertical="center"/>
    </xf>
    <xf numFmtId="0" fontId="30" fillId="2" borderId="45" xfId="0" applyFont="1" applyFill="1" applyBorder="1" applyAlignment="1">
      <alignment vertical="center"/>
    </xf>
    <xf numFmtId="0" fontId="31" fillId="2" borderId="45" xfId="0" applyFont="1" applyFill="1" applyBorder="1" applyAlignment="1">
      <alignment vertical="center"/>
    </xf>
    <xf numFmtId="0" fontId="31" fillId="2" borderId="0" xfId="0" applyFont="1" applyFill="1" applyAlignment="1">
      <alignment vertical="center"/>
    </xf>
    <xf numFmtId="0" fontId="26" fillId="6" borderId="0" xfId="0" applyFont="1" applyFill="1" applyAlignment="1">
      <alignment vertical="center"/>
    </xf>
    <xf numFmtId="0" fontId="32" fillId="2" borderId="0" xfId="0" applyFont="1" applyFill="1"/>
    <xf numFmtId="0" fontId="33" fillId="2" borderId="0" xfId="0" applyFont="1" applyFill="1" applyAlignment="1">
      <alignment vertical="top" wrapText="1"/>
    </xf>
    <xf numFmtId="0" fontId="26" fillId="2" borderId="0" xfId="0" applyFont="1" applyFill="1" applyAlignment="1">
      <alignment vertical="center" wrapText="1"/>
    </xf>
    <xf numFmtId="0" fontId="35" fillId="2" borderId="31" xfId="0" applyFont="1" applyFill="1" applyBorder="1" applyAlignment="1">
      <alignment horizontal="left"/>
    </xf>
    <xf numFmtId="0" fontId="35" fillId="2" borderId="0" xfId="0" applyFont="1" applyFill="1" applyAlignment="1">
      <alignment horizontal="left"/>
    </xf>
    <xf numFmtId="0" fontId="29" fillId="2" borderId="31" xfId="0" applyFont="1" applyFill="1" applyBorder="1" applyAlignment="1">
      <alignment horizontal="left"/>
    </xf>
    <xf numFmtId="0" fontId="29" fillId="2" borderId="0" xfId="0" applyFont="1" applyFill="1" applyAlignment="1">
      <alignment horizontal="left"/>
    </xf>
    <xf numFmtId="0" fontId="29" fillId="2" borderId="0" xfId="0" applyFont="1" applyFill="1" applyAlignment="1">
      <alignment horizontal="left" vertical="center" wrapText="1"/>
    </xf>
    <xf numFmtId="0" fontId="29" fillId="2" borderId="0" xfId="0" applyFont="1" applyFill="1" applyAlignment="1">
      <alignment horizontal="left" vertical="center"/>
    </xf>
    <xf numFmtId="0" fontId="36" fillId="2" borderId="0" xfId="0" applyFont="1" applyFill="1" applyAlignment="1">
      <alignment vertical="center"/>
    </xf>
    <xf numFmtId="0" fontId="37" fillId="2" borderId="0" xfId="0" applyFont="1" applyFill="1" applyAlignment="1">
      <alignment wrapText="1"/>
    </xf>
    <xf numFmtId="9" fontId="16" fillId="2" borderId="0" xfId="0" applyNumberFormat="1" applyFont="1" applyFill="1" applyAlignment="1">
      <alignment wrapText="1"/>
    </xf>
    <xf numFmtId="166" fontId="3" fillId="7" borderId="13" xfId="3" applyNumberFormat="1" applyFont="1" applyFill="1" applyBorder="1"/>
    <xf numFmtId="3" fontId="11" fillId="2" borderId="0" xfId="0" applyNumberFormat="1" applyFont="1" applyFill="1"/>
    <xf numFmtId="9" fontId="11" fillId="2" borderId="0" xfId="1" applyFont="1" applyFill="1" applyBorder="1"/>
    <xf numFmtId="10" fontId="0" fillId="0" borderId="0" xfId="1" applyNumberFormat="1" applyFont="1"/>
    <xf numFmtId="3" fontId="11" fillId="3" borderId="18" xfId="0" applyNumberFormat="1" applyFont="1" applyFill="1" applyBorder="1"/>
    <xf numFmtId="3" fontId="11" fillId="3" borderId="7" xfId="0" applyNumberFormat="1" applyFont="1" applyFill="1" applyBorder="1"/>
    <xf numFmtId="9" fontId="11" fillId="3" borderId="7" xfId="1" applyFont="1" applyFill="1" applyBorder="1"/>
    <xf numFmtId="0" fontId="16" fillId="2" borderId="0" xfId="0" applyFont="1" applyFill="1" applyAlignment="1">
      <alignment horizontal="left"/>
    </xf>
    <xf numFmtId="10" fontId="19" fillId="2" borderId="46" xfId="1" applyNumberFormat="1" applyFont="1" applyFill="1" applyBorder="1"/>
    <xf numFmtId="10" fontId="19" fillId="2" borderId="5" xfId="1" applyNumberFormat="1" applyFont="1" applyFill="1" applyBorder="1"/>
    <xf numFmtId="3" fontId="10" fillId="2" borderId="46" xfId="0" applyNumberFormat="1" applyFont="1" applyFill="1" applyBorder="1"/>
    <xf numFmtId="3" fontId="14" fillId="4" borderId="47" xfId="0" applyNumberFormat="1" applyFont="1" applyFill="1" applyBorder="1"/>
    <xf numFmtId="3" fontId="16" fillId="4" borderId="48" xfId="0" applyNumberFormat="1" applyFont="1" applyFill="1" applyBorder="1"/>
    <xf numFmtId="3" fontId="14" fillId="4" borderId="49" xfId="0" applyNumberFormat="1" applyFont="1" applyFill="1" applyBorder="1"/>
    <xf numFmtId="3" fontId="16" fillId="4" borderId="49" xfId="0" applyNumberFormat="1" applyFont="1" applyFill="1" applyBorder="1"/>
    <xf numFmtId="0" fontId="16" fillId="2" borderId="8" xfId="0" applyFont="1" applyFill="1" applyBorder="1"/>
    <xf numFmtId="0" fontId="14" fillId="2" borderId="39" xfId="0" applyFont="1" applyFill="1" applyBorder="1"/>
    <xf numFmtId="0" fontId="18" fillId="2" borderId="7" xfId="0" applyFont="1" applyFill="1" applyBorder="1"/>
    <xf numFmtId="0" fontId="14" fillId="2" borderId="3" xfId="0" applyFont="1" applyFill="1" applyBorder="1"/>
    <xf numFmtId="0" fontId="14" fillId="2" borderId="2" xfId="0" applyFont="1" applyFill="1" applyBorder="1"/>
    <xf numFmtId="0" fontId="18" fillId="2" borderId="4" xfId="0" applyFont="1" applyFill="1" applyBorder="1"/>
    <xf numFmtId="3" fontId="17" fillId="2" borderId="10" xfId="0" applyNumberFormat="1" applyFont="1" applyFill="1" applyBorder="1"/>
    <xf numFmtId="3" fontId="17" fillId="4" borderId="50" xfId="0" applyNumberFormat="1" applyFont="1" applyFill="1" applyBorder="1"/>
    <xf numFmtId="3" fontId="17" fillId="4" borderId="51" xfId="0" applyNumberFormat="1" applyFont="1" applyFill="1" applyBorder="1"/>
    <xf numFmtId="3" fontId="17" fillId="4" borderId="52" xfId="0" applyNumberFormat="1" applyFont="1" applyFill="1" applyBorder="1"/>
    <xf numFmtId="0" fontId="17" fillId="0" borderId="10" xfId="0" applyFont="1" applyBorder="1"/>
    <xf numFmtId="0" fontId="20" fillId="2" borderId="9" xfId="0" applyFont="1" applyFill="1" applyBorder="1"/>
    <xf numFmtId="0" fontId="21" fillId="2" borderId="40" xfId="0" applyFont="1" applyFill="1" applyBorder="1"/>
    <xf numFmtId="9" fontId="3" fillId="7" borderId="13" xfId="1" applyFont="1" applyFill="1" applyBorder="1"/>
    <xf numFmtId="9" fontId="2" fillId="7" borderId="13" xfId="1" applyFont="1" applyFill="1" applyBorder="1"/>
    <xf numFmtId="4" fontId="2" fillId="7" borderId="13" xfId="1" applyNumberFormat="1" applyFont="1" applyFill="1" applyBorder="1"/>
    <xf numFmtId="3" fontId="2" fillId="7" borderId="13" xfId="1" applyNumberFormat="1" applyFont="1" applyFill="1" applyBorder="1"/>
    <xf numFmtId="0" fontId="24" fillId="2" borderId="0" xfId="5" applyFill="1" applyAlignment="1">
      <alignment horizontal="left" vertical="center" wrapText="1"/>
    </xf>
    <xf numFmtId="0" fontId="16" fillId="2" borderId="8" xfId="0" applyFont="1" applyFill="1" applyBorder="1" applyAlignment="1">
      <alignment wrapText="1"/>
    </xf>
    <xf numFmtId="0" fontId="16" fillId="2" borderId="39" xfId="0" applyFont="1" applyFill="1" applyBorder="1" applyAlignment="1">
      <alignment wrapText="1"/>
    </xf>
    <xf numFmtId="0" fontId="16" fillId="2" borderId="19" xfId="0" applyFont="1" applyFill="1" applyBorder="1" applyAlignment="1">
      <alignment wrapText="1"/>
    </xf>
    <xf numFmtId="0" fontId="16" fillId="3" borderId="39" xfId="0" applyFont="1" applyFill="1" applyBorder="1" applyAlignment="1">
      <alignment wrapText="1"/>
    </xf>
    <xf numFmtId="0" fontId="16" fillId="3" borderId="19" xfId="0" applyFont="1" applyFill="1" applyBorder="1" applyAlignment="1">
      <alignment wrapText="1"/>
    </xf>
    <xf numFmtId="0" fontId="14" fillId="4" borderId="0" xfId="0" applyFont="1" applyFill="1"/>
    <xf numFmtId="0" fontId="16" fillId="4" borderId="0" xfId="0" applyFont="1" applyFill="1"/>
    <xf numFmtId="0" fontId="10" fillId="8" borderId="8" xfId="0" applyFont="1" applyFill="1" applyBorder="1" applyAlignment="1">
      <alignment wrapText="1"/>
    </xf>
    <xf numFmtId="3" fontId="9" fillId="8" borderId="7" xfId="0" applyNumberFormat="1" applyFont="1" applyFill="1" applyBorder="1"/>
    <xf numFmtId="3" fontId="10" fillId="8" borderId="7" xfId="0" applyNumberFormat="1" applyFont="1" applyFill="1" applyBorder="1"/>
    <xf numFmtId="3" fontId="10" fillId="8" borderId="8" xfId="0" applyNumberFormat="1" applyFont="1" applyFill="1" applyBorder="1"/>
    <xf numFmtId="3" fontId="9" fillId="8" borderId="5" xfId="0" applyNumberFormat="1" applyFont="1" applyFill="1" applyBorder="1"/>
    <xf numFmtId="3" fontId="10" fillId="8" borderId="5" xfId="0" applyNumberFormat="1" applyFont="1" applyFill="1" applyBorder="1"/>
    <xf numFmtId="3" fontId="10" fillId="8" borderId="1" xfId="0" applyNumberFormat="1" applyFont="1" applyFill="1" applyBorder="1"/>
    <xf numFmtId="3" fontId="17" fillId="8" borderId="0" xfId="0" applyNumberFormat="1" applyFont="1" applyFill="1"/>
    <xf numFmtId="3" fontId="19" fillId="8" borderId="0" xfId="0" applyNumberFormat="1" applyFont="1" applyFill="1"/>
    <xf numFmtId="3" fontId="9" fillId="8" borderId="0" xfId="0" applyNumberFormat="1" applyFont="1" applyFill="1"/>
    <xf numFmtId="3" fontId="10" fillId="8" borderId="0" xfId="0" applyNumberFormat="1" applyFont="1" applyFill="1"/>
    <xf numFmtId="3" fontId="17" fillId="8" borderId="10" xfId="0" applyNumberFormat="1" applyFont="1" applyFill="1" applyBorder="1"/>
    <xf numFmtId="0" fontId="14" fillId="8" borderId="0" xfId="0" applyFont="1" applyFill="1"/>
    <xf numFmtId="10" fontId="19" fillId="8" borderId="7" xfId="1" applyNumberFormat="1" applyFont="1" applyFill="1" applyBorder="1"/>
    <xf numFmtId="3" fontId="19" fillId="8" borderId="7" xfId="0" applyNumberFormat="1" applyFont="1" applyFill="1" applyBorder="1"/>
    <xf numFmtId="1" fontId="19" fillId="8" borderId="7" xfId="0" applyNumberFormat="1" applyFont="1" applyFill="1" applyBorder="1"/>
    <xf numFmtId="1" fontId="19" fillId="8" borderId="4" xfId="0" applyNumberFormat="1" applyFont="1" applyFill="1" applyBorder="1"/>
    <xf numFmtId="0" fontId="16" fillId="9" borderId="8" xfId="0" applyFont="1" applyFill="1" applyBorder="1" applyAlignment="1">
      <alignment wrapText="1"/>
    </xf>
    <xf numFmtId="3" fontId="9" fillId="9" borderId="7" xfId="0" applyNumberFormat="1" applyFont="1" applyFill="1" applyBorder="1"/>
    <xf numFmtId="3" fontId="10" fillId="9" borderId="7" xfId="0" applyNumberFormat="1" applyFont="1" applyFill="1" applyBorder="1"/>
    <xf numFmtId="3" fontId="10" fillId="9" borderId="8" xfId="0" applyNumberFormat="1" applyFont="1" applyFill="1" applyBorder="1"/>
    <xf numFmtId="3" fontId="9" fillId="9" borderId="5" xfId="0" applyNumberFormat="1" applyFont="1" applyFill="1" applyBorder="1"/>
    <xf numFmtId="3" fontId="10" fillId="9" borderId="5" xfId="0" applyNumberFormat="1" applyFont="1" applyFill="1" applyBorder="1"/>
    <xf numFmtId="3" fontId="10" fillId="9" borderId="1" xfId="0" applyNumberFormat="1" applyFont="1" applyFill="1" applyBorder="1"/>
    <xf numFmtId="3" fontId="17" fillId="9" borderId="0" xfId="0" applyNumberFormat="1" applyFont="1" applyFill="1"/>
    <xf numFmtId="3" fontId="19" fillId="9" borderId="0" xfId="0" applyNumberFormat="1" applyFont="1" applyFill="1"/>
    <xf numFmtId="0" fontId="10" fillId="9" borderId="8" xfId="0" applyFont="1" applyFill="1" applyBorder="1" applyAlignment="1">
      <alignment wrapText="1"/>
    </xf>
    <xf numFmtId="3" fontId="9" fillId="9" borderId="0" xfId="0" applyNumberFormat="1" applyFont="1" applyFill="1"/>
    <xf numFmtId="3" fontId="10" fillId="9" borderId="0" xfId="0" applyNumberFormat="1" applyFont="1" applyFill="1"/>
    <xf numFmtId="3" fontId="17" fillId="9" borderId="10" xfId="0" applyNumberFormat="1" applyFont="1" applyFill="1" applyBorder="1"/>
    <xf numFmtId="0" fontId="14" fillId="9" borderId="0" xfId="0" applyFont="1" applyFill="1"/>
    <xf numFmtId="10" fontId="19" fillId="9" borderId="7" xfId="1" applyNumberFormat="1" applyFont="1" applyFill="1" applyBorder="1"/>
    <xf numFmtId="3" fontId="19" fillId="9" borderId="7" xfId="0" applyNumberFormat="1" applyFont="1" applyFill="1" applyBorder="1"/>
    <xf numFmtId="1" fontId="19" fillId="9" borderId="7" xfId="0" applyNumberFormat="1" applyFont="1" applyFill="1" applyBorder="1"/>
    <xf numFmtId="1" fontId="19" fillId="9" borderId="4" xfId="0" applyNumberFormat="1" applyFont="1" applyFill="1" applyBorder="1"/>
    <xf numFmtId="0" fontId="29" fillId="2" borderId="0" xfId="0" applyFont="1" applyFill="1" applyAlignment="1">
      <alignment horizontal="center" vertical="center"/>
    </xf>
    <xf numFmtId="0" fontId="27" fillId="3" borderId="0" xfId="0" applyFont="1" applyFill="1" applyAlignment="1">
      <alignment horizontal="center"/>
    </xf>
    <xf numFmtId="0" fontId="28" fillId="3" borderId="0" xfId="0" applyFont="1" applyFill="1" applyAlignment="1">
      <alignment horizontal="center" vertical="center"/>
    </xf>
    <xf numFmtId="0" fontId="33" fillId="2" borderId="0" xfId="0" applyFont="1" applyFill="1" applyAlignment="1">
      <alignment horizontal="left" vertical="top" wrapText="1"/>
    </xf>
    <xf numFmtId="0" fontId="34" fillId="2" borderId="0" xfId="0" applyFont="1" applyFill="1" applyAlignment="1">
      <alignment horizontal="left" vertical="top" wrapText="1"/>
    </xf>
    <xf numFmtId="0" fontId="36" fillId="2" borderId="0" xfId="0" applyFont="1" applyFill="1" applyAlignment="1">
      <alignment vertical="top" wrapText="1"/>
    </xf>
    <xf numFmtId="0" fontId="23" fillId="2" borderId="0" xfId="5" applyFont="1" applyFill="1" applyAlignment="1">
      <alignment horizontal="center" vertical="center" wrapText="1"/>
    </xf>
    <xf numFmtId="0" fontId="11" fillId="3" borderId="0" xfId="0" applyFont="1" applyFill="1" applyAlignment="1">
      <alignment horizontal="center" vertical="center" wrapText="1"/>
    </xf>
    <xf numFmtId="0" fontId="11" fillId="3" borderId="17"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20" xfId="0" applyFont="1" applyFill="1" applyBorder="1" applyAlignment="1">
      <alignment horizontal="center" vertical="center"/>
    </xf>
    <xf numFmtId="0" fontId="11" fillId="3" borderId="26" xfId="0" applyFont="1" applyFill="1" applyBorder="1" applyAlignment="1">
      <alignment horizontal="center" vertical="center"/>
    </xf>
    <xf numFmtId="0" fontId="11" fillId="3" borderId="21" xfId="0" applyFont="1" applyFill="1" applyBorder="1" applyAlignment="1">
      <alignment horizontal="center" vertical="center"/>
    </xf>
    <xf numFmtId="0" fontId="11" fillId="3" borderId="27" xfId="0" applyFont="1" applyFill="1" applyBorder="1" applyAlignment="1">
      <alignment horizontal="center" vertical="center"/>
    </xf>
    <xf numFmtId="0" fontId="11" fillId="3" borderId="22"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0" fillId="0" borderId="0" xfId="0" applyAlignment="1">
      <alignment horizontal="center"/>
    </xf>
    <xf numFmtId="0" fontId="1" fillId="6" borderId="0" xfId="0" applyFont="1" applyFill="1"/>
    <xf numFmtId="0" fontId="1" fillId="2" borderId="0" xfId="0" applyFont="1" applyFill="1"/>
    <xf numFmtId="0" fontId="1" fillId="3" borderId="0" xfId="0" applyFont="1" applyFill="1"/>
    <xf numFmtId="0" fontId="1" fillId="3" borderId="44" xfId="0" applyFont="1" applyFill="1" applyBorder="1"/>
    <xf numFmtId="49" fontId="1" fillId="2" borderId="0" xfId="0" applyNumberFormat="1" applyFont="1" applyFill="1"/>
    <xf numFmtId="0" fontId="1" fillId="2" borderId="0" xfId="0" applyFont="1" applyFill="1" applyAlignment="1">
      <alignment wrapText="1"/>
    </xf>
    <xf numFmtId="0" fontId="1" fillId="2" borderId="0" xfId="0" applyFont="1" applyFill="1" applyAlignment="1">
      <alignment vertical="top" wrapText="1"/>
    </xf>
    <xf numFmtId="0" fontId="1" fillId="2" borderId="0" xfId="0" applyFont="1" applyFill="1" applyAlignment="1">
      <alignment horizontal="left" vertical="top" wrapText="1"/>
    </xf>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center"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0" xfId="0" quotePrefix="1" applyFont="1" applyFill="1" applyAlignment="1">
      <alignment wrapText="1"/>
    </xf>
    <xf numFmtId="0" fontId="1" fillId="2" borderId="0" xfId="0" quotePrefix="1" applyFont="1" applyFill="1"/>
    <xf numFmtId="0" fontId="1" fillId="2" borderId="0" xfId="0" quotePrefix="1" applyFont="1" applyFill="1" applyAlignment="1">
      <alignment vertical="center" wrapText="1"/>
    </xf>
    <xf numFmtId="0" fontId="1" fillId="2" borderId="0" xfId="0" applyFont="1" applyFill="1" applyAlignment="1">
      <alignment horizontal="left"/>
    </xf>
    <xf numFmtId="0" fontId="1" fillId="2" borderId="0" xfId="0" applyFont="1" applyFill="1" applyAlignment="1">
      <alignment horizontal="left" wrapText="1"/>
    </xf>
    <xf numFmtId="0" fontId="1" fillId="2" borderId="0" xfId="0" applyFont="1" applyFill="1" applyAlignment="1">
      <alignment vertical="top" wrapText="1"/>
    </xf>
  </cellXfs>
  <cellStyles count="6">
    <cellStyle name="Hipervínculo" xfId="5" builtinId="8"/>
    <cellStyle name="Millares" xfId="3" builtinId="3"/>
    <cellStyle name="Normal" xfId="0" builtinId="0"/>
    <cellStyle name="Normal 2" xfId="4" xr:uid="{F83B28D8-05A7-4A6A-9279-E1AC1205F3B9}"/>
    <cellStyle name="Normal 3" xfId="2" xr:uid="{8B2C272D-AE9E-4326-B331-21A92146AF4D}"/>
    <cellStyle name="Porcentaje" xfId="1" builtinId="5"/>
  </cellStyles>
  <dxfs count="34">
    <dxf>
      <font>
        <color rgb="FF9C0006"/>
      </font>
      <fill>
        <patternFill>
          <bgColor rgb="FFFFC7CE"/>
        </patternFill>
      </fill>
    </dxf>
    <dxf>
      <fill>
        <patternFill>
          <bgColor theme="1"/>
        </patternFill>
      </fill>
    </dxf>
    <dxf>
      <font>
        <b/>
        <i/>
        <strike val="0"/>
        <color rgb="FF11213F"/>
      </font>
      <fill>
        <patternFill>
          <bgColor theme="5" tint="-0.24994659260841701"/>
        </patternFill>
      </fill>
    </dxf>
    <dxf>
      <fill>
        <patternFill>
          <bgColor theme="1"/>
        </patternFill>
      </fill>
    </dxf>
    <dxf>
      <font>
        <b/>
        <i/>
        <strike val="0"/>
        <color rgb="FF11213F"/>
      </font>
      <fill>
        <patternFill>
          <bgColor theme="5" tint="-0.24994659260841701"/>
        </patternFill>
      </fill>
    </dxf>
    <dxf>
      <font>
        <b/>
        <i/>
        <strike val="0"/>
        <color rgb="FF11213F"/>
      </font>
      <fill>
        <patternFill>
          <bgColor theme="5" tint="-0.24994659260841701"/>
        </patternFill>
      </fill>
    </dxf>
    <dxf>
      <font>
        <b/>
        <i/>
        <strike val="0"/>
        <color rgb="FF11213F"/>
      </font>
      <fill>
        <patternFill>
          <bgColor theme="5" tint="-0.24994659260841701"/>
        </patternFill>
      </fill>
    </dxf>
    <dxf>
      <font>
        <b/>
        <i/>
        <strike val="0"/>
        <color rgb="FF11213F"/>
      </font>
      <fill>
        <patternFill>
          <bgColor theme="5"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b/>
        <i/>
        <strike val="0"/>
        <color rgb="FF11213F"/>
      </font>
      <fill>
        <patternFill>
          <bgColor theme="5" tint="-0.24994659260841701"/>
        </patternFill>
      </fill>
    </dxf>
    <dxf>
      <font>
        <b/>
        <i/>
        <strike val="0"/>
        <color rgb="FF11213F"/>
      </font>
      <fill>
        <patternFill>
          <bgColor theme="5" tint="-0.24994659260841701"/>
        </patternFill>
      </fill>
    </dxf>
    <dxf>
      <font>
        <b/>
        <i/>
        <strike val="0"/>
        <color rgb="FF11213F"/>
      </font>
      <fill>
        <patternFill>
          <bgColor theme="5" tint="-0.24994659260841701"/>
        </patternFill>
      </fill>
    </dxf>
    <dxf>
      <font>
        <color rgb="FF9C0006"/>
      </font>
      <fill>
        <patternFill>
          <bgColor rgb="FFFFC7CE"/>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2" defaultPivotStyle="PivotStyleLight16"/>
  <colors>
    <mruColors>
      <color rgb="FFFFB700"/>
      <color rgb="FFFFD15D"/>
      <color rgb="FF1121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Movement of free cash flows over 7-year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FFB700"/>
              </a:solidFill>
              <a:round/>
            </a:ln>
            <a:effectLst/>
          </c:spPr>
          <c:marker>
            <c:symbol val="none"/>
          </c:marker>
          <c:val>
            <c:numRef>
              <c:f>('Key financial and ops fig.s LCY'!$D$60:$G$60,'Key financial and ops fig.s LCY'!$I$60:$L$60,'Key financial and ops fig.s LCY'!$N$60:$Q$60,'Key financial and ops fig.s LCY'!$S$60:$V$60,'Key financial and ops fig.s LCY'!$X$60:$AA$60,'Key financial and ops </c:f>
              <c:numCache>
                <c:formatCode>#,##0</c:formatCode>
                <c:ptCount val="28"/>
                <c:pt idx="0">
                  <c:v>-359346598.4375</c:v>
                </c:pt>
                <c:pt idx="1">
                  <c:v>-64200362.5</c:v>
                </c:pt>
                <c:pt idx="2">
                  <c:v>-34178760.9375</c:v>
                </c:pt>
                <c:pt idx="3">
                  <c:v>-5721793.75</c:v>
                </c:pt>
                <c:pt idx="4">
                  <c:v>23745539.0625</c:v>
                </c:pt>
                <c:pt idx="5">
                  <c:v>52898237.5</c:v>
                </c:pt>
                <c:pt idx="6">
                  <c:v>82286301.5625</c:v>
                </c:pt>
                <c:pt idx="7">
                  <c:v>104114731.25</c:v>
                </c:pt>
                <c:pt idx="8">
                  <c:v>174760949.9107143</c:v>
                </c:pt>
                <c:pt idx="9">
                  <c:v>130737687.5</c:v>
                </c:pt>
                <c:pt idx="10">
                  <c:v>143152214.0625</c:v>
                </c:pt>
                <c:pt idx="11">
                  <c:v>156077106.25</c:v>
                </c:pt>
                <c:pt idx="12">
                  <c:v>272391042.0535714</c:v>
                </c:pt>
                <c:pt idx="13">
                  <c:v>181132987.5</c:v>
                </c:pt>
                <c:pt idx="14">
                  <c:v>193038976.5625</c:v>
                </c:pt>
                <c:pt idx="15">
                  <c:v>204655331.25</c:v>
                </c:pt>
                <c:pt idx="16">
                  <c:v>356194445.625</c:v>
                </c:pt>
                <c:pt idx="17">
                  <c:v>229194137.5</c:v>
                </c:pt>
                <c:pt idx="18">
                  <c:v>240166589.0625</c:v>
                </c:pt>
                <c:pt idx="19">
                  <c:v>250474406.25</c:v>
                </c:pt>
                <c:pt idx="20">
                  <c:v>417430763.52678573</c:v>
                </c:pt>
                <c:pt idx="21">
                  <c:v>254894812.5</c:v>
                </c:pt>
                <c:pt idx="22">
                  <c:v>241923468.75</c:v>
                </c:pt>
                <c:pt idx="23">
                  <c:v>238877125</c:v>
                </c:pt>
                <c:pt idx="24">
                  <c:v>414888410.71428573</c:v>
                </c:pt>
                <c:pt idx="25">
                  <c:v>235484437.5</c:v>
                </c:pt>
                <c:pt idx="26">
                  <c:v>232438093.75</c:v>
                </c:pt>
                <c:pt idx="27">
                  <c:v>230716750</c:v>
                </c:pt>
              </c:numCache>
              <c:extLst/>
            </c:numRef>
          </c:val>
          <c:smooth val="0"/>
          <c:extLst>
            <c:ext xmlns:c15="http://schemas.microsoft.com/office/drawing/2012/chart" uri="{02D57815-91ED-43cb-92C2-25804820EDAC}">
              <c15:filteredCategoryTitle>
                <c15:cat>
                  <c:strRef>
                    <c:extLst>
                      <c:ext uri="{02D57815-91ED-43cb-92C2-25804820EDAC}">
                        <c15:formulaRef>
                          <c15:sqref>('Key financial and ops fig.s LCY'!$D$5:$G$5,'Key financial and ops fig.s LCY'!$I$5:$L$5,'Key financial and ops fig.s LCY'!$N$5:$Q$5,'Key financial and ops fig.s LCY'!$S$5:$V$5,'Key financial and ops fig.s LCY'!$X$5:$AA$5,'Key financial and ops fig.s LCY'</c15:sqref>
                        </c15:formulaRef>
                      </c:ext>
                    </c:extLst>
                    <c:strCache>
                      <c:ptCount val="28"/>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strCache>
                  </c:strRef>
                </c15:cat>
              </c15:filteredCategoryTitle>
            </c:ext>
            <c:ext xmlns:c16="http://schemas.microsoft.com/office/drawing/2014/chart" uri="{C3380CC4-5D6E-409C-BE32-E72D297353CC}">
              <c16:uniqueId val="{00000000-B9D2-4AD7-B981-506B9CDAACBA}"/>
            </c:ext>
          </c:extLst>
        </c:ser>
        <c:dLbls>
          <c:showLegendKey val="0"/>
          <c:showVal val="0"/>
          <c:showCatName val="0"/>
          <c:showSerName val="0"/>
          <c:showPercent val="0"/>
          <c:showBubbleSize val="0"/>
        </c:dLbls>
        <c:smooth val="0"/>
        <c:axId val="487676735"/>
        <c:axId val="487678175"/>
      </c:lineChart>
      <c:catAx>
        <c:axId val="48767673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175"/>
        <c:crosses val="autoZero"/>
        <c:auto val="1"/>
        <c:lblAlgn val="ctr"/>
        <c:lblOffset val="100"/>
        <c:noMultiLvlLbl val="0"/>
      </c:catAx>
      <c:valAx>
        <c:axId val="48767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67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Accumulated</a:t>
            </a:r>
            <a:r>
              <a:rPr lang="en-US" baseline="0"/>
              <a:t> cash</a:t>
            </a:r>
            <a:r>
              <a:rPr lang="en-US"/>
              <a:t> flows over 7-year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FFB700"/>
              </a:solidFill>
              <a:round/>
            </a:ln>
            <a:effectLst/>
          </c:spPr>
          <c:marker>
            <c:symbol val="none"/>
          </c:marker>
          <c:cat>
            <c:strRef>
              <c:f>'Key financial and ops fig.s LCY'!$D$5:$AL$5</c:f>
              <c:strCache>
                <c:ptCount val="35"/>
                <c:pt idx="0">
                  <c:v>Q1 Y1</c:v>
                </c:pt>
                <c:pt idx="1">
                  <c:v>Q2 Y1</c:v>
                </c:pt>
                <c:pt idx="2">
                  <c:v>Q3 Y1</c:v>
                </c:pt>
                <c:pt idx="3">
                  <c:v>Q4 Y1</c:v>
                </c:pt>
                <c:pt idx="4">
                  <c:v>Y1</c:v>
                </c:pt>
                <c:pt idx="5">
                  <c:v>Q1 Y2</c:v>
                </c:pt>
                <c:pt idx="6">
                  <c:v>Q2 Y2</c:v>
                </c:pt>
                <c:pt idx="7">
                  <c:v>Q3 Y2</c:v>
                </c:pt>
                <c:pt idx="8">
                  <c:v>Q4 Y2</c:v>
                </c:pt>
                <c:pt idx="9">
                  <c:v>Y2</c:v>
                </c:pt>
                <c:pt idx="10">
                  <c:v>Q1 Y3</c:v>
                </c:pt>
                <c:pt idx="11">
                  <c:v>Q2 Y3</c:v>
                </c:pt>
                <c:pt idx="12">
                  <c:v>Q3 Y3</c:v>
                </c:pt>
                <c:pt idx="13">
                  <c:v>Q4 Y3</c:v>
                </c:pt>
                <c:pt idx="14">
                  <c:v>Y3</c:v>
                </c:pt>
                <c:pt idx="15">
                  <c:v>Q1 Y4</c:v>
                </c:pt>
                <c:pt idx="16">
                  <c:v>Q2 Y4</c:v>
                </c:pt>
                <c:pt idx="17">
                  <c:v>Q3 Y4</c:v>
                </c:pt>
                <c:pt idx="18">
                  <c:v>Q4 Y4</c:v>
                </c:pt>
                <c:pt idx="19">
                  <c:v>Y4</c:v>
                </c:pt>
                <c:pt idx="20">
                  <c:v>Q1 Y5</c:v>
                </c:pt>
                <c:pt idx="21">
                  <c:v>Q2 Y5</c:v>
                </c:pt>
                <c:pt idx="22">
                  <c:v>Q3 Y5</c:v>
                </c:pt>
                <c:pt idx="23">
                  <c:v>Q4 Y5</c:v>
                </c:pt>
                <c:pt idx="24">
                  <c:v>Y5</c:v>
                </c:pt>
                <c:pt idx="25">
                  <c:v>Q1 Y6</c:v>
                </c:pt>
                <c:pt idx="26">
                  <c:v>Q2 Y6</c:v>
                </c:pt>
                <c:pt idx="27">
                  <c:v>Q3 Y6</c:v>
                </c:pt>
                <c:pt idx="28">
                  <c:v>Q4 Y6</c:v>
                </c:pt>
                <c:pt idx="29">
                  <c:v>Y6</c:v>
                </c:pt>
                <c:pt idx="30">
                  <c:v>Q1 Y7</c:v>
                </c:pt>
                <c:pt idx="31">
                  <c:v>Q2 Y7</c:v>
                </c:pt>
                <c:pt idx="32">
                  <c:v>Q3 Y7</c:v>
                </c:pt>
                <c:pt idx="33">
                  <c:v>Q4 Y7</c:v>
                </c:pt>
                <c:pt idx="34">
                  <c:v>Y7</c:v>
                </c:pt>
              </c:strCache>
            </c:strRef>
          </c:cat>
          <c:val>
            <c:numRef>
              <c:f>'Key financial and ops fig.s LCY'!$D$61:$AL$61</c:f>
              <c:numCache>
                <c:formatCode>#,##0</c:formatCode>
                <c:ptCount val="35"/>
                <c:pt idx="0">
                  <c:v>-359346598.4375</c:v>
                </c:pt>
                <c:pt idx="1">
                  <c:v>-423546960.9375</c:v>
                </c:pt>
                <c:pt idx="2">
                  <c:v>-457725721.875</c:v>
                </c:pt>
                <c:pt idx="3">
                  <c:v>-463447515.625</c:v>
                </c:pt>
                <c:pt idx="4">
                  <c:v>-463447515.625</c:v>
                </c:pt>
                <c:pt idx="5">
                  <c:v>-439701976.5625</c:v>
                </c:pt>
                <c:pt idx="6">
                  <c:v>-386803739.0625</c:v>
                </c:pt>
                <c:pt idx="7">
                  <c:v>-304517437.5</c:v>
                </c:pt>
                <c:pt idx="8">
                  <c:v>-200402706.25</c:v>
                </c:pt>
                <c:pt idx="9">
                  <c:v>-200402706.25</c:v>
                </c:pt>
                <c:pt idx="10">
                  <c:v>-25641756.339285702</c:v>
                </c:pt>
                <c:pt idx="11">
                  <c:v>105095931.1607143</c:v>
                </c:pt>
                <c:pt idx="12">
                  <c:v>248248145.2232143</c:v>
                </c:pt>
                <c:pt idx="13">
                  <c:v>404325251.47321427</c:v>
                </c:pt>
                <c:pt idx="14">
                  <c:v>404325251.47321427</c:v>
                </c:pt>
                <c:pt idx="15">
                  <c:v>676716293.52678561</c:v>
                </c:pt>
                <c:pt idx="16">
                  <c:v>857849281.02678561</c:v>
                </c:pt>
                <c:pt idx="17">
                  <c:v>1050888257.5892856</c:v>
                </c:pt>
                <c:pt idx="18">
                  <c:v>1255543588.8392856</c:v>
                </c:pt>
                <c:pt idx="19">
                  <c:v>1255543588.8392856</c:v>
                </c:pt>
                <c:pt idx="20">
                  <c:v>1611738034.4642856</c:v>
                </c:pt>
                <c:pt idx="21">
                  <c:v>1840932171.9642856</c:v>
                </c:pt>
                <c:pt idx="22">
                  <c:v>2081098761.0267856</c:v>
                </c:pt>
                <c:pt idx="23">
                  <c:v>2331573167.2767859</c:v>
                </c:pt>
                <c:pt idx="24">
                  <c:v>2331573167.2767859</c:v>
                </c:pt>
                <c:pt idx="25">
                  <c:v>2749003930.8035717</c:v>
                </c:pt>
                <c:pt idx="26">
                  <c:v>3003898743.3035717</c:v>
                </c:pt>
                <c:pt idx="27">
                  <c:v>3245822212.0535717</c:v>
                </c:pt>
                <c:pt idx="28">
                  <c:v>3484699337.0535717</c:v>
                </c:pt>
                <c:pt idx="29">
                  <c:v>3484699337.0535717</c:v>
                </c:pt>
                <c:pt idx="30">
                  <c:v>3899587747.7678576</c:v>
                </c:pt>
                <c:pt idx="31">
                  <c:v>4135072185.2678576</c:v>
                </c:pt>
                <c:pt idx="32">
                  <c:v>4367510279.0178576</c:v>
                </c:pt>
                <c:pt idx="33">
                  <c:v>4598227029.0178576</c:v>
                </c:pt>
                <c:pt idx="34">
                  <c:v>4598227029.0178576</c:v>
                </c:pt>
              </c:numCache>
            </c:numRef>
          </c:val>
          <c:smooth val="0"/>
          <c:extLst>
            <c:ext xmlns:c16="http://schemas.microsoft.com/office/drawing/2014/chart" uri="{C3380CC4-5D6E-409C-BE32-E72D297353CC}">
              <c16:uniqueId val="{00000000-6EF9-47B7-8CC6-4C12006E4624}"/>
            </c:ext>
          </c:extLst>
        </c:ser>
        <c:dLbls>
          <c:showLegendKey val="0"/>
          <c:showVal val="0"/>
          <c:showCatName val="0"/>
          <c:showSerName val="0"/>
          <c:showPercent val="0"/>
          <c:showBubbleSize val="0"/>
        </c:dLbls>
        <c:smooth val="0"/>
        <c:axId val="487676735"/>
        <c:axId val="487678175"/>
      </c:lineChart>
      <c:catAx>
        <c:axId val="48767673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175"/>
        <c:crosses val="autoZero"/>
        <c:auto val="1"/>
        <c:lblAlgn val="ctr"/>
        <c:lblOffset val="100"/>
        <c:noMultiLvlLbl val="0"/>
      </c:catAx>
      <c:valAx>
        <c:axId val="48767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67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active clients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'Key financial and ops fig.s LCY'!$C$72</c:f>
              <c:strCache>
                <c:ptCount val="1"/>
                <c:pt idx="0">
                  <c:v>Number of active medium clients</c:v>
                </c:pt>
              </c:strCache>
            </c:strRef>
          </c:tx>
          <c:spPr>
            <a:solidFill>
              <a:schemeClr val="accent1"/>
            </a:solidFill>
            <a:ln>
              <a:noFill/>
            </a:ln>
            <a:effectLst/>
          </c:spPr>
          <c:invertIfNegative val="0"/>
          <c:val>
            <c:numRef>
              <c:f>('Key financial and ops fig.s LCY'!$D$72:$G$72,'Key financial and ops fig.s LCY'!$I$72:$L$72,'Key financial and ops fig.s LCY'!$N$72:$Q$72,'Key financial and ops fig.s LCY'!$S$72:$V$72,'Key financial and ops fig.s LCY'!$X$72:$AA$72,'Key financial and ops </c:f>
              <c:numCache>
                <c:formatCode>#,##0</c:formatCode>
                <c:ptCount val="28"/>
                <c:pt idx="0">
                  <c:v>9.9375</c:v>
                </c:pt>
                <c:pt idx="1">
                  <c:v>19.75</c:v>
                </c:pt>
                <c:pt idx="2">
                  <c:v>29.4375</c:v>
                </c:pt>
                <c:pt idx="3">
                  <c:v>39</c:v>
                </c:pt>
                <c:pt idx="4">
                  <c:v>48.4375</c:v>
                </c:pt>
                <c:pt idx="5">
                  <c:v>57.75</c:v>
                </c:pt>
                <c:pt idx="6">
                  <c:v>66.9375</c:v>
                </c:pt>
                <c:pt idx="7">
                  <c:v>76</c:v>
                </c:pt>
                <c:pt idx="8">
                  <c:v>84.9375</c:v>
                </c:pt>
                <c:pt idx="9">
                  <c:v>93.75</c:v>
                </c:pt>
                <c:pt idx="10">
                  <c:v>102.4375</c:v>
                </c:pt>
                <c:pt idx="11">
                  <c:v>111</c:v>
                </c:pt>
                <c:pt idx="12">
                  <c:v>119.4375</c:v>
                </c:pt>
                <c:pt idx="13">
                  <c:v>127.75</c:v>
                </c:pt>
                <c:pt idx="14">
                  <c:v>135.9375</c:v>
                </c:pt>
                <c:pt idx="15">
                  <c:v>144</c:v>
                </c:pt>
                <c:pt idx="16">
                  <c:v>151.9375</c:v>
                </c:pt>
                <c:pt idx="17">
                  <c:v>159.75</c:v>
                </c:pt>
                <c:pt idx="18">
                  <c:v>167.4375</c:v>
                </c:pt>
                <c:pt idx="19">
                  <c:v>175</c:v>
                </c:pt>
                <c:pt idx="20">
                  <c:v>173.75</c:v>
                </c:pt>
                <c:pt idx="21">
                  <c:v>172.5</c:v>
                </c:pt>
                <c:pt idx="22">
                  <c:v>171.25</c:v>
                </c:pt>
                <c:pt idx="23">
                  <c:v>170</c:v>
                </c:pt>
                <c:pt idx="24">
                  <c:v>168.75</c:v>
                </c:pt>
                <c:pt idx="25">
                  <c:v>167.5</c:v>
                </c:pt>
                <c:pt idx="26">
                  <c:v>166.25</c:v>
                </c:pt>
                <c:pt idx="27">
                  <c:v>165</c:v>
                </c:pt>
              </c:numCache>
              <c:extLst/>
            </c:numRef>
          </c:val>
          <c:extLst>
            <c:ext xmlns:c15="http://schemas.microsoft.com/office/drawing/2012/chart" uri="{02D57815-91ED-43cb-92C2-25804820EDAC}">
              <c15:filteredCategoryTitle>
                <c15:cat>
                  <c:strRef>
                    <c:extLst>
                      <c:ext uri="{02D57815-91ED-43cb-92C2-25804820EDAC}">
                        <c15:formulaRef>
                          <c15:sqref>('Key financial and ops fig.s LCY'!$D$5:$G$5,'Key financial and ops fig.s LCY'!$I$5:$L$5,'Key financial and ops fig.s LCY'!$N$5:$Q$5,'Key financial and ops fig.s LCY'!$S$5:$V$5,'Key financial and ops fig.s LCY'!$X$5:$AA$5,'Key financial and ops fig.s LCY'</c15:sqref>
                        </c15:formulaRef>
                      </c:ext>
                    </c:extLst>
                    <c:strCache>
                      <c:ptCount val="28"/>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strCache>
                  </c:strRef>
                </c15:cat>
              </c15:filteredCategoryTitle>
            </c:ext>
            <c:ext xmlns:c16="http://schemas.microsoft.com/office/drawing/2014/chart" uri="{C3380CC4-5D6E-409C-BE32-E72D297353CC}">
              <c16:uniqueId val="{00000000-09CE-4DBD-8CF4-1E60B1E54520}"/>
            </c:ext>
          </c:extLst>
        </c:ser>
        <c:ser>
          <c:idx val="1"/>
          <c:order val="1"/>
          <c:tx>
            <c:strRef>
              <c:f>'Key financial and ops fig.s LCY'!$C$73</c:f>
              <c:strCache>
                <c:ptCount val="1"/>
                <c:pt idx="0">
                  <c:v>Number of active small clients</c:v>
                </c:pt>
              </c:strCache>
            </c:strRef>
          </c:tx>
          <c:spPr>
            <a:solidFill>
              <a:schemeClr val="bg1">
                <a:lumMod val="65000"/>
              </a:schemeClr>
            </a:solidFill>
            <a:ln>
              <a:noFill/>
            </a:ln>
            <a:effectLst/>
          </c:spPr>
          <c:invertIfNegative val="0"/>
          <c:val>
            <c:numRef>
              <c:f>('Key financial and ops fig.s LCY'!$D$73:$G$73,'Key financial and ops fig.s LCY'!$I$73:$L$73,'Key financial and ops fig.s LCY'!$N$73:$Q$73,'Key financial and ops fig.s LCY'!$S$73:$V$73,'Key financial and ops fig.s LCY'!$X$73:$AA$73,'Key financial and ops </c:f>
              <c:numCache>
                <c:formatCode>#,##0</c:formatCode>
                <c:ptCount val="28"/>
                <c:pt idx="0">
                  <c:v>49.6875</c:v>
                </c:pt>
                <c:pt idx="1">
                  <c:v>98.75</c:v>
                </c:pt>
                <c:pt idx="2">
                  <c:v>147.1875</c:v>
                </c:pt>
                <c:pt idx="3">
                  <c:v>195</c:v>
                </c:pt>
                <c:pt idx="4">
                  <c:v>242.1875</c:v>
                </c:pt>
                <c:pt idx="5">
                  <c:v>288.75</c:v>
                </c:pt>
                <c:pt idx="6">
                  <c:v>334.6875</c:v>
                </c:pt>
                <c:pt idx="7">
                  <c:v>380</c:v>
                </c:pt>
                <c:pt idx="8">
                  <c:v>424.6875</c:v>
                </c:pt>
                <c:pt idx="9">
                  <c:v>468.75</c:v>
                </c:pt>
                <c:pt idx="10">
                  <c:v>512.1875</c:v>
                </c:pt>
                <c:pt idx="11">
                  <c:v>555</c:v>
                </c:pt>
                <c:pt idx="12">
                  <c:v>597.1875</c:v>
                </c:pt>
                <c:pt idx="13">
                  <c:v>638.75</c:v>
                </c:pt>
                <c:pt idx="14">
                  <c:v>679.6875</c:v>
                </c:pt>
                <c:pt idx="15">
                  <c:v>720</c:v>
                </c:pt>
                <c:pt idx="16">
                  <c:v>759.6875</c:v>
                </c:pt>
                <c:pt idx="17">
                  <c:v>798.75</c:v>
                </c:pt>
                <c:pt idx="18">
                  <c:v>837.1875</c:v>
                </c:pt>
                <c:pt idx="19">
                  <c:v>875</c:v>
                </c:pt>
                <c:pt idx="20">
                  <c:v>868.75</c:v>
                </c:pt>
                <c:pt idx="21">
                  <c:v>862.5</c:v>
                </c:pt>
                <c:pt idx="22">
                  <c:v>856.25</c:v>
                </c:pt>
                <c:pt idx="23">
                  <c:v>850</c:v>
                </c:pt>
                <c:pt idx="24">
                  <c:v>843.75</c:v>
                </c:pt>
                <c:pt idx="25">
                  <c:v>837.5</c:v>
                </c:pt>
                <c:pt idx="26">
                  <c:v>831.25</c:v>
                </c:pt>
                <c:pt idx="27">
                  <c:v>825</c:v>
                </c:pt>
              </c:numCache>
              <c:extLst/>
            </c:numRef>
          </c:val>
          <c:extLst>
            <c:ext xmlns:c15="http://schemas.microsoft.com/office/drawing/2012/chart" uri="{02D57815-91ED-43cb-92C2-25804820EDAC}">
              <c15:filteredCategoryTitle>
                <c15:cat>
                  <c:strRef>
                    <c:extLst>
                      <c:ext uri="{02D57815-91ED-43cb-92C2-25804820EDAC}">
                        <c15:formulaRef>
                          <c15:sqref>('Key financial and ops fig.s LCY'!$D$5:$G$5,'Key financial and ops fig.s LCY'!$I$5:$L$5,'Key financial and ops fig.s LCY'!$N$5:$Q$5,'Key financial and ops fig.s LCY'!$S$5:$V$5,'Key financial and ops fig.s LCY'!$X$5:$AA$5,'Key financial and ops fig.s LCY'</c15:sqref>
                        </c15:formulaRef>
                      </c:ext>
                    </c:extLst>
                    <c:strCache>
                      <c:ptCount val="28"/>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strCache>
                  </c:strRef>
                </c15:cat>
              </c15:filteredCategoryTitle>
            </c:ext>
            <c:ext xmlns:c16="http://schemas.microsoft.com/office/drawing/2014/chart" uri="{C3380CC4-5D6E-409C-BE32-E72D297353CC}">
              <c16:uniqueId val="{00000001-09CE-4DBD-8CF4-1E60B1E54520}"/>
            </c:ext>
          </c:extLst>
        </c:ser>
        <c:ser>
          <c:idx val="2"/>
          <c:order val="2"/>
          <c:tx>
            <c:strRef>
              <c:f>'Key financial and ops fig.s LCY'!$C$74</c:f>
              <c:strCache>
                <c:ptCount val="1"/>
                <c:pt idx="0">
                  <c:v>Number of active very small clients</c:v>
                </c:pt>
              </c:strCache>
            </c:strRef>
          </c:tx>
          <c:spPr>
            <a:solidFill>
              <a:srgbClr val="11213F"/>
            </a:solidFill>
            <a:ln>
              <a:noFill/>
            </a:ln>
            <a:effectLst/>
          </c:spPr>
          <c:invertIfNegative val="0"/>
          <c:val>
            <c:numRef>
              <c:f>('Key financial and ops fig.s LCY'!$D$74:$G$74,'Key financial and ops fig.s LCY'!$I$74:$L$74,'Key financial and ops fig.s LCY'!$N$74:$Q$74,'Key financial and ops fig.s LCY'!$S$74:$V$74,'Key financial and ops fig.s LCY'!$X$74:$AA$74,'Key financial and ops </c:f>
              <c:numCache>
                <c:formatCode>#,##0</c:formatCode>
                <c:ptCount val="28"/>
                <c:pt idx="0">
                  <c:v>248.4375</c:v>
                </c:pt>
                <c:pt idx="1">
                  <c:v>493.75</c:v>
                </c:pt>
                <c:pt idx="2">
                  <c:v>735.9375</c:v>
                </c:pt>
                <c:pt idx="3">
                  <c:v>975</c:v>
                </c:pt>
                <c:pt idx="4">
                  <c:v>1210.9375</c:v>
                </c:pt>
                <c:pt idx="5">
                  <c:v>1443.75</c:v>
                </c:pt>
                <c:pt idx="6">
                  <c:v>1673.4375</c:v>
                </c:pt>
                <c:pt idx="7">
                  <c:v>1900</c:v>
                </c:pt>
                <c:pt idx="8">
                  <c:v>2123.4375</c:v>
                </c:pt>
                <c:pt idx="9">
                  <c:v>2343.75</c:v>
                </c:pt>
                <c:pt idx="10">
                  <c:v>2560.9375</c:v>
                </c:pt>
                <c:pt idx="11">
                  <c:v>2775</c:v>
                </c:pt>
                <c:pt idx="12">
                  <c:v>2985.9375</c:v>
                </c:pt>
                <c:pt idx="13">
                  <c:v>3193.75</c:v>
                </c:pt>
                <c:pt idx="14">
                  <c:v>3398.4375</c:v>
                </c:pt>
                <c:pt idx="15">
                  <c:v>3600</c:v>
                </c:pt>
                <c:pt idx="16">
                  <c:v>3798.4375</c:v>
                </c:pt>
                <c:pt idx="17">
                  <c:v>3993.75</c:v>
                </c:pt>
                <c:pt idx="18">
                  <c:v>4185.9375</c:v>
                </c:pt>
                <c:pt idx="19">
                  <c:v>4375</c:v>
                </c:pt>
                <c:pt idx="20">
                  <c:v>4343.75</c:v>
                </c:pt>
                <c:pt idx="21">
                  <c:v>4312.5</c:v>
                </c:pt>
                <c:pt idx="22">
                  <c:v>4281.25</c:v>
                </c:pt>
                <c:pt idx="23">
                  <c:v>4250</c:v>
                </c:pt>
                <c:pt idx="24">
                  <c:v>4218.75</c:v>
                </c:pt>
                <c:pt idx="25">
                  <c:v>4187.5</c:v>
                </c:pt>
                <c:pt idx="26">
                  <c:v>4156.25</c:v>
                </c:pt>
                <c:pt idx="27">
                  <c:v>4125</c:v>
                </c:pt>
              </c:numCache>
              <c:extLst/>
            </c:numRef>
          </c:val>
          <c:extLst>
            <c:ext xmlns:c15="http://schemas.microsoft.com/office/drawing/2012/chart" uri="{02D57815-91ED-43cb-92C2-25804820EDAC}">
              <c15:filteredCategoryTitle>
                <c15:cat>
                  <c:strRef>
                    <c:extLst>
                      <c:ext uri="{02D57815-91ED-43cb-92C2-25804820EDAC}">
                        <c15:formulaRef>
                          <c15:sqref>('Key financial and ops fig.s LCY'!$D$5:$G$5,'Key financial and ops fig.s LCY'!$I$5:$L$5,'Key financial and ops fig.s LCY'!$N$5:$Q$5,'Key financial and ops fig.s LCY'!$S$5:$V$5,'Key financial and ops fig.s LCY'!$X$5:$AA$5,'Key financial and ops fig.s LCY'</c15:sqref>
                        </c15:formulaRef>
                      </c:ext>
                    </c:extLst>
                    <c:strCache>
                      <c:ptCount val="28"/>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strCache>
                  </c:strRef>
                </c15:cat>
              </c15:filteredCategoryTitle>
            </c:ext>
            <c:ext xmlns:c16="http://schemas.microsoft.com/office/drawing/2014/chart" uri="{C3380CC4-5D6E-409C-BE32-E72D297353CC}">
              <c16:uniqueId val="{00000002-09CE-4DBD-8CF4-1E60B1E54520}"/>
            </c:ext>
          </c:extLst>
        </c:ser>
        <c:ser>
          <c:idx val="3"/>
          <c:order val="3"/>
          <c:tx>
            <c:strRef>
              <c:f>'Key financial and ops fig.s LCY'!$C$75</c:f>
              <c:strCache>
                <c:ptCount val="1"/>
                <c:pt idx="0">
                  <c:v>Number of active micro and self-employed clients</c:v>
                </c:pt>
              </c:strCache>
            </c:strRef>
          </c:tx>
          <c:spPr>
            <a:solidFill>
              <a:schemeClr val="accent4"/>
            </a:solidFill>
            <a:ln>
              <a:noFill/>
            </a:ln>
            <a:effectLst/>
          </c:spPr>
          <c:invertIfNegative val="0"/>
          <c:val>
            <c:numRef>
              <c:f>('Key financial and ops fig.s LCY'!$D$75:$G$75,'Key financial and ops fig.s LCY'!$I$75:$L$75,'Key financial and ops fig.s LCY'!$N$75:$Q$75,'Key financial and ops fig.s LCY'!$S$75:$V$75,'Key financial and ops fig.s LCY'!$X$75:$AA$75,'Key financial and ops </c:f>
              <c:numCache>
                <c:formatCode>#,##0</c:formatCode>
                <c:ptCount val="28"/>
                <c:pt idx="0">
                  <c:v>1987.5</c:v>
                </c:pt>
                <c:pt idx="1">
                  <c:v>3950</c:v>
                </c:pt>
                <c:pt idx="2">
                  <c:v>5887.5</c:v>
                </c:pt>
                <c:pt idx="3">
                  <c:v>7800</c:v>
                </c:pt>
                <c:pt idx="4">
                  <c:v>9687.5</c:v>
                </c:pt>
                <c:pt idx="5">
                  <c:v>11550</c:v>
                </c:pt>
                <c:pt idx="6">
                  <c:v>13387.5</c:v>
                </c:pt>
                <c:pt idx="7">
                  <c:v>15200</c:v>
                </c:pt>
                <c:pt idx="8">
                  <c:v>16987.5</c:v>
                </c:pt>
                <c:pt idx="9">
                  <c:v>18750</c:v>
                </c:pt>
                <c:pt idx="10">
                  <c:v>20487.5</c:v>
                </c:pt>
                <c:pt idx="11">
                  <c:v>22200</c:v>
                </c:pt>
                <c:pt idx="12">
                  <c:v>23887.5</c:v>
                </c:pt>
                <c:pt idx="13">
                  <c:v>25550</c:v>
                </c:pt>
                <c:pt idx="14">
                  <c:v>27187.5</c:v>
                </c:pt>
                <c:pt idx="15">
                  <c:v>28800</c:v>
                </c:pt>
                <c:pt idx="16">
                  <c:v>30387.5</c:v>
                </c:pt>
                <c:pt idx="17">
                  <c:v>31950</c:v>
                </c:pt>
                <c:pt idx="18">
                  <c:v>33487.5</c:v>
                </c:pt>
                <c:pt idx="19">
                  <c:v>35000</c:v>
                </c:pt>
                <c:pt idx="20">
                  <c:v>34750</c:v>
                </c:pt>
                <c:pt idx="21">
                  <c:v>34500</c:v>
                </c:pt>
                <c:pt idx="22">
                  <c:v>34250</c:v>
                </c:pt>
                <c:pt idx="23">
                  <c:v>34000</c:v>
                </c:pt>
                <c:pt idx="24">
                  <c:v>33750</c:v>
                </c:pt>
                <c:pt idx="25">
                  <c:v>33500</c:v>
                </c:pt>
                <c:pt idx="26">
                  <c:v>33250</c:v>
                </c:pt>
                <c:pt idx="27">
                  <c:v>33000</c:v>
                </c:pt>
              </c:numCache>
              <c:extLst/>
            </c:numRef>
          </c:val>
          <c:extLst>
            <c:ext xmlns:c15="http://schemas.microsoft.com/office/drawing/2012/chart" uri="{02D57815-91ED-43cb-92C2-25804820EDAC}">
              <c15:filteredCategoryTitle>
                <c15:cat>
                  <c:strRef>
                    <c:extLst>
                      <c:ext uri="{02D57815-91ED-43cb-92C2-25804820EDAC}">
                        <c15:formulaRef>
                          <c15:sqref>('Key financial and ops fig.s LCY'!$D$5:$G$5,'Key financial and ops fig.s LCY'!$I$5:$L$5,'Key financial and ops fig.s LCY'!$N$5:$Q$5,'Key financial and ops fig.s LCY'!$S$5:$V$5,'Key financial and ops fig.s LCY'!$X$5:$AA$5,'Key financial and ops fig.s LCY'</c15:sqref>
                        </c15:formulaRef>
                      </c:ext>
                    </c:extLst>
                    <c:strCache>
                      <c:ptCount val="28"/>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strCache>
                  </c:strRef>
                </c15:cat>
              </c15:filteredCategoryTitle>
            </c:ext>
            <c:ext xmlns:c16="http://schemas.microsoft.com/office/drawing/2014/chart" uri="{C3380CC4-5D6E-409C-BE32-E72D297353CC}">
              <c16:uniqueId val="{00000003-09CE-4DBD-8CF4-1E60B1E54520}"/>
            </c:ext>
          </c:extLst>
        </c:ser>
        <c:dLbls>
          <c:showLegendKey val="0"/>
          <c:showVal val="0"/>
          <c:showCatName val="0"/>
          <c:showSerName val="0"/>
          <c:showPercent val="0"/>
          <c:showBubbleSize val="0"/>
        </c:dLbls>
        <c:gapWidth val="150"/>
        <c:overlap val="100"/>
        <c:axId val="495526975"/>
        <c:axId val="495529375"/>
      </c:barChart>
      <c:catAx>
        <c:axId val="4955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9375"/>
        <c:crosses val="autoZero"/>
        <c:auto val="1"/>
        <c:lblAlgn val="ctr"/>
        <c:lblOffset val="100"/>
        <c:noMultiLvlLbl val="0"/>
      </c:catAx>
      <c:valAx>
        <c:axId val="495529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Lists!$E$2</c:f>
              <c:strCache>
                <c:ptCount val="1"/>
                <c:pt idx="0">
                  <c:v>NET INCOME</c:v>
                </c:pt>
              </c:strCache>
            </c:strRef>
          </c:tx>
          <c:spPr>
            <a:ln w="28575" cap="rnd">
              <a:solidFill>
                <a:srgbClr val="FFB700"/>
              </a:solidFill>
              <a:round/>
            </a:ln>
            <a:effectLst/>
          </c:spPr>
          <c:marker>
            <c:symbol val="none"/>
          </c:marker>
          <c:cat>
            <c:strRef>
              <c:f>Lists!$F$1:$L$1</c:f>
              <c:strCache>
                <c:ptCount val="7"/>
                <c:pt idx="0">
                  <c:v>Y1</c:v>
                </c:pt>
                <c:pt idx="1">
                  <c:v>Y2</c:v>
                </c:pt>
                <c:pt idx="2">
                  <c:v>Y3</c:v>
                </c:pt>
                <c:pt idx="3">
                  <c:v>Y4</c:v>
                </c:pt>
                <c:pt idx="4">
                  <c:v>Y5</c:v>
                </c:pt>
                <c:pt idx="5">
                  <c:v>Y6</c:v>
                </c:pt>
                <c:pt idx="6">
                  <c:v>Y7</c:v>
                </c:pt>
              </c:strCache>
            </c:strRef>
          </c:cat>
          <c:val>
            <c:numRef>
              <c:f>Lists!$F$2:$L$2</c:f>
              <c:numCache>
                <c:formatCode>#,##0</c:formatCode>
                <c:ptCount val="7"/>
                <c:pt idx="0">
                  <c:v>-73958698.660714269</c:v>
                </c:pt>
                <c:pt idx="1">
                  <c:v>517746810.13392866</c:v>
                </c:pt>
                <c:pt idx="2">
                  <c:v>929733101.91964269</c:v>
                </c:pt>
                <c:pt idx="3">
                  <c:v>1257186546.5625</c:v>
                </c:pt>
                <c:pt idx="4">
                  <c:v>1564556465.4910712</c:v>
                </c:pt>
                <c:pt idx="5">
                  <c:v>1589243665.1785712</c:v>
                </c:pt>
                <c:pt idx="6">
                  <c:v>1537884136.6071429</c:v>
                </c:pt>
              </c:numCache>
            </c:numRef>
          </c:val>
          <c:smooth val="0"/>
          <c:extLst>
            <c:ext xmlns:c16="http://schemas.microsoft.com/office/drawing/2014/chart" uri="{C3380CC4-5D6E-409C-BE32-E72D297353CC}">
              <c16:uniqueId val="{00000000-B147-48AD-A1A0-5A2A0DA3A214}"/>
            </c:ext>
          </c:extLst>
        </c:ser>
        <c:dLbls>
          <c:showLegendKey val="0"/>
          <c:showVal val="0"/>
          <c:showCatName val="0"/>
          <c:showSerName val="0"/>
          <c:showPercent val="0"/>
          <c:showBubbleSize val="0"/>
        </c:dLbls>
        <c:smooth val="0"/>
        <c:axId val="823480543"/>
        <c:axId val="823483423"/>
      </c:lineChart>
      <c:catAx>
        <c:axId val="8234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83423"/>
        <c:crosses val="autoZero"/>
        <c:auto val="1"/>
        <c:lblAlgn val="ctr"/>
        <c:lblOffset val="100"/>
        <c:noMultiLvlLbl val="0"/>
      </c:catAx>
      <c:valAx>
        <c:axId val="823483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805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Lists!$M$2</c:f>
              <c:strCache>
                <c:ptCount val="1"/>
                <c:pt idx="0">
                  <c:v>Business loans volume (cummulative)</c:v>
                </c:pt>
              </c:strCache>
            </c:strRef>
          </c:tx>
          <c:spPr>
            <a:solidFill>
              <a:srgbClr val="FFB700"/>
            </a:solidFill>
            <a:ln>
              <a:noFill/>
            </a:ln>
            <a:effectLst/>
          </c:spPr>
          <c:invertIfNegative val="0"/>
          <c:cat>
            <c:strRef>
              <c:f>Lists!$N$1:$T$1</c:f>
              <c:strCache>
                <c:ptCount val="7"/>
                <c:pt idx="0">
                  <c:v>Y1</c:v>
                </c:pt>
                <c:pt idx="1">
                  <c:v>Y2</c:v>
                </c:pt>
                <c:pt idx="2">
                  <c:v>Y3</c:v>
                </c:pt>
                <c:pt idx="3">
                  <c:v>Y4</c:v>
                </c:pt>
                <c:pt idx="4">
                  <c:v>Y5</c:v>
                </c:pt>
                <c:pt idx="5">
                  <c:v>Y6</c:v>
                </c:pt>
                <c:pt idx="6">
                  <c:v>Y7</c:v>
                </c:pt>
              </c:strCache>
            </c:strRef>
          </c:cat>
          <c:val>
            <c:numRef>
              <c:f>Lists!$N$2:$T$2</c:f>
              <c:numCache>
                <c:formatCode>#,##0</c:formatCode>
                <c:ptCount val="7"/>
                <c:pt idx="0">
                  <c:v>4875000000</c:v>
                </c:pt>
                <c:pt idx="1">
                  <c:v>9500000000</c:v>
                </c:pt>
                <c:pt idx="2">
                  <c:v>13875000000</c:v>
                </c:pt>
                <c:pt idx="3">
                  <c:v>18000000000</c:v>
                </c:pt>
                <c:pt idx="4">
                  <c:v>21875000000</c:v>
                </c:pt>
                <c:pt idx="5">
                  <c:v>21250000000</c:v>
                </c:pt>
                <c:pt idx="6">
                  <c:v>20625000000</c:v>
                </c:pt>
              </c:numCache>
            </c:numRef>
          </c:val>
          <c:extLst>
            <c:ext xmlns:c16="http://schemas.microsoft.com/office/drawing/2014/chart" uri="{C3380CC4-5D6E-409C-BE32-E72D297353CC}">
              <c16:uniqueId val="{00000000-8E0C-4B2D-A661-DF2A00A1B223}"/>
            </c:ext>
          </c:extLst>
        </c:ser>
        <c:ser>
          <c:idx val="1"/>
          <c:order val="1"/>
          <c:tx>
            <c:strRef>
              <c:f>Lists!$M$3</c:f>
              <c:strCache>
                <c:ptCount val="1"/>
                <c:pt idx="0">
                  <c:v>Mortgages volume (cummulative)</c:v>
                </c:pt>
              </c:strCache>
            </c:strRef>
          </c:tx>
          <c:spPr>
            <a:solidFill>
              <a:srgbClr val="11213F"/>
            </a:solidFill>
            <a:ln>
              <a:noFill/>
            </a:ln>
            <a:effectLst/>
          </c:spPr>
          <c:invertIfNegative val="0"/>
          <c:cat>
            <c:strRef>
              <c:f>Lists!$N$1:$T$1</c:f>
              <c:strCache>
                <c:ptCount val="7"/>
                <c:pt idx="0">
                  <c:v>Y1</c:v>
                </c:pt>
                <c:pt idx="1">
                  <c:v>Y2</c:v>
                </c:pt>
                <c:pt idx="2">
                  <c:v>Y3</c:v>
                </c:pt>
                <c:pt idx="3">
                  <c:v>Y4</c:v>
                </c:pt>
                <c:pt idx="4">
                  <c:v>Y5</c:v>
                </c:pt>
                <c:pt idx="5">
                  <c:v>Y6</c:v>
                </c:pt>
                <c:pt idx="6">
                  <c:v>Y7</c:v>
                </c:pt>
              </c:strCache>
            </c:strRef>
          </c:cat>
          <c:val>
            <c:numRef>
              <c:f>Lists!$N$3:$T$3</c:f>
              <c:numCache>
                <c:formatCode>#,##0</c:formatCode>
                <c:ptCount val="7"/>
                <c:pt idx="0">
                  <c:v>4504500000</c:v>
                </c:pt>
                <c:pt idx="1">
                  <c:v>8778000000</c:v>
                </c:pt>
                <c:pt idx="2">
                  <c:v>12820500000</c:v>
                </c:pt>
                <c:pt idx="3">
                  <c:v>16632000000</c:v>
                </c:pt>
                <c:pt idx="4">
                  <c:v>20212500000</c:v>
                </c:pt>
                <c:pt idx="5">
                  <c:v>19635000000</c:v>
                </c:pt>
                <c:pt idx="6">
                  <c:v>19057500000</c:v>
                </c:pt>
              </c:numCache>
            </c:numRef>
          </c:val>
          <c:extLst>
            <c:ext xmlns:c16="http://schemas.microsoft.com/office/drawing/2014/chart" uri="{C3380CC4-5D6E-409C-BE32-E72D297353CC}">
              <c16:uniqueId val="{00000001-8E0C-4B2D-A661-DF2A00A1B223}"/>
            </c:ext>
          </c:extLst>
        </c:ser>
        <c:ser>
          <c:idx val="2"/>
          <c:order val="2"/>
          <c:tx>
            <c:strRef>
              <c:f>Lists!$M$4</c:f>
              <c:strCache>
                <c:ptCount val="1"/>
                <c:pt idx="0">
                  <c:v>Auto loans and leasing volume (cummulative)</c:v>
                </c:pt>
              </c:strCache>
            </c:strRef>
          </c:tx>
          <c:spPr>
            <a:solidFill>
              <a:schemeClr val="accent3"/>
            </a:solidFill>
            <a:ln>
              <a:noFill/>
            </a:ln>
            <a:effectLst/>
          </c:spPr>
          <c:invertIfNegative val="0"/>
          <c:cat>
            <c:strRef>
              <c:f>Lists!$N$1:$T$1</c:f>
              <c:strCache>
                <c:ptCount val="7"/>
                <c:pt idx="0">
                  <c:v>Y1</c:v>
                </c:pt>
                <c:pt idx="1">
                  <c:v>Y2</c:v>
                </c:pt>
                <c:pt idx="2">
                  <c:v>Y3</c:v>
                </c:pt>
                <c:pt idx="3">
                  <c:v>Y4</c:v>
                </c:pt>
                <c:pt idx="4">
                  <c:v>Y5</c:v>
                </c:pt>
                <c:pt idx="5">
                  <c:v>Y6</c:v>
                </c:pt>
                <c:pt idx="6">
                  <c:v>Y7</c:v>
                </c:pt>
              </c:strCache>
            </c:strRef>
          </c:cat>
          <c:val>
            <c:numRef>
              <c:f>Lists!$N$4:$T$4</c:f>
              <c:numCache>
                <c:formatCode>#,##0</c:formatCode>
                <c:ptCount val="7"/>
                <c:pt idx="0">
                  <c:v>450450000</c:v>
                </c:pt>
                <c:pt idx="1">
                  <c:v>877800000</c:v>
                </c:pt>
                <c:pt idx="2">
                  <c:v>1282050000</c:v>
                </c:pt>
                <c:pt idx="3">
                  <c:v>1663200000</c:v>
                </c:pt>
                <c:pt idx="4">
                  <c:v>2021250000</c:v>
                </c:pt>
                <c:pt idx="5">
                  <c:v>1963500000</c:v>
                </c:pt>
                <c:pt idx="6">
                  <c:v>1905750000</c:v>
                </c:pt>
              </c:numCache>
            </c:numRef>
          </c:val>
          <c:extLst>
            <c:ext xmlns:c16="http://schemas.microsoft.com/office/drawing/2014/chart" uri="{C3380CC4-5D6E-409C-BE32-E72D297353CC}">
              <c16:uniqueId val="{00000002-8E0C-4B2D-A661-DF2A00A1B223}"/>
            </c:ext>
          </c:extLst>
        </c:ser>
        <c:dLbls>
          <c:showLegendKey val="0"/>
          <c:showVal val="0"/>
          <c:showCatName val="0"/>
          <c:showSerName val="0"/>
          <c:showPercent val="0"/>
          <c:showBubbleSize val="0"/>
        </c:dLbls>
        <c:gapWidth val="150"/>
        <c:overlap val="100"/>
        <c:axId val="1225033247"/>
        <c:axId val="1225034207"/>
      </c:barChart>
      <c:catAx>
        <c:axId val="12250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034207"/>
        <c:crosses val="autoZero"/>
        <c:auto val="1"/>
        <c:lblAlgn val="ctr"/>
        <c:lblOffset val="100"/>
        <c:noMultiLvlLbl val="0"/>
      </c:catAx>
      <c:valAx>
        <c:axId val="1225034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03324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Market share by sector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Lists!$V$1</c:f>
              <c:strCache>
                <c:ptCount val="1"/>
                <c:pt idx="0">
                  <c:v>Y1</c:v>
                </c:pt>
              </c:strCache>
            </c:strRef>
          </c:tx>
          <c:spPr>
            <a:solidFill>
              <a:schemeClr val="accent1"/>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Lists!$V$2:$V$5</c:f>
              <c:numCache>
                <c:formatCode>0.00%</c:formatCode>
                <c:ptCount val="4"/>
                <c:pt idx="0">
                  <c:v>1.3707481961263179E-2</c:v>
                </c:pt>
                <c:pt idx="1">
                  <c:v>2.3435208953774451E-2</c:v>
                </c:pt>
                <c:pt idx="2">
                  <c:v>3.8531419189523519E-2</c:v>
                </c:pt>
                <c:pt idx="3">
                  <c:v>3.7054662613721145E-2</c:v>
                </c:pt>
              </c:numCache>
            </c:numRef>
          </c:val>
          <c:extLst>
            <c:ext xmlns:c16="http://schemas.microsoft.com/office/drawing/2014/chart" uri="{C3380CC4-5D6E-409C-BE32-E72D297353CC}">
              <c16:uniqueId val="{00000000-CFEC-4846-A35E-587FE74A6A32}"/>
            </c:ext>
          </c:extLst>
        </c:ser>
        <c:ser>
          <c:idx val="1"/>
          <c:order val="1"/>
          <c:tx>
            <c:strRef>
              <c:f>Lists!$W$1</c:f>
              <c:strCache>
                <c:ptCount val="1"/>
                <c:pt idx="0">
                  <c:v>Y2</c:v>
                </c:pt>
              </c:strCache>
            </c:strRef>
          </c:tx>
          <c:spPr>
            <a:solidFill>
              <a:schemeClr val="accent2"/>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Lists!$W$2:$W$5</c:f>
              <c:numCache>
                <c:formatCode>0.00%</c:formatCode>
                <c:ptCount val="4"/>
                <c:pt idx="0">
                  <c:v>2.6712016129641067E-2</c:v>
                </c:pt>
                <c:pt idx="1">
                  <c:v>4.5668612320175855E-2</c:v>
                </c:pt>
                <c:pt idx="2">
                  <c:v>7.5086868164199669E-2</c:v>
                </c:pt>
                <c:pt idx="3">
                  <c:v>7.2209086119046334E-2</c:v>
                </c:pt>
              </c:numCache>
            </c:numRef>
          </c:val>
          <c:extLst>
            <c:ext xmlns:c16="http://schemas.microsoft.com/office/drawing/2014/chart" uri="{C3380CC4-5D6E-409C-BE32-E72D297353CC}">
              <c16:uniqueId val="{00000001-CFEC-4846-A35E-587FE74A6A32}"/>
            </c:ext>
          </c:extLst>
        </c:ser>
        <c:ser>
          <c:idx val="2"/>
          <c:order val="2"/>
          <c:tx>
            <c:strRef>
              <c:f>Lists!$X$1</c:f>
              <c:strCache>
                <c:ptCount val="1"/>
                <c:pt idx="0">
                  <c:v>Y3</c:v>
                </c:pt>
              </c:strCache>
            </c:strRef>
          </c:tx>
          <c:spPr>
            <a:solidFill>
              <a:schemeClr val="accent3"/>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Lists!$X$2:$X$5</c:f>
              <c:numCache>
                <c:formatCode>0.00%</c:formatCode>
                <c:ptCount val="4"/>
                <c:pt idx="0">
                  <c:v>3.9013602505133665E-2</c:v>
                </c:pt>
                <c:pt idx="1">
                  <c:v>6.670021009920421E-2</c:v>
                </c:pt>
                <c:pt idx="2">
                  <c:v>0.10966634692402848</c:v>
                </c:pt>
                <c:pt idx="3">
                  <c:v>0.10546327051597557</c:v>
                </c:pt>
              </c:numCache>
            </c:numRef>
          </c:val>
          <c:extLst>
            <c:ext xmlns:c16="http://schemas.microsoft.com/office/drawing/2014/chart" uri="{C3380CC4-5D6E-409C-BE32-E72D297353CC}">
              <c16:uniqueId val="{00000002-CFEC-4846-A35E-587FE74A6A32}"/>
            </c:ext>
          </c:extLst>
        </c:ser>
        <c:ser>
          <c:idx val="3"/>
          <c:order val="3"/>
          <c:tx>
            <c:strRef>
              <c:f>Lists!$Y$1</c:f>
              <c:strCache>
                <c:ptCount val="1"/>
                <c:pt idx="0">
                  <c:v>Y4</c:v>
                </c:pt>
              </c:strCache>
            </c:strRef>
          </c:tx>
          <c:spPr>
            <a:solidFill>
              <a:schemeClr val="accent4"/>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Lists!$Y$2:$Y$5</c:f>
              <c:numCache>
                <c:formatCode>0.00%</c:formatCode>
                <c:ptCount val="4"/>
                <c:pt idx="0">
                  <c:v>5.061224108774097E-2</c:v>
                </c:pt>
                <c:pt idx="1">
                  <c:v>8.6530002290859512E-2</c:v>
                </c:pt>
                <c:pt idx="2">
                  <c:v>0.14226985546900991</c:v>
                </c:pt>
                <c:pt idx="3">
                  <c:v>0.13681721580450884</c:v>
                </c:pt>
              </c:numCache>
            </c:numRef>
          </c:val>
          <c:extLst>
            <c:ext xmlns:c16="http://schemas.microsoft.com/office/drawing/2014/chart" uri="{C3380CC4-5D6E-409C-BE32-E72D297353CC}">
              <c16:uniqueId val="{00000003-CFEC-4846-A35E-587FE74A6A32}"/>
            </c:ext>
          </c:extLst>
        </c:ser>
        <c:ser>
          <c:idx val="4"/>
          <c:order val="4"/>
          <c:tx>
            <c:strRef>
              <c:f>Lists!$Z$1</c:f>
              <c:strCache>
                <c:ptCount val="1"/>
                <c:pt idx="0">
                  <c:v>Y5</c:v>
                </c:pt>
              </c:strCache>
            </c:strRef>
          </c:tx>
          <c:spPr>
            <a:solidFill>
              <a:schemeClr val="accent5"/>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Lists!$Z$2:$Z$5</c:f>
              <c:numCache>
                <c:formatCode>0.00%</c:formatCode>
                <c:ptCount val="4"/>
                <c:pt idx="0">
                  <c:v>6.1507931877462986E-2</c:v>
                </c:pt>
                <c:pt idx="1">
                  <c:v>0.10515798889514176</c:v>
                </c:pt>
                <c:pt idx="2">
                  <c:v>0.17289739379914398</c:v>
                </c:pt>
                <c:pt idx="3">
                  <c:v>0.16627092198464616</c:v>
                </c:pt>
              </c:numCache>
            </c:numRef>
          </c:val>
          <c:extLst>
            <c:ext xmlns:c16="http://schemas.microsoft.com/office/drawing/2014/chart" uri="{C3380CC4-5D6E-409C-BE32-E72D297353CC}">
              <c16:uniqueId val="{00000004-CFEC-4846-A35E-587FE74A6A32}"/>
            </c:ext>
          </c:extLst>
        </c:ser>
        <c:ser>
          <c:idx val="5"/>
          <c:order val="5"/>
          <c:tx>
            <c:strRef>
              <c:f>Lists!$AA$1</c:f>
              <c:strCache>
                <c:ptCount val="1"/>
                <c:pt idx="0">
                  <c:v>Y6</c:v>
                </c:pt>
              </c:strCache>
            </c:strRef>
          </c:tx>
          <c:spPr>
            <a:solidFill>
              <a:schemeClr val="accent6"/>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Lists!$AA$2:$AA$5</c:f>
              <c:numCache>
                <c:formatCode>0.00%</c:formatCode>
                <c:ptCount val="4"/>
                <c:pt idx="0">
                  <c:v>5.9750562395249757E-2</c:v>
                </c:pt>
                <c:pt idx="1">
                  <c:v>0.10215347492670915</c:v>
                </c:pt>
                <c:pt idx="2">
                  <c:v>0.16795746826202559</c:v>
                </c:pt>
                <c:pt idx="3">
                  <c:v>0.16152032421365628</c:v>
                </c:pt>
              </c:numCache>
            </c:numRef>
          </c:val>
          <c:extLst>
            <c:ext xmlns:c16="http://schemas.microsoft.com/office/drawing/2014/chart" uri="{C3380CC4-5D6E-409C-BE32-E72D297353CC}">
              <c16:uniqueId val="{00000005-CFEC-4846-A35E-587FE74A6A32}"/>
            </c:ext>
          </c:extLst>
        </c:ser>
        <c:ser>
          <c:idx val="6"/>
          <c:order val="6"/>
          <c:tx>
            <c:strRef>
              <c:f>Lists!$AB$1</c:f>
              <c:strCache>
                <c:ptCount val="1"/>
                <c:pt idx="0">
                  <c:v>Y7</c:v>
                </c:pt>
              </c:strCache>
            </c:strRef>
          </c:tx>
          <c:spPr>
            <a:solidFill>
              <a:schemeClr val="accent1">
                <a:lumMod val="60000"/>
              </a:schemeClr>
            </a:solidFill>
            <a:ln>
              <a:noFill/>
            </a:ln>
            <a:effectLst/>
          </c:spPr>
          <c:invertIfNegative val="0"/>
          <c:cat>
            <c:strRef>
              <c:f>Lists!$U$2:$U$5</c:f>
              <c:strCache>
                <c:ptCount val="4"/>
                <c:pt idx="0">
                  <c:v>Share of medium sector</c:v>
                </c:pt>
                <c:pt idx="1">
                  <c:v>Share of small sector</c:v>
                </c:pt>
                <c:pt idx="2">
                  <c:v>Very small market captured (cummulative)</c:v>
                </c:pt>
                <c:pt idx="3">
                  <c:v>Micro and self-employed market captured (cummulative)</c:v>
                </c:pt>
              </c:strCache>
            </c:strRef>
          </c:cat>
          <c:val>
            <c:numRef>
              <c:f>Lists!$AB$2:$AB$5</c:f>
              <c:numCache>
                <c:formatCode>0.00%</c:formatCode>
                <c:ptCount val="4"/>
                <c:pt idx="0">
                  <c:v>5.7993192913036527E-2</c:v>
                </c:pt>
                <c:pt idx="1">
                  <c:v>9.9148960958276522E-2</c:v>
                </c:pt>
                <c:pt idx="2">
                  <c:v>0.16301754272490718</c:v>
                </c:pt>
                <c:pt idx="3">
                  <c:v>0.1567697264426664</c:v>
                </c:pt>
              </c:numCache>
            </c:numRef>
          </c:val>
          <c:extLst>
            <c:ext xmlns:c16="http://schemas.microsoft.com/office/drawing/2014/chart" uri="{C3380CC4-5D6E-409C-BE32-E72D297353CC}">
              <c16:uniqueId val="{00000006-CFEC-4846-A35E-587FE74A6A32}"/>
            </c:ext>
          </c:extLst>
        </c:ser>
        <c:dLbls>
          <c:showLegendKey val="0"/>
          <c:showVal val="0"/>
          <c:showCatName val="0"/>
          <c:showSerName val="0"/>
          <c:showPercent val="0"/>
          <c:showBubbleSize val="0"/>
        </c:dLbls>
        <c:gapWidth val="219"/>
        <c:overlap val="-27"/>
        <c:axId val="1256749983"/>
        <c:axId val="1256750463"/>
      </c:barChart>
      <c:catAx>
        <c:axId val="1256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50463"/>
        <c:crosses val="autoZero"/>
        <c:auto val="1"/>
        <c:lblAlgn val="ctr"/>
        <c:lblOffset val="100"/>
        <c:noMultiLvlLbl val="0"/>
      </c:catAx>
      <c:valAx>
        <c:axId val="1256750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4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service outlets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Lists!$AC$2</c:f>
              <c:strCache>
                <c:ptCount val="1"/>
                <c:pt idx="0">
                  <c:v>Number of branches</c:v>
                </c:pt>
              </c:strCache>
            </c:strRef>
          </c:tx>
          <c:spPr>
            <a:solidFill>
              <a:srgbClr val="11213F"/>
            </a:solidFill>
            <a:ln>
              <a:noFill/>
            </a:ln>
            <a:effectLst/>
          </c:spPr>
          <c:invertIfNegative val="0"/>
          <c:cat>
            <c:strRef>
              <c:f>Lists!$AD$1:$AJ$1</c:f>
              <c:strCache>
                <c:ptCount val="7"/>
                <c:pt idx="0">
                  <c:v>Y1</c:v>
                </c:pt>
                <c:pt idx="1">
                  <c:v>Y2</c:v>
                </c:pt>
                <c:pt idx="2">
                  <c:v>Y3</c:v>
                </c:pt>
                <c:pt idx="3">
                  <c:v>Y4</c:v>
                </c:pt>
                <c:pt idx="4">
                  <c:v>Y5</c:v>
                </c:pt>
                <c:pt idx="5">
                  <c:v>Y6</c:v>
                </c:pt>
                <c:pt idx="6">
                  <c:v>Y7</c:v>
                </c:pt>
              </c:strCache>
            </c:strRef>
          </c:cat>
          <c:val>
            <c:numRef>
              <c:f>Lists!$AD$2:$AJ$2</c:f>
              <c:numCache>
                <c:formatCode>0</c:formatCode>
                <c:ptCount val="7"/>
                <c:pt idx="0">
                  <c:v>3.5</c:v>
                </c:pt>
                <c:pt idx="1">
                  <c:v>7.5</c:v>
                </c:pt>
                <c:pt idx="2">
                  <c:v>11.5</c:v>
                </c:pt>
                <c:pt idx="3">
                  <c:v>15.5</c:v>
                </c:pt>
                <c:pt idx="4">
                  <c:v>19.5</c:v>
                </c:pt>
                <c:pt idx="5">
                  <c:v>20.25</c:v>
                </c:pt>
                <c:pt idx="6">
                  <c:v>20</c:v>
                </c:pt>
              </c:numCache>
            </c:numRef>
          </c:val>
          <c:extLst>
            <c:ext xmlns:c16="http://schemas.microsoft.com/office/drawing/2014/chart" uri="{C3380CC4-5D6E-409C-BE32-E72D297353CC}">
              <c16:uniqueId val="{00000000-C3ED-49E5-9055-02321BCE2D69}"/>
            </c:ext>
          </c:extLst>
        </c:ser>
        <c:ser>
          <c:idx val="1"/>
          <c:order val="1"/>
          <c:tx>
            <c:strRef>
              <c:f>Lists!$AC$3</c:f>
              <c:strCache>
                <c:ptCount val="1"/>
                <c:pt idx="0">
                  <c:v>Number of service agents</c:v>
                </c:pt>
              </c:strCache>
            </c:strRef>
          </c:tx>
          <c:spPr>
            <a:solidFill>
              <a:srgbClr val="FFB700"/>
            </a:solidFill>
            <a:ln>
              <a:noFill/>
            </a:ln>
            <a:effectLst/>
          </c:spPr>
          <c:invertIfNegative val="0"/>
          <c:cat>
            <c:strRef>
              <c:f>Lists!$AD$1:$AJ$1</c:f>
              <c:strCache>
                <c:ptCount val="7"/>
                <c:pt idx="0">
                  <c:v>Y1</c:v>
                </c:pt>
                <c:pt idx="1">
                  <c:v>Y2</c:v>
                </c:pt>
                <c:pt idx="2">
                  <c:v>Y3</c:v>
                </c:pt>
                <c:pt idx="3">
                  <c:v>Y4</c:v>
                </c:pt>
                <c:pt idx="4">
                  <c:v>Y5</c:v>
                </c:pt>
                <c:pt idx="5">
                  <c:v>Y6</c:v>
                </c:pt>
                <c:pt idx="6">
                  <c:v>Y7</c:v>
                </c:pt>
              </c:strCache>
            </c:strRef>
          </c:cat>
          <c:val>
            <c:numRef>
              <c:f>Lists!$AD$3:$AJ$3</c:f>
              <c:numCache>
                <c:formatCode>0</c:formatCode>
                <c:ptCount val="7"/>
                <c:pt idx="0">
                  <c:v>28.333593750000002</c:v>
                </c:pt>
                <c:pt idx="1">
                  <c:v>71.934843749999999</c:v>
                </c:pt>
                <c:pt idx="2">
                  <c:v>113.22609375000002</c:v>
                </c:pt>
                <c:pt idx="3">
                  <c:v>152.20734375000001</c:v>
                </c:pt>
                <c:pt idx="4">
                  <c:v>188.87859374999999</c:v>
                </c:pt>
                <c:pt idx="5">
                  <c:v>198.51562500000003</c:v>
                </c:pt>
                <c:pt idx="6">
                  <c:v>192.74062500000002</c:v>
                </c:pt>
              </c:numCache>
            </c:numRef>
          </c:val>
          <c:extLst>
            <c:ext xmlns:c16="http://schemas.microsoft.com/office/drawing/2014/chart" uri="{C3380CC4-5D6E-409C-BE32-E72D297353CC}">
              <c16:uniqueId val="{00000001-C3ED-49E5-9055-02321BCE2D69}"/>
            </c:ext>
          </c:extLst>
        </c:ser>
        <c:dLbls>
          <c:showLegendKey val="0"/>
          <c:showVal val="0"/>
          <c:showCatName val="0"/>
          <c:showSerName val="0"/>
          <c:showPercent val="0"/>
          <c:showBubbleSize val="0"/>
        </c:dLbls>
        <c:gapWidth val="150"/>
        <c:overlap val="100"/>
        <c:axId val="1394974880"/>
        <c:axId val="1394966720"/>
      </c:barChart>
      <c:catAx>
        <c:axId val="13949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66720"/>
        <c:crosses val="autoZero"/>
        <c:auto val="1"/>
        <c:lblAlgn val="ctr"/>
        <c:lblOffset val="100"/>
        <c:noMultiLvlLbl val="0"/>
      </c:catAx>
      <c:valAx>
        <c:axId val="1394966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Lists!$AK$2</c:f>
              <c:strCache>
                <c:ptCount val="1"/>
                <c:pt idx="0">
                  <c:v>no. of employed clerks</c:v>
                </c:pt>
              </c:strCache>
            </c:strRef>
          </c:tx>
          <c:spPr>
            <a:solidFill>
              <a:srgbClr val="11213F"/>
            </a:solidFill>
            <a:ln>
              <a:noFill/>
            </a:ln>
            <a:effectLst/>
          </c:spPr>
          <c:invertIfNegative val="0"/>
          <c:cat>
            <c:strRef>
              <c:f>Lists!$AL$1:$AR$1</c:f>
              <c:strCache>
                <c:ptCount val="7"/>
                <c:pt idx="0">
                  <c:v>Y1</c:v>
                </c:pt>
                <c:pt idx="1">
                  <c:v>Y2</c:v>
                </c:pt>
                <c:pt idx="2">
                  <c:v>Y3</c:v>
                </c:pt>
                <c:pt idx="3">
                  <c:v>Y4</c:v>
                </c:pt>
                <c:pt idx="4">
                  <c:v>Y5</c:v>
                </c:pt>
                <c:pt idx="5">
                  <c:v>Y6</c:v>
                </c:pt>
                <c:pt idx="6">
                  <c:v>Y7</c:v>
                </c:pt>
              </c:strCache>
            </c:strRef>
          </c:cat>
          <c:val>
            <c:numRef>
              <c:f>Lists!$AL$2:$AR$2</c:f>
              <c:numCache>
                <c:formatCode>0</c:formatCode>
                <c:ptCount val="7"/>
                <c:pt idx="0">
                  <c:v>14.75</c:v>
                </c:pt>
                <c:pt idx="1">
                  <c:v>36.25</c:v>
                </c:pt>
                <c:pt idx="2">
                  <c:v>57.5</c:v>
                </c:pt>
                <c:pt idx="3">
                  <c:v>76.5</c:v>
                </c:pt>
                <c:pt idx="4">
                  <c:v>95</c:v>
                </c:pt>
                <c:pt idx="5">
                  <c:v>99.75</c:v>
                </c:pt>
                <c:pt idx="6">
                  <c:v>97</c:v>
                </c:pt>
              </c:numCache>
            </c:numRef>
          </c:val>
          <c:extLst>
            <c:ext xmlns:c16="http://schemas.microsoft.com/office/drawing/2014/chart" uri="{C3380CC4-5D6E-409C-BE32-E72D297353CC}">
              <c16:uniqueId val="{00000000-B0CB-4E77-AF90-20F46A582C1E}"/>
            </c:ext>
          </c:extLst>
        </c:ser>
        <c:ser>
          <c:idx val="1"/>
          <c:order val="1"/>
          <c:tx>
            <c:strRef>
              <c:f>Lists!$AK$3</c:f>
              <c:strCache>
                <c:ptCount val="1"/>
                <c:pt idx="0">
                  <c:v>no. of employed IT and support</c:v>
                </c:pt>
              </c:strCache>
            </c:strRef>
          </c:tx>
          <c:spPr>
            <a:solidFill>
              <a:schemeClr val="accent2"/>
            </a:solidFill>
            <a:ln>
              <a:noFill/>
            </a:ln>
            <a:effectLst/>
          </c:spPr>
          <c:invertIfNegative val="0"/>
          <c:cat>
            <c:strRef>
              <c:f>Lists!$AL$1:$AR$1</c:f>
              <c:strCache>
                <c:ptCount val="7"/>
                <c:pt idx="0">
                  <c:v>Y1</c:v>
                </c:pt>
                <c:pt idx="1">
                  <c:v>Y2</c:v>
                </c:pt>
                <c:pt idx="2">
                  <c:v>Y3</c:v>
                </c:pt>
                <c:pt idx="3">
                  <c:v>Y4</c:v>
                </c:pt>
                <c:pt idx="4">
                  <c:v>Y5</c:v>
                </c:pt>
                <c:pt idx="5">
                  <c:v>Y6</c:v>
                </c:pt>
                <c:pt idx="6">
                  <c:v>Y7</c:v>
                </c:pt>
              </c:strCache>
            </c:strRef>
          </c:cat>
          <c:val>
            <c:numRef>
              <c:f>Lists!$AL$3:$AR$3</c:f>
              <c:numCache>
                <c:formatCode>0</c:formatCode>
                <c:ptCount val="7"/>
                <c:pt idx="0">
                  <c:v>6.25</c:v>
                </c:pt>
                <c:pt idx="1">
                  <c:v>15</c:v>
                </c:pt>
                <c:pt idx="2">
                  <c:v>23</c:v>
                </c:pt>
                <c:pt idx="3">
                  <c:v>31</c:v>
                </c:pt>
                <c:pt idx="4">
                  <c:v>38.25</c:v>
                </c:pt>
                <c:pt idx="5">
                  <c:v>40.25</c:v>
                </c:pt>
                <c:pt idx="6">
                  <c:v>39</c:v>
                </c:pt>
              </c:numCache>
            </c:numRef>
          </c:val>
          <c:extLst>
            <c:ext xmlns:c16="http://schemas.microsoft.com/office/drawing/2014/chart" uri="{C3380CC4-5D6E-409C-BE32-E72D297353CC}">
              <c16:uniqueId val="{00000001-B0CB-4E77-AF90-20F46A582C1E}"/>
            </c:ext>
          </c:extLst>
        </c:ser>
        <c:ser>
          <c:idx val="2"/>
          <c:order val="2"/>
          <c:tx>
            <c:strRef>
              <c:f>Lists!$AK$4</c:f>
              <c:strCache>
                <c:ptCount val="1"/>
                <c:pt idx="0">
                  <c:v>no. of employed loan officers</c:v>
                </c:pt>
              </c:strCache>
            </c:strRef>
          </c:tx>
          <c:spPr>
            <a:solidFill>
              <a:schemeClr val="accent3"/>
            </a:solidFill>
            <a:ln>
              <a:noFill/>
            </a:ln>
            <a:effectLst/>
          </c:spPr>
          <c:invertIfNegative val="0"/>
          <c:cat>
            <c:strRef>
              <c:f>Lists!$AL$1:$AR$1</c:f>
              <c:strCache>
                <c:ptCount val="7"/>
                <c:pt idx="0">
                  <c:v>Y1</c:v>
                </c:pt>
                <c:pt idx="1">
                  <c:v>Y2</c:v>
                </c:pt>
                <c:pt idx="2">
                  <c:v>Y3</c:v>
                </c:pt>
                <c:pt idx="3">
                  <c:v>Y4</c:v>
                </c:pt>
                <c:pt idx="4">
                  <c:v>Y5</c:v>
                </c:pt>
                <c:pt idx="5">
                  <c:v>Y6</c:v>
                </c:pt>
                <c:pt idx="6">
                  <c:v>Y7</c:v>
                </c:pt>
              </c:strCache>
            </c:strRef>
          </c:cat>
          <c:val>
            <c:numRef>
              <c:f>Lists!$AL$4:$AR$4</c:f>
              <c:numCache>
                <c:formatCode>0</c:formatCode>
                <c:ptCount val="7"/>
                <c:pt idx="0">
                  <c:v>3.5</c:v>
                </c:pt>
                <c:pt idx="1">
                  <c:v>8.5</c:v>
                </c:pt>
                <c:pt idx="2">
                  <c:v>13</c:v>
                </c:pt>
                <c:pt idx="3">
                  <c:v>17.5</c:v>
                </c:pt>
                <c:pt idx="4">
                  <c:v>21.5</c:v>
                </c:pt>
                <c:pt idx="5">
                  <c:v>22.25</c:v>
                </c:pt>
                <c:pt idx="6">
                  <c:v>21.75</c:v>
                </c:pt>
              </c:numCache>
            </c:numRef>
          </c:val>
          <c:extLst>
            <c:ext xmlns:c16="http://schemas.microsoft.com/office/drawing/2014/chart" uri="{C3380CC4-5D6E-409C-BE32-E72D297353CC}">
              <c16:uniqueId val="{00000002-B0CB-4E77-AF90-20F46A582C1E}"/>
            </c:ext>
          </c:extLst>
        </c:ser>
        <c:ser>
          <c:idx val="3"/>
          <c:order val="3"/>
          <c:tx>
            <c:strRef>
              <c:f>Lists!$AK$5</c:f>
              <c:strCache>
                <c:ptCount val="1"/>
                <c:pt idx="0">
                  <c:v>no. of employed managers</c:v>
                </c:pt>
              </c:strCache>
            </c:strRef>
          </c:tx>
          <c:spPr>
            <a:solidFill>
              <a:schemeClr val="accent4"/>
            </a:solidFill>
            <a:ln>
              <a:noFill/>
            </a:ln>
            <a:effectLst/>
          </c:spPr>
          <c:invertIfNegative val="0"/>
          <c:cat>
            <c:strRef>
              <c:f>Lists!$AL$1:$AR$1</c:f>
              <c:strCache>
                <c:ptCount val="7"/>
                <c:pt idx="0">
                  <c:v>Y1</c:v>
                </c:pt>
                <c:pt idx="1">
                  <c:v>Y2</c:v>
                </c:pt>
                <c:pt idx="2">
                  <c:v>Y3</c:v>
                </c:pt>
                <c:pt idx="3">
                  <c:v>Y4</c:v>
                </c:pt>
                <c:pt idx="4">
                  <c:v>Y5</c:v>
                </c:pt>
                <c:pt idx="5">
                  <c:v>Y6</c:v>
                </c:pt>
                <c:pt idx="6">
                  <c:v>Y7</c:v>
                </c:pt>
              </c:strCache>
            </c:strRef>
          </c:cat>
          <c:val>
            <c:numRef>
              <c:f>Lists!$AL$5:$AR$5</c:f>
              <c:numCache>
                <c:formatCode>0</c:formatCode>
                <c:ptCount val="7"/>
                <c:pt idx="0">
                  <c:v>6.25</c:v>
                </c:pt>
                <c:pt idx="1">
                  <c:v>15</c:v>
                </c:pt>
                <c:pt idx="2">
                  <c:v>23</c:v>
                </c:pt>
                <c:pt idx="3">
                  <c:v>31</c:v>
                </c:pt>
                <c:pt idx="4">
                  <c:v>38.25</c:v>
                </c:pt>
                <c:pt idx="5">
                  <c:v>40.25</c:v>
                </c:pt>
                <c:pt idx="6">
                  <c:v>39</c:v>
                </c:pt>
              </c:numCache>
            </c:numRef>
          </c:val>
          <c:extLst>
            <c:ext xmlns:c16="http://schemas.microsoft.com/office/drawing/2014/chart" uri="{C3380CC4-5D6E-409C-BE32-E72D297353CC}">
              <c16:uniqueId val="{00000003-B0CB-4E77-AF90-20F46A582C1E}"/>
            </c:ext>
          </c:extLst>
        </c:ser>
        <c:dLbls>
          <c:showLegendKey val="0"/>
          <c:showVal val="0"/>
          <c:showCatName val="0"/>
          <c:showSerName val="0"/>
          <c:showPercent val="0"/>
          <c:showBubbleSize val="0"/>
        </c:dLbls>
        <c:gapWidth val="150"/>
        <c:overlap val="100"/>
        <c:axId val="1194273952"/>
        <c:axId val="1194283552"/>
      </c:barChart>
      <c:catAx>
        <c:axId val="119427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83552"/>
        <c:crosses val="autoZero"/>
        <c:auto val="1"/>
        <c:lblAlgn val="ctr"/>
        <c:lblOffset val="100"/>
        <c:noMultiLvlLbl val="0"/>
      </c:catAx>
      <c:valAx>
        <c:axId val="119428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Movement of free cash flows over 7-year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rgbClr val="11213F"/>
              </a:solidFill>
              <a:round/>
            </a:ln>
            <a:effectLst/>
          </c:spPr>
          <c:marker>
            <c:symbol val="none"/>
          </c:marker>
          <c:cat>
            <c:strRef>
              <c:f>'Alt. scenario LCY'!$D$5:$AL$5</c:f>
              <c:strCache>
                <c:ptCount val="35"/>
                <c:pt idx="0">
                  <c:v>Q1 Y1</c:v>
                </c:pt>
                <c:pt idx="1">
                  <c:v>Q2 Y1</c:v>
                </c:pt>
                <c:pt idx="2">
                  <c:v>Q3 Y1</c:v>
                </c:pt>
                <c:pt idx="3">
                  <c:v>Q4 Y1</c:v>
                </c:pt>
                <c:pt idx="4">
                  <c:v>Y1</c:v>
                </c:pt>
                <c:pt idx="5">
                  <c:v>Q1 Y2</c:v>
                </c:pt>
                <c:pt idx="6">
                  <c:v>Q2 Y2</c:v>
                </c:pt>
                <c:pt idx="7">
                  <c:v>Q3 Y2</c:v>
                </c:pt>
                <c:pt idx="8">
                  <c:v>Q4 Y2</c:v>
                </c:pt>
                <c:pt idx="9">
                  <c:v>Y2</c:v>
                </c:pt>
                <c:pt idx="10">
                  <c:v>Q1 Y3</c:v>
                </c:pt>
                <c:pt idx="11">
                  <c:v>Q2 Y3</c:v>
                </c:pt>
                <c:pt idx="12">
                  <c:v>Q3 Y3</c:v>
                </c:pt>
                <c:pt idx="13">
                  <c:v>Q4 Y3</c:v>
                </c:pt>
                <c:pt idx="14">
                  <c:v>Y3</c:v>
                </c:pt>
                <c:pt idx="15">
                  <c:v>Q1 Y4</c:v>
                </c:pt>
                <c:pt idx="16">
                  <c:v>Q2 Y4</c:v>
                </c:pt>
                <c:pt idx="17">
                  <c:v>Q3 Y4</c:v>
                </c:pt>
                <c:pt idx="18">
                  <c:v>Q4 Y4</c:v>
                </c:pt>
                <c:pt idx="19">
                  <c:v>Y4</c:v>
                </c:pt>
                <c:pt idx="20">
                  <c:v>Q1 Y5</c:v>
                </c:pt>
                <c:pt idx="21">
                  <c:v>Q2 Y5</c:v>
                </c:pt>
                <c:pt idx="22">
                  <c:v>Q3 Y5</c:v>
                </c:pt>
                <c:pt idx="23">
                  <c:v>Q4 Y5</c:v>
                </c:pt>
                <c:pt idx="24">
                  <c:v>Y5</c:v>
                </c:pt>
                <c:pt idx="25">
                  <c:v>Q1 Y6</c:v>
                </c:pt>
                <c:pt idx="26">
                  <c:v>Q2 Y6</c:v>
                </c:pt>
                <c:pt idx="27">
                  <c:v>Q3 Y6</c:v>
                </c:pt>
                <c:pt idx="28">
                  <c:v>Q4 Y6</c:v>
                </c:pt>
                <c:pt idx="29">
                  <c:v>Y6</c:v>
                </c:pt>
                <c:pt idx="30">
                  <c:v>Q1 Y7</c:v>
                </c:pt>
                <c:pt idx="31">
                  <c:v>Q2 Y7</c:v>
                </c:pt>
                <c:pt idx="32">
                  <c:v>Q3 Y7</c:v>
                </c:pt>
                <c:pt idx="33">
                  <c:v>Q4 Y7</c:v>
                </c:pt>
                <c:pt idx="34">
                  <c:v>Y7</c:v>
                </c:pt>
              </c:strCache>
            </c:strRef>
          </c:cat>
          <c:val>
            <c:numRef>
              <c:f>'Alt. scenario LCY'!$D$60:$AL$60</c:f>
              <c:numCache>
                <c:formatCode>#,##0</c:formatCode>
                <c:ptCount val="35"/>
                <c:pt idx="0">
                  <c:v>-359346598.4375</c:v>
                </c:pt>
                <c:pt idx="1">
                  <c:v>-64200362.5</c:v>
                </c:pt>
                <c:pt idx="2">
                  <c:v>-34178760.9375</c:v>
                </c:pt>
                <c:pt idx="3">
                  <c:v>-5721793.75</c:v>
                </c:pt>
                <c:pt idx="4">
                  <c:v>-463447515.625</c:v>
                </c:pt>
                <c:pt idx="5">
                  <c:v>23745539.0625</c:v>
                </c:pt>
                <c:pt idx="6">
                  <c:v>52898237.5</c:v>
                </c:pt>
                <c:pt idx="7">
                  <c:v>82286301.5625</c:v>
                </c:pt>
                <c:pt idx="8">
                  <c:v>104114731.25</c:v>
                </c:pt>
                <c:pt idx="9">
                  <c:v>263044809.375</c:v>
                </c:pt>
                <c:pt idx="10">
                  <c:v>174760949.9107143</c:v>
                </c:pt>
                <c:pt idx="11">
                  <c:v>130737687.5</c:v>
                </c:pt>
                <c:pt idx="12">
                  <c:v>143152214.0625</c:v>
                </c:pt>
                <c:pt idx="13">
                  <c:v>156077106.25</c:v>
                </c:pt>
                <c:pt idx="14">
                  <c:v>604727957.72321427</c:v>
                </c:pt>
                <c:pt idx="15">
                  <c:v>272391042.0535714</c:v>
                </c:pt>
                <c:pt idx="16">
                  <c:v>181132987.5</c:v>
                </c:pt>
                <c:pt idx="17">
                  <c:v>193038976.5625</c:v>
                </c:pt>
                <c:pt idx="18">
                  <c:v>204655331.25</c:v>
                </c:pt>
                <c:pt idx="19">
                  <c:v>851218337.36607146</c:v>
                </c:pt>
                <c:pt idx="20">
                  <c:v>356194445.625</c:v>
                </c:pt>
                <c:pt idx="21">
                  <c:v>229194137.5</c:v>
                </c:pt>
                <c:pt idx="22">
                  <c:v>240166589.0625</c:v>
                </c:pt>
                <c:pt idx="23">
                  <c:v>250474406.25</c:v>
                </c:pt>
                <c:pt idx="24">
                  <c:v>1076029578.4375</c:v>
                </c:pt>
                <c:pt idx="25">
                  <c:v>417430763.52678573</c:v>
                </c:pt>
                <c:pt idx="26">
                  <c:v>254894812.5</c:v>
                </c:pt>
                <c:pt idx="27">
                  <c:v>241923468.75</c:v>
                </c:pt>
                <c:pt idx="28">
                  <c:v>238877125</c:v>
                </c:pt>
                <c:pt idx="29">
                  <c:v>1153126169.7767859</c:v>
                </c:pt>
                <c:pt idx="30">
                  <c:v>414888410.71428573</c:v>
                </c:pt>
                <c:pt idx="31">
                  <c:v>235484437.5</c:v>
                </c:pt>
                <c:pt idx="32">
                  <c:v>232438093.75</c:v>
                </c:pt>
                <c:pt idx="33">
                  <c:v>230716750</c:v>
                </c:pt>
                <c:pt idx="34">
                  <c:v>1113527691.9642859</c:v>
                </c:pt>
              </c:numCache>
            </c:numRef>
          </c:val>
          <c:smooth val="0"/>
          <c:extLst>
            <c:ext xmlns:c16="http://schemas.microsoft.com/office/drawing/2014/chart" uri="{C3380CC4-5D6E-409C-BE32-E72D297353CC}">
              <c16:uniqueId val="{00000002-B1CA-44BB-BCD1-2B2381BACCEF}"/>
            </c:ext>
          </c:extLst>
        </c:ser>
        <c:ser>
          <c:idx val="0"/>
          <c:order val="1"/>
          <c:spPr>
            <a:ln w="28575" cap="rnd">
              <a:solidFill>
                <a:srgbClr val="FFB700"/>
              </a:solidFill>
              <a:round/>
            </a:ln>
            <a:effectLst/>
          </c:spPr>
          <c:marker>
            <c:symbol val="none"/>
          </c:marker>
          <c:cat>
            <c:strRef>
              <c:f>'Alt. scenario LCY'!$D$5:$AL$5</c:f>
              <c:strCache>
                <c:ptCount val="35"/>
                <c:pt idx="0">
                  <c:v>Q1 Y1</c:v>
                </c:pt>
                <c:pt idx="1">
                  <c:v>Q2 Y1</c:v>
                </c:pt>
                <c:pt idx="2">
                  <c:v>Q3 Y1</c:v>
                </c:pt>
                <c:pt idx="3">
                  <c:v>Q4 Y1</c:v>
                </c:pt>
                <c:pt idx="4">
                  <c:v>Y1</c:v>
                </c:pt>
                <c:pt idx="5">
                  <c:v>Q1 Y2</c:v>
                </c:pt>
                <c:pt idx="6">
                  <c:v>Q2 Y2</c:v>
                </c:pt>
                <c:pt idx="7">
                  <c:v>Q3 Y2</c:v>
                </c:pt>
                <c:pt idx="8">
                  <c:v>Q4 Y2</c:v>
                </c:pt>
                <c:pt idx="9">
                  <c:v>Y2</c:v>
                </c:pt>
                <c:pt idx="10">
                  <c:v>Q1 Y3</c:v>
                </c:pt>
                <c:pt idx="11">
                  <c:v>Q2 Y3</c:v>
                </c:pt>
                <c:pt idx="12">
                  <c:v>Q3 Y3</c:v>
                </c:pt>
                <c:pt idx="13">
                  <c:v>Q4 Y3</c:v>
                </c:pt>
                <c:pt idx="14">
                  <c:v>Y3</c:v>
                </c:pt>
                <c:pt idx="15">
                  <c:v>Q1 Y4</c:v>
                </c:pt>
                <c:pt idx="16">
                  <c:v>Q2 Y4</c:v>
                </c:pt>
                <c:pt idx="17">
                  <c:v>Q3 Y4</c:v>
                </c:pt>
                <c:pt idx="18">
                  <c:v>Q4 Y4</c:v>
                </c:pt>
                <c:pt idx="19">
                  <c:v>Y4</c:v>
                </c:pt>
                <c:pt idx="20">
                  <c:v>Q1 Y5</c:v>
                </c:pt>
                <c:pt idx="21">
                  <c:v>Q2 Y5</c:v>
                </c:pt>
                <c:pt idx="22">
                  <c:v>Q3 Y5</c:v>
                </c:pt>
                <c:pt idx="23">
                  <c:v>Q4 Y5</c:v>
                </c:pt>
                <c:pt idx="24">
                  <c:v>Y5</c:v>
                </c:pt>
                <c:pt idx="25">
                  <c:v>Q1 Y6</c:v>
                </c:pt>
                <c:pt idx="26">
                  <c:v>Q2 Y6</c:v>
                </c:pt>
                <c:pt idx="27">
                  <c:v>Q3 Y6</c:v>
                </c:pt>
                <c:pt idx="28">
                  <c:v>Q4 Y6</c:v>
                </c:pt>
                <c:pt idx="29">
                  <c:v>Y6</c:v>
                </c:pt>
                <c:pt idx="30">
                  <c:v>Q1 Y7</c:v>
                </c:pt>
                <c:pt idx="31">
                  <c:v>Q2 Y7</c:v>
                </c:pt>
                <c:pt idx="32">
                  <c:v>Q3 Y7</c:v>
                </c:pt>
                <c:pt idx="33">
                  <c:v>Q4 Y7</c:v>
                </c:pt>
                <c:pt idx="34">
                  <c:v>Y7</c:v>
                </c:pt>
              </c:strCache>
            </c:strRef>
          </c:cat>
          <c:val>
            <c:numRef>
              <c:f>'Key financial and ops fig.s LCY'!$D$60:$AL$60</c:f>
              <c:numCache>
                <c:formatCode>#,##0</c:formatCode>
                <c:ptCount val="35"/>
                <c:pt idx="0">
                  <c:v>-359346598.4375</c:v>
                </c:pt>
                <c:pt idx="1">
                  <c:v>-64200362.5</c:v>
                </c:pt>
                <c:pt idx="2">
                  <c:v>-34178760.9375</c:v>
                </c:pt>
                <c:pt idx="3">
                  <c:v>-5721793.75</c:v>
                </c:pt>
                <c:pt idx="4">
                  <c:v>-463447515.625</c:v>
                </c:pt>
                <c:pt idx="5">
                  <c:v>23745539.0625</c:v>
                </c:pt>
                <c:pt idx="6">
                  <c:v>52898237.5</c:v>
                </c:pt>
                <c:pt idx="7">
                  <c:v>82286301.5625</c:v>
                </c:pt>
                <c:pt idx="8">
                  <c:v>104114731.25</c:v>
                </c:pt>
                <c:pt idx="9">
                  <c:v>263044809.375</c:v>
                </c:pt>
                <c:pt idx="10">
                  <c:v>174760949.9107143</c:v>
                </c:pt>
                <c:pt idx="11">
                  <c:v>130737687.5</c:v>
                </c:pt>
                <c:pt idx="12">
                  <c:v>143152214.0625</c:v>
                </c:pt>
                <c:pt idx="13">
                  <c:v>156077106.25</c:v>
                </c:pt>
                <c:pt idx="14">
                  <c:v>604727957.72321427</c:v>
                </c:pt>
                <c:pt idx="15">
                  <c:v>272391042.0535714</c:v>
                </c:pt>
                <c:pt idx="16">
                  <c:v>181132987.5</c:v>
                </c:pt>
                <c:pt idx="17">
                  <c:v>193038976.5625</c:v>
                </c:pt>
                <c:pt idx="18">
                  <c:v>204655331.25</c:v>
                </c:pt>
                <c:pt idx="19">
                  <c:v>851218337.36607146</c:v>
                </c:pt>
                <c:pt idx="20">
                  <c:v>356194445.625</c:v>
                </c:pt>
                <c:pt idx="21">
                  <c:v>229194137.5</c:v>
                </c:pt>
                <c:pt idx="22">
                  <c:v>240166589.0625</c:v>
                </c:pt>
                <c:pt idx="23">
                  <c:v>250474406.25</c:v>
                </c:pt>
                <c:pt idx="24">
                  <c:v>1076029578.4375</c:v>
                </c:pt>
                <c:pt idx="25">
                  <c:v>417430763.52678573</c:v>
                </c:pt>
                <c:pt idx="26">
                  <c:v>254894812.5</c:v>
                </c:pt>
                <c:pt idx="27">
                  <c:v>241923468.75</c:v>
                </c:pt>
                <c:pt idx="28">
                  <c:v>238877125</c:v>
                </c:pt>
                <c:pt idx="29">
                  <c:v>1153126169.7767859</c:v>
                </c:pt>
                <c:pt idx="30">
                  <c:v>414888410.71428573</c:v>
                </c:pt>
                <c:pt idx="31">
                  <c:v>235484437.5</c:v>
                </c:pt>
                <c:pt idx="32">
                  <c:v>232438093.75</c:v>
                </c:pt>
                <c:pt idx="33">
                  <c:v>230716750</c:v>
                </c:pt>
                <c:pt idx="34">
                  <c:v>1113527691.9642859</c:v>
                </c:pt>
              </c:numCache>
            </c:numRef>
          </c:val>
          <c:smooth val="0"/>
          <c:extLst>
            <c:ext xmlns:c16="http://schemas.microsoft.com/office/drawing/2014/chart" uri="{C3380CC4-5D6E-409C-BE32-E72D297353CC}">
              <c16:uniqueId val="{00000000-B1CA-44BB-BCD1-2B2381BACCEF}"/>
            </c:ext>
          </c:extLst>
        </c:ser>
        <c:dLbls>
          <c:showLegendKey val="0"/>
          <c:showVal val="0"/>
          <c:showCatName val="0"/>
          <c:showSerName val="0"/>
          <c:showPercent val="0"/>
          <c:showBubbleSize val="0"/>
        </c:dLbls>
        <c:smooth val="0"/>
        <c:axId val="487676735"/>
        <c:axId val="487678175"/>
      </c:lineChart>
      <c:catAx>
        <c:axId val="48767673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175"/>
        <c:crosses val="autoZero"/>
        <c:auto val="1"/>
        <c:lblAlgn val="ctr"/>
        <c:lblOffset val="100"/>
        <c:noMultiLvlLbl val="0"/>
      </c:catAx>
      <c:valAx>
        <c:axId val="48767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67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Accumulated</a:t>
            </a:r>
            <a:r>
              <a:rPr lang="en-US" baseline="0"/>
              <a:t> cash</a:t>
            </a:r>
            <a:r>
              <a:rPr lang="en-US"/>
              <a:t> flows over 7-year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FFB700"/>
              </a:solidFill>
              <a:round/>
            </a:ln>
            <a:effectLst/>
          </c:spPr>
          <c:marker>
            <c:symbol val="none"/>
          </c:marker>
          <c:cat>
            <c:strRef>
              <c:f>'Key financial and ops fig.s LCY'!$D$5:$AL$5</c:f>
              <c:strCache>
                <c:ptCount val="35"/>
                <c:pt idx="0">
                  <c:v>Q1 Y1</c:v>
                </c:pt>
                <c:pt idx="1">
                  <c:v>Q2 Y1</c:v>
                </c:pt>
                <c:pt idx="2">
                  <c:v>Q3 Y1</c:v>
                </c:pt>
                <c:pt idx="3">
                  <c:v>Q4 Y1</c:v>
                </c:pt>
                <c:pt idx="4">
                  <c:v>Y1</c:v>
                </c:pt>
                <c:pt idx="5">
                  <c:v>Q1 Y2</c:v>
                </c:pt>
                <c:pt idx="6">
                  <c:v>Q2 Y2</c:v>
                </c:pt>
                <c:pt idx="7">
                  <c:v>Q3 Y2</c:v>
                </c:pt>
                <c:pt idx="8">
                  <c:v>Q4 Y2</c:v>
                </c:pt>
                <c:pt idx="9">
                  <c:v>Y2</c:v>
                </c:pt>
                <c:pt idx="10">
                  <c:v>Q1 Y3</c:v>
                </c:pt>
                <c:pt idx="11">
                  <c:v>Q2 Y3</c:v>
                </c:pt>
                <c:pt idx="12">
                  <c:v>Q3 Y3</c:v>
                </c:pt>
                <c:pt idx="13">
                  <c:v>Q4 Y3</c:v>
                </c:pt>
                <c:pt idx="14">
                  <c:v>Y3</c:v>
                </c:pt>
                <c:pt idx="15">
                  <c:v>Q1 Y4</c:v>
                </c:pt>
                <c:pt idx="16">
                  <c:v>Q2 Y4</c:v>
                </c:pt>
                <c:pt idx="17">
                  <c:v>Q3 Y4</c:v>
                </c:pt>
                <c:pt idx="18">
                  <c:v>Q4 Y4</c:v>
                </c:pt>
                <c:pt idx="19">
                  <c:v>Y4</c:v>
                </c:pt>
                <c:pt idx="20">
                  <c:v>Q1 Y5</c:v>
                </c:pt>
                <c:pt idx="21">
                  <c:v>Q2 Y5</c:v>
                </c:pt>
                <c:pt idx="22">
                  <c:v>Q3 Y5</c:v>
                </c:pt>
                <c:pt idx="23">
                  <c:v>Q4 Y5</c:v>
                </c:pt>
                <c:pt idx="24">
                  <c:v>Y5</c:v>
                </c:pt>
                <c:pt idx="25">
                  <c:v>Q1 Y6</c:v>
                </c:pt>
                <c:pt idx="26">
                  <c:v>Q2 Y6</c:v>
                </c:pt>
                <c:pt idx="27">
                  <c:v>Q3 Y6</c:v>
                </c:pt>
                <c:pt idx="28">
                  <c:v>Q4 Y6</c:v>
                </c:pt>
                <c:pt idx="29">
                  <c:v>Y6</c:v>
                </c:pt>
                <c:pt idx="30">
                  <c:v>Q1 Y7</c:v>
                </c:pt>
                <c:pt idx="31">
                  <c:v>Q2 Y7</c:v>
                </c:pt>
                <c:pt idx="32">
                  <c:v>Q3 Y7</c:v>
                </c:pt>
                <c:pt idx="33">
                  <c:v>Q4 Y7</c:v>
                </c:pt>
                <c:pt idx="34">
                  <c:v>Y7</c:v>
                </c:pt>
              </c:strCache>
            </c:strRef>
          </c:cat>
          <c:val>
            <c:numRef>
              <c:f>'Key financial and ops fig.s LCY'!$D$61:$AL$61</c:f>
              <c:numCache>
                <c:formatCode>#,##0</c:formatCode>
                <c:ptCount val="35"/>
                <c:pt idx="0">
                  <c:v>-359346598.4375</c:v>
                </c:pt>
                <c:pt idx="1">
                  <c:v>-423546960.9375</c:v>
                </c:pt>
                <c:pt idx="2">
                  <c:v>-457725721.875</c:v>
                </c:pt>
                <c:pt idx="3">
                  <c:v>-463447515.625</c:v>
                </c:pt>
                <c:pt idx="4">
                  <c:v>-463447515.625</c:v>
                </c:pt>
                <c:pt idx="5">
                  <c:v>-439701976.5625</c:v>
                </c:pt>
                <c:pt idx="6">
                  <c:v>-386803739.0625</c:v>
                </c:pt>
                <c:pt idx="7">
                  <c:v>-304517437.5</c:v>
                </c:pt>
                <c:pt idx="8">
                  <c:v>-200402706.25</c:v>
                </c:pt>
                <c:pt idx="9">
                  <c:v>-200402706.25</c:v>
                </c:pt>
                <c:pt idx="10">
                  <c:v>-25641756.339285702</c:v>
                </c:pt>
                <c:pt idx="11">
                  <c:v>105095931.1607143</c:v>
                </c:pt>
                <c:pt idx="12">
                  <c:v>248248145.2232143</c:v>
                </c:pt>
                <c:pt idx="13">
                  <c:v>404325251.47321427</c:v>
                </c:pt>
                <c:pt idx="14">
                  <c:v>404325251.47321427</c:v>
                </c:pt>
                <c:pt idx="15">
                  <c:v>676716293.52678561</c:v>
                </c:pt>
                <c:pt idx="16">
                  <c:v>857849281.02678561</c:v>
                </c:pt>
                <c:pt idx="17">
                  <c:v>1050888257.5892856</c:v>
                </c:pt>
                <c:pt idx="18">
                  <c:v>1255543588.8392856</c:v>
                </c:pt>
                <c:pt idx="19">
                  <c:v>1255543588.8392856</c:v>
                </c:pt>
                <c:pt idx="20">
                  <c:v>1611738034.4642856</c:v>
                </c:pt>
                <c:pt idx="21">
                  <c:v>1840932171.9642856</c:v>
                </c:pt>
                <c:pt idx="22">
                  <c:v>2081098761.0267856</c:v>
                </c:pt>
                <c:pt idx="23">
                  <c:v>2331573167.2767859</c:v>
                </c:pt>
                <c:pt idx="24">
                  <c:v>2331573167.2767859</c:v>
                </c:pt>
                <c:pt idx="25">
                  <c:v>2749003930.8035717</c:v>
                </c:pt>
                <c:pt idx="26">
                  <c:v>3003898743.3035717</c:v>
                </c:pt>
                <c:pt idx="27">
                  <c:v>3245822212.0535717</c:v>
                </c:pt>
                <c:pt idx="28">
                  <c:v>3484699337.0535717</c:v>
                </c:pt>
                <c:pt idx="29">
                  <c:v>3484699337.0535717</c:v>
                </c:pt>
                <c:pt idx="30">
                  <c:v>3899587747.7678576</c:v>
                </c:pt>
                <c:pt idx="31">
                  <c:v>4135072185.2678576</c:v>
                </c:pt>
                <c:pt idx="32">
                  <c:v>4367510279.0178576</c:v>
                </c:pt>
                <c:pt idx="33">
                  <c:v>4598227029.0178576</c:v>
                </c:pt>
                <c:pt idx="34">
                  <c:v>4598227029.0178576</c:v>
                </c:pt>
              </c:numCache>
            </c:numRef>
          </c:val>
          <c:smooth val="0"/>
          <c:extLst>
            <c:ext xmlns:c16="http://schemas.microsoft.com/office/drawing/2014/chart" uri="{C3380CC4-5D6E-409C-BE32-E72D297353CC}">
              <c16:uniqueId val="{00000000-D4DF-42BE-ABDA-AD690272B191}"/>
            </c:ext>
          </c:extLst>
        </c:ser>
        <c:ser>
          <c:idx val="1"/>
          <c:order val="1"/>
          <c:tx>
            <c:v>Series1</c:v>
          </c:tx>
          <c:spPr>
            <a:ln w="28575" cap="rnd">
              <a:solidFill>
                <a:srgbClr val="11213F"/>
              </a:solidFill>
              <a:round/>
            </a:ln>
            <a:effectLst/>
          </c:spPr>
          <c:marker>
            <c:symbol val="none"/>
          </c:marker>
          <c:val>
            <c:numRef>
              <c:f>'Alt. scenario LCY'!$D$61:$AL$61</c:f>
              <c:numCache>
                <c:formatCode>#,##0</c:formatCode>
                <c:ptCount val="35"/>
                <c:pt idx="0">
                  <c:v>-359346598.4375</c:v>
                </c:pt>
                <c:pt idx="1">
                  <c:v>-423546960.9375</c:v>
                </c:pt>
                <c:pt idx="2">
                  <c:v>-457725721.875</c:v>
                </c:pt>
                <c:pt idx="3">
                  <c:v>-463447515.625</c:v>
                </c:pt>
                <c:pt idx="4">
                  <c:v>-463447515.625</c:v>
                </c:pt>
                <c:pt idx="5">
                  <c:v>-439701976.5625</c:v>
                </c:pt>
                <c:pt idx="6">
                  <c:v>-386803739.0625</c:v>
                </c:pt>
                <c:pt idx="7">
                  <c:v>-304517437.5</c:v>
                </c:pt>
                <c:pt idx="8">
                  <c:v>-200402706.25</c:v>
                </c:pt>
                <c:pt idx="9">
                  <c:v>-200402706.25</c:v>
                </c:pt>
                <c:pt idx="10">
                  <c:v>-25641756.339285702</c:v>
                </c:pt>
                <c:pt idx="11">
                  <c:v>105095931.1607143</c:v>
                </c:pt>
                <c:pt idx="12">
                  <c:v>248248145.2232143</c:v>
                </c:pt>
                <c:pt idx="13">
                  <c:v>404325251.47321427</c:v>
                </c:pt>
                <c:pt idx="14">
                  <c:v>404325251.47321427</c:v>
                </c:pt>
                <c:pt idx="15">
                  <c:v>676716293.52678561</c:v>
                </c:pt>
                <c:pt idx="16">
                  <c:v>857849281.02678561</c:v>
                </c:pt>
                <c:pt idx="17">
                  <c:v>1050888257.5892856</c:v>
                </c:pt>
                <c:pt idx="18">
                  <c:v>1255543588.8392856</c:v>
                </c:pt>
                <c:pt idx="19">
                  <c:v>1255543588.8392856</c:v>
                </c:pt>
                <c:pt idx="20">
                  <c:v>1611738034.4642856</c:v>
                </c:pt>
                <c:pt idx="21">
                  <c:v>1840932171.9642856</c:v>
                </c:pt>
                <c:pt idx="22">
                  <c:v>2081098761.0267856</c:v>
                </c:pt>
                <c:pt idx="23">
                  <c:v>2331573167.2767859</c:v>
                </c:pt>
                <c:pt idx="24">
                  <c:v>2331573167.2767859</c:v>
                </c:pt>
                <c:pt idx="25">
                  <c:v>2749003930.8035717</c:v>
                </c:pt>
                <c:pt idx="26">
                  <c:v>3003898743.3035717</c:v>
                </c:pt>
                <c:pt idx="27">
                  <c:v>3245822212.0535717</c:v>
                </c:pt>
                <c:pt idx="28">
                  <c:v>3484699337.0535717</c:v>
                </c:pt>
                <c:pt idx="29">
                  <c:v>3484699337.0535717</c:v>
                </c:pt>
                <c:pt idx="30">
                  <c:v>3899587747.7678576</c:v>
                </c:pt>
                <c:pt idx="31">
                  <c:v>4135072185.2678576</c:v>
                </c:pt>
                <c:pt idx="32">
                  <c:v>4367510279.0178576</c:v>
                </c:pt>
                <c:pt idx="33">
                  <c:v>4598227029.0178576</c:v>
                </c:pt>
                <c:pt idx="34">
                  <c:v>4598227029.0178576</c:v>
                </c:pt>
              </c:numCache>
            </c:numRef>
          </c:val>
          <c:smooth val="0"/>
          <c:extLst>
            <c:ext xmlns:c16="http://schemas.microsoft.com/office/drawing/2014/chart" uri="{C3380CC4-5D6E-409C-BE32-E72D297353CC}">
              <c16:uniqueId val="{00000001-D4DF-42BE-ABDA-AD690272B191}"/>
            </c:ext>
          </c:extLst>
        </c:ser>
        <c:dLbls>
          <c:showLegendKey val="0"/>
          <c:showVal val="0"/>
          <c:showCatName val="0"/>
          <c:showSerName val="0"/>
          <c:showPercent val="0"/>
          <c:showBubbleSize val="0"/>
        </c:dLbls>
        <c:smooth val="0"/>
        <c:axId val="487676735"/>
        <c:axId val="487678175"/>
      </c:lineChart>
      <c:catAx>
        <c:axId val="48767673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175"/>
        <c:crosses val="autoZero"/>
        <c:auto val="1"/>
        <c:lblAlgn val="ctr"/>
        <c:lblOffset val="100"/>
        <c:noMultiLvlLbl val="0"/>
      </c:catAx>
      <c:valAx>
        <c:axId val="48767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67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active clients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strRef>
              <c:f>Lists!$AS$9</c:f>
              <c:strCache>
                <c:ptCount val="1"/>
                <c:pt idx="0">
                  <c:v>Number of active medium clients </c:v>
                </c:pt>
              </c:strCache>
            </c:strRef>
          </c:tx>
          <c:spPr>
            <a:solidFill>
              <a:schemeClr val="accent2">
                <a:lumMod val="60000"/>
              </a:schemeClr>
            </a:solidFill>
            <a:ln>
              <a:noFill/>
            </a:ln>
            <a:effectLst/>
          </c:spPr>
          <c:invertIfNegative val="0"/>
          <c:cat>
            <c:multiLvlStrRef>
              <c:f>Lists!$AT$7:$CW$8</c:f>
              <c:multiLvlStrCache>
                <c:ptCount val="56"/>
                <c:lvl>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pt idx="28">
                    <c:v>Q1 Y1</c:v>
                  </c:pt>
                  <c:pt idx="29">
                    <c:v>Q2 Y1</c:v>
                  </c:pt>
                  <c:pt idx="30">
                    <c:v>Q3 Y1</c:v>
                  </c:pt>
                  <c:pt idx="31">
                    <c:v>Q4 Y1</c:v>
                  </c:pt>
                  <c:pt idx="32">
                    <c:v>Q1 Y2</c:v>
                  </c:pt>
                  <c:pt idx="33">
                    <c:v>Q2 Y2</c:v>
                  </c:pt>
                  <c:pt idx="34">
                    <c:v>Q3 Y2</c:v>
                  </c:pt>
                  <c:pt idx="35">
                    <c:v>Q4 Y2</c:v>
                  </c:pt>
                  <c:pt idx="36">
                    <c:v>Q1 Y3</c:v>
                  </c:pt>
                  <c:pt idx="37">
                    <c:v>Q2 Y3</c:v>
                  </c:pt>
                  <c:pt idx="38">
                    <c:v>Q3 Y3</c:v>
                  </c:pt>
                  <c:pt idx="39">
                    <c:v>Q4 Y3</c:v>
                  </c:pt>
                  <c:pt idx="40">
                    <c:v>Q1 Y4</c:v>
                  </c:pt>
                  <c:pt idx="41">
                    <c:v>Q2 Y4</c:v>
                  </c:pt>
                  <c:pt idx="42">
                    <c:v>Q3 Y4</c:v>
                  </c:pt>
                  <c:pt idx="43">
                    <c:v>Q4 Y4</c:v>
                  </c:pt>
                  <c:pt idx="44">
                    <c:v>Q1 Y5</c:v>
                  </c:pt>
                  <c:pt idx="45">
                    <c:v>Q2 Y5</c:v>
                  </c:pt>
                  <c:pt idx="46">
                    <c:v>Q3 Y5</c:v>
                  </c:pt>
                  <c:pt idx="47">
                    <c:v>Q4 Y5</c:v>
                  </c:pt>
                  <c:pt idx="48">
                    <c:v>Q1 Y6</c:v>
                  </c:pt>
                  <c:pt idx="49">
                    <c:v>Q2 Y6</c:v>
                  </c:pt>
                  <c:pt idx="50">
                    <c:v>Q3 Y6</c:v>
                  </c:pt>
                  <c:pt idx="51">
                    <c:v>Q4 Y6</c:v>
                  </c:pt>
                  <c:pt idx="52">
                    <c:v>Q1 Y7</c:v>
                  </c:pt>
                  <c:pt idx="53">
                    <c:v>Q2 Y7</c:v>
                  </c:pt>
                  <c:pt idx="54">
                    <c:v>Q3 Y7</c:v>
                  </c:pt>
                  <c:pt idx="55">
                    <c:v>Q4 Y7</c:v>
                  </c:pt>
                </c:lvl>
                <c:lvl>
                  <c:pt idx="0">
                    <c:v>Base scenario</c:v>
                  </c:pt>
                  <c:pt idx="28">
                    <c:v>Alternative scenario</c:v>
                  </c:pt>
                </c:lvl>
              </c:multiLvlStrCache>
            </c:multiLvlStrRef>
          </c:cat>
          <c:val>
            <c:numRef>
              <c:f>Lists!$AT$9:$CW$9</c:f>
              <c:numCache>
                <c:formatCode>#,##0</c:formatCode>
                <c:ptCount val="56"/>
                <c:pt idx="0">
                  <c:v>9.9375</c:v>
                </c:pt>
                <c:pt idx="1">
                  <c:v>19.75</c:v>
                </c:pt>
                <c:pt idx="2">
                  <c:v>29.4375</c:v>
                </c:pt>
                <c:pt idx="3">
                  <c:v>39</c:v>
                </c:pt>
                <c:pt idx="4">
                  <c:v>48.4375</c:v>
                </c:pt>
                <c:pt idx="5">
                  <c:v>57.75</c:v>
                </c:pt>
                <c:pt idx="6">
                  <c:v>66.9375</c:v>
                </c:pt>
                <c:pt idx="7">
                  <c:v>76</c:v>
                </c:pt>
                <c:pt idx="8">
                  <c:v>84.9375</c:v>
                </c:pt>
                <c:pt idx="9">
                  <c:v>93.75</c:v>
                </c:pt>
                <c:pt idx="10">
                  <c:v>102.4375</c:v>
                </c:pt>
                <c:pt idx="11">
                  <c:v>111</c:v>
                </c:pt>
                <c:pt idx="12">
                  <c:v>119.4375</c:v>
                </c:pt>
                <c:pt idx="13">
                  <c:v>127.75</c:v>
                </c:pt>
                <c:pt idx="14">
                  <c:v>135.9375</c:v>
                </c:pt>
                <c:pt idx="15">
                  <c:v>144</c:v>
                </c:pt>
                <c:pt idx="16">
                  <c:v>151.9375</c:v>
                </c:pt>
                <c:pt idx="17">
                  <c:v>159.75</c:v>
                </c:pt>
                <c:pt idx="18">
                  <c:v>167.4375</c:v>
                </c:pt>
                <c:pt idx="19">
                  <c:v>175</c:v>
                </c:pt>
                <c:pt idx="20">
                  <c:v>173.75</c:v>
                </c:pt>
                <c:pt idx="21">
                  <c:v>172.5</c:v>
                </c:pt>
                <c:pt idx="22">
                  <c:v>171.25</c:v>
                </c:pt>
                <c:pt idx="23">
                  <c:v>170</c:v>
                </c:pt>
                <c:pt idx="24">
                  <c:v>168.75</c:v>
                </c:pt>
                <c:pt idx="25">
                  <c:v>167.5</c:v>
                </c:pt>
                <c:pt idx="26">
                  <c:v>166.25</c:v>
                </c:pt>
                <c:pt idx="27">
                  <c:v>165</c:v>
                </c:pt>
                <c:pt idx="28">
                  <c:v>9.9375</c:v>
                </c:pt>
                <c:pt idx="29">
                  <c:v>19.75</c:v>
                </c:pt>
                <c:pt idx="30">
                  <c:v>29.4375</c:v>
                </c:pt>
                <c:pt idx="31">
                  <c:v>39</c:v>
                </c:pt>
                <c:pt idx="32">
                  <c:v>48.4375</c:v>
                </c:pt>
                <c:pt idx="33">
                  <c:v>57.75</c:v>
                </c:pt>
                <c:pt idx="34">
                  <c:v>66.9375</c:v>
                </c:pt>
                <c:pt idx="35">
                  <c:v>76</c:v>
                </c:pt>
                <c:pt idx="36">
                  <c:v>84.9375</c:v>
                </c:pt>
                <c:pt idx="37">
                  <c:v>93.75</c:v>
                </c:pt>
                <c:pt idx="38">
                  <c:v>102.4375</c:v>
                </c:pt>
                <c:pt idx="39">
                  <c:v>111</c:v>
                </c:pt>
                <c:pt idx="40">
                  <c:v>119.4375</c:v>
                </c:pt>
                <c:pt idx="41">
                  <c:v>127.75</c:v>
                </c:pt>
                <c:pt idx="42">
                  <c:v>135.9375</c:v>
                </c:pt>
                <c:pt idx="43">
                  <c:v>144</c:v>
                </c:pt>
                <c:pt idx="44">
                  <c:v>151.9375</c:v>
                </c:pt>
                <c:pt idx="45">
                  <c:v>159.75</c:v>
                </c:pt>
                <c:pt idx="46">
                  <c:v>167.4375</c:v>
                </c:pt>
                <c:pt idx="47">
                  <c:v>175</c:v>
                </c:pt>
                <c:pt idx="48">
                  <c:v>173.75</c:v>
                </c:pt>
                <c:pt idx="49">
                  <c:v>172.5</c:v>
                </c:pt>
                <c:pt idx="50">
                  <c:v>171.25</c:v>
                </c:pt>
                <c:pt idx="51">
                  <c:v>170</c:v>
                </c:pt>
                <c:pt idx="52">
                  <c:v>168.75</c:v>
                </c:pt>
                <c:pt idx="53">
                  <c:v>167.5</c:v>
                </c:pt>
                <c:pt idx="54">
                  <c:v>166.25</c:v>
                </c:pt>
                <c:pt idx="55">
                  <c:v>165</c:v>
                </c:pt>
              </c:numCache>
            </c:numRef>
          </c:val>
          <c:extLst>
            <c:ext xmlns:c16="http://schemas.microsoft.com/office/drawing/2014/chart" uri="{C3380CC4-5D6E-409C-BE32-E72D297353CC}">
              <c16:uniqueId val="{00000008-24B9-4B67-A485-DAE0AA86DED8}"/>
            </c:ext>
          </c:extLst>
        </c:ser>
        <c:ser>
          <c:idx val="1"/>
          <c:order val="1"/>
          <c:tx>
            <c:strRef>
              <c:f>Lists!$AS$10</c:f>
              <c:strCache>
                <c:ptCount val="1"/>
                <c:pt idx="0">
                  <c:v>Number of active small clients </c:v>
                </c:pt>
              </c:strCache>
            </c:strRef>
          </c:tx>
          <c:spPr>
            <a:solidFill>
              <a:schemeClr val="accent2"/>
            </a:solidFill>
            <a:ln>
              <a:noFill/>
            </a:ln>
            <a:effectLst/>
          </c:spPr>
          <c:invertIfNegative val="0"/>
          <c:cat>
            <c:multiLvlStrRef>
              <c:f>Lists!$AT$7:$CW$8</c:f>
              <c:multiLvlStrCache>
                <c:ptCount val="56"/>
                <c:lvl>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pt idx="28">
                    <c:v>Q1 Y1</c:v>
                  </c:pt>
                  <c:pt idx="29">
                    <c:v>Q2 Y1</c:v>
                  </c:pt>
                  <c:pt idx="30">
                    <c:v>Q3 Y1</c:v>
                  </c:pt>
                  <c:pt idx="31">
                    <c:v>Q4 Y1</c:v>
                  </c:pt>
                  <c:pt idx="32">
                    <c:v>Q1 Y2</c:v>
                  </c:pt>
                  <c:pt idx="33">
                    <c:v>Q2 Y2</c:v>
                  </c:pt>
                  <c:pt idx="34">
                    <c:v>Q3 Y2</c:v>
                  </c:pt>
                  <c:pt idx="35">
                    <c:v>Q4 Y2</c:v>
                  </c:pt>
                  <c:pt idx="36">
                    <c:v>Q1 Y3</c:v>
                  </c:pt>
                  <c:pt idx="37">
                    <c:v>Q2 Y3</c:v>
                  </c:pt>
                  <c:pt idx="38">
                    <c:v>Q3 Y3</c:v>
                  </c:pt>
                  <c:pt idx="39">
                    <c:v>Q4 Y3</c:v>
                  </c:pt>
                  <c:pt idx="40">
                    <c:v>Q1 Y4</c:v>
                  </c:pt>
                  <c:pt idx="41">
                    <c:v>Q2 Y4</c:v>
                  </c:pt>
                  <c:pt idx="42">
                    <c:v>Q3 Y4</c:v>
                  </c:pt>
                  <c:pt idx="43">
                    <c:v>Q4 Y4</c:v>
                  </c:pt>
                  <c:pt idx="44">
                    <c:v>Q1 Y5</c:v>
                  </c:pt>
                  <c:pt idx="45">
                    <c:v>Q2 Y5</c:v>
                  </c:pt>
                  <c:pt idx="46">
                    <c:v>Q3 Y5</c:v>
                  </c:pt>
                  <c:pt idx="47">
                    <c:v>Q4 Y5</c:v>
                  </c:pt>
                  <c:pt idx="48">
                    <c:v>Q1 Y6</c:v>
                  </c:pt>
                  <c:pt idx="49">
                    <c:v>Q2 Y6</c:v>
                  </c:pt>
                  <c:pt idx="50">
                    <c:v>Q3 Y6</c:v>
                  </c:pt>
                  <c:pt idx="51">
                    <c:v>Q4 Y6</c:v>
                  </c:pt>
                  <c:pt idx="52">
                    <c:v>Q1 Y7</c:v>
                  </c:pt>
                  <c:pt idx="53">
                    <c:v>Q2 Y7</c:v>
                  </c:pt>
                  <c:pt idx="54">
                    <c:v>Q3 Y7</c:v>
                  </c:pt>
                  <c:pt idx="55">
                    <c:v>Q4 Y7</c:v>
                  </c:pt>
                </c:lvl>
                <c:lvl>
                  <c:pt idx="0">
                    <c:v>Base scenario</c:v>
                  </c:pt>
                  <c:pt idx="28">
                    <c:v>Alternative scenario</c:v>
                  </c:pt>
                </c:lvl>
              </c:multiLvlStrCache>
            </c:multiLvlStrRef>
          </c:cat>
          <c:val>
            <c:numRef>
              <c:f>Lists!$AT$10:$CW$10</c:f>
              <c:numCache>
                <c:formatCode>#,##0</c:formatCode>
                <c:ptCount val="56"/>
                <c:pt idx="0">
                  <c:v>49.6875</c:v>
                </c:pt>
                <c:pt idx="1">
                  <c:v>98.75</c:v>
                </c:pt>
                <c:pt idx="2">
                  <c:v>147.1875</c:v>
                </c:pt>
                <c:pt idx="3">
                  <c:v>195</c:v>
                </c:pt>
                <c:pt idx="4">
                  <c:v>242.1875</c:v>
                </c:pt>
                <c:pt idx="5">
                  <c:v>288.75</c:v>
                </c:pt>
                <c:pt idx="6">
                  <c:v>334.6875</c:v>
                </c:pt>
                <c:pt idx="7">
                  <c:v>380</c:v>
                </c:pt>
                <c:pt idx="8">
                  <c:v>424.6875</c:v>
                </c:pt>
                <c:pt idx="9">
                  <c:v>468.75</c:v>
                </c:pt>
                <c:pt idx="10">
                  <c:v>512.1875</c:v>
                </c:pt>
                <c:pt idx="11">
                  <c:v>555</c:v>
                </c:pt>
                <c:pt idx="12">
                  <c:v>597.1875</c:v>
                </c:pt>
                <c:pt idx="13">
                  <c:v>638.75</c:v>
                </c:pt>
                <c:pt idx="14">
                  <c:v>679.6875</c:v>
                </c:pt>
                <c:pt idx="15">
                  <c:v>720</c:v>
                </c:pt>
                <c:pt idx="16">
                  <c:v>759.6875</c:v>
                </c:pt>
                <c:pt idx="17">
                  <c:v>798.75</c:v>
                </c:pt>
                <c:pt idx="18">
                  <c:v>837.1875</c:v>
                </c:pt>
                <c:pt idx="19">
                  <c:v>875</c:v>
                </c:pt>
                <c:pt idx="20">
                  <c:v>868.75</c:v>
                </c:pt>
                <c:pt idx="21">
                  <c:v>862.5</c:v>
                </c:pt>
                <c:pt idx="22">
                  <c:v>856.25</c:v>
                </c:pt>
                <c:pt idx="23">
                  <c:v>850</c:v>
                </c:pt>
                <c:pt idx="24">
                  <c:v>843.75</c:v>
                </c:pt>
                <c:pt idx="25">
                  <c:v>837.5</c:v>
                </c:pt>
                <c:pt idx="26">
                  <c:v>831.25</c:v>
                </c:pt>
                <c:pt idx="27">
                  <c:v>825</c:v>
                </c:pt>
                <c:pt idx="28">
                  <c:v>49.6875</c:v>
                </c:pt>
                <c:pt idx="29">
                  <c:v>98.75</c:v>
                </c:pt>
                <c:pt idx="30">
                  <c:v>147.1875</c:v>
                </c:pt>
                <c:pt idx="31">
                  <c:v>195</c:v>
                </c:pt>
                <c:pt idx="32">
                  <c:v>242.1875</c:v>
                </c:pt>
                <c:pt idx="33">
                  <c:v>288.75</c:v>
                </c:pt>
                <c:pt idx="34">
                  <c:v>334.6875</c:v>
                </c:pt>
                <c:pt idx="35">
                  <c:v>380</c:v>
                </c:pt>
                <c:pt idx="36">
                  <c:v>424.6875</c:v>
                </c:pt>
                <c:pt idx="37">
                  <c:v>468.75</c:v>
                </c:pt>
                <c:pt idx="38">
                  <c:v>512.1875</c:v>
                </c:pt>
                <c:pt idx="39">
                  <c:v>555</c:v>
                </c:pt>
                <c:pt idx="40">
                  <c:v>597.1875</c:v>
                </c:pt>
                <c:pt idx="41">
                  <c:v>638.75</c:v>
                </c:pt>
                <c:pt idx="42">
                  <c:v>679.6875</c:v>
                </c:pt>
                <c:pt idx="43">
                  <c:v>720</c:v>
                </c:pt>
                <c:pt idx="44">
                  <c:v>759.6875</c:v>
                </c:pt>
                <c:pt idx="45">
                  <c:v>798.75</c:v>
                </c:pt>
                <c:pt idx="46">
                  <c:v>837.1875</c:v>
                </c:pt>
                <c:pt idx="47">
                  <c:v>875</c:v>
                </c:pt>
                <c:pt idx="48">
                  <c:v>868.75</c:v>
                </c:pt>
                <c:pt idx="49">
                  <c:v>862.5</c:v>
                </c:pt>
                <c:pt idx="50">
                  <c:v>856.25</c:v>
                </c:pt>
                <c:pt idx="51">
                  <c:v>850</c:v>
                </c:pt>
                <c:pt idx="52">
                  <c:v>843.75</c:v>
                </c:pt>
                <c:pt idx="53">
                  <c:v>837.5</c:v>
                </c:pt>
                <c:pt idx="54">
                  <c:v>831.25</c:v>
                </c:pt>
                <c:pt idx="55">
                  <c:v>825</c:v>
                </c:pt>
              </c:numCache>
            </c:numRef>
          </c:val>
          <c:extLst>
            <c:ext xmlns:c16="http://schemas.microsoft.com/office/drawing/2014/chart" uri="{C3380CC4-5D6E-409C-BE32-E72D297353CC}">
              <c16:uniqueId val="{00000001-24B9-4B67-A485-DAE0AA86DED8}"/>
            </c:ext>
          </c:extLst>
        </c:ser>
        <c:ser>
          <c:idx val="2"/>
          <c:order val="2"/>
          <c:tx>
            <c:strRef>
              <c:f>Lists!$AS$11</c:f>
              <c:strCache>
                <c:ptCount val="1"/>
                <c:pt idx="0">
                  <c:v>Number of active very small clients</c:v>
                </c:pt>
              </c:strCache>
            </c:strRef>
          </c:tx>
          <c:spPr>
            <a:solidFill>
              <a:schemeClr val="accent3"/>
            </a:solidFill>
            <a:ln>
              <a:noFill/>
            </a:ln>
            <a:effectLst/>
          </c:spPr>
          <c:invertIfNegative val="0"/>
          <c:cat>
            <c:multiLvlStrRef>
              <c:f>Lists!$AT$7:$CW$8</c:f>
              <c:multiLvlStrCache>
                <c:ptCount val="56"/>
                <c:lvl>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pt idx="28">
                    <c:v>Q1 Y1</c:v>
                  </c:pt>
                  <c:pt idx="29">
                    <c:v>Q2 Y1</c:v>
                  </c:pt>
                  <c:pt idx="30">
                    <c:v>Q3 Y1</c:v>
                  </c:pt>
                  <c:pt idx="31">
                    <c:v>Q4 Y1</c:v>
                  </c:pt>
                  <c:pt idx="32">
                    <c:v>Q1 Y2</c:v>
                  </c:pt>
                  <c:pt idx="33">
                    <c:v>Q2 Y2</c:v>
                  </c:pt>
                  <c:pt idx="34">
                    <c:v>Q3 Y2</c:v>
                  </c:pt>
                  <c:pt idx="35">
                    <c:v>Q4 Y2</c:v>
                  </c:pt>
                  <c:pt idx="36">
                    <c:v>Q1 Y3</c:v>
                  </c:pt>
                  <c:pt idx="37">
                    <c:v>Q2 Y3</c:v>
                  </c:pt>
                  <c:pt idx="38">
                    <c:v>Q3 Y3</c:v>
                  </c:pt>
                  <c:pt idx="39">
                    <c:v>Q4 Y3</c:v>
                  </c:pt>
                  <c:pt idx="40">
                    <c:v>Q1 Y4</c:v>
                  </c:pt>
                  <c:pt idx="41">
                    <c:v>Q2 Y4</c:v>
                  </c:pt>
                  <c:pt idx="42">
                    <c:v>Q3 Y4</c:v>
                  </c:pt>
                  <c:pt idx="43">
                    <c:v>Q4 Y4</c:v>
                  </c:pt>
                  <c:pt idx="44">
                    <c:v>Q1 Y5</c:v>
                  </c:pt>
                  <c:pt idx="45">
                    <c:v>Q2 Y5</c:v>
                  </c:pt>
                  <c:pt idx="46">
                    <c:v>Q3 Y5</c:v>
                  </c:pt>
                  <c:pt idx="47">
                    <c:v>Q4 Y5</c:v>
                  </c:pt>
                  <c:pt idx="48">
                    <c:v>Q1 Y6</c:v>
                  </c:pt>
                  <c:pt idx="49">
                    <c:v>Q2 Y6</c:v>
                  </c:pt>
                  <c:pt idx="50">
                    <c:v>Q3 Y6</c:v>
                  </c:pt>
                  <c:pt idx="51">
                    <c:v>Q4 Y6</c:v>
                  </c:pt>
                  <c:pt idx="52">
                    <c:v>Q1 Y7</c:v>
                  </c:pt>
                  <c:pt idx="53">
                    <c:v>Q2 Y7</c:v>
                  </c:pt>
                  <c:pt idx="54">
                    <c:v>Q3 Y7</c:v>
                  </c:pt>
                  <c:pt idx="55">
                    <c:v>Q4 Y7</c:v>
                  </c:pt>
                </c:lvl>
                <c:lvl>
                  <c:pt idx="0">
                    <c:v>Base scenario</c:v>
                  </c:pt>
                  <c:pt idx="28">
                    <c:v>Alternative scenario</c:v>
                  </c:pt>
                </c:lvl>
              </c:multiLvlStrCache>
            </c:multiLvlStrRef>
          </c:cat>
          <c:val>
            <c:numRef>
              <c:f>Lists!$AT$11:$CW$11</c:f>
              <c:numCache>
                <c:formatCode>#,##0</c:formatCode>
                <c:ptCount val="56"/>
                <c:pt idx="0">
                  <c:v>248.4375</c:v>
                </c:pt>
                <c:pt idx="1">
                  <c:v>493.75</c:v>
                </c:pt>
                <c:pt idx="2">
                  <c:v>735.9375</c:v>
                </c:pt>
                <c:pt idx="3">
                  <c:v>975</c:v>
                </c:pt>
                <c:pt idx="4">
                  <c:v>1210.9375</c:v>
                </c:pt>
                <c:pt idx="5">
                  <c:v>1443.75</c:v>
                </c:pt>
                <c:pt idx="6">
                  <c:v>1673.4375</c:v>
                </c:pt>
                <c:pt idx="7">
                  <c:v>1900</c:v>
                </c:pt>
                <c:pt idx="8">
                  <c:v>2123.4375</c:v>
                </c:pt>
                <c:pt idx="9">
                  <c:v>2343.75</c:v>
                </c:pt>
                <c:pt idx="10">
                  <c:v>2560.9375</c:v>
                </c:pt>
                <c:pt idx="11">
                  <c:v>2775</c:v>
                </c:pt>
                <c:pt idx="12">
                  <c:v>2985.9375</c:v>
                </c:pt>
                <c:pt idx="13">
                  <c:v>3193.75</c:v>
                </c:pt>
                <c:pt idx="14">
                  <c:v>3398.4375</c:v>
                </c:pt>
                <c:pt idx="15">
                  <c:v>3600</c:v>
                </c:pt>
                <c:pt idx="16">
                  <c:v>3798.4375</c:v>
                </c:pt>
                <c:pt idx="17">
                  <c:v>3993.75</c:v>
                </c:pt>
                <c:pt idx="18">
                  <c:v>4185.9375</c:v>
                </c:pt>
                <c:pt idx="19">
                  <c:v>4375</c:v>
                </c:pt>
                <c:pt idx="20">
                  <c:v>4343.75</c:v>
                </c:pt>
                <c:pt idx="21">
                  <c:v>4312.5</c:v>
                </c:pt>
                <c:pt idx="22">
                  <c:v>4281.25</c:v>
                </c:pt>
                <c:pt idx="23">
                  <c:v>4250</c:v>
                </c:pt>
                <c:pt idx="24">
                  <c:v>4218.75</c:v>
                </c:pt>
                <c:pt idx="25">
                  <c:v>4187.5</c:v>
                </c:pt>
                <c:pt idx="26">
                  <c:v>4156.25</c:v>
                </c:pt>
                <c:pt idx="27">
                  <c:v>4125</c:v>
                </c:pt>
                <c:pt idx="28">
                  <c:v>248.4375</c:v>
                </c:pt>
                <c:pt idx="29">
                  <c:v>493.75</c:v>
                </c:pt>
                <c:pt idx="30">
                  <c:v>735.9375</c:v>
                </c:pt>
                <c:pt idx="31">
                  <c:v>975</c:v>
                </c:pt>
                <c:pt idx="32">
                  <c:v>1210.9375</c:v>
                </c:pt>
                <c:pt idx="33">
                  <c:v>1443.75</c:v>
                </c:pt>
                <c:pt idx="34">
                  <c:v>1673.4375</c:v>
                </c:pt>
                <c:pt idx="35">
                  <c:v>1900</c:v>
                </c:pt>
                <c:pt idx="36">
                  <c:v>2123.4375</c:v>
                </c:pt>
                <c:pt idx="37">
                  <c:v>2343.75</c:v>
                </c:pt>
                <c:pt idx="38">
                  <c:v>2560.9375</c:v>
                </c:pt>
                <c:pt idx="39">
                  <c:v>2775</c:v>
                </c:pt>
                <c:pt idx="40">
                  <c:v>2985.9375</c:v>
                </c:pt>
                <c:pt idx="41">
                  <c:v>3193.75</c:v>
                </c:pt>
                <c:pt idx="42">
                  <c:v>3398.4375</c:v>
                </c:pt>
                <c:pt idx="43">
                  <c:v>3600</c:v>
                </c:pt>
                <c:pt idx="44">
                  <c:v>3798.4375</c:v>
                </c:pt>
                <c:pt idx="45">
                  <c:v>3993.75</c:v>
                </c:pt>
                <c:pt idx="46">
                  <c:v>4185.9375</c:v>
                </c:pt>
                <c:pt idx="47">
                  <c:v>4375</c:v>
                </c:pt>
                <c:pt idx="48">
                  <c:v>4343.75</c:v>
                </c:pt>
                <c:pt idx="49">
                  <c:v>4312.5</c:v>
                </c:pt>
                <c:pt idx="50">
                  <c:v>4281.25</c:v>
                </c:pt>
                <c:pt idx="51">
                  <c:v>4250</c:v>
                </c:pt>
                <c:pt idx="52">
                  <c:v>4218.75</c:v>
                </c:pt>
                <c:pt idx="53">
                  <c:v>4187.5</c:v>
                </c:pt>
                <c:pt idx="54">
                  <c:v>4156.25</c:v>
                </c:pt>
                <c:pt idx="55">
                  <c:v>4125</c:v>
                </c:pt>
              </c:numCache>
            </c:numRef>
          </c:val>
          <c:extLst>
            <c:ext xmlns:c16="http://schemas.microsoft.com/office/drawing/2014/chart" uri="{C3380CC4-5D6E-409C-BE32-E72D297353CC}">
              <c16:uniqueId val="{00000002-24B9-4B67-A485-DAE0AA86DED8}"/>
            </c:ext>
          </c:extLst>
        </c:ser>
        <c:ser>
          <c:idx val="3"/>
          <c:order val="3"/>
          <c:tx>
            <c:strRef>
              <c:f>Lists!$AS$12</c:f>
              <c:strCache>
                <c:ptCount val="1"/>
                <c:pt idx="0">
                  <c:v>Number of active micro and self-emplyed clients </c:v>
                </c:pt>
              </c:strCache>
            </c:strRef>
          </c:tx>
          <c:spPr>
            <a:solidFill>
              <a:schemeClr val="accent4"/>
            </a:solidFill>
            <a:ln>
              <a:noFill/>
            </a:ln>
            <a:effectLst/>
          </c:spPr>
          <c:invertIfNegative val="0"/>
          <c:cat>
            <c:multiLvlStrRef>
              <c:f>Lists!$AT$7:$CW$8</c:f>
              <c:multiLvlStrCache>
                <c:ptCount val="56"/>
                <c:lvl>
                  <c:pt idx="0">
                    <c:v>Q1 Y1</c:v>
                  </c:pt>
                  <c:pt idx="1">
                    <c:v>Q2 Y1</c:v>
                  </c:pt>
                  <c:pt idx="2">
                    <c:v>Q3 Y1</c:v>
                  </c:pt>
                  <c:pt idx="3">
                    <c:v>Q4 Y1</c:v>
                  </c:pt>
                  <c:pt idx="4">
                    <c:v>Q1 Y2</c:v>
                  </c:pt>
                  <c:pt idx="5">
                    <c:v>Q2 Y2</c:v>
                  </c:pt>
                  <c:pt idx="6">
                    <c:v>Q3 Y2</c:v>
                  </c:pt>
                  <c:pt idx="7">
                    <c:v>Q4 Y2</c:v>
                  </c:pt>
                  <c:pt idx="8">
                    <c:v>Q1 Y3</c:v>
                  </c:pt>
                  <c:pt idx="9">
                    <c:v>Q2 Y3</c:v>
                  </c:pt>
                  <c:pt idx="10">
                    <c:v>Q3 Y3</c:v>
                  </c:pt>
                  <c:pt idx="11">
                    <c:v>Q4 Y3</c:v>
                  </c:pt>
                  <c:pt idx="12">
                    <c:v>Q1 Y4</c:v>
                  </c:pt>
                  <c:pt idx="13">
                    <c:v>Q2 Y4</c:v>
                  </c:pt>
                  <c:pt idx="14">
                    <c:v>Q3 Y4</c:v>
                  </c:pt>
                  <c:pt idx="15">
                    <c:v>Q4 Y4</c:v>
                  </c:pt>
                  <c:pt idx="16">
                    <c:v>Q1 Y5</c:v>
                  </c:pt>
                  <c:pt idx="17">
                    <c:v>Q2 Y5</c:v>
                  </c:pt>
                  <c:pt idx="18">
                    <c:v>Q3 Y5</c:v>
                  </c:pt>
                  <c:pt idx="19">
                    <c:v>Q4 Y5</c:v>
                  </c:pt>
                  <c:pt idx="20">
                    <c:v>Q1 Y6</c:v>
                  </c:pt>
                  <c:pt idx="21">
                    <c:v>Q2 Y6</c:v>
                  </c:pt>
                  <c:pt idx="22">
                    <c:v>Q3 Y6</c:v>
                  </c:pt>
                  <c:pt idx="23">
                    <c:v>Q4 Y6</c:v>
                  </c:pt>
                  <c:pt idx="24">
                    <c:v>Q1 Y7</c:v>
                  </c:pt>
                  <c:pt idx="25">
                    <c:v>Q2 Y7</c:v>
                  </c:pt>
                  <c:pt idx="26">
                    <c:v>Q3 Y7</c:v>
                  </c:pt>
                  <c:pt idx="27">
                    <c:v>Q4 Y7</c:v>
                  </c:pt>
                  <c:pt idx="28">
                    <c:v>Q1 Y1</c:v>
                  </c:pt>
                  <c:pt idx="29">
                    <c:v>Q2 Y1</c:v>
                  </c:pt>
                  <c:pt idx="30">
                    <c:v>Q3 Y1</c:v>
                  </c:pt>
                  <c:pt idx="31">
                    <c:v>Q4 Y1</c:v>
                  </c:pt>
                  <c:pt idx="32">
                    <c:v>Q1 Y2</c:v>
                  </c:pt>
                  <c:pt idx="33">
                    <c:v>Q2 Y2</c:v>
                  </c:pt>
                  <c:pt idx="34">
                    <c:v>Q3 Y2</c:v>
                  </c:pt>
                  <c:pt idx="35">
                    <c:v>Q4 Y2</c:v>
                  </c:pt>
                  <c:pt idx="36">
                    <c:v>Q1 Y3</c:v>
                  </c:pt>
                  <c:pt idx="37">
                    <c:v>Q2 Y3</c:v>
                  </c:pt>
                  <c:pt idx="38">
                    <c:v>Q3 Y3</c:v>
                  </c:pt>
                  <c:pt idx="39">
                    <c:v>Q4 Y3</c:v>
                  </c:pt>
                  <c:pt idx="40">
                    <c:v>Q1 Y4</c:v>
                  </c:pt>
                  <c:pt idx="41">
                    <c:v>Q2 Y4</c:v>
                  </c:pt>
                  <c:pt idx="42">
                    <c:v>Q3 Y4</c:v>
                  </c:pt>
                  <c:pt idx="43">
                    <c:v>Q4 Y4</c:v>
                  </c:pt>
                  <c:pt idx="44">
                    <c:v>Q1 Y5</c:v>
                  </c:pt>
                  <c:pt idx="45">
                    <c:v>Q2 Y5</c:v>
                  </c:pt>
                  <c:pt idx="46">
                    <c:v>Q3 Y5</c:v>
                  </c:pt>
                  <c:pt idx="47">
                    <c:v>Q4 Y5</c:v>
                  </c:pt>
                  <c:pt idx="48">
                    <c:v>Q1 Y6</c:v>
                  </c:pt>
                  <c:pt idx="49">
                    <c:v>Q2 Y6</c:v>
                  </c:pt>
                  <c:pt idx="50">
                    <c:v>Q3 Y6</c:v>
                  </c:pt>
                  <c:pt idx="51">
                    <c:v>Q4 Y6</c:v>
                  </c:pt>
                  <c:pt idx="52">
                    <c:v>Q1 Y7</c:v>
                  </c:pt>
                  <c:pt idx="53">
                    <c:v>Q2 Y7</c:v>
                  </c:pt>
                  <c:pt idx="54">
                    <c:v>Q3 Y7</c:v>
                  </c:pt>
                  <c:pt idx="55">
                    <c:v>Q4 Y7</c:v>
                  </c:pt>
                </c:lvl>
                <c:lvl>
                  <c:pt idx="0">
                    <c:v>Base scenario</c:v>
                  </c:pt>
                  <c:pt idx="28">
                    <c:v>Alternative scenario</c:v>
                  </c:pt>
                </c:lvl>
              </c:multiLvlStrCache>
            </c:multiLvlStrRef>
          </c:cat>
          <c:val>
            <c:numRef>
              <c:f>Lists!$AT$12:$CW$12</c:f>
              <c:numCache>
                <c:formatCode>#,##0</c:formatCode>
                <c:ptCount val="56"/>
                <c:pt idx="0">
                  <c:v>1987.5</c:v>
                </c:pt>
                <c:pt idx="1">
                  <c:v>3950</c:v>
                </c:pt>
                <c:pt idx="2">
                  <c:v>5887.5</c:v>
                </c:pt>
                <c:pt idx="3">
                  <c:v>7800</c:v>
                </c:pt>
                <c:pt idx="4">
                  <c:v>9687.5</c:v>
                </c:pt>
                <c:pt idx="5">
                  <c:v>11550</c:v>
                </c:pt>
                <c:pt idx="6">
                  <c:v>13387.5</c:v>
                </c:pt>
                <c:pt idx="7">
                  <c:v>15200</c:v>
                </c:pt>
                <c:pt idx="8">
                  <c:v>16987.5</c:v>
                </c:pt>
                <c:pt idx="9">
                  <c:v>18750</c:v>
                </c:pt>
                <c:pt idx="10">
                  <c:v>20487.5</c:v>
                </c:pt>
                <c:pt idx="11">
                  <c:v>22200</c:v>
                </c:pt>
                <c:pt idx="12">
                  <c:v>23887.5</c:v>
                </c:pt>
                <c:pt idx="13">
                  <c:v>25550</c:v>
                </c:pt>
                <c:pt idx="14">
                  <c:v>27187.5</c:v>
                </c:pt>
                <c:pt idx="15">
                  <c:v>28800</c:v>
                </c:pt>
                <c:pt idx="16">
                  <c:v>30387.5</c:v>
                </c:pt>
                <c:pt idx="17">
                  <c:v>31950</c:v>
                </c:pt>
                <c:pt idx="18">
                  <c:v>33487.5</c:v>
                </c:pt>
                <c:pt idx="19">
                  <c:v>35000</c:v>
                </c:pt>
                <c:pt idx="20">
                  <c:v>34750</c:v>
                </c:pt>
                <c:pt idx="21">
                  <c:v>34500</c:v>
                </c:pt>
                <c:pt idx="22">
                  <c:v>34250</c:v>
                </c:pt>
                <c:pt idx="23">
                  <c:v>34000</c:v>
                </c:pt>
                <c:pt idx="24">
                  <c:v>33750</c:v>
                </c:pt>
                <c:pt idx="25">
                  <c:v>33500</c:v>
                </c:pt>
                <c:pt idx="26">
                  <c:v>33250</c:v>
                </c:pt>
                <c:pt idx="27">
                  <c:v>33000</c:v>
                </c:pt>
                <c:pt idx="28">
                  <c:v>1987.5</c:v>
                </c:pt>
                <c:pt idx="29">
                  <c:v>3950</c:v>
                </c:pt>
                <c:pt idx="30">
                  <c:v>5887.5</c:v>
                </c:pt>
                <c:pt idx="31">
                  <c:v>7800</c:v>
                </c:pt>
                <c:pt idx="32">
                  <c:v>9687.5</c:v>
                </c:pt>
                <c:pt idx="33">
                  <c:v>11550</c:v>
                </c:pt>
                <c:pt idx="34">
                  <c:v>13387.5</c:v>
                </c:pt>
                <c:pt idx="35">
                  <c:v>15200</c:v>
                </c:pt>
                <c:pt idx="36">
                  <c:v>16987.5</c:v>
                </c:pt>
                <c:pt idx="37">
                  <c:v>18750</c:v>
                </c:pt>
                <c:pt idx="38">
                  <c:v>20487.5</c:v>
                </c:pt>
                <c:pt idx="39">
                  <c:v>22200</c:v>
                </c:pt>
                <c:pt idx="40">
                  <c:v>23887.5</c:v>
                </c:pt>
                <c:pt idx="41">
                  <c:v>25550</c:v>
                </c:pt>
                <c:pt idx="42">
                  <c:v>27187.5</c:v>
                </c:pt>
                <c:pt idx="43">
                  <c:v>28800</c:v>
                </c:pt>
                <c:pt idx="44">
                  <c:v>30387.5</c:v>
                </c:pt>
                <c:pt idx="45">
                  <c:v>31950</c:v>
                </c:pt>
                <c:pt idx="46">
                  <c:v>33487.5</c:v>
                </c:pt>
                <c:pt idx="47">
                  <c:v>35000</c:v>
                </c:pt>
                <c:pt idx="48">
                  <c:v>34750</c:v>
                </c:pt>
                <c:pt idx="49">
                  <c:v>34500</c:v>
                </c:pt>
                <c:pt idx="50">
                  <c:v>34250</c:v>
                </c:pt>
                <c:pt idx="51">
                  <c:v>34000</c:v>
                </c:pt>
                <c:pt idx="52">
                  <c:v>33750</c:v>
                </c:pt>
                <c:pt idx="53">
                  <c:v>33500</c:v>
                </c:pt>
                <c:pt idx="54">
                  <c:v>33250</c:v>
                </c:pt>
                <c:pt idx="55">
                  <c:v>33000</c:v>
                </c:pt>
              </c:numCache>
            </c:numRef>
          </c:val>
          <c:extLst>
            <c:ext xmlns:c16="http://schemas.microsoft.com/office/drawing/2014/chart" uri="{C3380CC4-5D6E-409C-BE32-E72D297353CC}">
              <c16:uniqueId val="{00000003-24B9-4B67-A485-DAE0AA86DED8}"/>
            </c:ext>
          </c:extLst>
        </c:ser>
        <c:dLbls>
          <c:showLegendKey val="0"/>
          <c:showVal val="0"/>
          <c:showCatName val="0"/>
          <c:showSerName val="0"/>
          <c:showPercent val="0"/>
          <c:showBubbleSize val="0"/>
        </c:dLbls>
        <c:gapWidth val="150"/>
        <c:overlap val="100"/>
        <c:axId val="495526975"/>
        <c:axId val="495529375"/>
      </c:barChart>
      <c:catAx>
        <c:axId val="4955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9375"/>
        <c:crosses val="autoZero"/>
        <c:auto val="1"/>
        <c:lblAlgn val="ctr"/>
        <c:lblOffset val="100"/>
        <c:noMultiLvlLbl val="0"/>
      </c:catAx>
      <c:valAx>
        <c:axId val="495529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Lists!$E$8</c:f>
              <c:strCache>
                <c:ptCount val="1"/>
                <c:pt idx="0">
                  <c:v>NET INCOME (Base scenario)</c:v>
                </c:pt>
              </c:strCache>
            </c:strRef>
          </c:tx>
          <c:spPr>
            <a:ln w="28575" cap="rnd">
              <a:solidFill>
                <a:srgbClr val="11213F"/>
              </a:solidFill>
              <a:round/>
            </a:ln>
            <a:effectLst/>
          </c:spPr>
          <c:marker>
            <c:symbol val="none"/>
          </c:marker>
          <c:cat>
            <c:strRef>
              <c:f>Lists!$F$7:$L$7</c:f>
              <c:strCache>
                <c:ptCount val="7"/>
                <c:pt idx="0">
                  <c:v>Y1</c:v>
                </c:pt>
                <c:pt idx="1">
                  <c:v>Y2</c:v>
                </c:pt>
                <c:pt idx="2">
                  <c:v>Y3</c:v>
                </c:pt>
                <c:pt idx="3">
                  <c:v>Y4</c:v>
                </c:pt>
                <c:pt idx="4">
                  <c:v>Y5</c:v>
                </c:pt>
                <c:pt idx="5">
                  <c:v>Y6</c:v>
                </c:pt>
                <c:pt idx="6">
                  <c:v>Y7</c:v>
                </c:pt>
              </c:strCache>
            </c:strRef>
          </c:cat>
          <c:val>
            <c:numRef>
              <c:f>Lists!$F$8:$L$8</c:f>
              <c:numCache>
                <c:formatCode>#,##0</c:formatCode>
                <c:ptCount val="7"/>
                <c:pt idx="0">
                  <c:v>-73958698.660714269</c:v>
                </c:pt>
                <c:pt idx="1">
                  <c:v>517746810.13392866</c:v>
                </c:pt>
                <c:pt idx="2">
                  <c:v>929733101.91964269</c:v>
                </c:pt>
                <c:pt idx="3">
                  <c:v>1257186546.5625</c:v>
                </c:pt>
                <c:pt idx="4">
                  <c:v>1564556465.4910712</c:v>
                </c:pt>
                <c:pt idx="5">
                  <c:v>1589243665.1785712</c:v>
                </c:pt>
                <c:pt idx="6">
                  <c:v>1537884136.6071429</c:v>
                </c:pt>
              </c:numCache>
            </c:numRef>
          </c:val>
          <c:smooth val="0"/>
          <c:extLst>
            <c:ext xmlns:c16="http://schemas.microsoft.com/office/drawing/2014/chart" uri="{C3380CC4-5D6E-409C-BE32-E72D297353CC}">
              <c16:uniqueId val="{00000000-306B-4162-9558-A98105F86CD9}"/>
            </c:ext>
          </c:extLst>
        </c:ser>
        <c:ser>
          <c:idx val="1"/>
          <c:order val="1"/>
          <c:tx>
            <c:strRef>
              <c:f>Lists!$E$9</c:f>
              <c:strCache>
                <c:ptCount val="1"/>
                <c:pt idx="0">
                  <c:v>NET INCOME (Alternative scenario)</c:v>
                </c:pt>
              </c:strCache>
            </c:strRef>
          </c:tx>
          <c:spPr>
            <a:ln w="28575" cap="rnd">
              <a:solidFill>
                <a:srgbClr val="FFB700"/>
              </a:solidFill>
              <a:round/>
            </a:ln>
            <a:effectLst/>
          </c:spPr>
          <c:marker>
            <c:symbol val="none"/>
          </c:marker>
          <c:cat>
            <c:strRef>
              <c:f>Lists!$F$7:$L$7</c:f>
              <c:strCache>
                <c:ptCount val="7"/>
                <c:pt idx="0">
                  <c:v>Y1</c:v>
                </c:pt>
                <c:pt idx="1">
                  <c:v>Y2</c:v>
                </c:pt>
                <c:pt idx="2">
                  <c:v>Y3</c:v>
                </c:pt>
                <c:pt idx="3">
                  <c:v>Y4</c:v>
                </c:pt>
                <c:pt idx="4">
                  <c:v>Y5</c:v>
                </c:pt>
                <c:pt idx="5">
                  <c:v>Y6</c:v>
                </c:pt>
                <c:pt idx="6">
                  <c:v>Y7</c:v>
                </c:pt>
              </c:strCache>
            </c:strRef>
          </c:cat>
          <c:val>
            <c:numRef>
              <c:f>Lists!$F$9:$L$9</c:f>
              <c:numCache>
                <c:formatCode>#,##0</c:formatCode>
                <c:ptCount val="7"/>
                <c:pt idx="0">
                  <c:v>-73958698.660714269</c:v>
                </c:pt>
                <c:pt idx="1">
                  <c:v>517746810.13392866</c:v>
                </c:pt>
                <c:pt idx="2">
                  <c:v>929733101.91964269</c:v>
                </c:pt>
                <c:pt idx="3">
                  <c:v>1257186546.5625</c:v>
                </c:pt>
                <c:pt idx="4">
                  <c:v>1564556465.4910712</c:v>
                </c:pt>
                <c:pt idx="5">
                  <c:v>1589243665.1785712</c:v>
                </c:pt>
                <c:pt idx="6">
                  <c:v>1537884136.6071429</c:v>
                </c:pt>
              </c:numCache>
            </c:numRef>
          </c:val>
          <c:smooth val="0"/>
          <c:extLst>
            <c:ext xmlns:c16="http://schemas.microsoft.com/office/drawing/2014/chart" uri="{C3380CC4-5D6E-409C-BE32-E72D297353CC}">
              <c16:uniqueId val="{0000000C-306B-4162-9558-A98105F86CD9}"/>
            </c:ext>
          </c:extLst>
        </c:ser>
        <c:dLbls>
          <c:showLegendKey val="0"/>
          <c:showVal val="0"/>
          <c:showCatName val="0"/>
          <c:showSerName val="0"/>
          <c:showPercent val="0"/>
          <c:showBubbleSize val="0"/>
        </c:dLbls>
        <c:smooth val="0"/>
        <c:axId val="823480543"/>
        <c:axId val="823483423"/>
      </c:lineChart>
      <c:catAx>
        <c:axId val="8234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83423"/>
        <c:crosses val="autoZero"/>
        <c:auto val="1"/>
        <c:lblAlgn val="ctr"/>
        <c:lblOffset val="100"/>
        <c:noMultiLvlLbl val="0"/>
      </c:catAx>
      <c:valAx>
        <c:axId val="823483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805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Lists!$M$22</c:f>
              <c:strCache>
                <c:ptCount val="1"/>
                <c:pt idx="0">
                  <c:v>Business loans volume (cummulative)</c:v>
                </c:pt>
              </c:strCache>
            </c:strRef>
          </c:tx>
          <c:spPr>
            <a:solidFill>
              <a:srgbClr val="11213F"/>
            </a:solidFill>
            <a:ln>
              <a:noFill/>
            </a:ln>
            <a:effectLst/>
          </c:spPr>
          <c:invertIfNegative val="0"/>
          <c:cat>
            <c:multiLvlStrRef>
              <c:f>Lists!$N$20:$AA$21</c:f>
              <c:multiLvlStrCache>
                <c:ptCount val="14"/>
                <c:lvl>
                  <c:pt idx="0">
                    <c:v>Y1</c:v>
                  </c:pt>
                  <c:pt idx="1">
                    <c:v>Y2</c:v>
                  </c:pt>
                  <c:pt idx="2">
                    <c:v>Y3</c:v>
                  </c:pt>
                  <c:pt idx="3">
                    <c:v>Y4</c:v>
                  </c:pt>
                  <c:pt idx="4">
                    <c:v>Y5</c:v>
                  </c:pt>
                  <c:pt idx="5">
                    <c:v>Y6</c:v>
                  </c:pt>
                  <c:pt idx="6">
                    <c:v>Y7</c:v>
                  </c:pt>
                  <c:pt idx="7">
                    <c:v>Y1</c:v>
                  </c:pt>
                  <c:pt idx="8">
                    <c:v>Y2</c:v>
                  </c:pt>
                  <c:pt idx="9">
                    <c:v>Y3</c:v>
                  </c:pt>
                  <c:pt idx="10">
                    <c:v>Y4</c:v>
                  </c:pt>
                  <c:pt idx="11">
                    <c:v>Y5</c:v>
                  </c:pt>
                  <c:pt idx="12">
                    <c:v>Y6</c:v>
                  </c:pt>
                  <c:pt idx="13">
                    <c:v>Y7</c:v>
                  </c:pt>
                </c:lvl>
                <c:lvl>
                  <c:pt idx="0">
                    <c:v>Base scenario</c:v>
                  </c:pt>
                  <c:pt idx="7">
                    <c:v>Alternative scenario</c:v>
                  </c:pt>
                </c:lvl>
              </c:multiLvlStrCache>
            </c:multiLvlStrRef>
          </c:cat>
          <c:val>
            <c:numRef>
              <c:f>Lists!$N$22:$AA$22</c:f>
              <c:numCache>
                <c:formatCode>#,##0</c:formatCode>
                <c:ptCount val="14"/>
                <c:pt idx="0">
                  <c:v>4875000000</c:v>
                </c:pt>
                <c:pt idx="1">
                  <c:v>9500000000</c:v>
                </c:pt>
                <c:pt idx="2">
                  <c:v>13875000000</c:v>
                </c:pt>
                <c:pt idx="3">
                  <c:v>18000000000</c:v>
                </c:pt>
                <c:pt idx="4">
                  <c:v>21875000000</c:v>
                </c:pt>
                <c:pt idx="5">
                  <c:v>21250000000</c:v>
                </c:pt>
                <c:pt idx="6">
                  <c:v>20625000000</c:v>
                </c:pt>
                <c:pt idx="7">
                  <c:v>4875000000</c:v>
                </c:pt>
                <c:pt idx="8">
                  <c:v>9500000000</c:v>
                </c:pt>
                <c:pt idx="9">
                  <c:v>13875000000</c:v>
                </c:pt>
                <c:pt idx="10">
                  <c:v>18000000000</c:v>
                </c:pt>
                <c:pt idx="11">
                  <c:v>21875000000</c:v>
                </c:pt>
                <c:pt idx="12">
                  <c:v>21250000000</c:v>
                </c:pt>
                <c:pt idx="13">
                  <c:v>20625000000</c:v>
                </c:pt>
              </c:numCache>
            </c:numRef>
          </c:val>
          <c:extLst>
            <c:ext xmlns:c16="http://schemas.microsoft.com/office/drawing/2014/chart" uri="{C3380CC4-5D6E-409C-BE32-E72D297353CC}">
              <c16:uniqueId val="{00000000-803B-4CC9-A6FE-E705605A74E3}"/>
            </c:ext>
          </c:extLst>
        </c:ser>
        <c:ser>
          <c:idx val="1"/>
          <c:order val="1"/>
          <c:tx>
            <c:strRef>
              <c:f>Lists!$M$23</c:f>
              <c:strCache>
                <c:ptCount val="1"/>
                <c:pt idx="0">
                  <c:v>Mortgages volume (cummulative)</c:v>
                </c:pt>
              </c:strCache>
            </c:strRef>
          </c:tx>
          <c:spPr>
            <a:solidFill>
              <a:srgbClr val="FFB700"/>
            </a:solidFill>
            <a:ln>
              <a:noFill/>
            </a:ln>
            <a:effectLst/>
          </c:spPr>
          <c:invertIfNegative val="0"/>
          <c:cat>
            <c:multiLvlStrRef>
              <c:f>Lists!$N$20:$AA$21</c:f>
              <c:multiLvlStrCache>
                <c:ptCount val="14"/>
                <c:lvl>
                  <c:pt idx="0">
                    <c:v>Y1</c:v>
                  </c:pt>
                  <c:pt idx="1">
                    <c:v>Y2</c:v>
                  </c:pt>
                  <c:pt idx="2">
                    <c:v>Y3</c:v>
                  </c:pt>
                  <c:pt idx="3">
                    <c:v>Y4</c:v>
                  </c:pt>
                  <c:pt idx="4">
                    <c:v>Y5</c:v>
                  </c:pt>
                  <c:pt idx="5">
                    <c:v>Y6</c:v>
                  </c:pt>
                  <c:pt idx="6">
                    <c:v>Y7</c:v>
                  </c:pt>
                  <c:pt idx="7">
                    <c:v>Y1</c:v>
                  </c:pt>
                  <c:pt idx="8">
                    <c:v>Y2</c:v>
                  </c:pt>
                  <c:pt idx="9">
                    <c:v>Y3</c:v>
                  </c:pt>
                  <c:pt idx="10">
                    <c:v>Y4</c:v>
                  </c:pt>
                  <c:pt idx="11">
                    <c:v>Y5</c:v>
                  </c:pt>
                  <c:pt idx="12">
                    <c:v>Y6</c:v>
                  </c:pt>
                  <c:pt idx="13">
                    <c:v>Y7</c:v>
                  </c:pt>
                </c:lvl>
                <c:lvl>
                  <c:pt idx="0">
                    <c:v>Base scenario</c:v>
                  </c:pt>
                  <c:pt idx="7">
                    <c:v>Alternative scenario</c:v>
                  </c:pt>
                </c:lvl>
              </c:multiLvlStrCache>
            </c:multiLvlStrRef>
          </c:cat>
          <c:val>
            <c:numRef>
              <c:f>Lists!$N$23:$AA$23</c:f>
              <c:numCache>
                <c:formatCode>#,##0</c:formatCode>
                <c:ptCount val="14"/>
                <c:pt idx="0">
                  <c:v>4504500000</c:v>
                </c:pt>
                <c:pt idx="1">
                  <c:v>8778000000</c:v>
                </c:pt>
                <c:pt idx="2">
                  <c:v>12820500000</c:v>
                </c:pt>
                <c:pt idx="3">
                  <c:v>16632000000</c:v>
                </c:pt>
                <c:pt idx="4">
                  <c:v>20212500000</c:v>
                </c:pt>
                <c:pt idx="5">
                  <c:v>19635000000</c:v>
                </c:pt>
                <c:pt idx="6">
                  <c:v>19057500000</c:v>
                </c:pt>
                <c:pt idx="7">
                  <c:v>4504500000</c:v>
                </c:pt>
                <c:pt idx="8">
                  <c:v>8778000000</c:v>
                </c:pt>
                <c:pt idx="9">
                  <c:v>12820500000</c:v>
                </c:pt>
                <c:pt idx="10">
                  <c:v>16632000000</c:v>
                </c:pt>
                <c:pt idx="11">
                  <c:v>20212500000</c:v>
                </c:pt>
                <c:pt idx="12">
                  <c:v>19635000000</c:v>
                </c:pt>
                <c:pt idx="13">
                  <c:v>19057500000</c:v>
                </c:pt>
              </c:numCache>
            </c:numRef>
          </c:val>
          <c:extLst>
            <c:ext xmlns:c16="http://schemas.microsoft.com/office/drawing/2014/chart" uri="{C3380CC4-5D6E-409C-BE32-E72D297353CC}">
              <c16:uniqueId val="{00000001-803B-4CC9-A6FE-E705605A74E3}"/>
            </c:ext>
          </c:extLst>
        </c:ser>
        <c:ser>
          <c:idx val="2"/>
          <c:order val="2"/>
          <c:tx>
            <c:strRef>
              <c:f>Lists!$M$24</c:f>
              <c:strCache>
                <c:ptCount val="1"/>
                <c:pt idx="0">
                  <c:v>Auto loans and leasing volume (cummulative)</c:v>
                </c:pt>
              </c:strCache>
            </c:strRef>
          </c:tx>
          <c:spPr>
            <a:solidFill>
              <a:schemeClr val="accent3"/>
            </a:solidFill>
            <a:ln>
              <a:noFill/>
            </a:ln>
            <a:effectLst/>
          </c:spPr>
          <c:invertIfNegative val="0"/>
          <c:cat>
            <c:multiLvlStrRef>
              <c:f>Lists!$N$20:$AA$21</c:f>
              <c:multiLvlStrCache>
                <c:ptCount val="14"/>
                <c:lvl>
                  <c:pt idx="0">
                    <c:v>Y1</c:v>
                  </c:pt>
                  <c:pt idx="1">
                    <c:v>Y2</c:v>
                  </c:pt>
                  <c:pt idx="2">
                    <c:v>Y3</c:v>
                  </c:pt>
                  <c:pt idx="3">
                    <c:v>Y4</c:v>
                  </c:pt>
                  <c:pt idx="4">
                    <c:v>Y5</c:v>
                  </c:pt>
                  <c:pt idx="5">
                    <c:v>Y6</c:v>
                  </c:pt>
                  <c:pt idx="6">
                    <c:v>Y7</c:v>
                  </c:pt>
                  <c:pt idx="7">
                    <c:v>Y1</c:v>
                  </c:pt>
                  <c:pt idx="8">
                    <c:v>Y2</c:v>
                  </c:pt>
                  <c:pt idx="9">
                    <c:v>Y3</c:v>
                  </c:pt>
                  <c:pt idx="10">
                    <c:v>Y4</c:v>
                  </c:pt>
                  <c:pt idx="11">
                    <c:v>Y5</c:v>
                  </c:pt>
                  <c:pt idx="12">
                    <c:v>Y6</c:v>
                  </c:pt>
                  <c:pt idx="13">
                    <c:v>Y7</c:v>
                  </c:pt>
                </c:lvl>
                <c:lvl>
                  <c:pt idx="0">
                    <c:v>Base scenario</c:v>
                  </c:pt>
                  <c:pt idx="7">
                    <c:v>Alternative scenario</c:v>
                  </c:pt>
                </c:lvl>
              </c:multiLvlStrCache>
            </c:multiLvlStrRef>
          </c:cat>
          <c:val>
            <c:numRef>
              <c:f>Lists!$N$24:$AA$24</c:f>
              <c:numCache>
                <c:formatCode>#,##0</c:formatCode>
                <c:ptCount val="14"/>
                <c:pt idx="0">
                  <c:v>450450000</c:v>
                </c:pt>
                <c:pt idx="1">
                  <c:v>877800000</c:v>
                </c:pt>
                <c:pt idx="2">
                  <c:v>1282050000</c:v>
                </c:pt>
                <c:pt idx="3">
                  <c:v>1663200000</c:v>
                </c:pt>
                <c:pt idx="4">
                  <c:v>2021250000</c:v>
                </c:pt>
                <c:pt idx="5">
                  <c:v>1963500000</c:v>
                </c:pt>
                <c:pt idx="6">
                  <c:v>1905750000</c:v>
                </c:pt>
                <c:pt idx="7">
                  <c:v>450450000</c:v>
                </c:pt>
                <c:pt idx="8">
                  <c:v>877800000</c:v>
                </c:pt>
                <c:pt idx="9">
                  <c:v>1282050000</c:v>
                </c:pt>
                <c:pt idx="10">
                  <c:v>1663200000</c:v>
                </c:pt>
                <c:pt idx="11">
                  <c:v>2021250000</c:v>
                </c:pt>
                <c:pt idx="12">
                  <c:v>1963500000</c:v>
                </c:pt>
                <c:pt idx="13">
                  <c:v>1905750000</c:v>
                </c:pt>
              </c:numCache>
            </c:numRef>
          </c:val>
          <c:extLst>
            <c:ext xmlns:c16="http://schemas.microsoft.com/office/drawing/2014/chart" uri="{C3380CC4-5D6E-409C-BE32-E72D297353CC}">
              <c16:uniqueId val="{00000003-803B-4CC9-A6FE-E705605A74E3}"/>
            </c:ext>
          </c:extLst>
        </c:ser>
        <c:dLbls>
          <c:showLegendKey val="0"/>
          <c:showVal val="0"/>
          <c:showCatName val="0"/>
          <c:showSerName val="0"/>
          <c:showPercent val="0"/>
          <c:showBubbleSize val="0"/>
        </c:dLbls>
        <c:gapWidth val="150"/>
        <c:overlap val="100"/>
        <c:axId val="1225033247"/>
        <c:axId val="1225034207"/>
      </c:barChart>
      <c:catAx>
        <c:axId val="12250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034207"/>
        <c:crosses val="autoZero"/>
        <c:auto val="1"/>
        <c:lblAlgn val="ctr"/>
        <c:lblOffset val="100"/>
        <c:noMultiLvlLbl val="0"/>
      </c:catAx>
      <c:valAx>
        <c:axId val="1225034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03324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Market share by sector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Lists!$V$7</c:f>
              <c:strCache>
                <c:ptCount val="1"/>
                <c:pt idx="0">
                  <c:v>Y1</c:v>
                </c:pt>
              </c:strCache>
            </c:strRef>
          </c:tx>
          <c:spPr>
            <a:solidFill>
              <a:schemeClr val="accent1"/>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Lists!$V$8:$V$15</c:f>
              <c:numCache>
                <c:formatCode>0.00%</c:formatCode>
                <c:ptCount val="8"/>
                <c:pt idx="0">
                  <c:v>1.3707481961263179E-2</c:v>
                </c:pt>
                <c:pt idx="1">
                  <c:v>1.3707481961263179E-2</c:v>
                </c:pt>
                <c:pt idx="2">
                  <c:v>2.3435208953774451E-2</c:v>
                </c:pt>
                <c:pt idx="3">
                  <c:v>2.3435208953774451E-2</c:v>
                </c:pt>
                <c:pt idx="4">
                  <c:v>3.8531419189523519E-2</c:v>
                </c:pt>
                <c:pt idx="5">
                  <c:v>3.8531419189523519E-2</c:v>
                </c:pt>
                <c:pt idx="6">
                  <c:v>3.7054662613721145E-2</c:v>
                </c:pt>
                <c:pt idx="7">
                  <c:v>3.7054662613721145E-2</c:v>
                </c:pt>
              </c:numCache>
            </c:numRef>
          </c:val>
          <c:extLst>
            <c:ext xmlns:c16="http://schemas.microsoft.com/office/drawing/2014/chart" uri="{C3380CC4-5D6E-409C-BE32-E72D297353CC}">
              <c16:uniqueId val="{00000000-FEAD-4F8F-A9D9-4BE7FB4CE4BE}"/>
            </c:ext>
          </c:extLst>
        </c:ser>
        <c:ser>
          <c:idx val="1"/>
          <c:order val="1"/>
          <c:tx>
            <c:strRef>
              <c:f>Lists!$W$7</c:f>
              <c:strCache>
                <c:ptCount val="1"/>
                <c:pt idx="0">
                  <c:v>Y2</c:v>
                </c:pt>
              </c:strCache>
            </c:strRef>
          </c:tx>
          <c:spPr>
            <a:solidFill>
              <a:schemeClr val="accent2"/>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Lists!$W$8:$W$15</c:f>
              <c:numCache>
                <c:formatCode>0.00%</c:formatCode>
                <c:ptCount val="8"/>
                <c:pt idx="0">
                  <c:v>2.6712016129641067E-2</c:v>
                </c:pt>
                <c:pt idx="1">
                  <c:v>2.6712016129641067E-2</c:v>
                </c:pt>
                <c:pt idx="2">
                  <c:v>4.5668612320175855E-2</c:v>
                </c:pt>
                <c:pt idx="3">
                  <c:v>4.5668612320175855E-2</c:v>
                </c:pt>
                <c:pt idx="4">
                  <c:v>7.5086868164199669E-2</c:v>
                </c:pt>
                <c:pt idx="5">
                  <c:v>7.5086868164199669E-2</c:v>
                </c:pt>
                <c:pt idx="6">
                  <c:v>7.2209086119046334E-2</c:v>
                </c:pt>
                <c:pt idx="7">
                  <c:v>7.2209086119046334E-2</c:v>
                </c:pt>
              </c:numCache>
            </c:numRef>
          </c:val>
          <c:extLst>
            <c:ext xmlns:c16="http://schemas.microsoft.com/office/drawing/2014/chart" uri="{C3380CC4-5D6E-409C-BE32-E72D297353CC}">
              <c16:uniqueId val="{00000001-FEAD-4F8F-A9D9-4BE7FB4CE4BE}"/>
            </c:ext>
          </c:extLst>
        </c:ser>
        <c:ser>
          <c:idx val="2"/>
          <c:order val="2"/>
          <c:tx>
            <c:strRef>
              <c:f>Lists!$X$7</c:f>
              <c:strCache>
                <c:ptCount val="1"/>
                <c:pt idx="0">
                  <c:v>Y3</c:v>
                </c:pt>
              </c:strCache>
            </c:strRef>
          </c:tx>
          <c:spPr>
            <a:solidFill>
              <a:schemeClr val="accent3"/>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Lists!$X$8:$X$15</c:f>
              <c:numCache>
                <c:formatCode>0.00%</c:formatCode>
                <c:ptCount val="8"/>
                <c:pt idx="0">
                  <c:v>3.9013602505133665E-2</c:v>
                </c:pt>
                <c:pt idx="1">
                  <c:v>3.9013602505133665E-2</c:v>
                </c:pt>
                <c:pt idx="2">
                  <c:v>6.670021009920421E-2</c:v>
                </c:pt>
                <c:pt idx="3">
                  <c:v>6.670021009920421E-2</c:v>
                </c:pt>
                <c:pt idx="4">
                  <c:v>0.10966634692402848</c:v>
                </c:pt>
                <c:pt idx="5">
                  <c:v>0.10966634692402848</c:v>
                </c:pt>
                <c:pt idx="6">
                  <c:v>0.10546327051597557</c:v>
                </c:pt>
                <c:pt idx="7">
                  <c:v>0.10546327051597557</c:v>
                </c:pt>
              </c:numCache>
            </c:numRef>
          </c:val>
          <c:extLst>
            <c:ext xmlns:c16="http://schemas.microsoft.com/office/drawing/2014/chart" uri="{C3380CC4-5D6E-409C-BE32-E72D297353CC}">
              <c16:uniqueId val="{00000002-FEAD-4F8F-A9D9-4BE7FB4CE4BE}"/>
            </c:ext>
          </c:extLst>
        </c:ser>
        <c:ser>
          <c:idx val="3"/>
          <c:order val="3"/>
          <c:tx>
            <c:strRef>
              <c:f>Lists!$Y$7</c:f>
              <c:strCache>
                <c:ptCount val="1"/>
                <c:pt idx="0">
                  <c:v>Y4</c:v>
                </c:pt>
              </c:strCache>
            </c:strRef>
          </c:tx>
          <c:spPr>
            <a:solidFill>
              <a:schemeClr val="accent4"/>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Lists!$Y$8:$Y$15</c:f>
              <c:numCache>
                <c:formatCode>0.00%</c:formatCode>
                <c:ptCount val="8"/>
                <c:pt idx="0">
                  <c:v>5.061224108774097E-2</c:v>
                </c:pt>
                <c:pt idx="1">
                  <c:v>5.061224108774097E-2</c:v>
                </c:pt>
                <c:pt idx="2">
                  <c:v>8.6530002290859512E-2</c:v>
                </c:pt>
                <c:pt idx="3">
                  <c:v>8.6530002290859512E-2</c:v>
                </c:pt>
                <c:pt idx="4">
                  <c:v>0.14226985546900991</c:v>
                </c:pt>
                <c:pt idx="5">
                  <c:v>0.14226985546900991</c:v>
                </c:pt>
                <c:pt idx="6">
                  <c:v>0.13681721580450884</c:v>
                </c:pt>
                <c:pt idx="7">
                  <c:v>0.13681721580450884</c:v>
                </c:pt>
              </c:numCache>
            </c:numRef>
          </c:val>
          <c:extLst>
            <c:ext xmlns:c16="http://schemas.microsoft.com/office/drawing/2014/chart" uri="{C3380CC4-5D6E-409C-BE32-E72D297353CC}">
              <c16:uniqueId val="{00000003-FEAD-4F8F-A9D9-4BE7FB4CE4BE}"/>
            </c:ext>
          </c:extLst>
        </c:ser>
        <c:ser>
          <c:idx val="4"/>
          <c:order val="4"/>
          <c:tx>
            <c:strRef>
              <c:f>Lists!$Z$7</c:f>
              <c:strCache>
                <c:ptCount val="1"/>
                <c:pt idx="0">
                  <c:v>Y5</c:v>
                </c:pt>
              </c:strCache>
            </c:strRef>
          </c:tx>
          <c:spPr>
            <a:solidFill>
              <a:schemeClr val="accent5"/>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Lists!$Z$8:$Z$15</c:f>
              <c:numCache>
                <c:formatCode>0.00%</c:formatCode>
                <c:ptCount val="8"/>
                <c:pt idx="0">
                  <c:v>6.1507931877462986E-2</c:v>
                </c:pt>
                <c:pt idx="1">
                  <c:v>6.1507931877462986E-2</c:v>
                </c:pt>
                <c:pt idx="2">
                  <c:v>0.10515798889514176</c:v>
                </c:pt>
                <c:pt idx="3">
                  <c:v>0.10515798889514176</c:v>
                </c:pt>
                <c:pt idx="4">
                  <c:v>0.17289739379914398</c:v>
                </c:pt>
                <c:pt idx="5">
                  <c:v>0.17289739379914398</c:v>
                </c:pt>
                <c:pt idx="6">
                  <c:v>0.16627092198464616</c:v>
                </c:pt>
                <c:pt idx="7">
                  <c:v>0.16627092198464616</c:v>
                </c:pt>
              </c:numCache>
            </c:numRef>
          </c:val>
          <c:extLst>
            <c:ext xmlns:c16="http://schemas.microsoft.com/office/drawing/2014/chart" uri="{C3380CC4-5D6E-409C-BE32-E72D297353CC}">
              <c16:uniqueId val="{00000004-FEAD-4F8F-A9D9-4BE7FB4CE4BE}"/>
            </c:ext>
          </c:extLst>
        </c:ser>
        <c:ser>
          <c:idx val="5"/>
          <c:order val="5"/>
          <c:tx>
            <c:strRef>
              <c:f>Lists!$AA$7</c:f>
              <c:strCache>
                <c:ptCount val="1"/>
                <c:pt idx="0">
                  <c:v>Y6</c:v>
                </c:pt>
              </c:strCache>
            </c:strRef>
          </c:tx>
          <c:spPr>
            <a:solidFill>
              <a:schemeClr val="accent6"/>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Lists!$AA$8:$AA$15</c:f>
              <c:numCache>
                <c:formatCode>0.00%</c:formatCode>
                <c:ptCount val="8"/>
                <c:pt idx="0">
                  <c:v>5.9750562395249757E-2</c:v>
                </c:pt>
                <c:pt idx="1">
                  <c:v>5.9750562395249757E-2</c:v>
                </c:pt>
                <c:pt idx="2">
                  <c:v>0.10215347492670915</c:v>
                </c:pt>
                <c:pt idx="3">
                  <c:v>0.10215347492670915</c:v>
                </c:pt>
                <c:pt idx="4">
                  <c:v>0.16795746826202559</c:v>
                </c:pt>
                <c:pt idx="5">
                  <c:v>0.16795746826202559</c:v>
                </c:pt>
                <c:pt idx="6">
                  <c:v>0.16152032421365628</c:v>
                </c:pt>
                <c:pt idx="7">
                  <c:v>0.16152032421365628</c:v>
                </c:pt>
              </c:numCache>
            </c:numRef>
          </c:val>
          <c:extLst>
            <c:ext xmlns:c16="http://schemas.microsoft.com/office/drawing/2014/chart" uri="{C3380CC4-5D6E-409C-BE32-E72D297353CC}">
              <c16:uniqueId val="{00000005-FEAD-4F8F-A9D9-4BE7FB4CE4BE}"/>
            </c:ext>
          </c:extLst>
        </c:ser>
        <c:ser>
          <c:idx val="6"/>
          <c:order val="6"/>
          <c:tx>
            <c:strRef>
              <c:f>Lists!$AB$7</c:f>
              <c:strCache>
                <c:ptCount val="1"/>
                <c:pt idx="0">
                  <c:v>Y7</c:v>
                </c:pt>
              </c:strCache>
            </c:strRef>
          </c:tx>
          <c:spPr>
            <a:solidFill>
              <a:schemeClr val="accent1">
                <a:lumMod val="60000"/>
              </a:schemeClr>
            </a:solidFill>
            <a:ln>
              <a:noFill/>
            </a:ln>
            <a:effectLst/>
          </c:spPr>
          <c:invertIfNegative val="0"/>
          <c:cat>
            <c:strRef>
              <c:f>Lists!$U$8:$U$15</c:f>
              <c:strCache>
                <c:ptCount val="8"/>
                <c:pt idx="0">
                  <c:v>Share of medium sector (Base scenario)</c:v>
                </c:pt>
                <c:pt idx="1">
                  <c:v>Share of medium sector (Alternative scenario)</c:v>
                </c:pt>
                <c:pt idx="2">
                  <c:v>Share of small sector (Base scenario)</c:v>
                </c:pt>
                <c:pt idx="3">
                  <c:v>Share of small sector (Alternative scenario)</c:v>
                </c:pt>
                <c:pt idx="4">
                  <c:v>Very small market captured (cummulative) (Base scenario)</c:v>
                </c:pt>
                <c:pt idx="5">
                  <c:v>Very small market captured (cummulative) (Alternative scenario)</c:v>
                </c:pt>
                <c:pt idx="6">
                  <c:v>Micro and self-employed market captured (cummulative) (Base scenario)</c:v>
                </c:pt>
                <c:pt idx="7">
                  <c:v>Micro and self-employed market captured (cummulative) (Alternative scenario)</c:v>
                </c:pt>
              </c:strCache>
            </c:strRef>
          </c:cat>
          <c:val>
            <c:numRef>
              <c:f>Lists!$AB$8:$AB$15</c:f>
              <c:numCache>
                <c:formatCode>0.00%</c:formatCode>
                <c:ptCount val="8"/>
                <c:pt idx="0">
                  <c:v>5.7993192913036527E-2</c:v>
                </c:pt>
                <c:pt idx="1">
                  <c:v>5.7993192913036527E-2</c:v>
                </c:pt>
                <c:pt idx="2">
                  <c:v>9.9148960958276522E-2</c:v>
                </c:pt>
                <c:pt idx="3">
                  <c:v>9.9148960958276522E-2</c:v>
                </c:pt>
                <c:pt idx="4">
                  <c:v>0.16301754272490718</c:v>
                </c:pt>
                <c:pt idx="5">
                  <c:v>0.16301754272490718</c:v>
                </c:pt>
                <c:pt idx="6">
                  <c:v>0.1567697264426664</c:v>
                </c:pt>
                <c:pt idx="7">
                  <c:v>0.1567697264426664</c:v>
                </c:pt>
              </c:numCache>
            </c:numRef>
          </c:val>
          <c:extLst>
            <c:ext xmlns:c16="http://schemas.microsoft.com/office/drawing/2014/chart" uri="{C3380CC4-5D6E-409C-BE32-E72D297353CC}">
              <c16:uniqueId val="{00000006-FEAD-4F8F-A9D9-4BE7FB4CE4BE}"/>
            </c:ext>
          </c:extLst>
        </c:ser>
        <c:dLbls>
          <c:showLegendKey val="0"/>
          <c:showVal val="0"/>
          <c:showCatName val="0"/>
          <c:showSerName val="0"/>
          <c:showPercent val="0"/>
          <c:showBubbleSize val="0"/>
        </c:dLbls>
        <c:gapWidth val="219"/>
        <c:overlap val="-27"/>
        <c:axId val="1256749983"/>
        <c:axId val="1256750463"/>
      </c:barChart>
      <c:catAx>
        <c:axId val="1256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50463"/>
        <c:crosses val="autoZero"/>
        <c:auto val="1"/>
        <c:lblAlgn val="ctr"/>
        <c:lblOffset val="100"/>
        <c:noMultiLvlLbl val="0"/>
      </c:catAx>
      <c:valAx>
        <c:axId val="1256750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4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service outlets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Lists!$AC$22</c:f>
              <c:strCache>
                <c:ptCount val="1"/>
                <c:pt idx="0">
                  <c:v>Number of branches</c:v>
                </c:pt>
              </c:strCache>
            </c:strRef>
          </c:tx>
          <c:spPr>
            <a:solidFill>
              <a:srgbClr val="11213F"/>
            </a:solidFill>
            <a:ln>
              <a:noFill/>
            </a:ln>
            <a:effectLst/>
          </c:spPr>
          <c:invertIfNegative val="0"/>
          <c:cat>
            <c:multiLvlStrRef>
              <c:f>Lists!$AD$20:$AQ$21</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Lists!$AD$22:$AQ$22</c:f>
              <c:numCache>
                <c:formatCode>#,##0</c:formatCode>
                <c:ptCount val="14"/>
                <c:pt idx="0" formatCode="0">
                  <c:v>3.5</c:v>
                </c:pt>
                <c:pt idx="1">
                  <c:v>3.5</c:v>
                </c:pt>
                <c:pt idx="2" formatCode="0">
                  <c:v>7.5</c:v>
                </c:pt>
                <c:pt idx="3">
                  <c:v>7.5</c:v>
                </c:pt>
                <c:pt idx="4" formatCode="0">
                  <c:v>11.5</c:v>
                </c:pt>
                <c:pt idx="5">
                  <c:v>11.5</c:v>
                </c:pt>
                <c:pt idx="6" formatCode="0">
                  <c:v>15.5</c:v>
                </c:pt>
                <c:pt idx="7">
                  <c:v>15.5</c:v>
                </c:pt>
                <c:pt idx="8" formatCode="0">
                  <c:v>19.5</c:v>
                </c:pt>
                <c:pt idx="9">
                  <c:v>19.5</c:v>
                </c:pt>
                <c:pt idx="10" formatCode="0">
                  <c:v>20.25</c:v>
                </c:pt>
                <c:pt idx="11">
                  <c:v>20.25</c:v>
                </c:pt>
                <c:pt idx="12" formatCode="0">
                  <c:v>20</c:v>
                </c:pt>
                <c:pt idx="13">
                  <c:v>20</c:v>
                </c:pt>
              </c:numCache>
            </c:numRef>
          </c:val>
          <c:extLst>
            <c:ext xmlns:c16="http://schemas.microsoft.com/office/drawing/2014/chart" uri="{C3380CC4-5D6E-409C-BE32-E72D297353CC}">
              <c16:uniqueId val="{00000000-0DEA-4884-A932-C27A14D14016}"/>
            </c:ext>
          </c:extLst>
        </c:ser>
        <c:ser>
          <c:idx val="1"/>
          <c:order val="1"/>
          <c:tx>
            <c:strRef>
              <c:f>Lists!$AC$23</c:f>
              <c:strCache>
                <c:ptCount val="1"/>
                <c:pt idx="0">
                  <c:v>Number of service agents </c:v>
                </c:pt>
              </c:strCache>
            </c:strRef>
          </c:tx>
          <c:spPr>
            <a:solidFill>
              <a:srgbClr val="FFB700"/>
            </a:solidFill>
            <a:ln>
              <a:noFill/>
            </a:ln>
            <a:effectLst/>
          </c:spPr>
          <c:invertIfNegative val="0"/>
          <c:cat>
            <c:multiLvlStrRef>
              <c:f>Lists!$AD$20:$AQ$21</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Lists!$AD$23:$AQ$23</c:f>
              <c:numCache>
                <c:formatCode>#,##0</c:formatCode>
                <c:ptCount val="14"/>
                <c:pt idx="0" formatCode="0">
                  <c:v>28.333593750000002</c:v>
                </c:pt>
                <c:pt idx="1">
                  <c:v>28.333593750000002</c:v>
                </c:pt>
                <c:pt idx="2" formatCode="0">
                  <c:v>71.934843749999999</c:v>
                </c:pt>
                <c:pt idx="3">
                  <c:v>71.934843749999999</c:v>
                </c:pt>
                <c:pt idx="4" formatCode="0">
                  <c:v>113.22609375000002</c:v>
                </c:pt>
                <c:pt idx="5">
                  <c:v>113.22609375000002</c:v>
                </c:pt>
                <c:pt idx="6" formatCode="0">
                  <c:v>152.20734375000001</c:v>
                </c:pt>
                <c:pt idx="7">
                  <c:v>152.20734375000001</c:v>
                </c:pt>
                <c:pt idx="8" formatCode="0">
                  <c:v>188.87859374999999</c:v>
                </c:pt>
                <c:pt idx="9">
                  <c:v>188.87859374999999</c:v>
                </c:pt>
                <c:pt idx="10" formatCode="0">
                  <c:v>198.51562500000003</c:v>
                </c:pt>
                <c:pt idx="11">
                  <c:v>198.51562500000003</c:v>
                </c:pt>
                <c:pt idx="12" formatCode="0">
                  <c:v>192.74062500000002</c:v>
                </c:pt>
                <c:pt idx="13">
                  <c:v>192.74062500000002</c:v>
                </c:pt>
              </c:numCache>
            </c:numRef>
          </c:val>
          <c:extLst>
            <c:ext xmlns:c16="http://schemas.microsoft.com/office/drawing/2014/chart" uri="{C3380CC4-5D6E-409C-BE32-E72D297353CC}">
              <c16:uniqueId val="{00000001-0DEA-4884-A932-C27A14D14016}"/>
            </c:ext>
          </c:extLst>
        </c:ser>
        <c:dLbls>
          <c:showLegendKey val="0"/>
          <c:showVal val="0"/>
          <c:showCatName val="0"/>
          <c:showSerName val="0"/>
          <c:showPercent val="0"/>
          <c:showBubbleSize val="0"/>
        </c:dLbls>
        <c:gapWidth val="150"/>
        <c:overlap val="100"/>
        <c:axId val="1394974880"/>
        <c:axId val="1394966720"/>
      </c:barChart>
      <c:catAx>
        <c:axId val="13949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66720"/>
        <c:crosses val="autoZero"/>
        <c:auto val="1"/>
        <c:lblAlgn val="ctr"/>
        <c:lblOffset val="100"/>
        <c:noMultiLvlLbl val="0"/>
      </c:catAx>
      <c:valAx>
        <c:axId val="1394966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Lists!$AK$27</c:f>
              <c:strCache>
                <c:ptCount val="1"/>
                <c:pt idx="0">
                  <c:v>no. of employed clerks </c:v>
                </c:pt>
              </c:strCache>
            </c:strRef>
          </c:tx>
          <c:spPr>
            <a:solidFill>
              <a:srgbClr val="11213F"/>
            </a:solidFill>
            <a:ln>
              <a:noFill/>
            </a:ln>
            <a:effectLst/>
          </c:spPr>
          <c:invertIfNegative val="0"/>
          <c:cat>
            <c:multiLvlStrRef>
              <c:f>Lists!$AL$25:$AY$26</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Lists!$AL$27:$AY$27</c:f>
              <c:numCache>
                <c:formatCode>#,##0</c:formatCode>
                <c:ptCount val="14"/>
                <c:pt idx="0" formatCode="0">
                  <c:v>14.75</c:v>
                </c:pt>
                <c:pt idx="1">
                  <c:v>14.75</c:v>
                </c:pt>
                <c:pt idx="2" formatCode="0">
                  <c:v>36.25</c:v>
                </c:pt>
                <c:pt idx="3">
                  <c:v>36.25</c:v>
                </c:pt>
                <c:pt idx="4" formatCode="0">
                  <c:v>57.5</c:v>
                </c:pt>
                <c:pt idx="5">
                  <c:v>57.5</c:v>
                </c:pt>
                <c:pt idx="6" formatCode="0">
                  <c:v>76.5</c:v>
                </c:pt>
                <c:pt idx="7">
                  <c:v>76.5</c:v>
                </c:pt>
                <c:pt idx="8" formatCode="0">
                  <c:v>95</c:v>
                </c:pt>
                <c:pt idx="9">
                  <c:v>95</c:v>
                </c:pt>
                <c:pt idx="10" formatCode="0">
                  <c:v>99.75</c:v>
                </c:pt>
                <c:pt idx="11">
                  <c:v>99.75</c:v>
                </c:pt>
                <c:pt idx="12" formatCode="0">
                  <c:v>97</c:v>
                </c:pt>
                <c:pt idx="13">
                  <c:v>97</c:v>
                </c:pt>
              </c:numCache>
            </c:numRef>
          </c:val>
          <c:extLst>
            <c:ext xmlns:c16="http://schemas.microsoft.com/office/drawing/2014/chart" uri="{C3380CC4-5D6E-409C-BE32-E72D297353CC}">
              <c16:uniqueId val="{00000000-9A1F-4E7F-A9EF-FDDCBB5F1582}"/>
            </c:ext>
          </c:extLst>
        </c:ser>
        <c:ser>
          <c:idx val="1"/>
          <c:order val="1"/>
          <c:tx>
            <c:strRef>
              <c:f>Lists!$AK$28</c:f>
              <c:strCache>
                <c:ptCount val="1"/>
                <c:pt idx="0">
                  <c:v>no. of employed IT and support </c:v>
                </c:pt>
              </c:strCache>
            </c:strRef>
          </c:tx>
          <c:spPr>
            <a:solidFill>
              <a:schemeClr val="accent2"/>
            </a:solidFill>
            <a:ln>
              <a:noFill/>
            </a:ln>
            <a:effectLst/>
          </c:spPr>
          <c:invertIfNegative val="0"/>
          <c:cat>
            <c:multiLvlStrRef>
              <c:f>Lists!$AL$25:$AY$26</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Lists!$AL$28:$AY$28</c:f>
              <c:numCache>
                <c:formatCode>#,##0</c:formatCode>
                <c:ptCount val="14"/>
                <c:pt idx="0" formatCode="0">
                  <c:v>6.25</c:v>
                </c:pt>
                <c:pt idx="1">
                  <c:v>6.25</c:v>
                </c:pt>
                <c:pt idx="2" formatCode="0">
                  <c:v>15</c:v>
                </c:pt>
                <c:pt idx="3">
                  <c:v>15</c:v>
                </c:pt>
                <c:pt idx="4" formatCode="0">
                  <c:v>23</c:v>
                </c:pt>
                <c:pt idx="5">
                  <c:v>23</c:v>
                </c:pt>
                <c:pt idx="6" formatCode="0">
                  <c:v>31</c:v>
                </c:pt>
                <c:pt idx="7">
                  <c:v>31</c:v>
                </c:pt>
                <c:pt idx="8" formatCode="0">
                  <c:v>38.25</c:v>
                </c:pt>
                <c:pt idx="9">
                  <c:v>38.25</c:v>
                </c:pt>
                <c:pt idx="10" formatCode="0">
                  <c:v>40.25</c:v>
                </c:pt>
                <c:pt idx="11">
                  <c:v>40.25</c:v>
                </c:pt>
                <c:pt idx="12" formatCode="0">
                  <c:v>39</c:v>
                </c:pt>
                <c:pt idx="13">
                  <c:v>39</c:v>
                </c:pt>
              </c:numCache>
            </c:numRef>
          </c:val>
          <c:extLst>
            <c:ext xmlns:c16="http://schemas.microsoft.com/office/drawing/2014/chart" uri="{C3380CC4-5D6E-409C-BE32-E72D297353CC}">
              <c16:uniqueId val="{00000001-9A1F-4E7F-A9EF-FDDCBB5F1582}"/>
            </c:ext>
          </c:extLst>
        </c:ser>
        <c:ser>
          <c:idx val="2"/>
          <c:order val="2"/>
          <c:tx>
            <c:strRef>
              <c:f>Lists!$AK$29</c:f>
              <c:strCache>
                <c:ptCount val="1"/>
                <c:pt idx="0">
                  <c:v>no. of employed loan officers </c:v>
                </c:pt>
              </c:strCache>
            </c:strRef>
          </c:tx>
          <c:spPr>
            <a:solidFill>
              <a:schemeClr val="accent3"/>
            </a:solidFill>
            <a:ln>
              <a:noFill/>
            </a:ln>
            <a:effectLst/>
          </c:spPr>
          <c:invertIfNegative val="0"/>
          <c:cat>
            <c:multiLvlStrRef>
              <c:f>Lists!$AL$25:$AY$26</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Lists!$AL$29:$AY$29</c:f>
              <c:numCache>
                <c:formatCode>#,##0</c:formatCode>
                <c:ptCount val="14"/>
                <c:pt idx="0" formatCode="0">
                  <c:v>3.5</c:v>
                </c:pt>
                <c:pt idx="1">
                  <c:v>3.5</c:v>
                </c:pt>
                <c:pt idx="2" formatCode="0">
                  <c:v>8.5</c:v>
                </c:pt>
                <c:pt idx="3">
                  <c:v>8.5</c:v>
                </c:pt>
                <c:pt idx="4" formatCode="0">
                  <c:v>13</c:v>
                </c:pt>
                <c:pt idx="5">
                  <c:v>13</c:v>
                </c:pt>
                <c:pt idx="6" formatCode="0">
                  <c:v>17.5</c:v>
                </c:pt>
                <c:pt idx="7">
                  <c:v>17.5</c:v>
                </c:pt>
                <c:pt idx="8" formatCode="0">
                  <c:v>21.5</c:v>
                </c:pt>
                <c:pt idx="9">
                  <c:v>21.5</c:v>
                </c:pt>
                <c:pt idx="10" formatCode="0">
                  <c:v>22.25</c:v>
                </c:pt>
                <c:pt idx="11">
                  <c:v>22.25</c:v>
                </c:pt>
                <c:pt idx="12" formatCode="0">
                  <c:v>21.75</c:v>
                </c:pt>
                <c:pt idx="13">
                  <c:v>21.75</c:v>
                </c:pt>
              </c:numCache>
            </c:numRef>
          </c:val>
          <c:extLst>
            <c:ext xmlns:c16="http://schemas.microsoft.com/office/drawing/2014/chart" uri="{C3380CC4-5D6E-409C-BE32-E72D297353CC}">
              <c16:uniqueId val="{00000002-9A1F-4E7F-A9EF-FDDCBB5F1582}"/>
            </c:ext>
          </c:extLst>
        </c:ser>
        <c:ser>
          <c:idx val="3"/>
          <c:order val="3"/>
          <c:tx>
            <c:strRef>
              <c:f>Lists!$AK$30</c:f>
              <c:strCache>
                <c:ptCount val="1"/>
                <c:pt idx="0">
                  <c:v>no. of employed managers </c:v>
                </c:pt>
              </c:strCache>
            </c:strRef>
          </c:tx>
          <c:spPr>
            <a:solidFill>
              <a:schemeClr val="accent4"/>
            </a:solidFill>
            <a:ln>
              <a:noFill/>
            </a:ln>
            <a:effectLst/>
          </c:spPr>
          <c:invertIfNegative val="0"/>
          <c:cat>
            <c:multiLvlStrRef>
              <c:f>Lists!$AL$25:$AY$26</c:f>
              <c:multiLvlStrCache>
                <c:ptCount val="14"/>
                <c:lvl>
                  <c:pt idx="0">
                    <c:v>Base scenario</c:v>
                  </c:pt>
                  <c:pt idx="1">
                    <c:v>Alternative scenario</c:v>
                  </c:pt>
                  <c:pt idx="2">
                    <c:v>Base scenario</c:v>
                  </c:pt>
                  <c:pt idx="3">
                    <c:v>Alternative scenario</c:v>
                  </c:pt>
                  <c:pt idx="4">
                    <c:v>Base scenario</c:v>
                  </c:pt>
                  <c:pt idx="5">
                    <c:v>Alternative scenario</c:v>
                  </c:pt>
                  <c:pt idx="6">
                    <c:v>Base scenario</c:v>
                  </c:pt>
                  <c:pt idx="7">
                    <c:v>Alternative scenario</c:v>
                  </c:pt>
                  <c:pt idx="8">
                    <c:v>Base scenario</c:v>
                  </c:pt>
                  <c:pt idx="9">
                    <c:v>Alternative scenario</c:v>
                  </c:pt>
                  <c:pt idx="10">
                    <c:v>Base scenario</c:v>
                  </c:pt>
                  <c:pt idx="11">
                    <c:v>Alternative scenario</c:v>
                  </c:pt>
                  <c:pt idx="12">
                    <c:v>Base scenario</c:v>
                  </c:pt>
                  <c:pt idx="13">
                    <c:v>Alternative scenario</c:v>
                  </c:pt>
                </c:lvl>
                <c:lvl>
                  <c:pt idx="0">
                    <c:v>Y1</c:v>
                  </c:pt>
                  <c:pt idx="2">
                    <c:v>Y2</c:v>
                  </c:pt>
                  <c:pt idx="4">
                    <c:v>Y3</c:v>
                  </c:pt>
                  <c:pt idx="6">
                    <c:v>Y4</c:v>
                  </c:pt>
                  <c:pt idx="8">
                    <c:v>Y5</c:v>
                  </c:pt>
                  <c:pt idx="10">
                    <c:v>Y6</c:v>
                  </c:pt>
                  <c:pt idx="12">
                    <c:v>Y7</c:v>
                  </c:pt>
                </c:lvl>
              </c:multiLvlStrCache>
            </c:multiLvlStrRef>
          </c:cat>
          <c:val>
            <c:numRef>
              <c:f>Lists!$AL$30:$AY$30</c:f>
              <c:numCache>
                <c:formatCode>#,##0</c:formatCode>
                <c:ptCount val="14"/>
                <c:pt idx="0" formatCode="0">
                  <c:v>6.25</c:v>
                </c:pt>
                <c:pt idx="1">
                  <c:v>6.25</c:v>
                </c:pt>
                <c:pt idx="2" formatCode="0">
                  <c:v>15</c:v>
                </c:pt>
                <c:pt idx="3">
                  <c:v>15</c:v>
                </c:pt>
                <c:pt idx="4" formatCode="0">
                  <c:v>23</c:v>
                </c:pt>
                <c:pt idx="5">
                  <c:v>23</c:v>
                </c:pt>
                <c:pt idx="6" formatCode="0">
                  <c:v>31</c:v>
                </c:pt>
                <c:pt idx="7">
                  <c:v>31</c:v>
                </c:pt>
                <c:pt idx="8" formatCode="0">
                  <c:v>38.25</c:v>
                </c:pt>
                <c:pt idx="9">
                  <c:v>38.25</c:v>
                </c:pt>
                <c:pt idx="10" formatCode="0">
                  <c:v>40.25</c:v>
                </c:pt>
                <c:pt idx="11">
                  <c:v>40.25</c:v>
                </c:pt>
                <c:pt idx="12" formatCode="0">
                  <c:v>39</c:v>
                </c:pt>
                <c:pt idx="13">
                  <c:v>39</c:v>
                </c:pt>
              </c:numCache>
            </c:numRef>
          </c:val>
          <c:extLst>
            <c:ext xmlns:c16="http://schemas.microsoft.com/office/drawing/2014/chart" uri="{C3380CC4-5D6E-409C-BE32-E72D297353CC}">
              <c16:uniqueId val="{00000003-9A1F-4E7F-A9EF-FDDCBB5F1582}"/>
            </c:ext>
          </c:extLst>
        </c:ser>
        <c:dLbls>
          <c:showLegendKey val="0"/>
          <c:showVal val="0"/>
          <c:showCatName val="0"/>
          <c:showSerName val="0"/>
          <c:showPercent val="0"/>
          <c:showBubbleSize val="0"/>
        </c:dLbls>
        <c:gapWidth val="150"/>
        <c:overlap val="100"/>
        <c:axId val="1194273952"/>
        <c:axId val="1194283552"/>
      </c:barChart>
      <c:catAx>
        <c:axId val="119427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83552"/>
        <c:crosses val="autoZero"/>
        <c:auto val="1"/>
        <c:lblAlgn val="ctr"/>
        <c:lblOffset val="100"/>
        <c:noMultiLvlLbl val="0"/>
      </c:catAx>
      <c:valAx>
        <c:axId val="119428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2.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34</xdr:col>
      <xdr:colOff>960272</xdr:colOff>
      <xdr:row>56</xdr:row>
      <xdr:rowOff>0</xdr:rowOff>
    </xdr:from>
    <xdr:to>
      <xdr:col>36</xdr:col>
      <xdr:colOff>95338</xdr:colOff>
      <xdr:row>56</xdr:row>
      <xdr:rowOff>0</xdr:rowOff>
    </xdr:to>
    <xdr:sp macro="" textlink="">
      <xdr:nvSpPr>
        <xdr:cNvPr id="2" name="Right Brace 1">
          <a:extLst>
            <a:ext uri="{FF2B5EF4-FFF2-40B4-BE49-F238E27FC236}">
              <a16:creationId xmlns:a16="http://schemas.microsoft.com/office/drawing/2014/main" id="{7F23F195-A97A-4666-8575-96E58DBA3271}"/>
            </a:ext>
          </a:extLst>
        </xdr:cNvPr>
        <xdr:cNvSpPr/>
      </xdr:nvSpPr>
      <xdr:spPr>
        <a:xfrm>
          <a:off x="11982450" y="16692563"/>
          <a:ext cx="0" cy="0"/>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twoCellAnchor>
    <xdr:from>
      <xdr:col>34</xdr:col>
      <xdr:colOff>974395</xdr:colOff>
      <xdr:row>56</xdr:row>
      <xdr:rowOff>0</xdr:rowOff>
    </xdr:from>
    <xdr:to>
      <xdr:col>36</xdr:col>
      <xdr:colOff>96761</xdr:colOff>
      <xdr:row>57</xdr:row>
      <xdr:rowOff>0</xdr:rowOff>
    </xdr:to>
    <xdr:sp macro="" textlink="">
      <xdr:nvSpPr>
        <xdr:cNvPr id="3" name="Right Brace 2">
          <a:extLst>
            <a:ext uri="{FF2B5EF4-FFF2-40B4-BE49-F238E27FC236}">
              <a16:creationId xmlns:a16="http://schemas.microsoft.com/office/drawing/2014/main" id="{170267B6-023F-4EF6-90EA-F89F95EDFC9C}"/>
            </a:ext>
          </a:extLst>
        </xdr:cNvPr>
        <xdr:cNvSpPr/>
      </xdr:nvSpPr>
      <xdr:spPr>
        <a:xfrm>
          <a:off x="11982450" y="16692563"/>
          <a:ext cx="0" cy="200025"/>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twoCellAnchor>
    <xdr:from>
      <xdr:col>4</xdr:col>
      <xdr:colOff>14094</xdr:colOff>
      <xdr:row>16</xdr:row>
      <xdr:rowOff>204856</xdr:rowOff>
    </xdr:from>
    <xdr:to>
      <xdr:col>7</xdr:col>
      <xdr:colOff>175719</xdr:colOff>
      <xdr:row>17</xdr:row>
      <xdr:rowOff>299448</xdr:rowOff>
    </xdr:to>
    <xdr:sp macro="" textlink="">
      <xdr:nvSpPr>
        <xdr:cNvPr id="4" name="Rectangle: Rounded Corners 9">
          <a:extLst>
            <a:ext uri="{FF2B5EF4-FFF2-40B4-BE49-F238E27FC236}">
              <a16:creationId xmlns:a16="http://schemas.microsoft.com/office/drawing/2014/main" id="{5DA47B4E-4D90-4259-8A07-6EEE10227985}"/>
            </a:ext>
          </a:extLst>
        </xdr:cNvPr>
        <xdr:cNvSpPr/>
      </xdr:nvSpPr>
      <xdr:spPr>
        <a:xfrm>
          <a:off x="2595369" y="4157731"/>
          <a:ext cx="1042688" cy="327955"/>
        </a:xfrm>
        <a:prstGeom prst="roundRect">
          <a:avLst/>
        </a:prstGeom>
        <a:solidFill>
          <a:srgbClr val="FFB7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solidFill>
                <a:srgbClr val="11213F"/>
              </a:solidFill>
            </a:rPr>
            <a:t>TA Funders</a:t>
          </a:r>
        </a:p>
      </xdr:txBody>
    </xdr:sp>
    <xdr:clientData/>
  </xdr:twoCellAnchor>
  <xdr:twoCellAnchor>
    <xdr:from>
      <xdr:col>37</xdr:col>
      <xdr:colOff>20734</xdr:colOff>
      <xdr:row>36</xdr:row>
      <xdr:rowOff>164523</xdr:rowOff>
    </xdr:from>
    <xdr:to>
      <xdr:col>37</xdr:col>
      <xdr:colOff>219027</xdr:colOff>
      <xdr:row>56</xdr:row>
      <xdr:rowOff>153276</xdr:rowOff>
    </xdr:to>
    <xdr:sp macro="" textlink="">
      <xdr:nvSpPr>
        <xdr:cNvPr id="5" name="Left Brace 10">
          <a:extLst>
            <a:ext uri="{FF2B5EF4-FFF2-40B4-BE49-F238E27FC236}">
              <a16:creationId xmlns:a16="http://schemas.microsoft.com/office/drawing/2014/main" id="{86AE6F40-43A0-41F7-A5E5-B4F0702DE9AE}"/>
            </a:ext>
          </a:extLst>
        </xdr:cNvPr>
        <xdr:cNvSpPr/>
      </xdr:nvSpPr>
      <xdr:spPr>
        <a:xfrm>
          <a:off x="12003184" y="8794173"/>
          <a:ext cx="198293" cy="8051666"/>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37</xdr:col>
      <xdr:colOff>259583</xdr:colOff>
      <xdr:row>3</xdr:row>
      <xdr:rowOff>31203</xdr:rowOff>
    </xdr:from>
    <xdr:ext cx="3027918" cy="1183581"/>
    <xdr:pic>
      <xdr:nvPicPr>
        <xdr:cNvPr id="6" name="Picture 12" descr="Welcome to Argidius | Partnerships for jobs and hope">
          <a:extLst>
            <a:ext uri="{FF2B5EF4-FFF2-40B4-BE49-F238E27FC236}">
              <a16:creationId xmlns:a16="http://schemas.microsoft.com/office/drawing/2014/main" id="{0AE06355-7B85-4D29-94EB-B3F56FA7E2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2033" y="631278"/>
          <a:ext cx="3027918" cy="11835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235308</xdr:colOff>
      <xdr:row>16</xdr:row>
      <xdr:rowOff>204974</xdr:rowOff>
    </xdr:from>
    <xdr:to>
      <xdr:col>13</xdr:col>
      <xdr:colOff>308171</xdr:colOff>
      <xdr:row>17</xdr:row>
      <xdr:rowOff>299566</xdr:rowOff>
    </xdr:to>
    <xdr:sp macro="" textlink="">
      <xdr:nvSpPr>
        <xdr:cNvPr id="7" name="Rectangle: Rounded Corners 9">
          <a:extLst>
            <a:ext uri="{FF2B5EF4-FFF2-40B4-BE49-F238E27FC236}">
              <a16:creationId xmlns:a16="http://schemas.microsoft.com/office/drawing/2014/main" id="{A8353BF8-82EE-4A7B-9856-0384EA19D876}"/>
            </a:ext>
          </a:extLst>
        </xdr:cNvPr>
        <xdr:cNvSpPr/>
      </xdr:nvSpPr>
      <xdr:spPr>
        <a:xfrm>
          <a:off x="3697646" y="4157849"/>
          <a:ext cx="1611150" cy="327955"/>
        </a:xfrm>
        <a:prstGeom prst="roundRect">
          <a:avLst/>
        </a:prstGeom>
        <a:solidFill>
          <a:srgbClr val="FFB7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solidFill>
                <a:srgbClr val="11213F"/>
              </a:solidFill>
            </a:rPr>
            <a:t>Commercial Banks</a:t>
          </a:r>
        </a:p>
      </xdr:txBody>
    </xdr:sp>
    <xdr:clientData/>
  </xdr:twoCellAnchor>
  <xdr:twoCellAnchor>
    <xdr:from>
      <xdr:col>14</xdr:col>
      <xdr:colOff>9543</xdr:colOff>
      <xdr:row>16</xdr:row>
      <xdr:rowOff>205405</xdr:rowOff>
    </xdr:from>
    <xdr:to>
      <xdr:col>17</xdr:col>
      <xdr:colOff>2557</xdr:colOff>
      <xdr:row>17</xdr:row>
      <xdr:rowOff>299997</xdr:rowOff>
    </xdr:to>
    <xdr:sp macro="" textlink="">
      <xdr:nvSpPr>
        <xdr:cNvPr id="8" name="Rectangle: Rounded Corners 9">
          <a:extLst>
            <a:ext uri="{FF2B5EF4-FFF2-40B4-BE49-F238E27FC236}">
              <a16:creationId xmlns:a16="http://schemas.microsoft.com/office/drawing/2014/main" id="{E55F5300-EA4B-432D-83CF-A540774774CD}"/>
            </a:ext>
          </a:extLst>
        </xdr:cNvPr>
        <xdr:cNvSpPr/>
      </xdr:nvSpPr>
      <xdr:spPr>
        <a:xfrm>
          <a:off x="5376881" y="4158280"/>
          <a:ext cx="690544" cy="327955"/>
        </a:xfrm>
        <a:prstGeom prst="roundRect">
          <a:avLst/>
        </a:prstGeom>
        <a:solidFill>
          <a:srgbClr val="FFB7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solidFill>
                <a:srgbClr val="11213F"/>
              </a:solidFill>
            </a:rPr>
            <a:t>DFIs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69950</xdr:rowOff>
    </xdr:to>
    <xdr:pic>
      <xdr:nvPicPr>
        <xdr:cNvPr id="4" name="Picture 3">
          <a:extLst>
            <a:ext uri="{FF2B5EF4-FFF2-40B4-BE49-F238E27FC236}">
              <a16:creationId xmlns:a16="http://schemas.microsoft.com/office/drawing/2014/main" id="{484FD7CE-E8A7-46C8-86D2-63540D6BF59F}"/>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90525" y="0"/>
          <a:ext cx="1201644" cy="1160563"/>
        </a:xfrm>
        <a:prstGeom prst="rect">
          <a:avLst/>
        </a:prstGeom>
      </xdr:spPr>
    </xdr:pic>
    <xdr:clientData/>
  </xdr:twoCellAnchor>
  <xdr:twoCellAnchor editAs="oneCell">
    <xdr:from>
      <xdr:col>2</xdr:col>
      <xdr:colOff>0</xdr:colOff>
      <xdr:row>0</xdr:row>
      <xdr:rowOff>0</xdr:rowOff>
    </xdr:from>
    <xdr:to>
      <xdr:col>2</xdr:col>
      <xdr:colOff>1201644</xdr:colOff>
      <xdr:row>1</xdr:row>
      <xdr:rowOff>69518</xdr:rowOff>
    </xdr:to>
    <xdr:pic>
      <xdr:nvPicPr>
        <xdr:cNvPr id="5" name="Picture 4">
          <a:extLst>
            <a:ext uri="{FF2B5EF4-FFF2-40B4-BE49-F238E27FC236}">
              <a16:creationId xmlns:a16="http://schemas.microsoft.com/office/drawing/2014/main" id="{1C94AC91-2453-40D9-BEE5-59179D2BD079}"/>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71475" y="0"/>
          <a:ext cx="1201644" cy="11601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69950</xdr:rowOff>
    </xdr:to>
    <xdr:pic>
      <xdr:nvPicPr>
        <xdr:cNvPr id="2" name="Picture 1">
          <a:extLst>
            <a:ext uri="{FF2B5EF4-FFF2-40B4-BE49-F238E27FC236}">
              <a16:creationId xmlns:a16="http://schemas.microsoft.com/office/drawing/2014/main" id="{0CD73E9C-8740-4F1C-A8EE-3423CC1B2679}"/>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90525" y="0"/>
          <a:ext cx="1201644" cy="1160563"/>
        </a:xfrm>
        <a:prstGeom prst="rect">
          <a:avLst/>
        </a:prstGeom>
      </xdr:spPr>
    </xdr:pic>
    <xdr:clientData/>
  </xdr:twoCellAnchor>
  <xdr:twoCellAnchor editAs="oneCell">
    <xdr:from>
      <xdr:col>2</xdr:col>
      <xdr:colOff>0</xdr:colOff>
      <xdr:row>0</xdr:row>
      <xdr:rowOff>0</xdr:rowOff>
    </xdr:from>
    <xdr:to>
      <xdr:col>2</xdr:col>
      <xdr:colOff>1201644</xdr:colOff>
      <xdr:row>1</xdr:row>
      <xdr:rowOff>69518</xdr:rowOff>
    </xdr:to>
    <xdr:pic>
      <xdr:nvPicPr>
        <xdr:cNvPr id="3" name="Picture 2">
          <a:extLst>
            <a:ext uri="{FF2B5EF4-FFF2-40B4-BE49-F238E27FC236}">
              <a16:creationId xmlns:a16="http://schemas.microsoft.com/office/drawing/2014/main" id="{82A0E8BC-F61F-41C7-8E22-E64C56AC7D3B}"/>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90525" y="0"/>
          <a:ext cx="1201644" cy="1160131"/>
        </a:xfrm>
        <a:prstGeom prst="rect">
          <a:avLst/>
        </a:prstGeom>
      </xdr:spPr>
    </xdr:pic>
    <xdr:clientData/>
  </xdr:twoCellAnchor>
  <xdr:twoCellAnchor>
    <xdr:from>
      <xdr:col>2</xdr:col>
      <xdr:colOff>0</xdr:colOff>
      <xdr:row>64</xdr:row>
      <xdr:rowOff>17319</xdr:rowOff>
    </xdr:from>
    <xdr:to>
      <xdr:col>5</xdr:col>
      <xdr:colOff>935183</xdr:colOff>
      <xdr:row>79</xdr:row>
      <xdr:rowOff>89579</xdr:rowOff>
    </xdr:to>
    <xdr:graphicFrame macro="">
      <xdr:nvGraphicFramePr>
        <xdr:cNvPr id="5" name="Chart 4">
          <a:extLst>
            <a:ext uri="{FF2B5EF4-FFF2-40B4-BE49-F238E27FC236}">
              <a16:creationId xmlns:a16="http://schemas.microsoft.com/office/drawing/2014/main" id="{84A03657-5ED2-4713-B636-A07F822B9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123101</xdr:colOff>
      <xdr:row>64</xdr:row>
      <xdr:rowOff>17318</xdr:rowOff>
    </xdr:from>
    <xdr:to>
      <xdr:col>9</xdr:col>
      <xdr:colOff>2866158</xdr:colOff>
      <xdr:row>79</xdr:row>
      <xdr:rowOff>77599</xdr:rowOff>
    </xdr:to>
    <xdr:graphicFrame macro="">
      <xdr:nvGraphicFramePr>
        <xdr:cNvPr id="6" name="Chart 5">
          <a:extLst>
            <a:ext uri="{FF2B5EF4-FFF2-40B4-BE49-F238E27FC236}">
              <a16:creationId xmlns:a16="http://schemas.microsoft.com/office/drawing/2014/main" id="{88714DE0-B272-40A7-8C00-EA98C3CC9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3174</xdr:colOff>
      <xdr:row>31</xdr:row>
      <xdr:rowOff>8660</xdr:rowOff>
    </xdr:from>
    <xdr:to>
      <xdr:col>5</xdr:col>
      <xdr:colOff>935183</xdr:colOff>
      <xdr:row>45</xdr:row>
      <xdr:rowOff>93663</xdr:rowOff>
    </xdr:to>
    <xdr:graphicFrame macro="">
      <xdr:nvGraphicFramePr>
        <xdr:cNvPr id="8" name="Chart 7">
          <a:extLst>
            <a:ext uri="{FF2B5EF4-FFF2-40B4-BE49-F238E27FC236}">
              <a16:creationId xmlns:a16="http://schemas.microsoft.com/office/drawing/2014/main" id="{E4FA3B2A-1055-4481-96BC-96F7D9BC7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15</xdr:row>
      <xdr:rowOff>0</xdr:rowOff>
    </xdr:from>
    <xdr:to>
      <xdr:col>6</xdr:col>
      <xdr:colOff>4330</xdr:colOff>
      <xdr:row>30</xdr:row>
      <xdr:rowOff>0</xdr:rowOff>
    </xdr:to>
    <xdr:graphicFrame macro="">
      <xdr:nvGraphicFramePr>
        <xdr:cNvPr id="11" name="Chart 10">
          <a:extLst>
            <a:ext uri="{FF2B5EF4-FFF2-40B4-BE49-F238E27FC236}">
              <a16:creationId xmlns:a16="http://schemas.microsoft.com/office/drawing/2014/main" id="{17FA3B92-BF5B-4D46-9E2E-4FB0C701F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112569</xdr:colOff>
      <xdr:row>31</xdr:row>
      <xdr:rowOff>4330</xdr:rowOff>
    </xdr:from>
    <xdr:to>
      <xdr:col>9</xdr:col>
      <xdr:colOff>2861829</xdr:colOff>
      <xdr:row>45</xdr:row>
      <xdr:rowOff>66098</xdr:rowOff>
    </xdr:to>
    <xdr:graphicFrame macro="">
      <xdr:nvGraphicFramePr>
        <xdr:cNvPr id="13" name="Chart 12">
          <a:extLst>
            <a:ext uri="{FF2B5EF4-FFF2-40B4-BE49-F238E27FC236}">
              <a16:creationId xmlns:a16="http://schemas.microsoft.com/office/drawing/2014/main" id="{42C97E77-25C5-43DB-884F-46C2A972D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116175</xdr:colOff>
      <xdr:row>14</xdr:row>
      <xdr:rowOff>177511</xdr:rowOff>
    </xdr:from>
    <xdr:to>
      <xdr:col>9</xdr:col>
      <xdr:colOff>2848841</xdr:colOff>
      <xdr:row>30</xdr:row>
      <xdr:rowOff>8371</xdr:rowOff>
    </xdr:to>
    <xdr:graphicFrame macro="">
      <xdr:nvGraphicFramePr>
        <xdr:cNvPr id="7" name="Chart 6">
          <a:extLst>
            <a:ext uri="{FF2B5EF4-FFF2-40B4-BE49-F238E27FC236}">
              <a16:creationId xmlns:a16="http://schemas.microsoft.com/office/drawing/2014/main" id="{9402483B-4384-4928-BDAF-CA3B1AC09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xdr:colOff>
      <xdr:row>46</xdr:row>
      <xdr:rowOff>125557</xdr:rowOff>
    </xdr:from>
    <xdr:to>
      <xdr:col>6</xdr:col>
      <xdr:colOff>1</xdr:colOff>
      <xdr:row>62</xdr:row>
      <xdr:rowOff>127000</xdr:rowOff>
    </xdr:to>
    <xdr:graphicFrame macro="">
      <xdr:nvGraphicFramePr>
        <xdr:cNvPr id="10" name="Chart 9">
          <a:extLst>
            <a:ext uri="{FF2B5EF4-FFF2-40B4-BE49-F238E27FC236}">
              <a16:creationId xmlns:a16="http://schemas.microsoft.com/office/drawing/2014/main" id="{4CE9F469-EB1F-4BEA-BC97-D4516D0B8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121947</xdr:colOff>
      <xdr:row>46</xdr:row>
      <xdr:rowOff>129886</xdr:rowOff>
    </xdr:from>
    <xdr:to>
      <xdr:col>9</xdr:col>
      <xdr:colOff>2861828</xdr:colOff>
      <xdr:row>62</xdr:row>
      <xdr:rowOff>155863</xdr:rowOff>
    </xdr:to>
    <xdr:graphicFrame macro="">
      <xdr:nvGraphicFramePr>
        <xdr:cNvPr id="14" name="Chart 13">
          <a:extLst>
            <a:ext uri="{FF2B5EF4-FFF2-40B4-BE49-F238E27FC236}">
              <a16:creationId xmlns:a16="http://schemas.microsoft.com/office/drawing/2014/main" id="{3D71BE0C-5678-4685-AAB0-7230A68B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69950</xdr:rowOff>
    </xdr:to>
    <xdr:pic>
      <xdr:nvPicPr>
        <xdr:cNvPr id="2" name="Picture 1">
          <a:extLst>
            <a:ext uri="{FF2B5EF4-FFF2-40B4-BE49-F238E27FC236}">
              <a16:creationId xmlns:a16="http://schemas.microsoft.com/office/drawing/2014/main" id="{2F83DF7E-9D85-4230-9CE2-8E93E52F91C7}"/>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60563"/>
        </a:xfrm>
        <a:prstGeom prst="rect">
          <a:avLst/>
        </a:prstGeom>
      </xdr:spPr>
    </xdr:pic>
    <xdr:clientData/>
  </xdr:twoCellAnchor>
  <xdr:twoCellAnchor editAs="oneCell">
    <xdr:from>
      <xdr:col>2</xdr:col>
      <xdr:colOff>0</xdr:colOff>
      <xdr:row>0</xdr:row>
      <xdr:rowOff>0</xdr:rowOff>
    </xdr:from>
    <xdr:to>
      <xdr:col>2</xdr:col>
      <xdr:colOff>1201644</xdr:colOff>
      <xdr:row>1</xdr:row>
      <xdr:rowOff>69518</xdr:rowOff>
    </xdr:to>
    <xdr:pic>
      <xdr:nvPicPr>
        <xdr:cNvPr id="3" name="Picture 2">
          <a:extLst>
            <a:ext uri="{FF2B5EF4-FFF2-40B4-BE49-F238E27FC236}">
              <a16:creationId xmlns:a16="http://schemas.microsoft.com/office/drawing/2014/main" id="{2594EF9D-00A4-450B-A015-6A5FF5F8B16D}"/>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60131"/>
        </a:xfrm>
        <a:prstGeom prst="rect">
          <a:avLst/>
        </a:prstGeom>
      </xdr:spPr>
    </xdr:pic>
    <xdr:clientData/>
  </xdr:twoCellAnchor>
  <xdr:twoCellAnchor>
    <xdr:from>
      <xdr:col>2</xdr:col>
      <xdr:colOff>0</xdr:colOff>
      <xdr:row>64</xdr:row>
      <xdr:rowOff>17319</xdr:rowOff>
    </xdr:from>
    <xdr:to>
      <xdr:col>5</xdr:col>
      <xdr:colOff>935183</xdr:colOff>
      <xdr:row>79</xdr:row>
      <xdr:rowOff>89579</xdr:rowOff>
    </xdr:to>
    <xdr:graphicFrame macro="">
      <xdr:nvGraphicFramePr>
        <xdr:cNvPr id="4" name="Chart 3">
          <a:extLst>
            <a:ext uri="{FF2B5EF4-FFF2-40B4-BE49-F238E27FC236}">
              <a16:creationId xmlns:a16="http://schemas.microsoft.com/office/drawing/2014/main" id="{28EEBE0D-A092-4C6D-81E7-F82E7D6F1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123101</xdr:colOff>
      <xdr:row>64</xdr:row>
      <xdr:rowOff>17318</xdr:rowOff>
    </xdr:from>
    <xdr:to>
      <xdr:col>9</xdr:col>
      <xdr:colOff>2866158</xdr:colOff>
      <xdr:row>79</xdr:row>
      <xdr:rowOff>77599</xdr:rowOff>
    </xdr:to>
    <xdr:graphicFrame macro="">
      <xdr:nvGraphicFramePr>
        <xdr:cNvPr id="5" name="Chart 4">
          <a:extLst>
            <a:ext uri="{FF2B5EF4-FFF2-40B4-BE49-F238E27FC236}">
              <a16:creationId xmlns:a16="http://schemas.microsoft.com/office/drawing/2014/main" id="{23A542AE-79D0-4C5D-8945-C8759A533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3174</xdr:colOff>
      <xdr:row>31</xdr:row>
      <xdr:rowOff>8660</xdr:rowOff>
    </xdr:from>
    <xdr:to>
      <xdr:col>5</xdr:col>
      <xdr:colOff>935183</xdr:colOff>
      <xdr:row>45</xdr:row>
      <xdr:rowOff>93663</xdr:rowOff>
    </xdr:to>
    <xdr:graphicFrame macro="">
      <xdr:nvGraphicFramePr>
        <xdr:cNvPr id="6" name="Chart 5">
          <a:extLst>
            <a:ext uri="{FF2B5EF4-FFF2-40B4-BE49-F238E27FC236}">
              <a16:creationId xmlns:a16="http://schemas.microsoft.com/office/drawing/2014/main" id="{F09F1B23-7380-4F17-970F-61EAD2794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15</xdr:row>
      <xdr:rowOff>0</xdr:rowOff>
    </xdr:from>
    <xdr:to>
      <xdr:col>6</xdr:col>
      <xdr:colOff>4330</xdr:colOff>
      <xdr:row>30</xdr:row>
      <xdr:rowOff>0</xdr:rowOff>
    </xdr:to>
    <xdr:graphicFrame macro="">
      <xdr:nvGraphicFramePr>
        <xdr:cNvPr id="7" name="Chart 6">
          <a:extLst>
            <a:ext uri="{FF2B5EF4-FFF2-40B4-BE49-F238E27FC236}">
              <a16:creationId xmlns:a16="http://schemas.microsoft.com/office/drawing/2014/main" id="{771FE84E-934C-4D40-A432-F4CCF4D5F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112569</xdr:colOff>
      <xdr:row>31</xdr:row>
      <xdr:rowOff>4330</xdr:rowOff>
    </xdr:from>
    <xdr:to>
      <xdr:col>9</xdr:col>
      <xdr:colOff>2861829</xdr:colOff>
      <xdr:row>45</xdr:row>
      <xdr:rowOff>66098</xdr:rowOff>
    </xdr:to>
    <xdr:graphicFrame macro="">
      <xdr:nvGraphicFramePr>
        <xdr:cNvPr id="8" name="Chart 7">
          <a:extLst>
            <a:ext uri="{FF2B5EF4-FFF2-40B4-BE49-F238E27FC236}">
              <a16:creationId xmlns:a16="http://schemas.microsoft.com/office/drawing/2014/main" id="{443620F8-3017-417F-A0F9-B33C67D98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116175</xdr:colOff>
      <xdr:row>14</xdr:row>
      <xdr:rowOff>177511</xdr:rowOff>
    </xdr:from>
    <xdr:to>
      <xdr:col>9</xdr:col>
      <xdr:colOff>2848841</xdr:colOff>
      <xdr:row>30</xdr:row>
      <xdr:rowOff>8371</xdr:rowOff>
    </xdr:to>
    <xdr:graphicFrame macro="">
      <xdr:nvGraphicFramePr>
        <xdr:cNvPr id="9" name="Chart 8">
          <a:extLst>
            <a:ext uri="{FF2B5EF4-FFF2-40B4-BE49-F238E27FC236}">
              <a16:creationId xmlns:a16="http://schemas.microsoft.com/office/drawing/2014/main" id="{674FEB6E-1010-42CC-A17D-223DDFBA5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xdr:colOff>
      <xdr:row>46</xdr:row>
      <xdr:rowOff>125557</xdr:rowOff>
    </xdr:from>
    <xdr:to>
      <xdr:col>6</xdr:col>
      <xdr:colOff>1</xdr:colOff>
      <xdr:row>62</xdr:row>
      <xdr:rowOff>127000</xdr:rowOff>
    </xdr:to>
    <xdr:graphicFrame macro="">
      <xdr:nvGraphicFramePr>
        <xdr:cNvPr id="10" name="Chart 9">
          <a:extLst>
            <a:ext uri="{FF2B5EF4-FFF2-40B4-BE49-F238E27FC236}">
              <a16:creationId xmlns:a16="http://schemas.microsoft.com/office/drawing/2014/main" id="{BFB566A0-CA24-498A-8E51-A4CE3C43A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121947</xdr:colOff>
      <xdr:row>46</xdr:row>
      <xdr:rowOff>129886</xdr:rowOff>
    </xdr:from>
    <xdr:to>
      <xdr:col>9</xdr:col>
      <xdr:colOff>2861828</xdr:colOff>
      <xdr:row>62</xdr:row>
      <xdr:rowOff>155863</xdr:rowOff>
    </xdr:to>
    <xdr:graphicFrame macro="">
      <xdr:nvGraphicFramePr>
        <xdr:cNvPr id="11" name="Chart 10">
          <a:extLst>
            <a:ext uri="{FF2B5EF4-FFF2-40B4-BE49-F238E27FC236}">
              <a16:creationId xmlns:a16="http://schemas.microsoft.com/office/drawing/2014/main" id="{FD498734-C84F-4CD3-8170-DB804F4F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69518</xdr:rowOff>
    </xdr:to>
    <xdr:pic>
      <xdr:nvPicPr>
        <xdr:cNvPr id="2" name="Picture 1">
          <a:extLst>
            <a:ext uri="{FF2B5EF4-FFF2-40B4-BE49-F238E27FC236}">
              <a16:creationId xmlns:a16="http://schemas.microsoft.com/office/drawing/2014/main" id="{6A534234-7ED1-4B93-9F11-24FD45F29B13}"/>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71475" y="0"/>
          <a:ext cx="1201644" cy="116013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69518</xdr:rowOff>
    </xdr:to>
    <xdr:pic>
      <xdr:nvPicPr>
        <xdr:cNvPr id="2" name="Picture 1">
          <a:extLst>
            <a:ext uri="{FF2B5EF4-FFF2-40B4-BE49-F238E27FC236}">
              <a16:creationId xmlns:a16="http://schemas.microsoft.com/office/drawing/2014/main" id="{9E618ED6-1E53-4D1D-9A50-A625BBDB52C7}"/>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596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69518</xdr:rowOff>
    </xdr:to>
    <xdr:pic>
      <xdr:nvPicPr>
        <xdr:cNvPr id="2" name="Picture 1">
          <a:extLst>
            <a:ext uri="{FF2B5EF4-FFF2-40B4-BE49-F238E27FC236}">
              <a16:creationId xmlns:a16="http://schemas.microsoft.com/office/drawing/2014/main" id="{DFB31B1B-E545-4E9B-9F1E-DD5FAF44D8F0}"/>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601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69518</xdr:rowOff>
    </xdr:to>
    <xdr:pic>
      <xdr:nvPicPr>
        <xdr:cNvPr id="2" name="Picture 1">
          <a:extLst>
            <a:ext uri="{FF2B5EF4-FFF2-40B4-BE49-F238E27FC236}">
              <a16:creationId xmlns:a16="http://schemas.microsoft.com/office/drawing/2014/main" id="{BDC09263-CCDE-47E6-A6F4-515BDD80D2BC}"/>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601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1201644</xdr:colOff>
      <xdr:row>1</xdr:row>
      <xdr:rowOff>69518</xdr:rowOff>
    </xdr:to>
    <xdr:pic>
      <xdr:nvPicPr>
        <xdr:cNvPr id="2" name="Picture 1">
          <a:extLst>
            <a:ext uri="{FF2B5EF4-FFF2-40B4-BE49-F238E27FC236}">
              <a16:creationId xmlns:a16="http://schemas.microsoft.com/office/drawing/2014/main" id="{E8F2FE08-4665-4BA8-8E1E-A40415135F2C}"/>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81000" y="0"/>
          <a:ext cx="1201644" cy="116013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36857</xdr:colOff>
      <xdr:row>1</xdr:row>
      <xdr:rowOff>9526</xdr:rowOff>
    </xdr:from>
    <xdr:to>
      <xdr:col>1</xdr:col>
      <xdr:colOff>1172232</xdr:colOff>
      <xdr:row>7</xdr:row>
      <xdr:rowOff>47626</xdr:rowOff>
    </xdr:to>
    <xdr:pic>
      <xdr:nvPicPr>
        <xdr:cNvPr id="9" name="Picture 2">
          <a:extLst>
            <a:ext uri="{FF2B5EF4-FFF2-40B4-BE49-F238E27FC236}">
              <a16:creationId xmlns:a16="http://schemas.microsoft.com/office/drawing/2014/main" id="{80FAE00E-A481-4439-8B32-2E98C49FCC39}"/>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403570" y="9526"/>
          <a:ext cx="1135375" cy="1162050"/>
        </a:xfrm>
        <a:prstGeom prst="rect">
          <a:avLst/>
        </a:prstGeom>
      </xdr:spPr>
    </xdr:pic>
    <xdr:clientData/>
  </xdr:twoCellAnchor>
  <xdr:twoCellAnchor editAs="oneCell">
    <xdr:from>
      <xdr:col>1</xdr:col>
      <xdr:colOff>0</xdr:colOff>
      <xdr:row>0</xdr:row>
      <xdr:rowOff>0</xdr:rowOff>
    </xdr:from>
    <xdr:to>
      <xdr:col>1</xdr:col>
      <xdr:colOff>1201644</xdr:colOff>
      <xdr:row>1</xdr:row>
      <xdr:rowOff>69518</xdr:rowOff>
    </xdr:to>
    <xdr:pic>
      <xdr:nvPicPr>
        <xdr:cNvPr id="11" name="Picture 10">
          <a:extLst>
            <a:ext uri="{FF2B5EF4-FFF2-40B4-BE49-F238E27FC236}">
              <a16:creationId xmlns:a16="http://schemas.microsoft.com/office/drawing/2014/main" id="{79AD12E0-62CF-4622-811A-C065E08FE4B5}"/>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371475" y="0"/>
          <a:ext cx="1201644" cy="11601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cxinclusivebiz-my.sharepoint.com/personal/jovan_ognjanovic_consumercentrix_ch/Documents/Business%20case%20tool%20v1.xlsx" TargetMode="External"/><Relationship Id="rId1" Type="http://schemas.openxmlformats.org/officeDocument/2006/relationships/externalLinkPath" Target="/sites/DALARG/Freigegebene%20Dokumente/General/01%20SME%20Tools/00%20Business%20Case%20Tool/Business%20case%20tool%20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cxinclusivebiz.sharepoint.com/sites/ARGSEG/Freigegebene%20Dokumente/General/4%20-%20Phase%204%20-%20Global%20Report%20and%20Toolkit/toolkit/final%20tools/Step6_Tool_WMSME-MarketSize-and-Revenues.xlsx" TargetMode="External"/><Relationship Id="rId1" Type="http://schemas.openxmlformats.org/officeDocument/2006/relationships/externalLinkPath" Target="/sites/ARGSEG/Freigegebene%20Dokumente/General/4%20-%20Phase%204%20-%20Global%20Report%20and%20Toolkit/toolkit/final%20tools/Step6_Tool_WMSME-MarketSize-and-Revenu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ora%20Solymos/Documents/CCX/Projects/Data2X/Country%20Inception%20Report/Data2X-CountryInceptionIndicators-vDS3%20-%20country%20indicators%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s"/>
      <sheetName val="Welcome"/>
      <sheetName val="Table of Content"/>
      <sheetName val="Assumptions"/>
      <sheetName val="&gt;&gt;&gt; CUSTOMIZE for your market"/>
      <sheetName val="Assumptions used"/>
      <sheetName val="Segment Information"/>
      <sheetName val="Market Conditions"/>
      <sheetName val="Graphs"/>
      <sheetName val="Start Here"/>
      <sheetName val="Growth Outlook Summary"/>
      <sheetName val="&gt;&gt;&gt; VIEW RESULTS"/>
      <sheetName val="Results overview"/>
      <sheetName val="Risk Cost Calculation"/>
      <sheetName val="Headcount"/>
      <sheetName val="Volumes"/>
      <sheetName val="Revenue"/>
      <sheetName val="Volume Calculations"/>
      <sheetName val="Revenue Calculations"/>
      <sheetName val="&gt;&gt;&gt; Data Appendix"/>
      <sheetName val="Base Case Data"/>
      <sheetName val="Headcount Estimate Methodology"/>
      <sheetName val="Baseline Headcount Estimate"/>
      <sheetName val="Additional assumptions"/>
      <sheetName val="Macro Settings"/>
      <sheetName val="GEM"/>
      <sheetName val="ILO"/>
      <sheetName val="WB Entrepreneurship"/>
      <sheetName val="Enterprise Survey"/>
      <sheetName val="ILO &amp; WB &amp; ES"/>
      <sheetName val="IFC Gap"/>
      <sheetName val="Peer Countries"/>
      <sheetName val="Working Age Population"/>
      <sheetName val="Lists"/>
      <sheetName val="Overview"/>
      <sheetName val="Ellevate Potential"/>
      <sheetName val="Ellevate PandL"/>
      <sheetName val="Ellevate -breakeven per client"/>
      <sheetName val="NFS formats"/>
      <sheetName val="General Inputs"/>
      <sheetName val="Key country inputs"/>
      <sheetName val="List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Table of Content"/>
      <sheetName val="Start Here"/>
      <sheetName val="Growth Outlook Summary"/>
      <sheetName val="Country Context"/>
      <sheetName val="&gt;&gt;&gt; CUSTOMIZE for your market"/>
      <sheetName val="Assumptions used"/>
      <sheetName val="Segment Information"/>
      <sheetName val="Market Conditions"/>
      <sheetName val="&gt;&gt;&gt; VIEW RESULTS"/>
      <sheetName val="Results overview"/>
      <sheetName val="Headcount"/>
      <sheetName val="Volumes"/>
      <sheetName val="Revenue"/>
      <sheetName val="Volume Calculations"/>
      <sheetName val="Revenue Calculations"/>
      <sheetName val="&gt;&gt;&gt; Data Appendix"/>
      <sheetName val="Base Case Data"/>
      <sheetName val="Headcount Estimate Methodology"/>
      <sheetName val="Baseline Headcount Estimate"/>
      <sheetName val="Additional assumptions"/>
      <sheetName val="Macro Settings"/>
      <sheetName val="GEM"/>
      <sheetName val="ILO"/>
      <sheetName val="WB Entrepreneurship"/>
      <sheetName val="Enterprise Survey"/>
      <sheetName val="ILO &amp; WB &amp; ES"/>
      <sheetName val="IFC Gap"/>
      <sheetName val="Working Age Population"/>
      <sheetName val="Country Context Data"/>
      <sheetName val="Lists"/>
      <sheetName val="Country Setting ad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ources Mapping"/>
      <sheetName val="Start &amp; Overview"/>
      <sheetName val="Stakeholders &amp; Experts"/>
      <sheetName val="Country Indicators"/>
      <sheetName val="Sheet2"/>
      <sheetName val="Country Benchmarking Output"/>
      <sheetName val="Pull-down menu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7ED9-357A-480E-BE58-1DF36BC6AD22}">
  <sheetPr>
    <tabColor theme="0"/>
  </sheetPr>
  <dimension ref="A1:AV105"/>
  <sheetViews>
    <sheetView tabSelected="1" workbookViewId="0">
      <selection activeCell="F49" sqref="F49"/>
    </sheetView>
  </sheetViews>
  <sheetFormatPr defaultColWidth="0" defaultRowHeight="15.75" customHeight="1" zeroHeight="1"/>
  <cols>
    <col min="1" max="1" width="12.85546875" style="152" customWidth="1"/>
    <col min="2" max="2" width="5.140625" style="152" hidden="1" customWidth="1"/>
    <col min="3" max="3" width="5.140625" style="152" customWidth="1"/>
    <col min="4" max="4" width="18.140625" style="152" customWidth="1"/>
    <col min="5" max="5" width="2.28515625" style="152" customWidth="1"/>
    <col min="6" max="6" width="7.7109375" style="152" customWidth="1"/>
    <col min="7" max="7" width="2.28515625" style="152" customWidth="1"/>
    <col min="8" max="8" width="4.85546875" style="152" customWidth="1"/>
    <col min="9" max="9" width="5.140625" style="152" customWidth="1"/>
    <col min="10" max="10" width="0.28515625" style="152" customWidth="1"/>
    <col min="11" max="11" width="5.140625" style="152" customWidth="1"/>
    <col min="12" max="12" width="1" style="152" customWidth="1"/>
    <col min="13" max="14" width="5.140625" style="152" customWidth="1"/>
    <col min="15" max="15" width="1.85546875" style="152" customWidth="1"/>
    <col min="16" max="16" width="5.140625" style="152" customWidth="1"/>
    <col min="17" max="17" width="2.85546875" style="152" customWidth="1"/>
    <col min="18" max="18" width="0" style="152" hidden="1" customWidth="1"/>
    <col min="19" max="32" width="5.140625" style="152" customWidth="1"/>
    <col min="33" max="33" width="8.140625" style="152" customWidth="1"/>
    <col min="34" max="34" width="2.85546875" style="152" customWidth="1"/>
    <col min="35" max="37" width="0" style="152" hidden="1" customWidth="1"/>
    <col min="38" max="38" width="5.7109375" style="152" customWidth="1"/>
    <col min="39" max="40" width="5.140625" style="152" customWidth="1"/>
    <col min="41" max="41" width="6.85546875" style="152" customWidth="1"/>
    <col min="42" max="42" width="2" style="152" customWidth="1"/>
    <col min="43" max="43" width="5.140625" style="152" customWidth="1"/>
    <col min="44" max="44" width="3.42578125" style="152" customWidth="1"/>
    <col min="45" max="45" width="0" style="152" hidden="1" customWidth="1"/>
    <col min="46" max="46" width="23.42578125" style="152" customWidth="1"/>
    <col min="47" max="47" width="5.140625" style="152" customWidth="1"/>
    <col min="48" max="48" width="21.7109375" style="152" customWidth="1"/>
    <col min="49" max="16384" width="10.140625" style="152" hidden="1"/>
  </cols>
  <sheetData>
    <row r="1" spans="2:47" ht="15.95">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row>
    <row r="2" spans="2:47" ht="15.95">
      <c r="B2" s="267"/>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row>
    <row r="3" spans="2:47" ht="15.95">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row>
    <row r="4" spans="2:47" ht="21">
      <c r="B4" s="268"/>
      <c r="C4" s="268"/>
      <c r="D4" s="153"/>
      <c r="E4" s="269"/>
      <c r="F4" s="269"/>
      <c r="G4" s="269"/>
      <c r="H4" s="269"/>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269"/>
      <c r="AK4" s="269"/>
      <c r="AL4" s="269"/>
      <c r="AM4" s="269"/>
      <c r="AN4" s="269"/>
      <c r="AO4" s="269"/>
      <c r="AP4" s="269"/>
      <c r="AQ4" s="269"/>
      <c r="AR4" s="269"/>
      <c r="AS4" s="269"/>
      <c r="AT4" s="269"/>
      <c r="AU4" s="268"/>
    </row>
    <row r="5" spans="2:47" ht="24">
      <c r="B5" s="268"/>
      <c r="C5" s="268"/>
      <c r="D5" s="269"/>
      <c r="E5" s="269"/>
      <c r="F5" s="269"/>
      <c r="G5" s="269"/>
      <c r="H5" s="269"/>
      <c r="I5" s="248" t="s">
        <v>0</v>
      </c>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69"/>
      <c r="AK5" s="269"/>
      <c r="AL5" s="269"/>
      <c r="AM5" s="269"/>
      <c r="AN5" s="269"/>
      <c r="AO5" s="269"/>
      <c r="AP5" s="269"/>
      <c r="AQ5" s="269"/>
      <c r="AR5" s="269"/>
      <c r="AS5" s="269"/>
      <c r="AT5" s="269"/>
      <c r="AU5" s="268"/>
    </row>
    <row r="6" spans="2:47" ht="15.95">
      <c r="B6" s="268"/>
      <c r="C6" s="268"/>
      <c r="D6" s="269"/>
      <c r="E6" s="269"/>
      <c r="F6" s="269"/>
      <c r="G6" s="269"/>
      <c r="H6" s="269"/>
      <c r="I6" s="249" t="s">
        <v>1</v>
      </c>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69"/>
      <c r="AK6" s="269"/>
      <c r="AL6" s="269"/>
      <c r="AM6" s="269"/>
      <c r="AN6" s="269"/>
      <c r="AO6" s="269"/>
      <c r="AP6" s="269"/>
      <c r="AQ6" s="269"/>
      <c r="AR6" s="269"/>
      <c r="AS6" s="269"/>
      <c r="AT6" s="269"/>
      <c r="AU6" s="268"/>
    </row>
    <row r="7" spans="2:47" ht="15.95">
      <c r="B7" s="268"/>
      <c r="C7" s="268"/>
      <c r="D7" s="269"/>
      <c r="E7" s="269"/>
      <c r="F7" s="269"/>
      <c r="G7" s="269"/>
      <c r="H7" s="269"/>
      <c r="I7" s="249"/>
      <c r="J7" s="249"/>
      <c r="K7" s="249"/>
      <c r="L7" s="249"/>
      <c r="M7" s="249"/>
      <c r="N7" s="249"/>
      <c r="O7" s="249"/>
      <c r="P7" s="249"/>
      <c r="Q7" s="249"/>
      <c r="R7" s="249"/>
      <c r="S7" s="249"/>
      <c r="T7" s="249"/>
      <c r="U7" s="249"/>
      <c r="V7" s="249"/>
      <c r="W7" s="249"/>
      <c r="X7" s="249"/>
      <c r="Y7" s="249"/>
      <c r="Z7" s="249"/>
      <c r="AA7" s="249"/>
      <c r="AB7" s="249"/>
      <c r="AC7" s="249"/>
      <c r="AD7" s="249"/>
      <c r="AE7" s="249"/>
      <c r="AF7" s="249"/>
      <c r="AG7" s="249"/>
      <c r="AH7" s="249"/>
      <c r="AI7" s="249"/>
      <c r="AJ7" s="269"/>
      <c r="AK7" s="269"/>
      <c r="AL7" s="269"/>
      <c r="AM7" s="269"/>
      <c r="AN7" s="269"/>
      <c r="AO7" s="269"/>
      <c r="AP7" s="269"/>
      <c r="AQ7" s="269"/>
      <c r="AR7" s="269"/>
      <c r="AS7" s="269"/>
      <c r="AT7" s="269"/>
      <c r="AU7" s="268"/>
    </row>
    <row r="8" spans="2:47" ht="15.95">
      <c r="B8" s="268"/>
      <c r="C8" s="268"/>
      <c r="D8" s="269"/>
      <c r="E8" s="269"/>
      <c r="F8" s="269"/>
      <c r="G8" s="269"/>
      <c r="H8" s="269"/>
      <c r="I8" s="249"/>
      <c r="J8" s="249"/>
      <c r="K8" s="249"/>
      <c r="L8" s="249"/>
      <c r="M8" s="249"/>
      <c r="N8" s="249"/>
      <c r="O8" s="249"/>
      <c r="P8" s="249"/>
      <c r="Q8" s="249"/>
      <c r="R8" s="249"/>
      <c r="S8" s="249"/>
      <c r="T8" s="249"/>
      <c r="U8" s="249"/>
      <c r="V8" s="249"/>
      <c r="W8" s="249"/>
      <c r="X8" s="249"/>
      <c r="Y8" s="249"/>
      <c r="Z8" s="249"/>
      <c r="AA8" s="249"/>
      <c r="AB8" s="249"/>
      <c r="AC8" s="249"/>
      <c r="AD8" s="249"/>
      <c r="AE8" s="249"/>
      <c r="AF8" s="249"/>
      <c r="AG8" s="249"/>
      <c r="AH8" s="249"/>
      <c r="AI8" s="249"/>
      <c r="AJ8" s="269"/>
      <c r="AK8" s="269"/>
      <c r="AL8" s="269"/>
      <c r="AM8" s="269"/>
      <c r="AN8" s="269"/>
      <c r="AO8" s="269"/>
      <c r="AP8" s="269"/>
      <c r="AQ8" s="269"/>
      <c r="AR8" s="269"/>
      <c r="AS8" s="269"/>
      <c r="AT8" s="269"/>
      <c r="AU8" s="268"/>
    </row>
    <row r="9" spans="2:47" ht="15.95">
      <c r="B9" s="268"/>
      <c r="C9" s="268"/>
      <c r="D9" s="270"/>
      <c r="E9" s="270"/>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c r="AL9" s="270"/>
      <c r="AM9" s="270"/>
      <c r="AN9" s="270"/>
      <c r="AO9" s="270"/>
      <c r="AP9" s="270"/>
      <c r="AQ9" s="270"/>
      <c r="AR9" s="270"/>
      <c r="AS9" s="270"/>
      <c r="AT9" s="270"/>
      <c r="AU9" s="268"/>
    </row>
    <row r="10" spans="2:47" ht="15.95">
      <c r="B10" s="268"/>
      <c r="C10" s="268"/>
      <c r="D10" s="268"/>
      <c r="E10" s="268"/>
      <c r="F10" s="268"/>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row>
    <row r="11" spans="2:47" ht="15.95">
      <c r="B11" s="268"/>
      <c r="C11" s="268"/>
      <c r="D11" s="271" t="s">
        <v>2</v>
      </c>
      <c r="E11" s="268"/>
      <c r="F11" s="268"/>
      <c r="G11" s="268"/>
      <c r="H11" s="268"/>
      <c r="I11" s="268"/>
      <c r="J11" s="268"/>
      <c r="K11" s="268"/>
      <c r="L11" s="268"/>
      <c r="M11" s="268"/>
      <c r="N11" s="268"/>
      <c r="O11" s="268"/>
      <c r="P11" s="268"/>
      <c r="Q11" s="268"/>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row>
    <row r="12" spans="2:47" ht="17.100000000000001" thickBot="1">
      <c r="B12" s="268"/>
      <c r="C12" s="268"/>
      <c r="D12" s="268"/>
      <c r="E12" s="268"/>
      <c r="F12" s="268"/>
      <c r="G12" s="268"/>
      <c r="H12" s="268"/>
      <c r="I12" s="268"/>
      <c r="J12" s="268"/>
      <c r="K12" s="268"/>
      <c r="L12" s="268"/>
      <c r="M12" s="268"/>
      <c r="N12" s="268"/>
      <c r="O12" s="268"/>
      <c r="P12" s="268"/>
      <c r="Q12" s="268"/>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row>
    <row r="13" spans="2:47" s="159" customFormat="1" ht="23.1" thickTop="1" thickBot="1">
      <c r="B13" s="155"/>
      <c r="C13" s="155"/>
      <c r="D13" s="156" t="s">
        <v>3</v>
      </c>
      <c r="E13" s="157"/>
      <c r="F13" s="157"/>
      <c r="G13" s="157"/>
      <c r="H13" s="157"/>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8"/>
    </row>
    <row r="14" spans="2:47" ht="17.100000000000001" thickTop="1">
      <c r="B14" s="268"/>
      <c r="C14" s="268"/>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row>
    <row r="15" spans="2:47" ht="15.95">
      <c r="B15" s="268"/>
      <c r="C15" s="268"/>
      <c r="D15" s="250" t="s">
        <v>4</v>
      </c>
      <c r="E15" s="250"/>
      <c r="F15" s="250"/>
      <c r="G15" s="250"/>
      <c r="H15" s="250"/>
      <c r="I15" s="250"/>
      <c r="J15" s="250"/>
      <c r="K15" s="250"/>
      <c r="L15" s="250"/>
      <c r="M15" s="250"/>
      <c r="N15" s="250"/>
      <c r="O15" s="250"/>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72"/>
    </row>
    <row r="16" spans="2:47" ht="21" customHeight="1">
      <c r="B16" s="268"/>
      <c r="C16" s="268"/>
      <c r="D16" s="250"/>
      <c r="E16" s="250"/>
      <c r="F16" s="250"/>
      <c r="G16" s="250"/>
      <c r="H16" s="250"/>
      <c r="I16" s="250"/>
      <c r="J16" s="250"/>
      <c r="K16" s="250"/>
      <c r="L16" s="250"/>
      <c r="M16" s="250"/>
      <c r="N16" s="250"/>
      <c r="O16" s="250"/>
      <c r="P16" s="250"/>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72"/>
    </row>
    <row r="17" spans="2:47" ht="18.600000000000001" customHeight="1">
      <c r="B17" s="268"/>
      <c r="C17" s="268"/>
      <c r="D17" s="250"/>
      <c r="E17" s="250"/>
      <c r="F17" s="250"/>
      <c r="G17" s="250"/>
      <c r="H17" s="250"/>
      <c r="I17" s="250"/>
      <c r="J17" s="250"/>
      <c r="K17" s="250"/>
      <c r="L17" s="250"/>
      <c r="M17" s="250"/>
      <c r="N17" s="250"/>
      <c r="O17" s="250"/>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72"/>
    </row>
    <row r="18" spans="2:47" ht="41.85" customHeight="1" thickBot="1">
      <c r="B18" s="268"/>
      <c r="C18" s="268"/>
      <c r="D18" s="251" t="s">
        <v>5</v>
      </c>
      <c r="E18" s="251"/>
      <c r="F18" s="25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c r="AU18" s="272"/>
    </row>
    <row r="19" spans="2:47" s="159" customFormat="1" ht="23.1" thickTop="1" thickBot="1">
      <c r="B19" s="155"/>
      <c r="C19" s="155"/>
      <c r="D19" s="156" t="s">
        <v>6</v>
      </c>
      <c r="E19" s="157"/>
      <c r="F19" s="157"/>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7"/>
      <c r="AU19" s="162"/>
    </row>
    <row r="20" spans="2:47" ht="17.100000000000001" thickTop="1">
      <c r="B20" s="268"/>
      <c r="C20" s="268"/>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272"/>
    </row>
    <row r="21" spans="2:47" ht="21" customHeight="1">
      <c r="B21" s="268"/>
      <c r="C21" s="268"/>
      <c r="D21" s="250" t="s">
        <v>7</v>
      </c>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72"/>
    </row>
    <row r="22" spans="2:47" ht="21" customHeight="1">
      <c r="B22" s="268"/>
      <c r="C22" s="268"/>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72"/>
    </row>
    <row r="23" spans="2:47" ht="21" customHeight="1">
      <c r="B23" s="268"/>
      <c r="C23" s="268"/>
      <c r="D23" s="250"/>
      <c r="E23" s="250"/>
      <c r="F23" s="250"/>
      <c r="G23" s="250"/>
      <c r="H23" s="250"/>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72"/>
    </row>
    <row r="24" spans="2:47" ht="15.6" customHeight="1" thickBot="1">
      <c r="B24" s="268"/>
      <c r="C24" s="268"/>
      <c r="D24" s="273"/>
      <c r="E24" s="273"/>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2"/>
    </row>
    <row r="25" spans="2:47" ht="23.1" thickTop="1" thickBot="1">
      <c r="B25" s="268"/>
      <c r="C25" s="268"/>
      <c r="D25" s="156" t="s">
        <v>8</v>
      </c>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157"/>
      <c r="AU25" s="272"/>
    </row>
    <row r="26" spans="2:47" ht="17.100000000000001" thickTop="1">
      <c r="B26" s="268"/>
      <c r="C26" s="268"/>
      <c r="D26" s="273"/>
      <c r="E26" s="273"/>
      <c r="F26" s="273"/>
      <c r="G26" s="273"/>
      <c r="H26" s="273"/>
      <c r="I26" s="273"/>
      <c r="J26" s="273"/>
      <c r="K26" s="273"/>
      <c r="L26" s="273"/>
      <c r="M26" s="273"/>
      <c r="N26" s="273"/>
      <c r="O26" s="273"/>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2"/>
    </row>
    <row r="27" spans="2:47" ht="15.6" customHeight="1">
      <c r="B27" s="268"/>
      <c r="C27" s="268"/>
      <c r="D27" s="274" t="s">
        <v>9</v>
      </c>
      <c r="E27" s="274"/>
      <c r="F27" s="274"/>
      <c r="G27" s="274"/>
      <c r="H27" s="274"/>
      <c r="I27" s="274"/>
      <c r="J27" s="274"/>
      <c r="K27" s="274"/>
      <c r="L27" s="274"/>
      <c r="M27" s="274"/>
      <c r="N27" s="274"/>
      <c r="O27" s="274"/>
      <c r="P27" s="274"/>
      <c r="Q27" s="274"/>
      <c r="R27" s="274"/>
      <c r="S27" s="274"/>
      <c r="T27" s="274"/>
      <c r="U27" s="274"/>
      <c r="V27" s="274"/>
      <c r="W27" s="274"/>
      <c r="X27" s="274"/>
      <c r="Y27" s="274"/>
      <c r="Z27" s="274"/>
      <c r="AA27" s="274"/>
      <c r="AB27" s="274"/>
      <c r="AC27" s="274"/>
      <c r="AD27" s="274"/>
      <c r="AE27" s="274"/>
      <c r="AF27" s="274"/>
      <c r="AG27" s="274"/>
      <c r="AH27" s="274"/>
      <c r="AI27" s="274"/>
      <c r="AJ27" s="274"/>
      <c r="AK27" s="274"/>
      <c r="AL27" s="274"/>
      <c r="AM27" s="274"/>
      <c r="AN27" s="274"/>
      <c r="AO27" s="274"/>
      <c r="AP27" s="274"/>
      <c r="AQ27" s="274"/>
      <c r="AR27" s="274"/>
      <c r="AS27" s="274"/>
      <c r="AT27" s="274"/>
      <c r="AU27" s="272"/>
    </row>
    <row r="28" spans="2:47" ht="15.95">
      <c r="B28" s="268"/>
      <c r="C28" s="268"/>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274"/>
      <c r="AH28" s="274"/>
      <c r="AI28" s="274"/>
      <c r="AJ28" s="274"/>
      <c r="AK28" s="274"/>
      <c r="AL28" s="274"/>
      <c r="AM28" s="274"/>
      <c r="AN28" s="274"/>
      <c r="AO28" s="274"/>
      <c r="AP28" s="274"/>
      <c r="AQ28" s="274"/>
      <c r="AR28" s="274"/>
      <c r="AS28" s="274"/>
      <c r="AT28" s="274"/>
      <c r="AU28" s="272"/>
    </row>
    <row r="29" spans="2:47" ht="15.95">
      <c r="B29" s="268"/>
      <c r="C29" s="268"/>
      <c r="D29" s="274"/>
      <c r="E29" s="274"/>
      <c r="F29" s="274"/>
      <c r="G29" s="274"/>
      <c r="H29" s="274"/>
      <c r="I29" s="274"/>
      <c r="J29" s="274"/>
      <c r="K29" s="274"/>
      <c r="L29" s="274"/>
      <c r="M29" s="274"/>
      <c r="N29" s="274"/>
      <c r="O29" s="274"/>
      <c r="P29" s="274"/>
      <c r="Q29" s="274"/>
      <c r="R29" s="274"/>
      <c r="S29" s="274"/>
      <c r="T29" s="274"/>
      <c r="U29" s="274"/>
      <c r="V29" s="274"/>
      <c r="W29" s="274"/>
      <c r="X29" s="274"/>
      <c r="Y29" s="274"/>
      <c r="Z29" s="274"/>
      <c r="AA29" s="274"/>
      <c r="AB29" s="274"/>
      <c r="AC29" s="274"/>
      <c r="AD29" s="274"/>
      <c r="AE29" s="274"/>
      <c r="AF29" s="274"/>
      <c r="AG29" s="274"/>
      <c r="AH29" s="274"/>
      <c r="AI29" s="274"/>
      <c r="AJ29" s="274"/>
      <c r="AK29" s="274"/>
      <c r="AL29" s="274"/>
      <c r="AM29" s="274"/>
      <c r="AN29" s="274"/>
      <c r="AO29" s="274"/>
      <c r="AP29" s="274"/>
      <c r="AQ29" s="274"/>
      <c r="AR29" s="274"/>
      <c r="AS29" s="274"/>
      <c r="AT29" s="274"/>
      <c r="AU29" s="272"/>
    </row>
    <row r="30" spans="2:47" ht="17.100000000000001" thickBot="1">
      <c r="B30" s="268"/>
      <c r="C30" s="268"/>
      <c r="D30" s="273"/>
      <c r="E30" s="273"/>
      <c r="F30" s="273"/>
      <c r="G30" s="273"/>
      <c r="H30" s="273"/>
      <c r="I30" s="273"/>
      <c r="J30" s="273"/>
      <c r="K30" s="273"/>
      <c r="L30" s="273"/>
      <c r="M30" s="273"/>
      <c r="N30" s="273"/>
      <c r="O30" s="273"/>
      <c r="P30" s="273"/>
      <c r="Q30" s="273"/>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2"/>
    </row>
    <row r="31" spans="2:47" s="159" customFormat="1" ht="26.1" customHeight="1" thickTop="1" thickBot="1">
      <c r="B31" s="155"/>
      <c r="C31" s="155"/>
      <c r="D31" s="156" t="s">
        <v>10</v>
      </c>
      <c r="E31" s="157"/>
      <c r="F31" s="157"/>
      <c r="G31" s="157"/>
      <c r="H31" s="157"/>
      <c r="I31" s="157"/>
      <c r="J31" s="157"/>
      <c r="K31" s="157"/>
      <c r="L31" s="157"/>
      <c r="M31" s="157"/>
      <c r="N31" s="157"/>
      <c r="O31" s="157"/>
      <c r="P31" s="157"/>
      <c r="Q31" s="157"/>
      <c r="R31" s="157"/>
      <c r="S31" s="157"/>
      <c r="T31" s="157"/>
      <c r="U31" s="157"/>
      <c r="V31" s="157"/>
      <c r="W31" s="157"/>
      <c r="X31" s="157"/>
      <c r="Y31" s="157"/>
      <c r="Z31" s="157"/>
      <c r="AA31" s="157"/>
      <c r="AB31" s="157"/>
      <c r="AC31" s="157"/>
      <c r="AD31" s="157"/>
      <c r="AE31" s="157"/>
      <c r="AF31" s="157"/>
      <c r="AG31" s="157"/>
      <c r="AH31" s="157"/>
      <c r="AI31" s="157"/>
      <c r="AJ31" s="157"/>
      <c r="AK31" s="157"/>
      <c r="AL31" s="157"/>
      <c r="AM31" s="157"/>
      <c r="AN31" s="157"/>
      <c r="AO31" s="157"/>
      <c r="AP31" s="157"/>
      <c r="AQ31" s="157"/>
      <c r="AR31" s="157"/>
      <c r="AS31" s="157"/>
      <c r="AT31" s="157"/>
      <c r="AU31" s="162"/>
    </row>
    <row r="32" spans="2:47" ht="17.100000000000001" thickTop="1">
      <c r="B32" s="268"/>
      <c r="C32" s="268"/>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272"/>
    </row>
    <row r="33" spans="2:47" ht="15.95">
      <c r="B33" s="268"/>
      <c r="C33" s="268"/>
      <c r="D33" s="275" t="s">
        <v>11</v>
      </c>
      <c r="E33" s="275"/>
      <c r="F33" s="275"/>
      <c r="G33" s="275"/>
      <c r="H33" s="275"/>
      <c r="I33" s="275"/>
      <c r="J33" s="275"/>
      <c r="K33" s="275"/>
      <c r="L33" s="275"/>
      <c r="M33" s="275"/>
      <c r="N33" s="275"/>
      <c r="O33" s="275"/>
      <c r="P33" s="275"/>
      <c r="Q33" s="275"/>
      <c r="R33" s="275"/>
      <c r="S33" s="275"/>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5"/>
      <c r="AT33" s="275"/>
      <c r="AU33" s="272"/>
    </row>
    <row r="34" spans="2:47" ht="15.95">
      <c r="B34" s="268"/>
      <c r="C34" s="268"/>
      <c r="D34" s="275"/>
      <c r="E34" s="275"/>
      <c r="F34" s="275"/>
      <c r="G34" s="275"/>
      <c r="H34" s="275"/>
      <c r="I34" s="275"/>
      <c r="J34" s="275"/>
      <c r="K34" s="275"/>
      <c r="L34" s="275"/>
      <c r="M34" s="275"/>
      <c r="N34" s="275"/>
      <c r="O34" s="275"/>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275"/>
      <c r="AT34" s="275"/>
      <c r="AU34" s="272"/>
    </row>
    <row r="35" spans="2:47" ht="15.95">
      <c r="B35" s="268"/>
      <c r="C35" s="268"/>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272"/>
    </row>
    <row r="36" spans="2:47" ht="18.95">
      <c r="B36" s="268"/>
      <c r="C36" s="268"/>
      <c r="D36" s="163" t="s">
        <v>12</v>
      </c>
      <c r="E36" s="164"/>
      <c r="F36" s="163" t="s">
        <v>13</v>
      </c>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4"/>
      <c r="AK36" s="163" t="s">
        <v>14</v>
      </c>
      <c r="AL36" s="164"/>
      <c r="AM36" s="163" t="s">
        <v>14</v>
      </c>
      <c r="AN36" s="163"/>
      <c r="AO36" s="163"/>
      <c r="AP36" s="165"/>
      <c r="AQ36" s="165"/>
      <c r="AR36" s="165"/>
      <c r="AS36" s="165"/>
      <c r="AT36" s="165"/>
      <c r="AU36" s="272"/>
    </row>
    <row r="37" spans="2:47" ht="18.95">
      <c r="B37" s="268"/>
      <c r="C37" s="268"/>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6"/>
      <c r="AQ37" s="166"/>
      <c r="AR37" s="166"/>
      <c r="AS37" s="166"/>
      <c r="AT37" s="166"/>
      <c r="AU37" s="272"/>
    </row>
    <row r="38" spans="2:47" ht="32.85" customHeight="1">
      <c r="B38" s="268"/>
      <c r="C38" s="268"/>
      <c r="D38" s="204" t="s">
        <v>15</v>
      </c>
      <c r="E38" s="167"/>
      <c r="F38" s="275" t="s">
        <v>16</v>
      </c>
      <c r="G38" s="275"/>
      <c r="H38" s="275"/>
      <c r="I38" s="275"/>
      <c r="J38" s="275"/>
      <c r="K38" s="275"/>
      <c r="L38" s="275"/>
      <c r="M38" s="275"/>
      <c r="N38" s="275"/>
      <c r="O38" s="275"/>
      <c r="P38" s="275"/>
      <c r="Q38" s="275"/>
      <c r="R38" s="275"/>
      <c r="S38" s="275"/>
      <c r="T38" s="275"/>
      <c r="U38" s="275"/>
      <c r="V38" s="275"/>
      <c r="W38" s="275"/>
      <c r="X38" s="275"/>
      <c r="Y38" s="275"/>
      <c r="Z38" s="275"/>
      <c r="AA38" s="275"/>
      <c r="AB38" s="275"/>
      <c r="AC38" s="275"/>
      <c r="AD38" s="275"/>
      <c r="AE38" s="275"/>
      <c r="AF38" s="275"/>
      <c r="AG38" s="275"/>
      <c r="AH38" s="275"/>
      <c r="AI38" s="166"/>
      <c r="AJ38" s="166"/>
      <c r="AK38" s="166"/>
      <c r="AL38" s="166"/>
      <c r="AM38" s="276" t="s">
        <v>17</v>
      </c>
      <c r="AN38" s="276"/>
      <c r="AO38" s="276"/>
      <c r="AP38" s="276"/>
      <c r="AQ38" s="276"/>
      <c r="AR38" s="276"/>
      <c r="AS38" s="276"/>
      <c r="AT38" s="276"/>
      <c r="AU38" s="272"/>
    </row>
    <row r="39" spans="2:47" ht="15.95">
      <c r="B39" s="268"/>
      <c r="C39" s="268"/>
      <c r="D39" s="167"/>
      <c r="E39" s="167"/>
      <c r="F39" s="277"/>
      <c r="G39" s="277"/>
      <c r="H39" s="277"/>
      <c r="I39" s="277"/>
      <c r="J39" s="277"/>
      <c r="K39" s="277"/>
      <c r="L39" s="277"/>
      <c r="M39" s="277"/>
      <c r="N39" s="277"/>
      <c r="O39" s="277"/>
      <c r="P39" s="277"/>
      <c r="Q39" s="277"/>
      <c r="R39" s="277"/>
      <c r="S39" s="277"/>
      <c r="T39" s="277"/>
      <c r="U39" s="277"/>
      <c r="V39" s="277"/>
      <c r="W39" s="277"/>
      <c r="X39" s="277"/>
      <c r="Y39" s="277"/>
      <c r="Z39" s="277"/>
      <c r="AA39" s="277"/>
      <c r="AB39" s="277"/>
      <c r="AC39" s="277"/>
      <c r="AD39" s="277"/>
      <c r="AE39" s="277"/>
      <c r="AF39" s="277"/>
      <c r="AG39" s="277"/>
      <c r="AH39" s="277"/>
      <c r="AI39" s="166"/>
      <c r="AJ39" s="166"/>
      <c r="AK39" s="166"/>
      <c r="AL39" s="166"/>
      <c r="AM39" s="166"/>
      <c r="AN39" s="166"/>
      <c r="AO39" s="166"/>
      <c r="AP39" s="166"/>
      <c r="AQ39" s="166"/>
      <c r="AR39" s="166"/>
      <c r="AS39" s="166"/>
      <c r="AT39" s="166"/>
      <c r="AU39" s="272"/>
    </row>
    <row r="40" spans="2:47" ht="32.85" customHeight="1">
      <c r="B40" s="268"/>
      <c r="C40" s="268"/>
      <c r="D40" s="204" t="s">
        <v>18</v>
      </c>
      <c r="E40" s="167"/>
      <c r="F40" s="275" t="s">
        <v>19</v>
      </c>
      <c r="G40" s="275"/>
      <c r="H40" s="275"/>
      <c r="I40" s="275"/>
      <c r="J40" s="275"/>
      <c r="K40" s="275"/>
      <c r="L40" s="275"/>
      <c r="M40" s="275"/>
      <c r="N40" s="275"/>
      <c r="O40" s="275"/>
      <c r="P40" s="275"/>
      <c r="Q40" s="275"/>
      <c r="R40" s="275"/>
      <c r="S40" s="275"/>
      <c r="T40" s="275"/>
      <c r="U40" s="275"/>
      <c r="V40" s="275"/>
      <c r="W40" s="275"/>
      <c r="X40" s="275"/>
      <c r="Y40" s="275"/>
      <c r="Z40" s="275"/>
      <c r="AA40" s="275"/>
      <c r="AB40" s="275"/>
      <c r="AC40" s="275"/>
      <c r="AD40" s="275"/>
      <c r="AE40" s="275"/>
      <c r="AF40" s="275"/>
      <c r="AG40" s="275"/>
      <c r="AH40" s="275"/>
      <c r="AI40" s="166"/>
      <c r="AJ40" s="166"/>
      <c r="AK40" s="166"/>
      <c r="AL40" s="166"/>
      <c r="AM40" s="278" t="s">
        <v>20</v>
      </c>
      <c r="AN40" s="278"/>
      <c r="AO40" s="278"/>
      <c r="AP40" s="278"/>
      <c r="AQ40" s="278"/>
      <c r="AR40" s="278"/>
      <c r="AS40" s="278"/>
      <c r="AT40" s="278"/>
      <c r="AU40" s="272"/>
    </row>
    <row r="41" spans="2:47" ht="15.95">
      <c r="B41" s="268"/>
      <c r="C41" s="268"/>
      <c r="D41" s="167"/>
      <c r="E41" s="167"/>
      <c r="F41" s="277"/>
      <c r="G41" s="277"/>
      <c r="H41" s="277"/>
      <c r="I41" s="277"/>
      <c r="J41" s="277"/>
      <c r="K41" s="277"/>
      <c r="L41" s="277"/>
      <c r="M41" s="277"/>
      <c r="N41" s="277"/>
      <c r="O41" s="277"/>
      <c r="P41" s="277"/>
      <c r="Q41" s="277"/>
      <c r="R41" s="277"/>
      <c r="S41" s="277"/>
      <c r="T41" s="277"/>
      <c r="U41" s="277"/>
      <c r="V41" s="277"/>
      <c r="W41" s="277"/>
      <c r="X41" s="277"/>
      <c r="Y41" s="277"/>
      <c r="Z41" s="277"/>
      <c r="AA41" s="277"/>
      <c r="AB41" s="277"/>
      <c r="AC41" s="277"/>
      <c r="AD41" s="277"/>
      <c r="AE41" s="277"/>
      <c r="AF41" s="277"/>
      <c r="AG41" s="277"/>
      <c r="AH41" s="277"/>
      <c r="AI41" s="166"/>
      <c r="AJ41" s="166"/>
      <c r="AK41" s="166"/>
      <c r="AL41" s="166"/>
      <c r="AM41" s="166"/>
      <c r="AN41" s="166"/>
      <c r="AO41" s="166"/>
      <c r="AP41" s="166"/>
      <c r="AQ41" s="166"/>
      <c r="AR41" s="166"/>
      <c r="AS41" s="166"/>
      <c r="AT41" s="166"/>
      <c r="AU41" s="272"/>
    </row>
    <row r="42" spans="2:47" ht="32.85" customHeight="1">
      <c r="B42" s="268"/>
      <c r="C42" s="268"/>
      <c r="D42" s="204" t="s">
        <v>21</v>
      </c>
      <c r="E42" s="167"/>
      <c r="F42" s="275" t="s">
        <v>22</v>
      </c>
      <c r="G42" s="275"/>
      <c r="H42" s="275"/>
      <c r="I42" s="275"/>
      <c r="J42" s="275"/>
      <c r="K42" s="275"/>
      <c r="L42" s="275"/>
      <c r="M42" s="275"/>
      <c r="N42" s="275"/>
      <c r="O42" s="275"/>
      <c r="P42" s="275"/>
      <c r="Q42" s="275"/>
      <c r="R42" s="275"/>
      <c r="S42" s="275"/>
      <c r="T42" s="275"/>
      <c r="U42" s="275"/>
      <c r="V42" s="275"/>
      <c r="W42" s="275"/>
      <c r="X42" s="275"/>
      <c r="Y42" s="275"/>
      <c r="Z42" s="275"/>
      <c r="AA42" s="275"/>
      <c r="AB42" s="275"/>
      <c r="AC42" s="275"/>
      <c r="AD42" s="275"/>
      <c r="AE42" s="275"/>
      <c r="AF42" s="275"/>
      <c r="AG42" s="275"/>
      <c r="AH42" s="275"/>
      <c r="AI42" s="166"/>
      <c r="AJ42" s="166"/>
      <c r="AK42" s="166"/>
      <c r="AL42" s="166"/>
      <c r="AM42" s="276" t="s">
        <v>23</v>
      </c>
      <c r="AN42" s="276"/>
      <c r="AO42" s="276"/>
      <c r="AP42" s="276"/>
      <c r="AQ42" s="276"/>
      <c r="AR42" s="276"/>
      <c r="AS42" s="276"/>
      <c r="AT42" s="276"/>
      <c r="AU42" s="272"/>
    </row>
    <row r="43" spans="2:47" ht="15.95">
      <c r="B43" s="268"/>
      <c r="C43" s="268"/>
      <c r="D43" s="167"/>
      <c r="E43" s="167"/>
      <c r="F43" s="277"/>
      <c r="G43" s="277"/>
      <c r="H43" s="277"/>
      <c r="I43" s="277"/>
      <c r="J43" s="277"/>
      <c r="K43" s="277"/>
      <c r="L43" s="277"/>
      <c r="M43" s="277"/>
      <c r="N43" s="277"/>
      <c r="O43" s="277"/>
      <c r="P43" s="277"/>
      <c r="Q43" s="277"/>
      <c r="R43" s="277"/>
      <c r="S43" s="277"/>
      <c r="T43" s="277"/>
      <c r="U43" s="277"/>
      <c r="V43" s="277"/>
      <c r="W43" s="277"/>
      <c r="X43" s="277"/>
      <c r="Y43" s="277"/>
      <c r="Z43" s="277"/>
      <c r="AA43" s="277"/>
      <c r="AB43" s="277"/>
      <c r="AC43" s="277"/>
      <c r="AD43" s="277"/>
      <c r="AE43" s="277"/>
      <c r="AF43" s="277"/>
      <c r="AG43" s="277"/>
      <c r="AH43" s="277"/>
      <c r="AI43" s="166"/>
      <c r="AJ43" s="166"/>
      <c r="AK43" s="166"/>
      <c r="AL43" s="166"/>
      <c r="AM43" s="166"/>
      <c r="AN43" s="166"/>
      <c r="AO43" s="166"/>
      <c r="AP43" s="166"/>
      <c r="AQ43" s="166"/>
      <c r="AR43" s="166"/>
      <c r="AS43" s="166"/>
      <c r="AT43" s="166"/>
      <c r="AU43" s="272"/>
    </row>
    <row r="44" spans="2:47" ht="32.1">
      <c r="B44" s="268"/>
      <c r="C44" s="268"/>
      <c r="D44" s="204" t="s">
        <v>24</v>
      </c>
      <c r="E44" s="167"/>
      <c r="F44" s="275" t="s">
        <v>25</v>
      </c>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166"/>
      <c r="AJ44" s="166"/>
      <c r="AK44" s="166"/>
      <c r="AL44" s="166"/>
      <c r="AM44" s="247" t="s">
        <v>26</v>
      </c>
      <c r="AN44" s="247"/>
      <c r="AO44" s="247"/>
      <c r="AP44" s="247"/>
      <c r="AQ44" s="247"/>
      <c r="AR44" s="247"/>
      <c r="AS44" s="247"/>
      <c r="AT44" s="247"/>
      <c r="AU44" s="272"/>
    </row>
    <row r="45" spans="2:47" ht="15.95">
      <c r="B45" s="268"/>
      <c r="C45" s="268"/>
      <c r="D45" s="167"/>
      <c r="E45" s="167"/>
      <c r="F45" s="277"/>
      <c r="G45" s="277"/>
      <c r="H45" s="277"/>
      <c r="I45" s="277"/>
      <c r="J45" s="277"/>
      <c r="K45" s="277"/>
      <c r="L45" s="277"/>
      <c r="M45" s="277"/>
      <c r="N45" s="277"/>
      <c r="O45" s="277"/>
      <c r="P45" s="277"/>
      <c r="Q45" s="277"/>
      <c r="R45" s="277"/>
      <c r="S45" s="277"/>
      <c r="T45" s="277"/>
      <c r="U45" s="277"/>
      <c r="V45" s="277"/>
      <c r="W45" s="277"/>
      <c r="X45" s="277"/>
      <c r="Y45" s="277"/>
      <c r="Z45" s="277"/>
      <c r="AA45" s="277"/>
      <c r="AB45" s="277"/>
      <c r="AC45" s="277"/>
      <c r="AD45" s="277"/>
      <c r="AE45" s="277"/>
      <c r="AF45" s="277"/>
      <c r="AG45" s="277"/>
      <c r="AH45" s="277"/>
      <c r="AI45" s="166"/>
      <c r="AJ45" s="166"/>
      <c r="AK45" s="166"/>
      <c r="AL45" s="166"/>
      <c r="AM45" s="168"/>
      <c r="AN45" s="168"/>
      <c r="AO45" s="168"/>
      <c r="AP45" s="168"/>
      <c r="AQ45" s="168"/>
      <c r="AR45" s="168"/>
      <c r="AS45" s="168"/>
      <c r="AT45" s="168"/>
      <c r="AU45" s="272"/>
    </row>
    <row r="46" spans="2:47" ht="15.95">
      <c r="B46" s="268"/>
      <c r="C46" s="268"/>
      <c r="D46" s="204" t="s">
        <v>27</v>
      </c>
      <c r="E46" s="167"/>
      <c r="F46" s="275" t="s">
        <v>28</v>
      </c>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275"/>
      <c r="AF46" s="275"/>
      <c r="AG46" s="275"/>
      <c r="AH46" s="275"/>
      <c r="AI46" s="166"/>
      <c r="AJ46" s="166"/>
      <c r="AK46" s="166"/>
      <c r="AL46" s="166"/>
      <c r="AM46" s="247" t="s">
        <v>26</v>
      </c>
      <c r="AN46" s="247"/>
      <c r="AO46" s="247"/>
      <c r="AP46" s="247"/>
      <c r="AQ46" s="247"/>
      <c r="AR46" s="247"/>
      <c r="AS46" s="247"/>
      <c r="AT46" s="247"/>
      <c r="AU46" s="272"/>
    </row>
    <row r="47" spans="2:47" ht="15.95">
      <c r="B47" s="268"/>
      <c r="C47" s="268"/>
      <c r="D47" s="167"/>
      <c r="E47" s="167"/>
      <c r="F47" s="277"/>
      <c r="G47" s="277"/>
      <c r="H47" s="277"/>
      <c r="I47" s="277"/>
      <c r="J47" s="277"/>
      <c r="K47" s="277"/>
      <c r="L47" s="277"/>
      <c r="M47" s="277"/>
      <c r="N47" s="277"/>
      <c r="O47" s="277"/>
      <c r="P47" s="277"/>
      <c r="Q47" s="277"/>
      <c r="R47" s="277"/>
      <c r="S47" s="277"/>
      <c r="T47" s="277"/>
      <c r="U47" s="277"/>
      <c r="V47" s="277"/>
      <c r="W47" s="277"/>
      <c r="X47" s="277"/>
      <c r="Y47" s="277"/>
      <c r="Z47" s="277"/>
      <c r="AA47" s="277"/>
      <c r="AB47" s="277"/>
      <c r="AC47" s="277"/>
      <c r="AD47" s="277"/>
      <c r="AE47" s="277"/>
      <c r="AF47" s="277"/>
      <c r="AG47" s="277"/>
      <c r="AH47" s="277"/>
      <c r="AI47" s="166"/>
      <c r="AJ47" s="166"/>
      <c r="AK47" s="166"/>
      <c r="AL47" s="166"/>
      <c r="AM47" s="168"/>
      <c r="AN47" s="168"/>
      <c r="AO47" s="168"/>
      <c r="AP47" s="168"/>
      <c r="AQ47" s="168"/>
      <c r="AR47" s="168"/>
      <c r="AS47" s="168"/>
      <c r="AT47" s="168"/>
      <c r="AU47" s="272"/>
    </row>
    <row r="48" spans="2:47" ht="48.75" customHeight="1">
      <c r="B48" s="268"/>
      <c r="C48" s="268"/>
      <c r="D48" s="204" t="s">
        <v>29</v>
      </c>
      <c r="E48" s="167"/>
      <c r="F48" s="275" t="s">
        <v>30</v>
      </c>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c r="AF48" s="275"/>
      <c r="AG48" s="275"/>
      <c r="AH48" s="275"/>
      <c r="AI48" s="166"/>
      <c r="AJ48" s="166"/>
      <c r="AK48" s="166"/>
      <c r="AL48" s="166"/>
      <c r="AM48" s="247" t="s">
        <v>26</v>
      </c>
      <c r="AN48" s="247"/>
      <c r="AO48" s="247"/>
      <c r="AP48" s="247"/>
      <c r="AQ48" s="247"/>
      <c r="AR48" s="247"/>
      <c r="AS48" s="247"/>
      <c r="AT48" s="247"/>
      <c r="AU48" s="272"/>
    </row>
    <row r="49" spans="2:47" ht="15.95">
      <c r="B49" s="268"/>
      <c r="C49" s="268"/>
      <c r="D49" s="167"/>
      <c r="E49" s="16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c r="AC49" s="277"/>
      <c r="AD49" s="277"/>
      <c r="AE49" s="277"/>
      <c r="AF49" s="277"/>
      <c r="AG49" s="277"/>
      <c r="AH49" s="277"/>
      <c r="AI49" s="166"/>
      <c r="AJ49" s="166"/>
      <c r="AK49" s="166"/>
      <c r="AL49" s="166"/>
      <c r="AM49" s="279"/>
      <c r="AN49" s="279"/>
      <c r="AO49" s="279"/>
      <c r="AP49" s="279"/>
      <c r="AQ49" s="279"/>
      <c r="AR49" s="279"/>
      <c r="AS49" s="279"/>
      <c r="AT49" s="279"/>
      <c r="AU49" s="272"/>
    </row>
    <row r="50" spans="2:47" ht="15.75" customHeight="1">
      <c r="B50" s="268"/>
      <c r="C50" s="268"/>
      <c r="D50" s="204" t="s">
        <v>31</v>
      </c>
      <c r="E50" s="167"/>
      <c r="F50" s="275" t="s">
        <v>28</v>
      </c>
      <c r="G50" s="275"/>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166"/>
      <c r="AJ50" s="166"/>
      <c r="AK50" s="166"/>
      <c r="AL50" s="166"/>
      <c r="AM50" s="247" t="s">
        <v>26</v>
      </c>
      <c r="AN50" s="247"/>
      <c r="AO50" s="247"/>
      <c r="AP50" s="247"/>
      <c r="AQ50" s="247"/>
      <c r="AR50" s="247"/>
      <c r="AS50" s="247"/>
      <c r="AT50" s="247"/>
      <c r="AU50" s="272"/>
    </row>
    <row r="51" spans="2:47" ht="15.95">
      <c r="B51" s="268"/>
      <c r="C51" s="268"/>
      <c r="D51" s="167"/>
      <c r="E51" s="16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166"/>
      <c r="AJ51" s="166"/>
      <c r="AK51" s="166"/>
      <c r="AL51" s="166"/>
      <c r="AM51" s="279"/>
      <c r="AN51" s="279"/>
      <c r="AO51" s="279"/>
      <c r="AP51" s="279"/>
      <c r="AQ51" s="279"/>
      <c r="AR51" s="279"/>
      <c r="AS51" s="279"/>
      <c r="AT51" s="279"/>
      <c r="AU51" s="272"/>
    </row>
    <row r="52" spans="2:47" ht="36" customHeight="1">
      <c r="B52" s="268"/>
      <c r="C52" s="268"/>
      <c r="D52" s="204" t="s">
        <v>32</v>
      </c>
      <c r="E52" s="167"/>
      <c r="F52" s="275" t="s">
        <v>33</v>
      </c>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166"/>
      <c r="AJ52" s="166"/>
      <c r="AK52" s="166"/>
      <c r="AL52" s="166"/>
      <c r="AM52" s="276" t="s">
        <v>34</v>
      </c>
      <c r="AN52" s="276"/>
      <c r="AO52" s="276"/>
      <c r="AP52" s="276"/>
      <c r="AQ52" s="276"/>
      <c r="AR52" s="276"/>
      <c r="AS52" s="276"/>
      <c r="AT52" s="276"/>
      <c r="AU52" s="272"/>
    </row>
    <row r="53" spans="2:47" ht="15.95">
      <c r="B53" s="268"/>
      <c r="C53" s="268"/>
      <c r="D53" s="167"/>
      <c r="E53" s="16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c r="AF53" s="277"/>
      <c r="AG53" s="277"/>
      <c r="AH53" s="277"/>
      <c r="AI53" s="166"/>
      <c r="AJ53" s="166"/>
      <c r="AK53" s="166"/>
      <c r="AL53" s="166"/>
      <c r="AM53" s="279"/>
      <c r="AN53" s="279"/>
      <c r="AO53" s="279"/>
      <c r="AP53" s="279"/>
      <c r="AQ53" s="279"/>
      <c r="AR53" s="279"/>
      <c r="AS53" s="279"/>
      <c r="AT53" s="279"/>
      <c r="AU53" s="272"/>
    </row>
    <row r="54" spans="2:47" ht="32.1">
      <c r="B54" s="268"/>
      <c r="C54" s="268"/>
      <c r="D54" s="204" t="s">
        <v>35</v>
      </c>
      <c r="E54" s="167"/>
      <c r="F54" s="275" t="s">
        <v>36</v>
      </c>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166"/>
      <c r="AJ54" s="166"/>
      <c r="AK54" s="166"/>
      <c r="AL54" s="166"/>
      <c r="AM54" s="278" t="s">
        <v>26</v>
      </c>
      <c r="AN54" s="278"/>
      <c r="AO54" s="278"/>
      <c r="AP54" s="278"/>
      <c r="AQ54" s="278"/>
      <c r="AR54" s="278"/>
      <c r="AS54" s="278"/>
      <c r="AT54" s="278"/>
      <c r="AU54" s="272"/>
    </row>
    <row r="55" spans="2:47" ht="15.95">
      <c r="B55" s="268"/>
      <c r="C55" s="268"/>
      <c r="D55" s="167"/>
      <c r="E55" s="16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166"/>
      <c r="AJ55" s="166"/>
      <c r="AK55" s="166"/>
      <c r="AL55" s="166"/>
      <c r="AM55" s="168"/>
      <c r="AN55" s="168"/>
      <c r="AO55" s="168"/>
      <c r="AP55" s="168"/>
      <c r="AQ55" s="168"/>
      <c r="AR55" s="168"/>
      <c r="AS55" s="168"/>
      <c r="AT55" s="168"/>
      <c r="AU55" s="272"/>
    </row>
    <row r="56" spans="2:47" ht="15.95">
      <c r="B56" s="268"/>
      <c r="C56" s="268"/>
      <c r="D56" s="204" t="s">
        <v>37</v>
      </c>
      <c r="E56" s="167"/>
      <c r="F56" s="275" t="s">
        <v>38</v>
      </c>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275"/>
      <c r="AF56" s="275"/>
      <c r="AG56" s="275"/>
      <c r="AH56" s="275"/>
      <c r="AI56" s="166"/>
      <c r="AJ56" s="166"/>
      <c r="AK56" s="166"/>
      <c r="AL56" s="166"/>
      <c r="AM56" s="278" t="s">
        <v>26</v>
      </c>
      <c r="AN56" s="278"/>
      <c r="AO56" s="278"/>
      <c r="AP56" s="278"/>
      <c r="AQ56" s="278"/>
      <c r="AR56" s="278"/>
      <c r="AS56" s="278"/>
      <c r="AT56" s="278"/>
      <c r="AU56" s="272"/>
    </row>
    <row r="57" spans="2:47" ht="15.95">
      <c r="B57" s="268"/>
      <c r="C57" s="268"/>
      <c r="D57" s="168"/>
      <c r="E57" s="268"/>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80"/>
      <c r="AK57" s="281"/>
      <c r="AL57" s="282"/>
      <c r="AM57" s="283"/>
      <c r="AN57" s="283"/>
      <c r="AO57" s="283"/>
      <c r="AP57" s="283"/>
      <c r="AQ57" s="283"/>
      <c r="AR57" s="283"/>
      <c r="AS57" s="283"/>
      <c r="AT57" s="283"/>
      <c r="AU57" s="268"/>
    </row>
    <row r="58" spans="2:47" ht="17.100000000000001" thickBot="1">
      <c r="B58" s="268"/>
      <c r="C58" s="268"/>
      <c r="D58" s="284"/>
      <c r="E58" s="268"/>
      <c r="F58" s="279"/>
      <c r="G58" s="268"/>
      <c r="H58" s="285"/>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row>
    <row r="59" spans="2:47" ht="23.1" thickTop="1" thickBot="1">
      <c r="B59" s="268"/>
      <c r="C59" s="268"/>
      <c r="D59" s="156" t="s">
        <v>39</v>
      </c>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284"/>
    </row>
    <row r="60" spans="2:47" ht="17.100000000000001" thickTop="1">
      <c r="B60" s="268"/>
      <c r="C60" s="268"/>
      <c r="D60" s="273"/>
      <c r="E60" s="273"/>
      <c r="F60" s="273"/>
      <c r="G60" s="273"/>
      <c r="H60" s="273"/>
      <c r="I60" s="273"/>
      <c r="J60" s="273"/>
      <c r="K60" s="273"/>
      <c r="L60" s="273"/>
      <c r="M60" s="273"/>
      <c r="N60" s="273"/>
      <c r="O60" s="273"/>
      <c r="P60" s="273"/>
      <c r="Q60" s="273"/>
      <c r="R60" s="273"/>
      <c r="S60" s="273"/>
      <c r="T60" s="273"/>
      <c r="U60" s="273"/>
      <c r="V60" s="273"/>
      <c r="W60" s="273"/>
      <c r="X60" s="273"/>
      <c r="Y60" s="273"/>
      <c r="Z60" s="273"/>
      <c r="AA60" s="273"/>
      <c r="AB60" s="273"/>
      <c r="AC60" s="273"/>
      <c r="AD60" s="273"/>
      <c r="AE60" s="273"/>
      <c r="AF60" s="273"/>
      <c r="AG60" s="273"/>
      <c r="AH60" s="273"/>
      <c r="AI60" s="273"/>
      <c r="AJ60" s="273"/>
      <c r="AK60" s="273"/>
      <c r="AL60" s="273"/>
      <c r="AM60" s="273"/>
      <c r="AN60" s="273"/>
      <c r="AO60" s="273"/>
      <c r="AP60" s="273"/>
      <c r="AQ60" s="273"/>
      <c r="AR60" s="273"/>
      <c r="AS60" s="273"/>
      <c r="AT60" s="273"/>
      <c r="AU60" s="268"/>
    </row>
    <row r="61" spans="2:47" ht="15.95">
      <c r="B61" s="268"/>
      <c r="C61" s="268"/>
      <c r="D61" s="286" t="s">
        <v>40</v>
      </c>
      <c r="E61" s="252"/>
      <c r="F61" s="252"/>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68"/>
    </row>
    <row r="62" spans="2:47" ht="9.6" customHeight="1">
      <c r="B62" s="268"/>
      <c r="C62" s="268"/>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c r="AR62" s="252"/>
      <c r="AS62" s="252"/>
      <c r="AT62" s="252"/>
      <c r="AU62" s="268"/>
    </row>
    <row r="63" spans="2:47" ht="13.35" customHeight="1">
      <c r="B63" s="268"/>
      <c r="C63" s="268"/>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c r="AR63" s="252"/>
      <c r="AS63" s="252"/>
      <c r="AT63" s="252"/>
      <c r="AU63" s="284"/>
    </row>
    <row r="64" spans="2:47" ht="49.35" customHeight="1">
      <c r="B64" s="268"/>
      <c r="C64" s="268"/>
      <c r="D64" s="274" t="s">
        <v>41</v>
      </c>
      <c r="E64" s="274"/>
      <c r="F64" s="274"/>
      <c r="G64" s="274"/>
      <c r="H64" s="274"/>
      <c r="I64" s="274"/>
      <c r="J64" s="274"/>
      <c r="K64" s="274"/>
      <c r="L64" s="274"/>
      <c r="M64" s="274"/>
      <c r="N64" s="274"/>
      <c r="O64" s="274"/>
      <c r="P64" s="274"/>
      <c r="Q64" s="274"/>
      <c r="R64" s="274"/>
      <c r="S64" s="274"/>
      <c r="T64" s="274"/>
      <c r="U64" s="274"/>
      <c r="V64" s="274"/>
      <c r="W64" s="274"/>
      <c r="X64" s="274"/>
      <c r="Y64" s="274"/>
      <c r="Z64" s="274"/>
      <c r="AA64" s="274"/>
      <c r="AB64" s="274"/>
      <c r="AC64" s="274"/>
      <c r="AD64" s="274"/>
      <c r="AE64" s="274"/>
      <c r="AF64" s="274"/>
      <c r="AG64" s="274"/>
      <c r="AH64" s="274"/>
      <c r="AI64" s="274"/>
      <c r="AJ64" s="274"/>
      <c r="AK64" s="274"/>
      <c r="AL64" s="274"/>
      <c r="AM64" s="274"/>
      <c r="AN64" s="274"/>
      <c r="AO64" s="274"/>
      <c r="AP64" s="274"/>
      <c r="AQ64" s="274"/>
      <c r="AR64" s="274"/>
      <c r="AS64" s="274"/>
      <c r="AT64" s="274"/>
      <c r="AU64" s="268"/>
    </row>
    <row r="65" spans="2:47" ht="15.6" customHeight="1" thickBot="1">
      <c r="B65" s="268"/>
      <c r="C65" s="268"/>
      <c r="D65" s="275"/>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c r="AF65" s="275"/>
      <c r="AG65" s="275"/>
      <c r="AH65" s="275"/>
      <c r="AI65" s="275"/>
      <c r="AJ65" s="275"/>
      <c r="AK65" s="275"/>
      <c r="AL65" s="275"/>
      <c r="AM65" s="275"/>
      <c r="AN65" s="275"/>
      <c r="AO65" s="275"/>
      <c r="AP65" s="275"/>
      <c r="AQ65" s="275"/>
      <c r="AR65" s="275"/>
      <c r="AS65" s="275"/>
      <c r="AT65" s="275"/>
      <c r="AU65" s="268"/>
    </row>
    <row r="66" spans="2:47" ht="17.100000000000001" hidden="1" thickBot="1">
      <c r="B66" s="268"/>
      <c r="C66" s="268"/>
      <c r="D66" s="275"/>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75"/>
      <c r="AP66" s="275"/>
      <c r="AQ66" s="275"/>
      <c r="AR66" s="275"/>
      <c r="AS66" s="275"/>
      <c r="AT66" s="275"/>
      <c r="AU66" s="268"/>
    </row>
    <row r="67" spans="2:47" ht="17.100000000000001" hidden="1" thickBot="1">
      <c r="B67" s="268"/>
      <c r="C67" s="268"/>
      <c r="D67" s="275"/>
      <c r="E67" s="275"/>
      <c r="F67" s="275"/>
      <c r="G67" s="275"/>
      <c r="H67" s="275"/>
      <c r="I67" s="275"/>
      <c r="J67" s="275"/>
      <c r="K67" s="275"/>
      <c r="L67" s="275"/>
      <c r="M67" s="275"/>
      <c r="N67" s="275"/>
      <c r="O67" s="275"/>
      <c r="P67" s="275"/>
      <c r="Q67" s="275"/>
      <c r="R67" s="275"/>
      <c r="S67" s="275"/>
      <c r="T67" s="275"/>
      <c r="U67" s="275"/>
      <c r="V67" s="275"/>
      <c r="W67" s="275"/>
      <c r="X67" s="275"/>
      <c r="Y67" s="275"/>
      <c r="Z67" s="275"/>
      <c r="AA67" s="275"/>
      <c r="AB67" s="275"/>
      <c r="AC67" s="275"/>
      <c r="AD67" s="275"/>
      <c r="AE67" s="275"/>
      <c r="AF67" s="275"/>
      <c r="AG67" s="275"/>
      <c r="AH67" s="275"/>
      <c r="AI67" s="275"/>
      <c r="AJ67" s="275"/>
      <c r="AK67" s="275"/>
      <c r="AL67" s="275"/>
      <c r="AM67" s="275"/>
      <c r="AN67" s="275"/>
      <c r="AO67" s="275"/>
      <c r="AP67" s="275"/>
      <c r="AQ67" s="275"/>
      <c r="AR67" s="275"/>
      <c r="AS67" s="275"/>
      <c r="AT67" s="275"/>
      <c r="AU67" s="268"/>
    </row>
    <row r="68" spans="2:47" ht="23.1" thickTop="1" thickBot="1">
      <c r="B68" s="268"/>
      <c r="C68" s="268"/>
      <c r="D68" s="156" t="s">
        <v>42</v>
      </c>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268"/>
    </row>
    <row r="69" spans="2:47" ht="17.100000000000001" hidden="1" thickTop="1">
      <c r="B69" s="268"/>
      <c r="C69" s="268"/>
      <c r="D69" s="268"/>
      <c r="E69" s="268"/>
      <c r="F69" s="268"/>
      <c r="G69" s="268"/>
      <c r="H69" s="268"/>
      <c r="I69" s="268"/>
      <c r="J69" s="268"/>
      <c r="K69" s="253" t="s">
        <v>43</v>
      </c>
      <c r="L69" s="253"/>
      <c r="M69" s="253"/>
      <c r="N69" s="253"/>
      <c r="O69" s="253"/>
      <c r="P69" s="253"/>
      <c r="Q69" s="253"/>
      <c r="R69" s="253"/>
      <c r="S69" s="253"/>
      <c r="T69" s="253"/>
      <c r="U69" s="253"/>
      <c r="V69" s="253"/>
      <c r="W69" s="253"/>
      <c r="X69" s="253"/>
      <c r="Y69" s="253"/>
      <c r="Z69" s="253"/>
      <c r="AA69" s="253"/>
      <c r="AB69" s="253"/>
      <c r="AC69" s="253"/>
      <c r="AD69" s="253"/>
      <c r="AE69" s="253"/>
      <c r="AF69" s="253"/>
      <c r="AG69" s="253"/>
      <c r="AH69" s="268"/>
      <c r="AI69" s="268"/>
      <c r="AJ69" s="268"/>
      <c r="AK69" s="268"/>
      <c r="AL69" s="268"/>
      <c r="AM69" s="268"/>
      <c r="AN69" s="268"/>
      <c r="AO69" s="268"/>
      <c r="AP69" s="268"/>
      <c r="AQ69" s="268"/>
      <c r="AR69" s="268"/>
      <c r="AS69" s="268"/>
      <c r="AT69" s="268"/>
      <c r="AU69" s="268"/>
    </row>
    <row r="70" spans="2:47" ht="17.100000000000001" thickTop="1">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8"/>
    </row>
    <row r="71" spans="2:47" ht="17.100000000000001">
      <c r="B71" s="268"/>
      <c r="C71" s="268"/>
      <c r="D71" s="280" t="s">
        <v>44</v>
      </c>
      <c r="E71" s="169" t="s">
        <v>45</v>
      </c>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68"/>
    </row>
    <row r="72" spans="2:47" ht="7.35" customHeight="1">
      <c r="B72" s="268"/>
      <c r="C72" s="268"/>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68"/>
    </row>
    <row r="73" spans="2:47" ht="17.100000000000001">
      <c r="B73" s="268"/>
      <c r="C73" s="268"/>
      <c r="D73" s="280" t="s">
        <v>46</v>
      </c>
      <c r="E73" s="169" t="s">
        <v>45</v>
      </c>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68"/>
    </row>
    <row r="74" spans="2:47" ht="15.95">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row>
    <row r="75" spans="2:47" ht="15.95">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row>
    <row r="76" spans="2:47" ht="15.95">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row>
    <row r="77" spans="2:47" ht="15.95">
      <c r="B77" s="267"/>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row>
    <row r="78" spans="2:47" ht="15.95">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row>
    <row r="79" spans="2:47" ht="15.95">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row>
    <row r="80" spans="2:47" ht="15.95">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row>
    <row r="81" ht="15.95"/>
    <row r="82" ht="15.95"/>
    <row r="83" ht="15.95"/>
    <row r="84" ht="15.95"/>
    <row r="85" ht="15.95"/>
    <row r="86" ht="15.95"/>
    <row r="87" ht="15.95"/>
    <row r="88" ht="15.95"/>
    <row r="89" ht="15.95"/>
    <row r="90" ht="15.95"/>
    <row r="91" ht="15.95"/>
    <row r="92" ht="15.95"/>
    <row r="93" ht="15.95"/>
    <row r="94" ht="15.95"/>
    <row r="95" ht="15.95"/>
    <row r="96" ht="15.95"/>
    <row r="97" ht="15.95"/>
    <row r="98" ht="15.95"/>
    <row r="99" ht="15.95"/>
    <row r="100" ht="15.95"/>
    <row r="101" ht="15.95"/>
    <row r="102" ht="15.95"/>
    <row r="103" ht="15.95"/>
    <row r="104" ht="15.75" customHeight="1"/>
    <row r="105" ht="15.75" customHeight="1"/>
  </sheetData>
  <mergeCells count="31">
    <mergeCell ref="D61:AT63"/>
    <mergeCell ref="D64:AT64"/>
    <mergeCell ref="D65:AT67"/>
    <mergeCell ref="K69:AG69"/>
    <mergeCell ref="F48:AH48"/>
    <mergeCell ref="AM48:AT48"/>
    <mergeCell ref="F54:AH54"/>
    <mergeCell ref="AM54:AT54"/>
    <mergeCell ref="F56:AH56"/>
    <mergeCell ref="AM56:AT56"/>
    <mergeCell ref="F52:AH52"/>
    <mergeCell ref="AM52:AT52"/>
    <mergeCell ref="D27:AT29"/>
    <mergeCell ref="F42:AH42"/>
    <mergeCell ref="D33:AT34"/>
    <mergeCell ref="F38:AH38"/>
    <mergeCell ref="AM38:AT38"/>
    <mergeCell ref="F40:AH40"/>
    <mergeCell ref="AM40:AT40"/>
    <mergeCell ref="AM42:AT42"/>
    <mergeCell ref="I5:AI5"/>
    <mergeCell ref="I6:AI8"/>
    <mergeCell ref="D15:AT17"/>
    <mergeCell ref="D18:F18"/>
    <mergeCell ref="D21:AT23"/>
    <mergeCell ref="F46:AH46"/>
    <mergeCell ref="AM46:AT46"/>
    <mergeCell ref="F50:AH50"/>
    <mergeCell ref="AM50:AT50"/>
    <mergeCell ref="F44:AH44"/>
    <mergeCell ref="AM44:AT44"/>
  </mergeCells>
  <hyperlinks>
    <hyperlink ref="K69:AG69" location="'Partner Screening Framework'!A1" display="Move to the next sheet to begin screening potential partner banks and identifying the most suitable candidates!" xr:uid="{981F0D84-2BAC-4141-8F20-5A86617462DF}"/>
    <hyperlink ref="D38" location="Assumptions!A1" display="Assumptions" xr:uid="{3D86404F-708C-4F06-A7B0-854099A35225}"/>
    <hyperlink ref="D40" location="'Outputs overview '!A1" display="Outputs overview" xr:uid="{D226FFC3-5205-42AF-ADF7-70986E50D5F3}"/>
    <hyperlink ref="D42" location="'Sensitivity analysis'!A1" display="Sensitivity analysis" xr:uid="{BACF1991-C41F-4DA8-94F5-B5010F62D55B}"/>
    <hyperlink ref="D44" location="'Key financial and ops fig.s LCY'!A1" display="Key financial and ops fig.s LCY" xr:uid="{067557D1-CA79-4E4D-9232-20D826618651}"/>
    <hyperlink ref="D46" location="'Alt. scenario LCY'!A1" display="Alt. scenario LCY" xr:uid="{40F5EC61-04EC-4EC7-9855-8D34368504BE}"/>
    <hyperlink ref="D48" location="'Key financial and ops fig.s COM'!A1" display="Key financial and ops fig.s COM" xr:uid="{D00F5DE2-FA5C-4FD9-9083-5DE64BE49FF1}"/>
    <hyperlink ref="D50" location="'Alt. scenario COM'!A1" display="Alt. scenario COM" xr:uid="{DEBACE96-2BCC-4889-A72A-3BB1D8A24BBD}"/>
    <hyperlink ref="D54" location="'Baseline Headcount Estimates'!A1" display="Baseline Headcount Estimate" xr:uid="{8E23051E-5195-4D1C-9F8C-869566C2CBC9}"/>
    <hyperlink ref="D56" location="Lists!A1" display="Lists" xr:uid="{B904BEE2-239C-4AD3-A601-E7309EDB9A20}"/>
    <hyperlink ref="D52" location="'All scenarios'!A1" display="All scenarios" xr:uid="{F642FE7E-52C5-4BF0-8681-C4C5D1A50FBF}"/>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778B-08E1-4EBA-8273-82569DDB3AB1}">
  <sheetPr>
    <tabColor rgb="FFFFB700"/>
  </sheetPr>
  <dimension ref="A1:W89"/>
  <sheetViews>
    <sheetView workbookViewId="0"/>
  </sheetViews>
  <sheetFormatPr defaultColWidth="9" defaultRowHeight="15"/>
  <cols>
    <col min="1" max="2" width="2.7109375" style="32" customWidth="1"/>
    <col min="3" max="3" width="36.28515625" style="77" bestFit="1" customWidth="1"/>
    <col min="4" max="4" width="14.42578125" style="2" customWidth="1"/>
    <col min="5" max="5" width="99.85546875" style="113" customWidth="1"/>
    <col min="6" max="6" width="18.7109375" style="10" customWidth="1"/>
    <col min="7" max="7" width="37" style="2" bestFit="1" customWidth="1"/>
    <col min="8" max="8" width="18.7109375" style="10" customWidth="1"/>
    <col min="9" max="10" width="14.28515625" style="113" customWidth="1"/>
    <col min="11" max="15" width="9" style="10"/>
    <col min="16" max="16" width="7.85546875" style="10" customWidth="1"/>
    <col min="17" max="16384" width="9" style="10"/>
  </cols>
  <sheetData>
    <row r="1" spans="1:23" s="3" customFormat="1" ht="86.1" customHeight="1">
      <c r="B1" s="4"/>
      <c r="C1" s="75"/>
      <c r="E1" s="75"/>
      <c r="I1" s="75"/>
      <c r="J1" s="75"/>
    </row>
    <row r="2" spans="1:23" s="3" customFormat="1" ht="15.95">
      <c r="B2" s="4"/>
      <c r="C2" s="75" t="s">
        <v>0</v>
      </c>
      <c r="E2" s="75"/>
      <c r="I2" s="75"/>
      <c r="J2" s="75"/>
    </row>
    <row r="3" spans="1:23" s="5" customFormat="1" ht="15.95">
      <c r="B3" s="6"/>
      <c r="C3" s="5" t="s">
        <v>47</v>
      </c>
      <c r="E3" s="76"/>
      <c r="I3" s="76"/>
      <c r="J3" s="76"/>
      <c r="W3" s="7"/>
    </row>
    <row r="4" spans="1:23" s="32" customFormat="1">
      <c r="C4" s="77"/>
      <c r="E4" s="77"/>
      <c r="I4" s="77"/>
      <c r="J4" s="77"/>
    </row>
    <row r="5" spans="1:23" s="32" customFormat="1" ht="37.5" customHeight="1">
      <c r="A5" s="78"/>
      <c r="B5" s="79" t="s">
        <v>48</v>
      </c>
      <c r="C5" s="89"/>
      <c r="D5" s="80" t="s">
        <v>49</v>
      </c>
      <c r="E5" s="81" t="s">
        <v>50</v>
      </c>
      <c r="F5" s="137"/>
      <c r="H5" s="137"/>
      <c r="I5" s="77"/>
      <c r="J5" s="77"/>
    </row>
    <row r="6" spans="1:23" s="32" customFormat="1" ht="37.5" customHeight="1">
      <c r="A6" s="78"/>
      <c r="B6" s="79"/>
      <c r="C6" s="90" t="s">
        <v>51</v>
      </c>
      <c r="D6" s="83" t="s">
        <v>52</v>
      </c>
      <c r="E6" s="81" t="s">
        <v>53</v>
      </c>
      <c r="F6" s="137"/>
      <c r="H6" s="137"/>
      <c r="I6" s="77"/>
      <c r="J6" s="77"/>
    </row>
    <row r="7" spans="1:23" s="32" customFormat="1" ht="37.5" customHeight="1">
      <c r="A7" s="78"/>
      <c r="B7" s="79"/>
      <c r="C7" s="90" t="s">
        <v>54</v>
      </c>
      <c r="D7" s="83" t="s">
        <v>55</v>
      </c>
      <c r="E7" s="81" t="s">
        <v>56</v>
      </c>
      <c r="F7" s="137"/>
      <c r="H7" s="137"/>
      <c r="I7" s="77"/>
      <c r="J7" s="77"/>
    </row>
    <row r="8" spans="1:23" s="32" customFormat="1" ht="37.5" customHeight="1">
      <c r="A8" s="78"/>
      <c r="B8" s="79"/>
      <c r="C8" s="90" t="s">
        <v>57</v>
      </c>
      <c r="D8" s="83" t="s">
        <v>58</v>
      </c>
      <c r="E8" s="81" t="s">
        <v>59</v>
      </c>
      <c r="F8" s="137"/>
      <c r="H8" s="137"/>
      <c r="I8" s="77"/>
      <c r="J8" s="77"/>
    </row>
    <row r="9" spans="1:23" s="32" customFormat="1" ht="37.5" customHeight="1">
      <c r="A9" s="78"/>
      <c r="B9" s="79"/>
      <c r="C9" s="90" t="s">
        <v>60</v>
      </c>
      <c r="D9" s="83" t="s">
        <v>55</v>
      </c>
      <c r="E9" s="81" t="s">
        <v>61</v>
      </c>
      <c r="F9" s="137"/>
      <c r="H9" s="137"/>
      <c r="I9" s="77"/>
      <c r="J9" s="77"/>
    </row>
    <row r="10" spans="1:23" s="32" customFormat="1" ht="37.5" customHeight="1">
      <c r="A10" s="78"/>
      <c r="B10" s="79"/>
      <c r="C10" s="90" t="s">
        <v>62</v>
      </c>
      <c r="D10" s="84">
        <v>1.2E-2</v>
      </c>
      <c r="E10" s="81" t="s">
        <v>63</v>
      </c>
      <c r="F10" s="137"/>
      <c r="H10" s="137"/>
      <c r="I10" s="77"/>
      <c r="J10" s="77"/>
    </row>
    <row r="11" spans="1:23" s="32" customFormat="1" ht="44.25" customHeight="1">
      <c r="B11" s="34" t="s">
        <v>64</v>
      </c>
      <c r="C11" s="77"/>
      <c r="D11" s="73"/>
      <c r="E11" s="77"/>
      <c r="F11" s="135" t="s">
        <v>65</v>
      </c>
      <c r="G11" s="171" t="s">
        <v>66</v>
      </c>
      <c r="H11" s="135"/>
      <c r="I11" s="77"/>
      <c r="J11" s="77"/>
    </row>
    <row r="12" spans="1:23" s="32" customFormat="1" ht="37.5" customHeight="1">
      <c r="A12" s="78"/>
      <c r="B12" s="82"/>
      <c r="C12" s="114" t="s">
        <v>67</v>
      </c>
      <c r="D12" s="115">
        <v>200</v>
      </c>
      <c r="E12" s="81" t="s">
        <v>68</v>
      </c>
      <c r="F12" s="136">
        <f>IFERROR(Assumptions!D12/(_xlfn.XLOOKUP(Assumptions!$D$5, 'Baseline Headcount Estimates'!$B$13:$B$180, 'Baseline Headcount Estimates'!$R$13:$R$180, "")*1000), "N/A")</f>
        <v>7.0294779288529119E-2</v>
      </c>
      <c r="G12" s="172">
        <f>D12</f>
        <v>200</v>
      </c>
      <c r="H12" s="136">
        <f>IFERROR(Assumptions!G12/(_xlfn.XLOOKUP(Assumptions!$D$5, 'Baseline Headcount Estimates'!$B$13:$B$180, 'Baseline Headcount Estimates'!$R$13:$R$180, "")*1000), "N/A")</f>
        <v>7.0294779288529119E-2</v>
      </c>
      <c r="I12" s="170" t="str">
        <f>IF(F12&gt;1,"TARGET EXCEEDS TOTAL MARKET","")</f>
        <v/>
      </c>
      <c r="J12" s="170" t="str">
        <f>IF(H12&gt;1,"TARGET EXCEEDS TOTAL MARKET","")</f>
        <v/>
      </c>
      <c r="P12" s="72"/>
    </row>
    <row r="13" spans="1:23" s="32" customFormat="1" ht="37.5" customHeight="1">
      <c r="A13" s="78"/>
      <c r="B13" s="82"/>
      <c r="C13" s="114" t="s">
        <v>69</v>
      </c>
      <c r="D13" s="115">
        <v>1000</v>
      </c>
      <c r="E13" s="81" t="s">
        <v>68</v>
      </c>
      <c r="F13" s="136">
        <f>IFERROR(Assumptions!D13/(_xlfn.XLOOKUP(Assumptions!$D$5, 'Baseline Headcount Estimates'!$B$13:$B$180, 'Baseline Headcount Estimates'!$Q$13:$Q$180, "")*1000), "N/A")</f>
        <v>0.12018055873730488</v>
      </c>
      <c r="G13" s="172">
        <f t="shared" ref="G13:G17" si="0">D13</f>
        <v>1000</v>
      </c>
      <c r="H13" s="136">
        <f>IFERROR(Assumptions!G13/(_xlfn.XLOOKUP(Assumptions!$D$5, 'Baseline Headcount Estimates'!$B$13:$B$180, 'Baseline Headcount Estimates'!$Q$13:$Q$180, "")*1000), "N/A")</f>
        <v>0.12018055873730488</v>
      </c>
      <c r="I13" s="170" t="str">
        <f>IF(F13&gt;1,"TARGET EXCEEDS TOTAL MARKET","")</f>
        <v/>
      </c>
      <c r="J13" s="170" t="str">
        <f>IF(H13&gt;1,"TARGET EXCEEDS TOTAL MARKET","")</f>
        <v/>
      </c>
    </row>
    <row r="14" spans="1:23" s="32" customFormat="1" ht="37.5" customHeight="1">
      <c r="A14" s="78"/>
      <c r="B14" s="82"/>
      <c r="C14" s="114" t="s">
        <v>70</v>
      </c>
      <c r="D14" s="115">
        <v>5000</v>
      </c>
      <c r="E14" s="81" t="s">
        <v>68</v>
      </c>
      <c r="F14" s="136">
        <f>IFERROR(Assumptions!D14/(_xlfn.XLOOKUP(Assumptions!$D$5, 'Baseline Headcount Estimates'!$B$13:$B$180, 'Baseline Headcount Estimates'!$P$13:$P$180, "")*1000), "N/A")</f>
        <v>0.19759702148473599</v>
      </c>
      <c r="G14" s="172">
        <f t="shared" si="0"/>
        <v>5000</v>
      </c>
      <c r="H14" s="136">
        <f>IFERROR(Assumptions!G14/(_xlfn.XLOOKUP(Assumptions!$D$5, 'Baseline Headcount Estimates'!$B$13:$B$180, 'Baseline Headcount Estimates'!$P$13:$P$180, "")*1000), "N/A")</f>
        <v>0.19759702148473599</v>
      </c>
      <c r="I14" s="170" t="str">
        <f>IF(F14&gt;1,"TARGET EXCEEDS TOTAL MARKET","")</f>
        <v/>
      </c>
      <c r="J14" s="170" t="str">
        <f>IF(H14&gt;1,"TARGET EXCEEDS TOTAL MARKET","")</f>
        <v/>
      </c>
    </row>
    <row r="15" spans="1:23" s="32" customFormat="1" ht="37.5" customHeight="1">
      <c r="A15" s="78"/>
      <c r="B15" s="82"/>
      <c r="C15" s="114" t="s">
        <v>71</v>
      </c>
      <c r="D15" s="115">
        <v>40000</v>
      </c>
      <c r="E15" s="81" t="s">
        <v>68</v>
      </c>
      <c r="F15" s="136">
        <f>IFERROR(Assumptions!D15/(_xlfn.XLOOKUP(Assumptions!$D$5, 'Baseline Headcount Estimates'!$B$13:$B$180, 'Baseline Headcount Estimates'!$O$13:$O$180, "")*1000), "N/A")</f>
        <v>0.19002391083959563</v>
      </c>
      <c r="G15" s="172">
        <f t="shared" si="0"/>
        <v>40000</v>
      </c>
      <c r="H15" s="136">
        <f>IFERROR(Assumptions!G15/(_xlfn.XLOOKUP(Assumptions!$D$5, 'Baseline Headcount Estimates'!$B$13:$B$180, 'Baseline Headcount Estimates'!$O$13:$O$180, "")*1000), "N/A")</f>
        <v>0.19002391083959563</v>
      </c>
      <c r="I15" s="170" t="str">
        <f>IF(F15&gt;1,"TARGET EXCEEDS TOTAL MARKET","")</f>
        <v/>
      </c>
      <c r="J15" s="170" t="str">
        <f>IF(H15&gt;1,"TARGET EXCEEDS TOTAL MARKET","")</f>
        <v/>
      </c>
    </row>
    <row r="16" spans="1:23" s="32" customFormat="1" ht="37.5" customHeight="1">
      <c r="A16" s="78"/>
      <c r="B16" s="82"/>
      <c r="C16" s="114" t="s">
        <v>72</v>
      </c>
      <c r="D16" s="115">
        <v>5</v>
      </c>
      <c r="E16" s="81" t="s">
        <v>73</v>
      </c>
      <c r="F16" s="137"/>
      <c r="G16" s="172">
        <f t="shared" si="0"/>
        <v>5</v>
      </c>
      <c r="H16" s="137"/>
      <c r="I16" s="77"/>
      <c r="J16" s="77"/>
    </row>
    <row r="17" spans="1:10" s="32" customFormat="1" ht="37.5" customHeight="1">
      <c r="A17" s="78"/>
      <c r="B17" s="82"/>
      <c r="C17" s="90" t="s">
        <v>74</v>
      </c>
      <c r="D17" s="116">
        <v>0.5</v>
      </c>
      <c r="E17" s="81" t="s">
        <v>75</v>
      </c>
      <c r="F17" s="137"/>
      <c r="G17" s="200">
        <f t="shared" si="0"/>
        <v>0.5</v>
      </c>
      <c r="H17" s="137"/>
      <c r="I17" s="77"/>
      <c r="J17" s="77"/>
    </row>
    <row r="18" spans="1:10" s="32" customFormat="1" ht="37.5" customHeight="1">
      <c r="B18" s="34" t="s">
        <v>76</v>
      </c>
      <c r="C18" s="77"/>
      <c r="E18" s="77"/>
      <c r="I18" s="77"/>
      <c r="J18" s="77"/>
    </row>
    <row r="19" spans="1:10" s="32" customFormat="1" ht="37.5" customHeight="1">
      <c r="A19" s="78"/>
      <c r="B19" s="82"/>
      <c r="C19" s="90" t="s">
        <v>77</v>
      </c>
      <c r="D19" s="85">
        <v>0.05</v>
      </c>
      <c r="E19" s="81" t="s">
        <v>78</v>
      </c>
      <c r="F19" s="137"/>
      <c r="G19" s="201">
        <f>D19</f>
        <v>0.05</v>
      </c>
      <c r="H19" s="137"/>
      <c r="I19" s="77"/>
      <c r="J19" s="77"/>
    </row>
    <row r="20" spans="1:10" s="32" customFormat="1" ht="37.5" customHeight="1">
      <c r="A20" s="78"/>
      <c r="B20" s="82"/>
      <c r="C20" s="90" t="s">
        <v>79</v>
      </c>
      <c r="D20" s="85">
        <v>3.5000000000000003E-2</v>
      </c>
      <c r="E20" s="81" t="s">
        <v>80</v>
      </c>
      <c r="F20" s="137"/>
      <c r="G20" s="201">
        <f t="shared" ref="G20:G32" si="1">D20</f>
        <v>3.5000000000000003E-2</v>
      </c>
      <c r="H20" s="137"/>
      <c r="I20" s="77"/>
      <c r="J20" s="77"/>
    </row>
    <row r="21" spans="1:10" s="32" customFormat="1" ht="37.5" customHeight="1">
      <c r="A21" s="78"/>
      <c r="B21" s="82"/>
      <c r="C21" s="90" t="s">
        <v>81</v>
      </c>
      <c r="D21" s="85">
        <v>0.08</v>
      </c>
      <c r="E21" s="81" t="s">
        <v>82</v>
      </c>
      <c r="F21" s="137"/>
      <c r="G21" s="201">
        <f t="shared" si="1"/>
        <v>0.08</v>
      </c>
      <c r="H21" s="137"/>
      <c r="I21" s="77"/>
      <c r="J21" s="77"/>
    </row>
    <row r="22" spans="1:10" s="32" customFormat="1" ht="37.5" customHeight="1">
      <c r="A22" s="78"/>
      <c r="B22" s="82"/>
      <c r="C22" s="90" t="s">
        <v>83</v>
      </c>
      <c r="D22" s="85">
        <v>1.4999999999999999E-2</v>
      </c>
      <c r="E22" s="81" t="s">
        <v>84</v>
      </c>
      <c r="F22" s="137"/>
      <c r="G22" s="201">
        <f t="shared" si="1"/>
        <v>1.4999999999999999E-2</v>
      </c>
      <c r="H22" s="137"/>
      <c r="I22" s="77"/>
      <c r="J22" s="77"/>
    </row>
    <row r="23" spans="1:10" s="32" customFormat="1" ht="37.5" customHeight="1">
      <c r="A23" s="78"/>
      <c r="B23" s="82"/>
      <c r="C23" s="90" t="s">
        <v>85</v>
      </c>
      <c r="D23" s="85">
        <v>0.02</v>
      </c>
      <c r="E23" s="81" t="s">
        <v>86</v>
      </c>
      <c r="F23" s="137"/>
      <c r="G23" s="201">
        <f t="shared" si="1"/>
        <v>0.02</v>
      </c>
      <c r="H23" s="137"/>
      <c r="I23" s="77"/>
      <c r="J23" s="77"/>
    </row>
    <row r="24" spans="1:10" s="32" customFormat="1" ht="37.5" customHeight="1">
      <c r="A24" s="78"/>
      <c r="B24" s="82"/>
      <c r="C24" s="90" t="s">
        <v>87</v>
      </c>
      <c r="D24" s="85">
        <v>0</v>
      </c>
      <c r="E24" s="81" t="s">
        <v>88</v>
      </c>
      <c r="F24" s="137"/>
      <c r="G24" s="201">
        <f t="shared" si="1"/>
        <v>0</v>
      </c>
      <c r="H24" s="137"/>
      <c r="I24" s="77"/>
      <c r="J24" s="77"/>
    </row>
    <row r="25" spans="1:10" s="32" customFormat="1" ht="37.5" customHeight="1">
      <c r="A25" s="78"/>
      <c r="B25" s="82"/>
      <c r="C25" s="90" t="s">
        <v>89</v>
      </c>
      <c r="D25" s="85">
        <v>5.0000000000000001E-3</v>
      </c>
      <c r="E25" s="81" t="s">
        <v>90</v>
      </c>
      <c r="F25" s="137"/>
      <c r="G25" s="201">
        <f t="shared" si="1"/>
        <v>5.0000000000000001E-3</v>
      </c>
      <c r="H25" s="137"/>
      <c r="I25" s="77"/>
      <c r="J25" s="77"/>
    </row>
    <row r="26" spans="1:10" s="32" customFormat="1" ht="37.5" customHeight="1">
      <c r="A26" s="78"/>
      <c r="B26" s="82"/>
      <c r="C26" s="90" t="s">
        <v>91</v>
      </c>
      <c r="D26" s="85">
        <v>2E-3</v>
      </c>
      <c r="E26" s="81" t="s">
        <v>92</v>
      </c>
      <c r="F26" s="137"/>
      <c r="G26" s="201">
        <f t="shared" si="1"/>
        <v>2E-3</v>
      </c>
      <c r="H26" s="137"/>
      <c r="I26" s="77"/>
      <c r="J26" s="77"/>
    </row>
    <row r="27" spans="1:10" s="32" customFormat="1" ht="37.5" customHeight="1">
      <c r="A27" s="78"/>
      <c r="B27" s="82"/>
      <c r="C27" s="90" t="s">
        <v>93</v>
      </c>
      <c r="D27" s="86">
        <f>D26/2</f>
        <v>1E-3</v>
      </c>
      <c r="E27" s="81" t="s">
        <v>94</v>
      </c>
      <c r="F27" s="137"/>
      <c r="G27" s="201">
        <f t="shared" si="1"/>
        <v>1E-3</v>
      </c>
      <c r="H27" s="137"/>
      <c r="I27" s="77"/>
      <c r="J27" s="77"/>
    </row>
    <row r="28" spans="1:10" s="32" customFormat="1" ht="37.5" customHeight="1">
      <c r="A28" s="78"/>
      <c r="B28" s="82"/>
      <c r="C28" s="90" t="s">
        <v>95</v>
      </c>
      <c r="D28" s="85">
        <v>5.0000000000000001E-3</v>
      </c>
      <c r="E28" s="81" t="s">
        <v>96</v>
      </c>
      <c r="F28" s="137"/>
      <c r="G28" s="201">
        <f t="shared" si="1"/>
        <v>5.0000000000000001E-3</v>
      </c>
      <c r="H28" s="137"/>
      <c r="I28" s="77"/>
      <c r="J28" s="77"/>
    </row>
    <row r="29" spans="1:10" s="32" customFormat="1" ht="48">
      <c r="A29" s="78"/>
      <c r="B29" s="82"/>
      <c r="C29" s="90" t="s">
        <v>97</v>
      </c>
      <c r="D29" s="86">
        <f>D28/2</f>
        <v>2.5000000000000001E-3</v>
      </c>
      <c r="E29" s="81" t="s">
        <v>98</v>
      </c>
      <c r="F29" s="137"/>
      <c r="G29" s="201">
        <f t="shared" si="1"/>
        <v>2.5000000000000001E-3</v>
      </c>
      <c r="H29" s="137"/>
      <c r="I29" s="77"/>
      <c r="J29" s="77"/>
    </row>
    <row r="30" spans="1:10" s="32" customFormat="1" ht="37.5" customHeight="1">
      <c r="A30" s="78"/>
      <c r="B30" s="82"/>
      <c r="C30" s="90" t="s">
        <v>99</v>
      </c>
      <c r="D30" s="85">
        <v>0.01</v>
      </c>
      <c r="E30" s="81" t="s">
        <v>100</v>
      </c>
      <c r="F30" s="137"/>
      <c r="G30" s="201">
        <f t="shared" si="1"/>
        <v>0.01</v>
      </c>
      <c r="H30" s="137"/>
      <c r="I30" s="77"/>
      <c r="J30" s="77"/>
    </row>
    <row r="31" spans="1:10" s="32" customFormat="1" ht="37.5" customHeight="1">
      <c r="A31" s="78"/>
      <c r="B31" s="82"/>
      <c r="C31" s="90" t="s">
        <v>101</v>
      </c>
      <c r="D31" s="86">
        <f>D30/2</f>
        <v>5.0000000000000001E-3</v>
      </c>
      <c r="E31" s="81" t="s">
        <v>102</v>
      </c>
      <c r="F31" s="137"/>
      <c r="G31" s="201">
        <f t="shared" si="1"/>
        <v>5.0000000000000001E-3</v>
      </c>
      <c r="H31" s="137"/>
      <c r="I31" s="77"/>
      <c r="J31" s="77"/>
    </row>
    <row r="32" spans="1:10" s="32" customFormat="1" ht="37.5" customHeight="1">
      <c r="A32" s="78"/>
      <c r="B32" s="82"/>
      <c r="C32" s="90" t="s">
        <v>103</v>
      </c>
      <c r="D32" s="86">
        <v>0.01</v>
      </c>
      <c r="E32" s="81" t="s">
        <v>104</v>
      </c>
      <c r="F32" s="137"/>
      <c r="G32" s="201">
        <f t="shared" si="1"/>
        <v>0.01</v>
      </c>
      <c r="H32" s="137"/>
      <c r="I32" s="77"/>
      <c r="J32" s="77"/>
    </row>
    <row r="33" spans="1:10" s="32" customFormat="1" ht="37.5" customHeight="1">
      <c r="B33" s="34" t="s">
        <v>105</v>
      </c>
      <c r="C33" s="77"/>
      <c r="D33" s="74"/>
      <c r="E33" s="77"/>
      <c r="F33" s="34" t="s">
        <v>106</v>
      </c>
      <c r="G33" s="74"/>
      <c r="H33" s="135"/>
      <c r="I33" s="77"/>
      <c r="J33" s="77"/>
    </row>
    <row r="34" spans="1:10" s="32" customFormat="1" ht="37.5" customHeight="1">
      <c r="A34" s="78"/>
      <c r="B34" s="82"/>
      <c r="C34" s="90" t="s">
        <v>107</v>
      </c>
      <c r="D34" s="83">
        <v>0.01</v>
      </c>
      <c r="E34" s="81" t="s">
        <v>108</v>
      </c>
      <c r="F34" s="137"/>
      <c r="G34" s="201">
        <f>D34</f>
        <v>0.01</v>
      </c>
      <c r="H34" s="137"/>
      <c r="I34" s="77"/>
      <c r="J34" s="77"/>
    </row>
    <row r="35" spans="1:10" s="32" customFormat="1" ht="37.5" customHeight="1">
      <c r="A35" s="78"/>
      <c r="B35" s="82"/>
      <c r="C35" s="90" t="s">
        <v>109</v>
      </c>
      <c r="D35" s="83">
        <v>0.1</v>
      </c>
      <c r="E35" s="81" t="s">
        <v>110</v>
      </c>
      <c r="F35" s="137"/>
      <c r="G35" s="201">
        <f t="shared" ref="G35:G59" si="2">D35</f>
        <v>0.1</v>
      </c>
      <c r="H35" s="137"/>
      <c r="I35" s="77"/>
      <c r="J35" s="77"/>
    </row>
    <row r="36" spans="1:10" s="32" customFormat="1" ht="37.5" customHeight="1">
      <c r="A36" s="78"/>
      <c r="B36" s="82"/>
      <c r="C36" s="90" t="s">
        <v>111</v>
      </c>
      <c r="D36" s="83">
        <v>0.01</v>
      </c>
      <c r="E36" s="81" t="s">
        <v>112</v>
      </c>
      <c r="F36" s="137"/>
      <c r="G36" s="201">
        <f t="shared" si="2"/>
        <v>0.01</v>
      </c>
      <c r="H36" s="137"/>
      <c r="I36" s="77"/>
      <c r="J36" s="77"/>
    </row>
    <row r="37" spans="1:10" s="32" customFormat="1" ht="37.5" customHeight="1">
      <c r="A37" s="78"/>
      <c r="B37" s="82"/>
      <c r="C37" s="90" t="s">
        <v>113</v>
      </c>
      <c r="D37" s="87">
        <v>100000000</v>
      </c>
      <c r="E37" s="81" t="s">
        <v>114</v>
      </c>
      <c r="F37" s="138">
        <f>D37*$D$10</f>
        <v>1200000</v>
      </c>
      <c r="G37" s="202">
        <f t="shared" si="2"/>
        <v>100000000</v>
      </c>
      <c r="H37" s="138">
        <f>G37*$D$10</f>
        <v>1200000</v>
      </c>
      <c r="I37" s="77"/>
      <c r="J37" s="77"/>
    </row>
    <row r="38" spans="1:10" s="32" customFormat="1" ht="37.5" customHeight="1">
      <c r="A38" s="78"/>
      <c r="B38" s="82"/>
      <c r="C38" s="90" t="s">
        <v>115</v>
      </c>
      <c r="D38" s="87">
        <v>10000000</v>
      </c>
      <c r="E38" s="81" t="s">
        <v>114</v>
      </c>
      <c r="F38" s="138">
        <f>D38*$D$10</f>
        <v>120000</v>
      </c>
      <c r="G38" s="202">
        <f t="shared" si="2"/>
        <v>10000000</v>
      </c>
      <c r="H38" s="138">
        <f>G38*$D$10</f>
        <v>120000</v>
      </c>
      <c r="I38" s="77"/>
      <c r="J38" s="77"/>
    </row>
    <row r="39" spans="1:10" s="32" customFormat="1" ht="37.5" customHeight="1">
      <c r="A39" s="78"/>
      <c r="B39" s="82"/>
      <c r="C39" s="90" t="s">
        <v>116</v>
      </c>
      <c r="D39" s="87">
        <v>2500000</v>
      </c>
      <c r="E39" s="81" t="s">
        <v>114</v>
      </c>
      <c r="F39" s="138">
        <f>D39*$D$10</f>
        <v>30000</v>
      </c>
      <c r="G39" s="202">
        <f t="shared" si="2"/>
        <v>2500000</v>
      </c>
      <c r="H39" s="138">
        <f>G39*$D$10</f>
        <v>30000</v>
      </c>
      <c r="I39" s="77"/>
      <c r="J39" s="77"/>
    </row>
    <row r="40" spans="1:10" s="32" customFormat="1" ht="37.5" customHeight="1">
      <c r="A40" s="78"/>
      <c r="B40" s="82"/>
      <c r="C40" s="90" t="s">
        <v>117</v>
      </c>
      <c r="D40" s="87">
        <v>500000</v>
      </c>
      <c r="E40" s="81" t="s">
        <v>114</v>
      </c>
      <c r="F40" s="138">
        <f>D40*$D$10</f>
        <v>6000</v>
      </c>
      <c r="G40" s="202">
        <f t="shared" si="2"/>
        <v>500000</v>
      </c>
      <c r="H40" s="138">
        <f>G40*$D$10</f>
        <v>6000</v>
      </c>
      <c r="I40" s="77"/>
      <c r="J40" s="77"/>
    </row>
    <row r="41" spans="1:10" s="32" customFormat="1" ht="37.5" customHeight="1">
      <c r="A41" s="78"/>
      <c r="B41" s="82"/>
      <c r="C41" s="90" t="s">
        <v>118</v>
      </c>
      <c r="D41" s="100">
        <v>0.4</v>
      </c>
      <c r="E41" s="81" t="s">
        <v>119</v>
      </c>
      <c r="F41" s="137"/>
      <c r="G41" s="201">
        <f t="shared" si="2"/>
        <v>0.4</v>
      </c>
      <c r="H41" s="137"/>
      <c r="I41" s="77"/>
      <c r="J41" s="77"/>
    </row>
    <row r="42" spans="1:10" s="32" customFormat="1" ht="37.5" customHeight="1">
      <c r="A42" s="78"/>
      <c r="B42" s="82"/>
      <c r="C42" s="90" t="s">
        <v>120</v>
      </c>
      <c r="D42" s="100">
        <v>0.4</v>
      </c>
      <c r="E42" s="81" t="s">
        <v>119</v>
      </c>
      <c r="F42" s="137"/>
      <c r="G42" s="201">
        <f t="shared" si="2"/>
        <v>0.4</v>
      </c>
      <c r="H42" s="137"/>
      <c r="I42" s="77"/>
      <c r="J42" s="77"/>
    </row>
    <row r="43" spans="1:10" s="32" customFormat="1" ht="37.5" customHeight="1">
      <c r="A43" s="78"/>
      <c r="B43" s="82"/>
      <c r="C43" s="90" t="s">
        <v>121</v>
      </c>
      <c r="D43" s="100">
        <v>0.4</v>
      </c>
      <c r="E43" s="81" t="s">
        <v>119</v>
      </c>
      <c r="F43" s="137"/>
      <c r="G43" s="201">
        <f t="shared" si="2"/>
        <v>0.4</v>
      </c>
      <c r="H43" s="137"/>
      <c r="I43" s="77"/>
      <c r="J43" s="77"/>
    </row>
    <row r="44" spans="1:10" s="32" customFormat="1" ht="37.5" customHeight="1">
      <c r="A44" s="78"/>
      <c r="B44" s="82"/>
      <c r="C44" s="90" t="s">
        <v>122</v>
      </c>
      <c r="D44" s="100">
        <v>0.4</v>
      </c>
      <c r="E44" s="81" t="s">
        <v>119</v>
      </c>
      <c r="F44" s="137"/>
      <c r="G44" s="201">
        <f t="shared" si="2"/>
        <v>0.4</v>
      </c>
      <c r="H44" s="137"/>
      <c r="I44" s="77"/>
      <c r="J44" s="77"/>
    </row>
    <row r="45" spans="1:10" s="32" customFormat="1" ht="37.5" customHeight="1">
      <c r="A45" s="78"/>
      <c r="B45" s="82"/>
      <c r="C45" s="90" t="s">
        <v>123</v>
      </c>
      <c r="D45" s="87">
        <v>5000000</v>
      </c>
      <c r="E45" s="81" t="s">
        <v>124</v>
      </c>
      <c r="F45" s="138">
        <f>D45*$D$10</f>
        <v>60000</v>
      </c>
      <c r="G45" s="202">
        <f t="shared" si="2"/>
        <v>5000000</v>
      </c>
      <c r="H45" s="138">
        <f>G45*$D$10</f>
        <v>60000</v>
      </c>
      <c r="I45" s="77"/>
      <c r="J45" s="77"/>
    </row>
    <row r="46" spans="1:10" s="32" customFormat="1" ht="37.5" customHeight="1">
      <c r="A46" s="78"/>
      <c r="B46" s="82"/>
      <c r="C46" s="90" t="s">
        <v>125</v>
      </c>
      <c r="D46" s="83">
        <v>0.1</v>
      </c>
      <c r="E46" s="81" t="s">
        <v>126</v>
      </c>
      <c r="F46" s="137"/>
      <c r="G46" s="201">
        <f t="shared" si="2"/>
        <v>0.1</v>
      </c>
      <c r="H46" s="137"/>
      <c r="I46" s="77"/>
      <c r="J46" s="77"/>
    </row>
    <row r="47" spans="1:10" s="32" customFormat="1" ht="37.5" customHeight="1">
      <c r="A47" s="78"/>
      <c r="B47" s="82"/>
      <c r="C47" s="90" t="s">
        <v>127</v>
      </c>
      <c r="D47" s="87">
        <v>1000000</v>
      </c>
      <c r="E47" s="81" t="s">
        <v>128</v>
      </c>
      <c r="F47" s="138">
        <f>D47*$D$10</f>
        <v>12000</v>
      </c>
      <c r="G47" s="202">
        <f t="shared" si="2"/>
        <v>1000000</v>
      </c>
      <c r="H47" s="138">
        <f>G47*$D$10</f>
        <v>12000</v>
      </c>
      <c r="I47" s="77"/>
      <c r="J47" s="77"/>
    </row>
    <row r="48" spans="1:10" s="32" customFormat="1" ht="37.5" customHeight="1">
      <c r="A48" s="78"/>
      <c r="B48" s="82"/>
      <c r="C48" s="90" t="s">
        <v>129</v>
      </c>
      <c r="D48" s="83">
        <v>0.05</v>
      </c>
      <c r="E48" s="81" t="s">
        <v>130</v>
      </c>
      <c r="F48" s="137"/>
      <c r="G48" s="201">
        <f t="shared" si="2"/>
        <v>0.05</v>
      </c>
      <c r="H48" s="137"/>
      <c r="I48" s="77"/>
      <c r="J48" s="77"/>
    </row>
    <row r="49" spans="1:10" s="32" customFormat="1" ht="37.5" customHeight="1">
      <c r="A49" s="78"/>
      <c r="B49" s="82"/>
      <c r="C49" s="90" t="s">
        <v>131</v>
      </c>
      <c r="D49" s="87">
        <v>250000</v>
      </c>
      <c r="E49" s="81" t="s">
        <v>132</v>
      </c>
      <c r="F49" s="138">
        <f>D49*$D$10</f>
        <v>3000</v>
      </c>
      <c r="G49" s="202">
        <f t="shared" si="2"/>
        <v>250000</v>
      </c>
      <c r="H49" s="138">
        <f>G49*$D$10</f>
        <v>3000</v>
      </c>
      <c r="I49" s="77"/>
      <c r="J49" s="77"/>
    </row>
    <row r="50" spans="1:10" s="32" customFormat="1" ht="37.5" customHeight="1">
      <c r="A50" s="78"/>
      <c r="B50" s="82"/>
      <c r="C50" s="90" t="s">
        <v>133</v>
      </c>
      <c r="D50" s="83">
        <v>0.2</v>
      </c>
      <c r="E50" s="81" t="s">
        <v>134</v>
      </c>
      <c r="F50" s="137"/>
      <c r="G50" s="201">
        <f t="shared" si="2"/>
        <v>0.2</v>
      </c>
      <c r="H50" s="137"/>
      <c r="I50" s="77"/>
      <c r="J50" s="77"/>
    </row>
    <row r="51" spans="1:10" s="32" customFormat="1" ht="37.5" customHeight="1">
      <c r="A51" s="78"/>
      <c r="B51" s="82"/>
      <c r="C51" s="90" t="s">
        <v>135</v>
      </c>
      <c r="D51" s="87">
        <v>50000</v>
      </c>
      <c r="E51" s="81" t="s">
        <v>136</v>
      </c>
      <c r="F51" s="138">
        <f>D51*$D$10</f>
        <v>600</v>
      </c>
      <c r="G51" s="202">
        <f t="shared" si="2"/>
        <v>50000</v>
      </c>
      <c r="H51" s="138">
        <f>G51*$D$10</f>
        <v>600</v>
      </c>
      <c r="I51" s="77"/>
      <c r="J51" s="77"/>
    </row>
    <row r="52" spans="1:10" s="32" customFormat="1" ht="37.5" customHeight="1">
      <c r="A52" s="78"/>
      <c r="B52" s="82"/>
      <c r="C52" s="90" t="s">
        <v>137</v>
      </c>
      <c r="D52" s="87">
        <v>100000</v>
      </c>
      <c r="E52" s="81" t="s">
        <v>138</v>
      </c>
      <c r="F52" s="138">
        <f>D52*$D$10</f>
        <v>1200</v>
      </c>
      <c r="G52" s="202">
        <f t="shared" si="2"/>
        <v>100000</v>
      </c>
      <c r="H52" s="138">
        <f>G52*$D$10</f>
        <v>1200</v>
      </c>
      <c r="I52" s="77"/>
      <c r="J52" s="77"/>
    </row>
    <row r="53" spans="1:10" s="32" customFormat="1" ht="37.5" customHeight="1">
      <c r="A53" s="78"/>
      <c r="B53" s="82"/>
      <c r="C53" s="90" t="s">
        <v>139</v>
      </c>
      <c r="D53" s="87">
        <v>100000</v>
      </c>
      <c r="E53" s="81" t="s">
        <v>140</v>
      </c>
      <c r="F53" s="138">
        <f>D53*$D$10</f>
        <v>1200</v>
      </c>
      <c r="G53" s="202">
        <f t="shared" si="2"/>
        <v>100000</v>
      </c>
      <c r="H53" s="138">
        <f>G53*$D$10</f>
        <v>1200</v>
      </c>
      <c r="I53" s="77"/>
      <c r="J53" s="77"/>
    </row>
    <row r="54" spans="1:10" s="32" customFormat="1" ht="37.5" customHeight="1">
      <c r="A54" s="78"/>
      <c r="B54" s="82"/>
      <c r="C54" s="90" t="s">
        <v>141</v>
      </c>
      <c r="D54" s="87">
        <v>100000</v>
      </c>
      <c r="E54" s="81" t="s">
        <v>142</v>
      </c>
      <c r="F54" s="138">
        <f>D54*$D$10</f>
        <v>1200</v>
      </c>
      <c r="G54" s="202">
        <f t="shared" si="2"/>
        <v>100000</v>
      </c>
      <c r="H54" s="138">
        <f>G54*$D$10</f>
        <v>1200</v>
      </c>
      <c r="I54" s="77"/>
      <c r="J54" s="77"/>
    </row>
    <row r="55" spans="1:10" s="32" customFormat="1" ht="37.5" customHeight="1">
      <c r="A55" s="78"/>
      <c r="B55" s="82"/>
      <c r="C55" s="90" t="s">
        <v>143</v>
      </c>
      <c r="D55" s="87">
        <v>100000</v>
      </c>
      <c r="E55" s="81" t="s">
        <v>144</v>
      </c>
      <c r="F55" s="138">
        <f>D55*$D$10</f>
        <v>1200</v>
      </c>
      <c r="G55" s="202">
        <f t="shared" si="2"/>
        <v>100000</v>
      </c>
      <c r="H55" s="138">
        <f>G55*$D$10</f>
        <v>1200</v>
      </c>
      <c r="I55" s="77"/>
      <c r="J55" s="77"/>
    </row>
    <row r="56" spans="1:10" s="32" customFormat="1" ht="37.5" customHeight="1">
      <c r="A56" s="78"/>
      <c r="B56" s="82"/>
      <c r="C56" s="90" t="s">
        <v>145</v>
      </c>
      <c r="D56" s="83">
        <v>0.1</v>
      </c>
      <c r="E56" s="81" t="s">
        <v>146</v>
      </c>
      <c r="F56" s="137"/>
      <c r="G56" s="201">
        <f t="shared" si="2"/>
        <v>0.1</v>
      </c>
      <c r="H56" s="137"/>
      <c r="I56" s="77"/>
      <c r="J56" s="77"/>
    </row>
    <row r="57" spans="1:10" s="32" customFormat="1" ht="37.5" customHeight="1">
      <c r="A57" s="78"/>
      <c r="B57" s="82"/>
      <c r="C57" s="90" t="s">
        <v>147</v>
      </c>
      <c r="D57" s="87">
        <v>10000000</v>
      </c>
      <c r="E57" s="81" t="s">
        <v>148</v>
      </c>
      <c r="F57" s="138">
        <f>D57*$D$10</f>
        <v>120000</v>
      </c>
      <c r="G57" s="202">
        <f t="shared" si="2"/>
        <v>10000000</v>
      </c>
      <c r="H57" s="138">
        <f>G57*$D$10</f>
        <v>120000</v>
      </c>
      <c r="I57" s="77"/>
      <c r="J57" s="77"/>
    </row>
    <row r="58" spans="1:10" s="32" customFormat="1" ht="63.95">
      <c r="A58" s="78"/>
      <c r="B58" s="82"/>
      <c r="C58" s="90" t="s">
        <v>149</v>
      </c>
      <c r="D58" s="87">
        <v>25000000</v>
      </c>
      <c r="E58" s="81" t="s">
        <v>150</v>
      </c>
      <c r="F58" s="138">
        <f>D58*$D$10</f>
        <v>300000</v>
      </c>
      <c r="G58" s="202">
        <f t="shared" si="2"/>
        <v>25000000</v>
      </c>
      <c r="H58" s="138">
        <f>G58*$D$10</f>
        <v>300000</v>
      </c>
      <c r="I58" s="77"/>
      <c r="J58" s="77"/>
    </row>
    <row r="59" spans="1:10" s="32" customFormat="1" ht="48">
      <c r="A59" s="78"/>
      <c r="B59" s="82"/>
      <c r="C59" s="90" t="s">
        <v>151</v>
      </c>
      <c r="D59" s="8">
        <v>1000</v>
      </c>
      <c r="E59" s="81" t="s">
        <v>152</v>
      </c>
      <c r="F59" s="137"/>
      <c r="G59" s="202">
        <f t="shared" si="2"/>
        <v>1000</v>
      </c>
      <c r="H59" s="137"/>
      <c r="I59" s="77"/>
      <c r="J59" s="77"/>
    </row>
    <row r="60" spans="1:10" s="32" customFormat="1" ht="48">
      <c r="A60" s="78"/>
      <c r="B60" s="82"/>
      <c r="C60" s="90" t="s">
        <v>153</v>
      </c>
      <c r="D60" s="83">
        <v>0.05</v>
      </c>
      <c r="E60" s="81" t="s">
        <v>154</v>
      </c>
      <c r="F60" s="137"/>
      <c r="G60" s="201">
        <v>0.05</v>
      </c>
      <c r="H60" s="137"/>
      <c r="I60" s="77"/>
      <c r="J60" s="77"/>
    </row>
    <row r="61" spans="1:10" s="32" customFormat="1" ht="37.5" customHeight="1">
      <c r="C61" s="77"/>
      <c r="E61" s="77"/>
      <c r="I61" s="77"/>
      <c r="J61" s="77"/>
    </row>
    <row r="62" spans="1:10" s="32" customFormat="1" ht="37.5" customHeight="1">
      <c r="A62" s="78"/>
      <c r="B62" s="79" t="s">
        <v>155</v>
      </c>
      <c r="C62" s="90"/>
      <c r="D62" s="83">
        <v>0.1</v>
      </c>
      <c r="E62" s="81" t="s">
        <v>156</v>
      </c>
      <c r="F62" s="137"/>
      <c r="G62" s="201">
        <f>D62</f>
        <v>0.1</v>
      </c>
      <c r="H62" s="137"/>
      <c r="I62" s="77"/>
      <c r="J62" s="77"/>
    </row>
    <row r="63" spans="1:10" s="32" customFormat="1" ht="37.5" customHeight="1">
      <c r="B63" s="34" t="s">
        <v>157</v>
      </c>
      <c r="C63" s="77"/>
      <c r="E63" s="77"/>
      <c r="I63" s="77"/>
      <c r="J63" s="77"/>
    </row>
    <row r="64" spans="1:10" s="32" customFormat="1" ht="37.5" customHeight="1">
      <c r="A64" s="78"/>
      <c r="B64" s="82"/>
      <c r="C64" s="90" t="s">
        <v>158</v>
      </c>
      <c r="D64" s="8">
        <v>200</v>
      </c>
      <c r="E64" s="81" t="s">
        <v>159</v>
      </c>
      <c r="F64" s="137"/>
      <c r="G64" s="203">
        <f>D64</f>
        <v>200</v>
      </c>
      <c r="H64" s="137"/>
      <c r="I64" s="77"/>
      <c r="J64" s="77"/>
    </row>
    <row r="65" spans="1:10" s="32" customFormat="1" ht="37.5" customHeight="1">
      <c r="A65" s="78"/>
      <c r="B65" s="82"/>
      <c r="C65" s="90" t="s">
        <v>160</v>
      </c>
      <c r="D65" s="8">
        <v>500</v>
      </c>
      <c r="E65" s="81" t="s">
        <v>161</v>
      </c>
      <c r="F65" s="137"/>
      <c r="G65" s="203">
        <f t="shared" ref="G65:G67" si="3">D65</f>
        <v>500</v>
      </c>
      <c r="H65" s="137"/>
      <c r="I65" s="77"/>
      <c r="J65" s="77"/>
    </row>
    <row r="66" spans="1:10" s="32" customFormat="1" ht="37.5" customHeight="1">
      <c r="A66" s="78"/>
      <c r="B66" s="82"/>
      <c r="C66" s="90" t="s">
        <v>162</v>
      </c>
      <c r="D66" s="8">
        <v>50</v>
      </c>
      <c r="E66" s="81" t="s">
        <v>163</v>
      </c>
      <c r="F66" s="137"/>
      <c r="G66" s="203">
        <f t="shared" si="3"/>
        <v>50</v>
      </c>
      <c r="H66" s="137"/>
      <c r="I66" s="77"/>
      <c r="J66" s="77"/>
    </row>
    <row r="67" spans="1:10" s="32" customFormat="1" ht="37.5" customHeight="1">
      <c r="A67" s="78"/>
      <c r="B67" s="82"/>
      <c r="C67" s="90" t="s">
        <v>164</v>
      </c>
      <c r="D67" s="8">
        <v>1000</v>
      </c>
      <c r="E67" s="81" t="s">
        <v>165</v>
      </c>
      <c r="F67" s="137"/>
      <c r="G67" s="203">
        <f t="shared" si="3"/>
        <v>1000</v>
      </c>
      <c r="H67" s="137"/>
      <c r="I67" s="77"/>
      <c r="J67" s="77"/>
    </row>
    <row r="68" spans="1:10" s="32" customFormat="1" ht="37.5" customHeight="1">
      <c r="B68" s="34" t="s">
        <v>166</v>
      </c>
      <c r="C68" s="77"/>
      <c r="E68" s="77"/>
      <c r="F68" s="34" t="s">
        <v>106</v>
      </c>
      <c r="H68" s="135"/>
      <c r="I68" s="77"/>
      <c r="J68" s="77"/>
    </row>
    <row r="69" spans="1:10" s="32" customFormat="1" ht="37.5" customHeight="1">
      <c r="A69" s="78"/>
      <c r="B69" s="82"/>
      <c r="C69" s="90" t="s">
        <v>167</v>
      </c>
      <c r="D69" s="87">
        <v>1500000</v>
      </c>
      <c r="E69" s="81" t="s">
        <v>168</v>
      </c>
      <c r="F69" s="138">
        <f>D69*$D$10</f>
        <v>18000</v>
      </c>
      <c r="G69" s="202">
        <f>D69</f>
        <v>1500000</v>
      </c>
      <c r="H69" s="138">
        <f>G69*$D$10</f>
        <v>18000</v>
      </c>
      <c r="I69" s="77"/>
      <c r="J69" s="77"/>
    </row>
    <row r="70" spans="1:10" s="32" customFormat="1" ht="37.5" customHeight="1">
      <c r="A70" s="78"/>
      <c r="B70" s="82"/>
      <c r="C70" s="90" t="s">
        <v>169</v>
      </c>
      <c r="D70" s="87">
        <v>2000000</v>
      </c>
      <c r="E70" s="81" t="s">
        <v>168</v>
      </c>
      <c r="F70" s="138">
        <f>D70*$D$10</f>
        <v>24000</v>
      </c>
      <c r="G70" s="202">
        <f t="shared" ref="G70:G72" si="4">D70</f>
        <v>2000000</v>
      </c>
      <c r="H70" s="138">
        <f>G70*$D$10</f>
        <v>24000</v>
      </c>
      <c r="I70" s="77"/>
      <c r="J70" s="77"/>
    </row>
    <row r="71" spans="1:10" s="32" customFormat="1" ht="37.5" customHeight="1">
      <c r="A71" s="78"/>
      <c r="B71" s="82"/>
      <c r="C71" s="90" t="s">
        <v>170</v>
      </c>
      <c r="D71" s="87">
        <v>2000000</v>
      </c>
      <c r="E71" s="81" t="s">
        <v>168</v>
      </c>
      <c r="F71" s="138">
        <f>D71*$D$10</f>
        <v>24000</v>
      </c>
      <c r="G71" s="202">
        <f t="shared" si="4"/>
        <v>2000000</v>
      </c>
      <c r="H71" s="138">
        <f>G71*$D$10</f>
        <v>24000</v>
      </c>
      <c r="I71" s="77"/>
      <c r="J71" s="77"/>
    </row>
    <row r="72" spans="1:10" s="32" customFormat="1" ht="37.5" customHeight="1">
      <c r="A72" s="78"/>
      <c r="B72" s="82"/>
      <c r="C72" s="90" t="s">
        <v>171</v>
      </c>
      <c r="D72" s="87">
        <v>4000000</v>
      </c>
      <c r="E72" s="81" t="s">
        <v>168</v>
      </c>
      <c r="F72" s="138">
        <f>D72*$D$10</f>
        <v>48000</v>
      </c>
      <c r="G72" s="202">
        <f t="shared" si="4"/>
        <v>4000000</v>
      </c>
      <c r="H72" s="138">
        <f>G72*$D$10</f>
        <v>48000</v>
      </c>
      <c r="I72" s="77"/>
      <c r="J72" s="77"/>
    </row>
    <row r="73" spans="1:10" s="32" customFormat="1" ht="37.5" customHeight="1">
      <c r="B73" s="34" t="s">
        <v>172</v>
      </c>
      <c r="C73" s="77"/>
      <c r="E73" s="77"/>
      <c r="F73" s="34" t="s">
        <v>106</v>
      </c>
      <c r="H73" s="135"/>
      <c r="I73" s="77"/>
      <c r="J73" s="77"/>
    </row>
    <row r="74" spans="1:10" s="32" customFormat="1" ht="37.5" customHeight="1">
      <c r="A74" s="78"/>
      <c r="B74" s="82"/>
      <c r="C74" s="90" t="s">
        <v>173</v>
      </c>
      <c r="D74" s="8">
        <v>1000</v>
      </c>
      <c r="E74" s="81" t="s">
        <v>174</v>
      </c>
      <c r="F74" s="137"/>
      <c r="G74" s="203">
        <f>D74</f>
        <v>1000</v>
      </c>
      <c r="H74" s="137"/>
      <c r="I74" s="77"/>
      <c r="J74" s="77"/>
    </row>
    <row r="75" spans="1:10" s="32" customFormat="1" ht="37.5" customHeight="1">
      <c r="A75" s="78"/>
      <c r="B75" s="82"/>
      <c r="C75" s="90" t="s">
        <v>175</v>
      </c>
      <c r="D75" s="8">
        <v>100</v>
      </c>
      <c r="E75" s="81" t="s">
        <v>176</v>
      </c>
      <c r="F75" s="137"/>
      <c r="G75" s="203">
        <f t="shared" ref="G75:G83" si="5">D75</f>
        <v>100</v>
      </c>
      <c r="H75" s="137"/>
      <c r="I75" s="77"/>
      <c r="J75" s="77"/>
    </row>
    <row r="76" spans="1:10" s="32" customFormat="1" ht="37.5" customHeight="1">
      <c r="A76" s="78"/>
      <c r="B76" s="82"/>
      <c r="C76" s="90" t="s">
        <v>177</v>
      </c>
      <c r="D76" s="100">
        <v>0.5</v>
      </c>
      <c r="E76" s="81" t="s">
        <v>178</v>
      </c>
      <c r="F76" s="137"/>
      <c r="G76" s="201">
        <f t="shared" si="5"/>
        <v>0.5</v>
      </c>
      <c r="H76" s="137"/>
      <c r="I76" s="77"/>
      <c r="J76" s="77"/>
    </row>
    <row r="77" spans="1:10" s="32" customFormat="1" ht="37.5" customHeight="1">
      <c r="A77" s="78"/>
      <c r="B77" s="82"/>
      <c r="C77" s="90" t="s">
        <v>179</v>
      </c>
      <c r="D77" s="8">
        <v>100000</v>
      </c>
      <c r="E77" s="81" t="s">
        <v>180</v>
      </c>
      <c r="F77" s="137"/>
      <c r="G77" s="202">
        <f t="shared" si="5"/>
        <v>100000</v>
      </c>
      <c r="H77" s="137"/>
      <c r="I77" s="77"/>
      <c r="J77" s="77"/>
    </row>
    <row r="78" spans="1:10" s="32" customFormat="1" ht="37.5" customHeight="1">
      <c r="A78" s="78"/>
      <c r="B78" s="82"/>
      <c r="C78" s="90" t="s">
        <v>181</v>
      </c>
      <c r="D78" s="87">
        <v>5000000</v>
      </c>
      <c r="E78" s="81" t="s">
        <v>182</v>
      </c>
      <c r="F78" s="138">
        <f t="shared" ref="F78:F83" si="6">D78*$D$10</f>
        <v>60000</v>
      </c>
      <c r="G78" s="202">
        <f t="shared" si="5"/>
        <v>5000000</v>
      </c>
      <c r="H78" s="138">
        <f t="shared" ref="H78:H83" si="7">G78*$D$10</f>
        <v>60000</v>
      </c>
      <c r="I78" s="77"/>
      <c r="J78" s="77"/>
    </row>
    <row r="79" spans="1:10" s="32" customFormat="1" ht="37.5" customHeight="1">
      <c r="A79" s="78"/>
      <c r="B79" s="82"/>
      <c r="C79" s="90" t="s">
        <v>183</v>
      </c>
      <c r="D79" s="87">
        <v>10000000</v>
      </c>
      <c r="E79" s="81" t="s">
        <v>184</v>
      </c>
      <c r="F79" s="138">
        <f t="shared" si="6"/>
        <v>120000</v>
      </c>
      <c r="G79" s="202">
        <f t="shared" si="5"/>
        <v>10000000</v>
      </c>
      <c r="H79" s="138">
        <f t="shared" si="7"/>
        <v>120000</v>
      </c>
      <c r="I79" s="77"/>
      <c r="J79" s="77"/>
    </row>
    <row r="80" spans="1:10" s="32" customFormat="1" ht="37.5" customHeight="1">
      <c r="A80" s="78"/>
      <c r="B80" s="82"/>
      <c r="C80" s="90" t="s">
        <v>185</v>
      </c>
      <c r="D80" s="87">
        <v>150000</v>
      </c>
      <c r="E80" s="81" t="s">
        <v>186</v>
      </c>
      <c r="F80" s="138">
        <f t="shared" si="6"/>
        <v>1800</v>
      </c>
      <c r="G80" s="202">
        <f t="shared" si="5"/>
        <v>150000</v>
      </c>
      <c r="H80" s="138">
        <f t="shared" si="7"/>
        <v>1800</v>
      </c>
      <c r="I80" s="77"/>
      <c r="J80" s="77"/>
    </row>
    <row r="81" spans="1:10" s="32" customFormat="1" ht="37.5" customHeight="1">
      <c r="A81" s="78"/>
      <c r="B81" s="82"/>
      <c r="C81" s="90" t="s">
        <v>187</v>
      </c>
      <c r="D81" s="87">
        <v>250000000</v>
      </c>
      <c r="E81" s="81" t="s">
        <v>188</v>
      </c>
      <c r="F81" s="138">
        <f t="shared" si="6"/>
        <v>3000000</v>
      </c>
      <c r="G81" s="202">
        <f t="shared" si="5"/>
        <v>250000000</v>
      </c>
      <c r="H81" s="138">
        <f t="shared" si="7"/>
        <v>3000000</v>
      </c>
      <c r="I81" s="77"/>
      <c r="J81" s="77"/>
    </row>
    <row r="82" spans="1:10" s="32" customFormat="1" ht="37.5" customHeight="1">
      <c r="A82" s="78"/>
      <c r="B82" s="82"/>
      <c r="C82" s="90" t="s">
        <v>189</v>
      </c>
      <c r="D82" s="87">
        <v>50000000</v>
      </c>
      <c r="E82" s="81" t="s">
        <v>190</v>
      </c>
      <c r="F82" s="138">
        <f t="shared" si="6"/>
        <v>600000</v>
      </c>
      <c r="G82" s="202">
        <f t="shared" si="5"/>
        <v>50000000</v>
      </c>
      <c r="H82" s="138">
        <f t="shared" si="7"/>
        <v>600000</v>
      </c>
      <c r="I82" s="77"/>
      <c r="J82" s="77"/>
    </row>
    <row r="83" spans="1:10" s="32" customFormat="1" ht="37.5" customHeight="1">
      <c r="A83" s="78"/>
      <c r="B83" s="82"/>
      <c r="C83" s="90" t="s">
        <v>191</v>
      </c>
      <c r="D83" s="87">
        <v>500000</v>
      </c>
      <c r="E83" s="81" t="s">
        <v>192</v>
      </c>
      <c r="F83" s="138">
        <f t="shared" si="6"/>
        <v>6000</v>
      </c>
      <c r="G83" s="202">
        <f t="shared" si="5"/>
        <v>500000</v>
      </c>
      <c r="H83" s="138">
        <f t="shared" si="7"/>
        <v>6000</v>
      </c>
      <c r="I83" s="77"/>
      <c r="J83" s="77"/>
    </row>
    <row r="84" spans="1:10" s="32" customFormat="1" ht="37.5" customHeight="1">
      <c r="B84" s="34" t="s">
        <v>193</v>
      </c>
      <c r="C84" s="77"/>
      <c r="E84" s="77"/>
      <c r="F84" s="34" t="s">
        <v>106</v>
      </c>
      <c r="H84" s="135"/>
      <c r="I84" s="77"/>
      <c r="J84" s="77"/>
    </row>
    <row r="85" spans="1:10" s="32" customFormat="1" ht="37.5" customHeight="1">
      <c r="A85" s="78"/>
      <c r="B85" s="82"/>
      <c r="C85" s="90" t="s">
        <v>194</v>
      </c>
      <c r="D85" s="100">
        <v>2.5000000000000001E-2</v>
      </c>
      <c r="E85" s="81" t="s">
        <v>195</v>
      </c>
      <c r="F85" s="137"/>
      <c r="G85" s="201">
        <f>D85</f>
        <v>2.5000000000000001E-2</v>
      </c>
      <c r="H85" s="137"/>
      <c r="I85" s="77"/>
      <c r="J85" s="77"/>
    </row>
    <row r="86" spans="1:10" s="32" customFormat="1" ht="37.5" customHeight="1">
      <c r="A86" s="78"/>
      <c r="B86" s="82"/>
      <c r="C86" s="90" t="s">
        <v>196</v>
      </c>
      <c r="D86" s="101">
        <v>50000</v>
      </c>
      <c r="E86" s="81" t="s">
        <v>197</v>
      </c>
      <c r="F86" s="138">
        <f>D86*$D$10</f>
        <v>600</v>
      </c>
      <c r="G86" s="202">
        <f t="shared" ref="G86:G89" si="8">D86</f>
        <v>50000</v>
      </c>
      <c r="H86" s="138">
        <f>G86*$D$10</f>
        <v>600</v>
      </c>
      <c r="I86" s="77"/>
      <c r="J86" s="77"/>
    </row>
    <row r="87" spans="1:10" s="32" customFormat="1" ht="37.5" customHeight="1">
      <c r="A87" s="78"/>
      <c r="B87" s="82"/>
      <c r="C87" s="90" t="s">
        <v>198</v>
      </c>
      <c r="D87" s="100">
        <v>0.03</v>
      </c>
      <c r="E87" s="81" t="s">
        <v>199</v>
      </c>
      <c r="F87" s="137"/>
      <c r="G87" s="201">
        <f t="shared" si="8"/>
        <v>0.03</v>
      </c>
      <c r="H87" s="137"/>
      <c r="I87" s="77"/>
      <c r="J87" s="77"/>
    </row>
    <row r="88" spans="1:10" s="32" customFormat="1" ht="37.5" customHeight="1">
      <c r="A88" s="78"/>
      <c r="B88" s="82"/>
      <c r="C88" s="90" t="s">
        <v>200</v>
      </c>
      <c r="D88" s="100">
        <v>0.1</v>
      </c>
      <c r="E88" s="81" t="s">
        <v>201</v>
      </c>
      <c r="F88" s="137"/>
      <c r="G88" s="201">
        <f t="shared" si="8"/>
        <v>0.1</v>
      </c>
      <c r="H88" s="137"/>
      <c r="I88" s="77"/>
      <c r="J88" s="77"/>
    </row>
    <row r="89" spans="1:10" s="32" customFormat="1" ht="37.5" customHeight="1">
      <c r="A89" s="78"/>
      <c r="B89" s="82"/>
      <c r="C89" s="90" t="s">
        <v>202</v>
      </c>
      <c r="D89" s="101">
        <v>20000</v>
      </c>
      <c r="E89" s="81" t="s">
        <v>203</v>
      </c>
      <c r="F89" s="138">
        <f>D89*$D$10</f>
        <v>240</v>
      </c>
      <c r="G89" s="202">
        <f t="shared" si="8"/>
        <v>20000</v>
      </c>
      <c r="H89" s="138">
        <f>G89*$D$10</f>
        <v>240</v>
      </c>
      <c r="I89" s="77"/>
      <c r="J89" s="77"/>
    </row>
  </sheetData>
  <conditionalFormatting sqref="D37">
    <cfRule type="expression" dxfId="33" priority="24">
      <formula>$D$12=0</formula>
    </cfRule>
  </conditionalFormatting>
  <conditionalFormatting sqref="D38">
    <cfRule type="expression" dxfId="32" priority="22">
      <formula>$D$13=0</formula>
    </cfRule>
  </conditionalFormatting>
  <conditionalFormatting sqref="D39">
    <cfRule type="expression" dxfId="31" priority="20">
      <formula>$D$14=0</formula>
    </cfRule>
  </conditionalFormatting>
  <conditionalFormatting sqref="D40">
    <cfRule type="expression" dxfId="30" priority="17">
      <formula>$D$15=0</formula>
    </cfRule>
  </conditionalFormatting>
  <conditionalFormatting sqref="D41">
    <cfRule type="expression" dxfId="29" priority="16">
      <formula>$D$12=0</formula>
    </cfRule>
  </conditionalFormatting>
  <conditionalFormatting sqref="D42">
    <cfRule type="expression" dxfId="28" priority="15">
      <formula>$D$13=0</formula>
    </cfRule>
  </conditionalFormatting>
  <conditionalFormatting sqref="D43">
    <cfRule type="expression" dxfId="27" priority="14">
      <formula>$D$14=0</formula>
    </cfRule>
  </conditionalFormatting>
  <conditionalFormatting sqref="D44">
    <cfRule type="expression" dxfId="26" priority="13">
      <formula>$D$15=0</formula>
    </cfRule>
  </conditionalFormatting>
  <conditionalFormatting sqref="D56">
    <cfRule type="expression" dxfId="25" priority="2">
      <formula>$D$55=0</formula>
    </cfRule>
  </conditionalFormatting>
  <conditionalFormatting sqref="D60">
    <cfRule type="expression" dxfId="24" priority="8">
      <formula>$D$59=0</formula>
    </cfRule>
  </conditionalFormatting>
  <conditionalFormatting sqref="D77">
    <cfRule type="expression" dxfId="23" priority="6">
      <formula>$D$76=0</formula>
    </cfRule>
  </conditionalFormatting>
  <conditionalFormatting sqref="D89">
    <cfRule type="expression" dxfId="22" priority="4">
      <formula>$D$88=0</formula>
    </cfRule>
  </conditionalFormatting>
  <conditionalFormatting sqref="F12:F15">
    <cfRule type="cellIs" dxfId="21" priority="49" operator="greaterThan">
      <formula>1</formula>
    </cfRule>
  </conditionalFormatting>
  <conditionalFormatting sqref="G12:G17">
    <cfRule type="expression" dxfId="20" priority="46">
      <formula>G12&lt;&gt;D12</formula>
    </cfRule>
  </conditionalFormatting>
  <conditionalFormatting sqref="G19:G32">
    <cfRule type="expression" dxfId="19" priority="45">
      <formula>G19&lt;&gt;D19</formula>
    </cfRule>
  </conditionalFormatting>
  <conditionalFormatting sqref="G34:G60">
    <cfRule type="expression" dxfId="18" priority="36">
      <formula>G34&lt;&gt;D34</formula>
    </cfRule>
  </conditionalFormatting>
  <conditionalFormatting sqref="G37">
    <cfRule type="expression" dxfId="17" priority="23">
      <formula>$G$12=0</formula>
    </cfRule>
  </conditionalFormatting>
  <conditionalFormatting sqref="G38">
    <cfRule type="expression" dxfId="16" priority="21">
      <formula>$G$13=0</formula>
    </cfRule>
  </conditionalFormatting>
  <conditionalFormatting sqref="G39">
    <cfRule type="expression" dxfId="15" priority="19">
      <formula>$G$14=0</formula>
    </cfRule>
  </conditionalFormatting>
  <conditionalFormatting sqref="G40">
    <cfRule type="expression" dxfId="14" priority="18">
      <formula>$G$15=0</formula>
    </cfRule>
  </conditionalFormatting>
  <conditionalFormatting sqref="G41">
    <cfRule type="expression" dxfId="13" priority="12">
      <formula>$G$12=0</formula>
    </cfRule>
  </conditionalFormatting>
  <conditionalFormatting sqref="G42">
    <cfRule type="expression" dxfId="12" priority="11">
      <formula>$G$13=0</formula>
    </cfRule>
  </conditionalFormatting>
  <conditionalFormatting sqref="G43">
    <cfRule type="expression" dxfId="11" priority="10">
      <formula>$G$14=0</formula>
    </cfRule>
  </conditionalFormatting>
  <conditionalFormatting sqref="G44">
    <cfRule type="expression" dxfId="10" priority="9">
      <formula>$G$15=0</formula>
    </cfRule>
  </conditionalFormatting>
  <conditionalFormatting sqref="G56">
    <cfRule type="expression" dxfId="9" priority="1">
      <formula>$G$55=0</formula>
    </cfRule>
  </conditionalFormatting>
  <conditionalFormatting sqref="G60">
    <cfRule type="expression" dxfId="8" priority="7">
      <formula>$G$59=0</formula>
    </cfRule>
  </conditionalFormatting>
  <conditionalFormatting sqref="G62">
    <cfRule type="expression" dxfId="7" priority="35">
      <formula>G62&lt;&gt;D62</formula>
    </cfRule>
  </conditionalFormatting>
  <conditionalFormatting sqref="G64:G67">
    <cfRule type="expression" dxfId="6" priority="34">
      <formula>G64&lt;&gt;D64</formula>
    </cfRule>
  </conditionalFormatting>
  <conditionalFormatting sqref="G69:G72">
    <cfRule type="expression" dxfId="5" priority="33">
      <formula>G69&lt;&gt;D69</formula>
    </cfRule>
  </conditionalFormatting>
  <conditionalFormatting sqref="G74:G83">
    <cfRule type="expression" dxfId="4" priority="30">
      <formula>G74&lt;&gt;D74</formula>
    </cfRule>
  </conditionalFormatting>
  <conditionalFormatting sqref="G77">
    <cfRule type="expression" dxfId="3" priority="5">
      <formula>$G$76=0</formula>
    </cfRule>
  </conditionalFormatting>
  <conditionalFormatting sqref="G85:G89">
    <cfRule type="expression" dxfId="2" priority="26">
      <formula>G85&lt;&gt;D85</formula>
    </cfRule>
  </conditionalFormatting>
  <conditionalFormatting sqref="G89">
    <cfRule type="expression" dxfId="1" priority="3">
      <formula>$G$88=0</formula>
    </cfRule>
  </conditionalFormatting>
  <conditionalFormatting sqref="H12:H15">
    <cfRule type="cellIs" dxfId="0" priority="47" operator="greaterThan">
      <formula>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DA364F4-878D-4350-8C83-3C15FD9A15EE}">
          <x14:formula1>
            <xm:f>Lists!$B$2:$B$5</xm:f>
          </x14:formula1>
          <xm:sqref>D7 D9</xm:sqref>
        </x14:dataValidation>
        <x14:dataValidation type="list" allowBlank="1" showInputMessage="1" showErrorMessage="1" xr:uid="{EA0A631E-12C4-46A4-B739-B6A91D7AE791}">
          <x14:formula1>
            <xm:f>Lists!$C$1:$C$5</xm:f>
          </x14:formula1>
          <xm:sqref>D16</xm:sqref>
        </x14:dataValidation>
        <x14:dataValidation type="list" allowBlank="1" showInputMessage="1" showErrorMessage="1" xr:uid="{9604FFA6-3627-47A6-A5E5-62F5F7653C02}">
          <x14:formula1>
            <xm:f>Lists!$A$2:$A$1048576</xm:f>
          </x14:formula1>
          <xm:sqref>D5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4109-D60E-4D29-90BF-081D5A1348C2}">
  <sheetPr>
    <tabColor theme="8" tint="-0.249977111117893"/>
  </sheetPr>
  <dimension ref="A1:AC75"/>
  <sheetViews>
    <sheetView workbookViewId="0"/>
  </sheetViews>
  <sheetFormatPr defaultColWidth="9" defaultRowHeight="15"/>
  <cols>
    <col min="1" max="2" width="2.7109375" style="32" customWidth="1"/>
    <col min="3" max="3" width="39.42578125" style="77" bestFit="1" customWidth="1"/>
    <col min="4" max="4" width="13.140625" style="2" bestFit="1" customWidth="1"/>
    <col min="5" max="9" width="13.140625" style="2" customWidth="1"/>
    <col min="10" max="10" width="99.85546875" style="113" customWidth="1"/>
    <col min="11" max="21" width="9" style="10"/>
    <col min="22" max="22" width="7.85546875" style="10" customWidth="1"/>
    <col min="23" max="16384" width="9" style="10"/>
  </cols>
  <sheetData>
    <row r="1" spans="2:29" s="3" customFormat="1" ht="86.1" customHeight="1">
      <c r="B1" s="4"/>
      <c r="C1" s="75"/>
      <c r="J1" s="75"/>
    </row>
    <row r="2" spans="2:29" s="3" customFormat="1" ht="15.95">
      <c r="B2" s="4"/>
      <c r="C2" s="75" t="s">
        <v>0</v>
      </c>
      <c r="J2" s="75"/>
    </row>
    <row r="3" spans="2:29" s="5" customFormat="1" ht="17.100000000000001">
      <c r="B3" s="6"/>
      <c r="C3" s="76" t="str">
        <f>IF(Assumptions!D7&lt;&gt;Lists!B2,CONCATENATE("Outputs overview- ",Assumptions!D7," of ",Assumptions!D6),CONCATENATE("Outputs overview- in ",Assumptions!D6))</f>
        <v>Outputs overview- in ALL</v>
      </c>
      <c r="J3" s="76"/>
      <c r="AC3" s="7"/>
    </row>
    <row r="4" spans="2:29" s="32" customFormat="1" ht="15.95" thickBot="1">
      <c r="C4" s="77"/>
      <c r="J4" s="77"/>
    </row>
    <row r="5" spans="2:29" ht="15.95">
      <c r="C5" s="117" t="str">
        <f>CONCATENATE("TOTAL INVESTMENT (",Assumptions!D6,")")</f>
        <v>TOTAL INVESTMENT (ALL)</v>
      </c>
      <c r="D5" s="118">
        <f>-('Key financial and ops fig.s LCY'!H58+'Key financial and ops fig.s LCY'!M58+'Key financial and ops fig.s LCY'!R58+'Key financial and ops fig.s LCY'!W58+'Key financial and ops fig.s LCY'!AG58+'Key financial and ops fig.s LCY'!AL58)</f>
        <v>433850000</v>
      </c>
      <c r="E5" s="173"/>
      <c r="F5" s="173"/>
      <c r="G5" s="173"/>
      <c r="H5" s="173"/>
      <c r="I5" s="173"/>
    </row>
    <row r="6" spans="2:29" ht="15.95">
      <c r="C6" s="119" t="str">
        <f>CONCATENATE("TOTAL INVESTMENT (",Assumptions!D8,")")</f>
        <v>TOTAL INVESTMENT (USD)</v>
      </c>
      <c r="D6" s="120">
        <f>D5*Assumptions!D10</f>
        <v>5206200</v>
      </c>
      <c r="E6" s="173"/>
      <c r="F6" s="173"/>
      <c r="G6" s="173"/>
      <c r="H6" s="173"/>
      <c r="I6" s="173"/>
    </row>
    <row r="7" spans="2:29" ht="15.95">
      <c r="C7" s="119" t="str">
        <f>CONCATENATE("TOTAL NET INCOME (",Assumptions!D6,") OVER 7-YEAR PERIOD")</f>
        <v>TOTAL NET INCOME (ALL) OVER 7-YEAR PERIOD</v>
      </c>
      <c r="D7" s="120">
        <f>'Key financial and ops fig.s LCY'!AL49</f>
        <v>7322392027.2321434</v>
      </c>
      <c r="E7" s="173"/>
      <c r="F7" s="173"/>
      <c r="G7" s="173"/>
      <c r="H7" s="173"/>
      <c r="I7" s="173"/>
    </row>
    <row r="8" spans="2:29" ht="15.95">
      <c r="C8" s="119" t="str">
        <f>CONCATENATE("TOTAL NET INCOME (",Assumptions!D8,") OVER 7-YEAR PERIOD")</f>
        <v>TOTAL NET INCOME (USD) OVER 7-YEAR PERIOD</v>
      </c>
      <c r="D8" s="120">
        <f>D7*Assumptions!D10</f>
        <v>87868704.326785728</v>
      </c>
      <c r="E8" s="173"/>
      <c r="F8" s="173"/>
      <c r="G8" s="173"/>
      <c r="H8" s="173"/>
      <c r="I8" s="173"/>
    </row>
    <row r="9" spans="2:29" ht="15.95">
      <c r="C9" s="119" t="s">
        <v>204</v>
      </c>
      <c r="D9" s="121">
        <f>D7/D5</f>
        <v>16.877704338439884</v>
      </c>
      <c r="E9" s="174"/>
      <c r="F9" s="174"/>
      <c r="G9" s="174"/>
      <c r="H9" s="174"/>
      <c r="I9" s="174"/>
    </row>
    <row r="10" spans="2:29" ht="17.100000000000001" thickBot="1">
      <c r="C10" s="122" t="s">
        <v>205</v>
      </c>
      <c r="D10" s="123">
        <f>D9/7</f>
        <v>2.4111006197771263</v>
      </c>
      <c r="E10" s="174"/>
      <c r="F10" s="174"/>
      <c r="G10" s="174"/>
      <c r="H10" s="174"/>
      <c r="I10" s="174"/>
    </row>
    <row r="11" spans="2:29" ht="15.95" thickBot="1"/>
    <row r="12" spans="2:29" ht="15.95">
      <c r="C12" s="117" t="s">
        <v>206</v>
      </c>
      <c r="D12" s="124" t="str" cm="1">
        <f t="array" ref="D12">INDEX('Key financial and ops fig.s LCY'!D5:AL5, MATCH(TRUE, 'Key financial and ops fig.s LCY'!D49:AL49&gt;0, 0))</f>
        <v>Y2</v>
      </c>
      <c r="E12" s="128"/>
      <c r="F12" s="128"/>
      <c r="G12" s="128"/>
      <c r="H12" s="128"/>
      <c r="I12" s="128"/>
    </row>
    <row r="13" spans="2:29" ht="15.95">
      <c r="C13" s="119" t="s">
        <v>207</v>
      </c>
      <c r="D13" s="125" t="str" cm="1">
        <f t="array" ref="D13">INDEX('Key financial and ops fig.s LCY'!D5:AL5, MATCH(TRUE, 'Key financial and ops fig.s LCY'!D45:AL45&gt;0, 0))</f>
        <v>Q3 Y1</v>
      </c>
      <c r="E13" s="128"/>
      <c r="F13" s="128"/>
      <c r="G13" s="128"/>
      <c r="H13" s="128"/>
      <c r="I13" s="128"/>
    </row>
    <row r="14" spans="2:29" ht="17.100000000000001" thickBot="1">
      <c r="C14" s="122" t="s">
        <v>208</v>
      </c>
      <c r="D14" s="126" t="str" cm="1">
        <f t="array" ref="D14">INDEX('Key financial and ops fig.s LCY'!D5:AL5, MATCH(TRUE, 'Key financial and ops fig.s LCY'!D61:AL61&gt;0, 0))</f>
        <v>Q2 Y3</v>
      </c>
      <c r="E14" s="128"/>
      <c r="F14" s="128"/>
      <c r="G14" s="128"/>
      <c r="H14" s="128"/>
      <c r="I14" s="128"/>
    </row>
    <row r="15" spans="2:29">
      <c r="C15" s="127"/>
      <c r="D15" s="128"/>
      <c r="E15" s="128"/>
      <c r="F15" s="128"/>
      <c r="G15" s="128"/>
      <c r="H15" s="128"/>
      <c r="I15" s="128"/>
    </row>
    <row r="16" spans="2:29">
      <c r="C16" s="127"/>
      <c r="D16" s="128"/>
      <c r="E16" s="128"/>
      <c r="F16" s="128"/>
      <c r="G16" s="128"/>
      <c r="H16" s="128"/>
      <c r="I16" s="128"/>
    </row>
    <row r="17" spans="3:9">
      <c r="C17" s="127"/>
      <c r="D17" s="128"/>
      <c r="E17" s="128"/>
      <c r="F17" s="128"/>
      <c r="G17" s="128"/>
      <c r="H17" s="128"/>
      <c r="I17" s="128"/>
    </row>
    <row r="18" spans="3:9">
      <c r="C18" s="127"/>
      <c r="D18" s="128"/>
      <c r="E18" s="128"/>
      <c r="F18" s="128"/>
      <c r="G18" s="128"/>
      <c r="H18" s="128"/>
      <c r="I18" s="128"/>
    </row>
    <row r="19" spans="3:9">
      <c r="C19" s="127"/>
      <c r="D19" s="128"/>
      <c r="E19" s="128"/>
      <c r="F19" s="128"/>
      <c r="G19" s="128"/>
      <c r="H19" s="128"/>
      <c r="I19" s="128"/>
    </row>
    <row r="20" spans="3:9">
      <c r="C20" s="127"/>
      <c r="D20" s="128"/>
      <c r="E20" s="128"/>
      <c r="F20" s="128"/>
      <c r="G20" s="128"/>
      <c r="H20" s="128"/>
      <c r="I20" s="128"/>
    </row>
    <row r="21" spans="3:9">
      <c r="C21" s="127"/>
      <c r="D21" s="128"/>
      <c r="E21" s="128"/>
      <c r="F21" s="128"/>
      <c r="G21" s="128"/>
      <c r="H21" s="128"/>
      <c r="I21" s="128"/>
    </row>
    <row r="22" spans="3:9">
      <c r="C22" s="127"/>
      <c r="D22" s="128"/>
      <c r="E22" s="128"/>
      <c r="F22" s="128"/>
      <c r="G22" s="128"/>
      <c r="H22" s="128"/>
      <c r="I22" s="128"/>
    </row>
    <row r="23" spans="3:9">
      <c r="C23" s="127"/>
      <c r="D23" s="128"/>
      <c r="E23" s="128"/>
      <c r="F23" s="128"/>
      <c r="G23" s="128"/>
      <c r="H23" s="128"/>
      <c r="I23" s="128"/>
    </row>
    <row r="24" spans="3:9">
      <c r="C24" s="127"/>
      <c r="D24" s="128"/>
      <c r="E24" s="128"/>
      <c r="F24" s="128"/>
      <c r="G24" s="128"/>
      <c r="H24" s="128"/>
      <c r="I24" s="128"/>
    </row>
    <row r="25" spans="3:9">
      <c r="C25" s="127"/>
      <c r="D25" s="128"/>
      <c r="E25" s="128"/>
      <c r="F25" s="128"/>
      <c r="G25" s="128"/>
      <c r="H25" s="128"/>
      <c r="I25" s="128"/>
    </row>
    <row r="26" spans="3:9">
      <c r="C26" s="127"/>
      <c r="D26" s="128"/>
      <c r="E26" s="128"/>
      <c r="F26" s="128"/>
      <c r="G26" s="128"/>
      <c r="H26" s="128"/>
      <c r="I26" s="128"/>
    </row>
    <row r="27" spans="3:9">
      <c r="C27" s="127"/>
      <c r="D27" s="128"/>
      <c r="E27" s="128"/>
      <c r="F27" s="128"/>
      <c r="G27" s="128"/>
      <c r="H27" s="128"/>
      <c r="I27" s="128"/>
    </row>
    <row r="28" spans="3:9">
      <c r="C28" s="127"/>
      <c r="D28" s="128"/>
      <c r="E28" s="128"/>
      <c r="F28" s="128"/>
      <c r="G28" s="128"/>
      <c r="H28" s="128"/>
      <c r="I28" s="128"/>
    </row>
    <row r="29" spans="3:9">
      <c r="C29" s="127"/>
      <c r="D29" s="128"/>
      <c r="E29" s="128"/>
      <c r="F29" s="128"/>
      <c r="G29" s="128"/>
      <c r="H29" s="128"/>
      <c r="I29" s="128"/>
    </row>
    <row r="30" spans="3:9">
      <c r="C30" s="127"/>
      <c r="D30" s="128"/>
      <c r="E30" s="128"/>
      <c r="F30" s="128"/>
      <c r="G30" s="128"/>
      <c r="H30" s="128"/>
      <c r="I30" s="128"/>
    </row>
    <row r="75" spans="13:13">
      <c r="M75" s="13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57E9-8C9C-4761-936A-CEBBC82E253C}">
  <sheetPr>
    <tabColor rgb="FFFFD15D"/>
  </sheetPr>
  <dimension ref="A1:AC83"/>
  <sheetViews>
    <sheetView workbookViewId="0"/>
  </sheetViews>
  <sheetFormatPr defaultColWidth="9" defaultRowHeight="15"/>
  <cols>
    <col min="1" max="2" width="2.7109375" style="32" customWidth="1"/>
    <col min="3" max="3" width="39.42578125" style="77" bestFit="1" customWidth="1"/>
    <col min="4" max="4" width="13.140625" style="2" bestFit="1" customWidth="1"/>
    <col min="5" max="5" width="17.140625" style="2" bestFit="1" customWidth="1"/>
    <col min="6" max="9" width="13.140625" style="2" customWidth="1"/>
    <col min="10" max="10" width="99.85546875" style="113" customWidth="1"/>
    <col min="11" max="21" width="9" style="10"/>
    <col min="22" max="22" width="7.85546875" style="10" customWidth="1"/>
    <col min="23" max="16384" width="9" style="10"/>
  </cols>
  <sheetData>
    <row r="1" spans="2:29" s="3" customFormat="1" ht="86.1" customHeight="1">
      <c r="B1" s="4"/>
      <c r="C1" s="75"/>
      <c r="J1" s="75"/>
    </row>
    <row r="2" spans="2:29" s="3" customFormat="1" ht="15.95">
      <c r="B2" s="4"/>
      <c r="C2" s="75" t="s">
        <v>0</v>
      </c>
      <c r="J2" s="75"/>
    </row>
    <row r="3" spans="2:29" s="5" customFormat="1" ht="17.100000000000001">
      <c r="B3" s="6"/>
      <c r="C3" s="76" t="str">
        <f>IF(Assumptions!D7&lt;&gt;Lists!B2,CONCATENATE("Outputs overview- ",Assumptions!D7," of ",Assumptions!D6),CONCATENATE("Outputs overview- in ",Assumptions!D6))</f>
        <v>Outputs overview- in ALL</v>
      </c>
      <c r="J3" s="76"/>
      <c r="AC3" s="7"/>
    </row>
    <row r="4" spans="2:29" s="32" customFormat="1" ht="15.95" thickBot="1">
      <c r="C4" s="77"/>
      <c r="D4" s="34" t="s">
        <v>209</v>
      </c>
      <c r="E4" s="34" t="s">
        <v>210</v>
      </c>
      <c r="F4" s="34" t="s">
        <v>211</v>
      </c>
      <c r="J4" s="77"/>
    </row>
    <row r="5" spans="2:29" ht="15.95">
      <c r="C5" s="117" t="str">
        <f>CONCATENATE("TOTAL INVESTMENT (",Assumptions!D6,")")</f>
        <v>TOTAL INVESTMENT (ALL)</v>
      </c>
      <c r="D5" s="118">
        <f>-('Key financial and ops fig.s LCY'!H58+'Key financial and ops fig.s LCY'!M58+'Key financial and ops fig.s LCY'!R58+'Key financial and ops fig.s LCY'!W58+'Key financial and ops fig.s LCY'!AG58+'Key financial and ops fig.s LCY'!AL58)</f>
        <v>433850000</v>
      </c>
      <c r="E5" s="118">
        <f>-('Alt. scenario LCY'!H58+'Alt. scenario LCY'!M58+'Alt. scenario LCY'!R58+'Alt. scenario LCY'!W58+'Alt. scenario LCY'!AG58+'Alt. scenario LCY'!AL58)</f>
        <v>433850000</v>
      </c>
      <c r="F5" s="176">
        <f>E5-D5</f>
        <v>0</v>
      </c>
      <c r="G5" s="173"/>
      <c r="H5" s="173"/>
      <c r="I5" s="173"/>
    </row>
    <row r="6" spans="2:29" ht="15.95">
      <c r="C6" s="119" t="str">
        <f>CONCATENATE("TOTAL INVESTMENT (",Assumptions!D8,")")</f>
        <v>TOTAL INVESTMENT (USD)</v>
      </c>
      <c r="D6" s="120">
        <f>D5*Assumptions!D10</f>
        <v>5206200</v>
      </c>
      <c r="E6" s="120">
        <f>E5*Assumptions!D10</f>
        <v>5206200</v>
      </c>
      <c r="F6" s="177">
        <f t="shared" ref="F6:F10" si="0">E6-D6</f>
        <v>0</v>
      </c>
      <c r="G6" s="173"/>
      <c r="H6" s="173"/>
      <c r="I6" s="173"/>
    </row>
    <row r="7" spans="2:29" ht="15.95">
      <c r="C7" s="119" t="str">
        <f>CONCATENATE("TOTAL NET INCOME (",Assumptions!D6,") OVER 7-YEAR PERIOD")</f>
        <v>TOTAL NET INCOME (ALL) OVER 7-YEAR PERIOD</v>
      </c>
      <c r="D7" s="120">
        <f>'Key financial and ops fig.s LCY'!AL49</f>
        <v>7322392027.2321434</v>
      </c>
      <c r="E7" s="120">
        <f>'Alt. scenario LCY'!AL49</f>
        <v>7322392027.2321434</v>
      </c>
      <c r="F7" s="177">
        <f t="shared" si="0"/>
        <v>0</v>
      </c>
      <c r="G7" s="173"/>
      <c r="H7" s="173"/>
      <c r="I7" s="173"/>
    </row>
    <row r="8" spans="2:29" ht="15.95">
      <c r="C8" s="119" t="str">
        <f>CONCATENATE("TOTAL NET INCOME (",Assumptions!D8,") OVER 7-YEAR PERIOD")</f>
        <v>TOTAL NET INCOME (USD) OVER 7-YEAR PERIOD</v>
      </c>
      <c r="D8" s="120">
        <f>D7*Assumptions!D10</f>
        <v>87868704.326785728</v>
      </c>
      <c r="E8" s="120">
        <f>E7*Assumptions!D10</f>
        <v>87868704.326785728</v>
      </c>
      <c r="F8" s="177">
        <f t="shared" si="0"/>
        <v>0</v>
      </c>
      <c r="G8" s="173"/>
      <c r="H8" s="173"/>
      <c r="I8" s="173"/>
    </row>
    <row r="9" spans="2:29" ht="15.95">
      <c r="C9" s="119" t="s">
        <v>204</v>
      </c>
      <c r="D9" s="121">
        <f>D7/D5</f>
        <v>16.877704338439884</v>
      </c>
      <c r="E9" s="121">
        <f>E7/E5</f>
        <v>16.877704338439884</v>
      </c>
      <c r="F9" s="178">
        <f t="shared" si="0"/>
        <v>0</v>
      </c>
      <c r="G9" s="174"/>
      <c r="H9" s="174"/>
      <c r="I9" s="174"/>
    </row>
    <row r="10" spans="2:29" ht="17.100000000000001" thickBot="1">
      <c r="C10" s="122" t="s">
        <v>205</v>
      </c>
      <c r="D10" s="123">
        <f>D9/7</f>
        <v>2.4111006197771263</v>
      </c>
      <c r="E10" s="123">
        <f>E9/7</f>
        <v>2.4111006197771263</v>
      </c>
      <c r="F10" s="178">
        <f t="shared" si="0"/>
        <v>0</v>
      </c>
      <c r="G10" s="174"/>
      <c r="H10" s="174"/>
      <c r="I10" s="174"/>
    </row>
    <row r="11" spans="2:29" ht="15.95" thickBot="1"/>
    <row r="12" spans="2:29" ht="15.95">
      <c r="C12" s="117" t="s">
        <v>206</v>
      </c>
      <c r="D12" s="124" t="str" cm="1">
        <f t="array" ref="D12">INDEX('Key financial and ops fig.s LCY'!D5:AL5, MATCH(TRUE, 'Key financial and ops fig.s LCY'!D49:AL49&gt;0, 0))</f>
        <v>Y2</v>
      </c>
      <c r="E12" s="124" t="str" cm="1">
        <f t="array" ref="E12">INDEX('Alt. scenario LCY'!D5:AL5, MATCH(TRUE, 'Alt. scenario LCY'!D49:AL49&gt;0, 0))</f>
        <v>Y2</v>
      </c>
      <c r="F12" s="179" t="str">
        <f>IF(E12&lt;&gt;D12,"DIFFERENT PERIOD","")</f>
        <v/>
      </c>
      <c r="G12" s="128"/>
      <c r="H12" s="128"/>
      <c r="I12" s="128"/>
    </row>
    <row r="13" spans="2:29" ht="15.95">
      <c r="C13" s="119" t="s">
        <v>207</v>
      </c>
      <c r="D13" s="125" t="str" cm="1">
        <f t="array" ref="D13">INDEX('Key financial and ops fig.s LCY'!D5:AL5, MATCH(TRUE, 'Key financial and ops fig.s LCY'!D45:AL45&gt;0, 0))</f>
        <v>Q3 Y1</v>
      </c>
      <c r="E13" s="125" t="str" cm="1">
        <f t="array" ref="E13">INDEX('Alt. scenario LCY'!D5:AL5, MATCH(TRUE, 'Alt. scenario LCY'!D45:AL45&gt;0, 0))</f>
        <v>Q3 Y1</v>
      </c>
      <c r="F13" s="179" t="str">
        <f>IF(E13&lt;&gt;D13,"DIFFERENT PERIOD","")</f>
        <v/>
      </c>
      <c r="G13" s="128"/>
      <c r="H13" s="128"/>
      <c r="I13" s="128"/>
    </row>
    <row r="14" spans="2:29" ht="17.100000000000001" thickBot="1">
      <c r="C14" s="122" t="s">
        <v>208</v>
      </c>
      <c r="D14" s="126" t="str" cm="1">
        <f t="array" ref="D14">INDEX('Key financial and ops fig.s LCY'!D5:AL5, MATCH(TRUE, 'Key financial and ops fig.s LCY'!D61:AL61&gt;0, 0))</f>
        <v>Q2 Y3</v>
      </c>
      <c r="E14" s="126" t="str" cm="1">
        <f t="array" ref="E14">INDEX('Alt. scenario LCY'!D5:AL5, MATCH(TRUE, 'Alt. scenario LCY'!D61:AL61&gt;0, 0))</f>
        <v>Q2 Y3</v>
      </c>
      <c r="F14" s="179" t="str">
        <f>IF(E14&lt;&gt;D14,"DIFFERENT PERIOD","")</f>
        <v/>
      </c>
      <c r="G14" s="128"/>
      <c r="H14" s="128"/>
      <c r="I14" s="128"/>
    </row>
    <row r="15" spans="2:29">
      <c r="C15" s="127"/>
      <c r="D15" s="128"/>
      <c r="E15" s="128"/>
      <c r="F15" s="128"/>
      <c r="G15" s="128"/>
      <c r="H15" s="128"/>
      <c r="I15" s="128"/>
    </row>
    <row r="16" spans="2:29">
      <c r="C16" s="127"/>
      <c r="D16" s="128"/>
      <c r="E16" s="128"/>
      <c r="F16" s="128"/>
      <c r="G16" s="128"/>
      <c r="H16" s="128"/>
      <c r="I16" s="128"/>
    </row>
    <row r="17" spans="3:9">
      <c r="C17" s="127"/>
      <c r="D17" s="128"/>
      <c r="E17" s="128"/>
      <c r="F17" s="128"/>
      <c r="G17" s="128"/>
      <c r="H17" s="128"/>
      <c r="I17" s="128"/>
    </row>
    <row r="18" spans="3:9">
      <c r="C18" s="127"/>
      <c r="D18" s="128"/>
      <c r="E18" s="128"/>
      <c r="F18" s="128"/>
      <c r="G18" s="128"/>
      <c r="H18" s="128"/>
      <c r="I18" s="128"/>
    </row>
    <row r="19" spans="3:9">
      <c r="C19" s="127"/>
      <c r="D19" s="128"/>
      <c r="E19" s="128"/>
      <c r="F19" s="128"/>
      <c r="G19" s="128"/>
      <c r="H19" s="128"/>
      <c r="I19" s="128"/>
    </row>
    <row r="20" spans="3:9">
      <c r="C20" s="127"/>
      <c r="D20" s="128"/>
      <c r="E20" s="128"/>
      <c r="F20" s="128"/>
      <c r="G20" s="128"/>
      <c r="H20" s="128"/>
      <c r="I20" s="128"/>
    </row>
    <row r="21" spans="3:9">
      <c r="C21" s="127"/>
      <c r="D21" s="128"/>
      <c r="E21" s="128"/>
      <c r="F21" s="128"/>
      <c r="G21" s="128"/>
      <c r="H21" s="128"/>
      <c r="I21" s="128"/>
    </row>
    <row r="22" spans="3:9">
      <c r="C22" s="127"/>
      <c r="D22" s="128"/>
      <c r="E22" s="128"/>
      <c r="F22" s="128"/>
      <c r="G22" s="128"/>
      <c r="H22" s="128"/>
      <c r="I22" s="128"/>
    </row>
    <row r="23" spans="3:9">
      <c r="C23" s="127"/>
      <c r="D23" s="128"/>
      <c r="E23" s="128"/>
      <c r="F23" s="128"/>
      <c r="G23" s="128"/>
      <c r="H23" s="128"/>
      <c r="I23" s="128"/>
    </row>
    <row r="24" spans="3:9">
      <c r="C24" s="127"/>
      <c r="D24" s="128"/>
      <c r="E24" s="128"/>
      <c r="F24" s="128"/>
      <c r="G24" s="128"/>
      <c r="H24" s="128"/>
      <c r="I24" s="128"/>
    </row>
    <row r="25" spans="3:9">
      <c r="C25" s="127"/>
      <c r="D25" s="128"/>
      <c r="E25" s="128"/>
      <c r="F25" s="128"/>
      <c r="G25" s="128"/>
      <c r="H25" s="128"/>
      <c r="I25" s="128"/>
    </row>
    <row r="26" spans="3:9">
      <c r="C26" s="127"/>
      <c r="D26" s="128"/>
      <c r="E26" s="128"/>
      <c r="F26" s="128"/>
      <c r="G26" s="128"/>
      <c r="H26" s="128"/>
      <c r="I26" s="128"/>
    </row>
    <row r="27" spans="3:9">
      <c r="C27" s="127"/>
      <c r="D27" s="128"/>
      <c r="E27" s="128"/>
      <c r="F27" s="128"/>
      <c r="G27" s="128"/>
      <c r="H27" s="128"/>
      <c r="I27" s="128"/>
    </row>
    <row r="28" spans="3:9">
      <c r="C28" s="127"/>
      <c r="D28" s="128"/>
      <c r="E28" s="128"/>
      <c r="F28" s="128"/>
      <c r="G28" s="128"/>
      <c r="H28" s="128"/>
      <c r="I28" s="128"/>
    </row>
    <row r="29" spans="3:9">
      <c r="C29" s="127"/>
      <c r="D29" s="128"/>
      <c r="E29" s="128"/>
      <c r="F29" s="128"/>
      <c r="G29" s="128"/>
      <c r="H29" s="128"/>
      <c r="I29" s="128"/>
    </row>
    <row r="30" spans="3:9">
      <c r="C30" s="127"/>
      <c r="D30" s="128"/>
      <c r="E30" s="128"/>
      <c r="F30" s="128"/>
      <c r="G30" s="128"/>
      <c r="H30" s="128"/>
      <c r="I30" s="128"/>
    </row>
    <row r="75" spans="13:13">
      <c r="M75" s="139"/>
    </row>
    <row r="83" spans="11:11">
      <c r="K83" s="10" t="s">
        <v>212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E3BF6-A5E4-499C-8266-27410B6B4F15}">
  <sheetPr>
    <tabColor theme="8" tint="-0.249977111117893"/>
  </sheetPr>
  <dimension ref="A1:AL90"/>
  <sheetViews>
    <sheetView topLeftCell="U1" workbookViewId="0">
      <selection activeCell="C3" sqref="C3"/>
    </sheetView>
  </sheetViews>
  <sheetFormatPr defaultColWidth="9" defaultRowHeight="15" outlineLevelRow="2" outlineLevelCol="1"/>
  <cols>
    <col min="1" max="2" width="2.7109375" style="32" customWidth="1"/>
    <col min="3" max="3" width="51.85546875" style="32" customWidth="1"/>
    <col min="4" max="7" width="16.7109375" style="32" customWidth="1" outlineLevel="1"/>
    <col min="8" max="8" width="16.7109375" style="32" customWidth="1"/>
    <col min="9" max="12" width="16.7109375" style="32" customWidth="1" outlineLevel="1"/>
    <col min="13" max="13" width="16.7109375" style="32" customWidth="1"/>
    <col min="14" max="17" width="16.7109375" style="32" customWidth="1" outlineLevel="1"/>
    <col min="18" max="18" width="16.7109375" style="32" customWidth="1"/>
    <col min="19" max="22" width="16.7109375" style="32" customWidth="1" outlineLevel="1"/>
    <col min="23" max="23" width="16.7109375" style="32" customWidth="1"/>
    <col min="24" max="27" width="16.7109375" style="32" customWidth="1" outlineLevel="1"/>
    <col min="28" max="28" width="16.7109375" style="32" customWidth="1"/>
    <col min="29" max="32" width="16.7109375" style="32" customWidth="1" outlineLevel="1"/>
    <col min="33" max="33" width="16.7109375" style="32" customWidth="1"/>
    <col min="34" max="37" width="16.7109375" style="32" customWidth="1" outlineLevel="1"/>
    <col min="38" max="38" width="16.7109375" style="32" customWidth="1"/>
    <col min="39" max="45" width="9" style="32"/>
    <col min="46" max="46" width="11.28515625" style="32" bestFit="1" customWidth="1"/>
    <col min="47" max="48" width="10.7109375" style="32" bestFit="1" customWidth="1"/>
    <col min="49" max="52" width="12.140625" style="32" bestFit="1" customWidth="1"/>
    <col min="53" max="16384" width="9" style="32"/>
  </cols>
  <sheetData>
    <row r="1" spans="1:38" s="3" customFormat="1" ht="86.1" customHeight="1">
      <c r="B1" s="4"/>
    </row>
    <row r="2" spans="1:38" s="3" customFormat="1" ht="15.95">
      <c r="B2" s="4"/>
      <c r="C2" s="3" t="s">
        <v>0</v>
      </c>
    </row>
    <row r="3" spans="1:38" s="5" customFormat="1" ht="15.95">
      <c r="B3" s="6"/>
      <c r="C3" s="5" t="str">
        <f>IF(Assumptions!D7&lt;&gt;Lists!B2,CONCATENATE("Modelled outputs- ",Assumptions!D7," of ",Assumptions!D6),CONCATENATE("Modelled outputs- in ",Assumptions!D6))</f>
        <v>Modelled outputs- in ALL</v>
      </c>
    </row>
    <row r="4" spans="1:38" ht="15.95" thickBot="1"/>
    <row r="5" spans="1:38" ht="17.100000000000001" thickBot="1">
      <c r="A5" s="88" t="s">
        <v>213</v>
      </c>
      <c r="B5" s="29"/>
      <c r="C5" s="30"/>
      <c r="D5" s="187" t="s">
        <v>214</v>
      </c>
      <c r="E5" s="187" t="s">
        <v>215</v>
      </c>
      <c r="F5" s="187" t="s">
        <v>216</v>
      </c>
      <c r="G5" s="187" t="s">
        <v>217</v>
      </c>
      <c r="H5" s="43" t="s">
        <v>218</v>
      </c>
      <c r="I5" s="187" t="s">
        <v>219</v>
      </c>
      <c r="J5" s="187" t="s">
        <v>220</v>
      </c>
      <c r="K5" s="187" t="s">
        <v>221</v>
      </c>
      <c r="L5" s="187" t="s">
        <v>222</v>
      </c>
      <c r="M5" s="43" t="s">
        <v>223</v>
      </c>
      <c r="N5" s="187" t="s">
        <v>224</v>
      </c>
      <c r="O5" s="187" t="s">
        <v>225</v>
      </c>
      <c r="P5" s="187" t="s">
        <v>226</v>
      </c>
      <c r="Q5" s="187" t="s">
        <v>227</v>
      </c>
      <c r="R5" s="43" t="s">
        <v>228</v>
      </c>
      <c r="S5" s="187" t="s">
        <v>229</v>
      </c>
      <c r="T5" s="187" t="s">
        <v>230</v>
      </c>
      <c r="U5" s="187" t="s">
        <v>231</v>
      </c>
      <c r="V5" s="187" t="s">
        <v>232</v>
      </c>
      <c r="W5" s="43" t="s">
        <v>233</v>
      </c>
      <c r="X5" s="187" t="s">
        <v>234</v>
      </c>
      <c r="Y5" s="187" t="s">
        <v>235</v>
      </c>
      <c r="Z5" s="187" t="s">
        <v>236</v>
      </c>
      <c r="AA5" s="187" t="s">
        <v>237</v>
      </c>
      <c r="AB5" s="43" t="s">
        <v>238</v>
      </c>
      <c r="AC5" s="187" t="s">
        <v>239</v>
      </c>
      <c r="AD5" s="187" t="s">
        <v>240</v>
      </c>
      <c r="AE5" s="187" t="s">
        <v>241</v>
      </c>
      <c r="AF5" s="187" t="s">
        <v>242</v>
      </c>
      <c r="AG5" s="43" t="s">
        <v>243</v>
      </c>
      <c r="AH5" s="187" t="s">
        <v>244</v>
      </c>
      <c r="AI5" s="187" t="s">
        <v>245</v>
      </c>
      <c r="AJ5" s="187" t="s">
        <v>246</v>
      </c>
      <c r="AK5" s="187" t="s">
        <v>247</v>
      </c>
      <c r="AL5" s="43" t="s">
        <v>248</v>
      </c>
    </row>
    <row r="6" spans="1:38" ht="15.95" outlineLevel="2">
      <c r="A6" s="31"/>
      <c r="C6" s="32" t="s">
        <v>249</v>
      </c>
      <c r="D6" s="183">
        <f>D76*(Assumptions!$D$19-Assumptions!$D$23)/4</f>
        <v>9316406.25</v>
      </c>
      <c r="E6" s="183">
        <f>E76*(Assumptions!$D$19-Assumptions!$D$23)/4</f>
        <v>18515625</v>
      </c>
      <c r="F6" s="183">
        <f>F76*(Assumptions!$D$19-Assumptions!$D$23)/4</f>
        <v>27597656.250000004</v>
      </c>
      <c r="G6" s="183">
        <f>G76*(Assumptions!$D$19-Assumptions!$D$23)/4</f>
        <v>36562500</v>
      </c>
      <c r="H6" s="60">
        <f t="shared" ref="H6:H12" si="0">SUM(D6:G6)</f>
        <v>91992187.5</v>
      </c>
      <c r="I6" s="183">
        <f>I76*(Assumptions!$D$19-Assumptions!$D$23)/4</f>
        <v>45410156.25</v>
      </c>
      <c r="J6" s="183">
        <f>J76*(Assumptions!$D$19-Assumptions!$D$23)/4</f>
        <v>54140625.000000007</v>
      </c>
      <c r="K6" s="183">
        <f>K76*(Assumptions!$D$19-Assumptions!$D$23)/4</f>
        <v>62753906.250000007</v>
      </c>
      <c r="L6" s="183">
        <f>L76*(Assumptions!$D$19-Assumptions!$D$23)/4</f>
        <v>71250000</v>
      </c>
      <c r="M6" s="48">
        <f t="shared" ref="M6:M12" si="1">SUM(I6:L6)</f>
        <v>233554687.5</v>
      </c>
      <c r="N6" s="183">
        <f>N76*(Assumptions!$D$19-Assumptions!$D$23)/4</f>
        <v>79628906.25</v>
      </c>
      <c r="O6" s="183">
        <f>O76*(Assumptions!$D$19-Assumptions!$D$23)/4</f>
        <v>87890625</v>
      </c>
      <c r="P6" s="183">
        <f>P76*(Assumptions!$D$19-Assumptions!$D$23)/4</f>
        <v>96035156.250000015</v>
      </c>
      <c r="Q6" s="183">
        <f>Q76*(Assumptions!$D$19-Assumptions!$D$23)/4</f>
        <v>104062500.00000001</v>
      </c>
      <c r="R6" s="48">
        <f t="shared" ref="R6:R12" si="2">SUM(N6:Q6)</f>
        <v>367617187.5</v>
      </c>
      <c r="S6" s="183">
        <f>S76*(Assumptions!$D$19-Assumptions!$D$23)/4</f>
        <v>111972656.25000001</v>
      </c>
      <c r="T6" s="183">
        <f>T76*(Assumptions!$D$19-Assumptions!$D$23)/4</f>
        <v>119765625.00000001</v>
      </c>
      <c r="U6" s="183">
        <f>U76*(Assumptions!$D$19-Assumptions!$D$23)/4</f>
        <v>127441406.25000001</v>
      </c>
      <c r="V6" s="183">
        <f>V76*(Assumptions!$D$19-Assumptions!$D$23)/4</f>
        <v>135000000</v>
      </c>
      <c r="W6" s="48">
        <f t="shared" ref="W6:W12" si="3">SUM(S6:V6)</f>
        <v>494179687.50000006</v>
      </c>
      <c r="X6" s="183">
        <f>X76*(Assumptions!$D$19-Assumptions!$D$23)/4</f>
        <v>142441406.25</v>
      </c>
      <c r="Y6" s="183">
        <f>Y76*(Assumptions!$D$19-Assumptions!$D$23)/4</f>
        <v>149765625</v>
      </c>
      <c r="Z6" s="183">
        <f>Z76*(Assumptions!$D$19-Assumptions!$D$23)/4</f>
        <v>156972656.25</v>
      </c>
      <c r="AA6" s="183">
        <f>AA76*(Assumptions!$D$19-Assumptions!$D$23)/4</f>
        <v>164062500</v>
      </c>
      <c r="AB6" s="48">
        <f t="shared" ref="AB6:AB12" si="4">SUM(X6:AA6)</f>
        <v>613242187.5</v>
      </c>
      <c r="AC6" s="183">
        <f>AC76*(Assumptions!$D$19-Assumptions!$D$23)/4</f>
        <v>162890625</v>
      </c>
      <c r="AD6" s="183">
        <f>AD76*(Assumptions!$D$19-Assumptions!$D$23)/4</f>
        <v>161718750</v>
      </c>
      <c r="AE6" s="183">
        <f>AE76*(Assumptions!$D$19-Assumptions!$D$23)/4</f>
        <v>160546875</v>
      </c>
      <c r="AF6" s="183">
        <f>AF76*(Assumptions!$D$19-Assumptions!$D$23)/4</f>
        <v>159375000</v>
      </c>
      <c r="AG6" s="48">
        <f t="shared" ref="AG6:AG12" si="5">SUM(AC6:AF6)</f>
        <v>644531250</v>
      </c>
      <c r="AH6" s="183">
        <f>AH76*(Assumptions!$D$19-Assumptions!$D$23)/4</f>
        <v>158203125</v>
      </c>
      <c r="AI6" s="183">
        <f>AI76*(Assumptions!$D$19-Assumptions!$D$23)/4</f>
        <v>157031250</v>
      </c>
      <c r="AJ6" s="183">
        <f>AJ76*(Assumptions!$D$19-Assumptions!$D$23)/4</f>
        <v>155859375</v>
      </c>
      <c r="AK6" s="183">
        <f>AK76*(Assumptions!$D$19-Assumptions!$D$23)/4</f>
        <v>154687500</v>
      </c>
      <c r="AL6" s="48">
        <f t="shared" ref="AL6:AL12" si="6">SUM(AH6:AK6)</f>
        <v>625781250</v>
      </c>
    </row>
    <row r="7" spans="1:38" ht="15.95" outlineLevel="2">
      <c r="A7" s="31"/>
      <c r="C7" s="32" t="s">
        <v>250</v>
      </c>
      <c r="D7" s="185">
        <f>D77*(Assumptions!$D$20-Assumptions!$D$23)/4</f>
        <v>4304179.6875000009</v>
      </c>
      <c r="E7" s="185">
        <f>E77*(Assumptions!$D$20-Assumptions!$D$23)/4</f>
        <v>8554218.7500000019</v>
      </c>
      <c r="F7" s="185">
        <f>F77*(Assumptions!$D$20-Assumptions!$D$23)/4</f>
        <v>12750117.187500002</v>
      </c>
      <c r="G7" s="185">
        <f>G77*(Assumptions!$D$20-Assumptions!$D$23)/4</f>
        <v>16891875.000000004</v>
      </c>
      <c r="H7" s="60">
        <f t="shared" si="0"/>
        <v>42500390.625000015</v>
      </c>
      <c r="I7" s="185">
        <f>I77*(Assumptions!$D$20-Assumptions!$D$23)/4</f>
        <v>20979492.187500004</v>
      </c>
      <c r="J7" s="185">
        <f>J77*(Assumptions!$D$20-Assumptions!$D$23)/4</f>
        <v>25012968.750000004</v>
      </c>
      <c r="K7" s="185">
        <f>K77*(Assumptions!$D$20-Assumptions!$D$23)/4</f>
        <v>28992304.687500007</v>
      </c>
      <c r="L7" s="185">
        <f>L77*(Assumptions!$D$20-Assumptions!$D$23)/4</f>
        <v>32917500.000000007</v>
      </c>
      <c r="M7" s="48">
        <f t="shared" si="1"/>
        <v>107902265.62500003</v>
      </c>
      <c r="N7" s="185">
        <f>N77*(Assumptions!$D$20-Assumptions!$D$23)/4</f>
        <v>36788554.687500007</v>
      </c>
      <c r="O7" s="185">
        <f>O77*(Assumptions!$D$20-Assumptions!$D$23)/4</f>
        <v>40605468.750000007</v>
      </c>
      <c r="P7" s="185">
        <f>P77*(Assumptions!$D$20-Assumptions!$D$23)/4</f>
        <v>44368242.187500007</v>
      </c>
      <c r="Q7" s="185">
        <f>Q77*(Assumptions!$D$20-Assumptions!$D$23)/4</f>
        <v>48076875.000000007</v>
      </c>
      <c r="R7" s="48">
        <f t="shared" si="2"/>
        <v>169839140.62500003</v>
      </c>
      <c r="S7" s="185">
        <f>S77*(Assumptions!$D$20-Assumptions!$D$23)/4</f>
        <v>51731367.187500007</v>
      </c>
      <c r="T7" s="185">
        <f>T77*(Assumptions!$D$20-Assumptions!$D$23)/4</f>
        <v>55331718.750000007</v>
      </c>
      <c r="U7" s="185">
        <f>U77*(Assumptions!$D$20-Assumptions!$D$23)/4</f>
        <v>58877929.687500015</v>
      </c>
      <c r="V7" s="185">
        <f>V77*(Assumptions!$D$20-Assumptions!$D$23)/4</f>
        <v>62370000.000000015</v>
      </c>
      <c r="W7" s="48">
        <f t="shared" si="3"/>
        <v>228311015.62500006</v>
      </c>
      <c r="X7" s="185">
        <f>X77*(Assumptions!$D$20-Assumptions!$D$23)/4</f>
        <v>65807929.687500015</v>
      </c>
      <c r="Y7" s="185">
        <f>Y77*(Assumptions!$D$20-Assumptions!$D$23)/4</f>
        <v>69191718.750000015</v>
      </c>
      <c r="Z7" s="185">
        <f>Z77*(Assumptions!$D$20-Assumptions!$D$23)/4</f>
        <v>72521367.187500015</v>
      </c>
      <c r="AA7" s="185">
        <f>AA77*(Assumptions!$D$20-Assumptions!$D$23)/4</f>
        <v>75796875.000000015</v>
      </c>
      <c r="AB7" s="48">
        <f t="shared" si="4"/>
        <v>283317890.62500006</v>
      </c>
      <c r="AC7" s="185">
        <f>AC77*(Assumptions!$D$20-Assumptions!$D$23)/4</f>
        <v>75255468.750000015</v>
      </c>
      <c r="AD7" s="185">
        <f>AD77*(Assumptions!$D$20-Assumptions!$D$23)/4</f>
        <v>74714062.500000015</v>
      </c>
      <c r="AE7" s="185">
        <f>AE77*(Assumptions!$D$20-Assumptions!$D$23)/4</f>
        <v>74172656.250000015</v>
      </c>
      <c r="AF7" s="185">
        <f>AF77*(Assumptions!$D$20-Assumptions!$D$23)/4</f>
        <v>73631250.000000015</v>
      </c>
      <c r="AG7" s="48">
        <f t="shared" si="5"/>
        <v>297773437.50000006</v>
      </c>
      <c r="AH7" s="185">
        <f>AH77*(Assumptions!$D$20-Assumptions!$D$23)/4</f>
        <v>73089843.750000015</v>
      </c>
      <c r="AI7" s="185">
        <f>AI77*(Assumptions!$D$20-Assumptions!$D$23)/4</f>
        <v>72548437.500000015</v>
      </c>
      <c r="AJ7" s="185">
        <f>AJ77*(Assumptions!$D$20-Assumptions!$D$23)/4</f>
        <v>72007031.250000015</v>
      </c>
      <c r="AK7" s="185">
        <f>AK77*(Assumptions!$D$20-Assumptions!$D$23)/4</f>
        <v>71465625.000000015</v>
      </c>
      <c r="AL7" s="48">
        <f t="shared" si="6"/>
        <v>289110937.50000006</v>
      </c>
    </row>
    <row r="8" spans="1:38" ht="15.95" outlineLevel="2">
      <c r="A8" s="31"/>
      <c r="C8" s="32" t="s">
        <v>251</v>
      </c>
      <c r="D8" s="185">
        <f>D78*(Assumptions!$D$21-Assumptions!$D$23)/4</f>
        <v>1721671.875</v>
      </c>
      <c r="E8" s="185">
        <f>E78*(Assumptions!$D$21-Assumptions!$D$23)/4</f>
        <v>3421687.5</v>
      </c>
      <c r="F8" s="185">
        <f>F78*(Assumptions!$D$21-Assumptions!$D$23)/4</f>
        <v>5100046.875</v>
      </c>
      <c r="G8" s="185">
        <f>G78*(Assumptions!$D$21-Assumptions!$D$23)/4</f>
        <v>6756750</v>
      </c>
      <c r="H8" s="60">
        <f t="shared" si="0"/>
        <v>17000156.25</v>
      </c>
      <c r="I8" s="185">
        <f>I78*(Assumptions!$D$21-Assumptions!$D$23)/4</f>
        <v>8391796.875</v>
      </c>
      <c r="J8" s="185">
        <f>J78*(Assumptions!$D$21-Assumptions!$D$23)/4</f>
        <v>10005187.5</v>
      </c>
      <c r="K8" s="185">
        <f>K78*(Assumptions!$D$21-Assumptions!$D$23)/4</f>
        <v>11596921.875</v>
      </c>
      <c r="L8" s="185">
        <f>L78*(Assumptions!$D$21-Assumptions!$D$23)/4</f>
        <v>13167000</v>
      </c>
      <c r="M8" s="48">
        <f t="shared" si="1"/>
        <v>43160906.25</v>
      </c>
      <c r="N8" s="185">
        <f>N78*(Assumptions!$D$21-Assumptions!$D$23)/4</f>
        <v>14715421.875</v>
      </c>
      <c r="O8" s="185">
        <f>O78*(Assumptions!$D$21-Assumptions!$D$23)/4</f>
        <v>16242187.5</v>
      </c>
      <c r="P8" s="185">
        <f>P78*(Assumptions!$D$21-Assumptions!$D$23)/4</f>
        <v>17747296.875</v>
      </c>
      <c r="Q8" s="185">
        <f>Q78*(Assumptions!$D$21-Assumptions!$D$23)/4</f>
        <v>19230750</v>
      </c>
      <c r="R8" s="48">
        <f t="shared" si="2"/>
        <v>67935656.25</v>
      </c>
      <c r="S8" s="185">
        <f>S78*(Assumptions!$D$21-Assumptions!$D$23)/4</f>
        <v>20692546.875</v>
      </c>
      <c r="T8" s="185">
        <f>T78*(Assumptions!$D$21-Assumptions!$D$23)/4</f>
        <v>22132687.5</v>
      </c>
      <c r="U8" s="185">
        <f>U78*(Assumptions!$D$21-Assumptions!$D$23)/4</f>
        <v>23551171.875</v>
      </c>
      <c r="V8" s="185">
        <f>V78*(Assumptions!$D$21-Assumptions!$D$23)/4</f>
        <v>24948000</v>
      </c>
      <c r="W8" s="48">
        <f t="shared" si="3"/>
        <v>91324406.25</v>
      </c>
      <c r="X8" s="185">
        <f>X78*(Assumptions!$D$21-Assumptions!$D$23)/4</f>
        <v>26323171.875</v>
      </c>
      <c r="Y8" s="185">
        <f>Y78*(Assumptions!$D$21-Assumptions!$D$23)/4</f>
        <v>27676687.5</v>
      </c>
      <c r="Z8" s="185">
        <f>Z78*(Assumptions!$D$21-Assumptions!$D$23)/4</f>
        <v>29008546.875</v>
      </c>
      <c r="AA8" s="185">
        <f>AA78*(Assumptions!$D$21-Assumptions!$D$23)/4</f>
        <v>30318750</v>
      </c>
      <c r="AB8" s="48">
        <f t="shared" si="4"/>
        <v>113327156.25</v>
      </c>
      <c r="AC8" s="185">
        <f>AC78*(Assumptions!$D$21-Assumptions!$D$23)/4</f>
        <v>30102187.5</v>
      </c>
      <c r="AD8" s="185">
        <f>AD78*(Assumptions!$D$21-Assumptions!$D$23)/4</f>
        <v>29885625</v>
      </c>
      <c r="AE8" s="185">
        <f>AE78*(Assumptions!$D$21-Assumptions!$D$23)/4</f>
        <v>29669062.5</v>
      </c>
      <c r="AF8" s="185">
        <f>AF78*(Assumptions!$D$21-Assumptions!$D$23)/4</f>
        <v>29452500</v>
      </c>
      <c r="AG8" s="48">
        <f t="shared" si="5"/>
        <v>119109375</v>
      </c>
      <c r="AH8" s="185">
        <f>AH78*(Assumptions!$D$21-Assumptions!$D$23)/4</f>
        <v>29235937.5</v>
      </c>
      <c r="AI8" s="185">
        <f>AI78*(Assumptions!$D$21-Assumptions!$D$23)/4</f>
        <v>29019375</v>
      </c>
      <c r="AJ8" s="185">
        <f>AJ78*(Assumptions!$D$21-Assumptions!$D$23)/4</f>
        <v>28802812.5</v>
      </c>
      <c r="AK8" s="185">
        <f>AK78*(Assumptions!$D$21-Assumptions!$D$23)/4</f>
        <v>28586250</v>
      </c>
      <c r="AL8" s="48">
        <f t="shared" si="6"/>
        <v>115644375</v>
      </c>
    </row>
    <row r="9" spans="1:38" ht="15.95" outlineLevel="2">
      <c r="A9" s="31"/>
      <c r="C9" s="32" t="s">
        <v>252</v>
      </c>
      <c r="D9" s="185">
        <f>D79*(Assumptions!$D$23-Assumptions!$D$22)/4</f>
        <v>143472.65625000003</v>
      </c>
      <c r="E9" s="185">
        <f>E79*(Assumptions!$D$23-Assumptions!$D$22)/4</f>
        <v>285140.62500000006</v>
      </c>
      <c r="F9" s="185">
        <f>F79*(Assumptions!$D$23-Assumptions!$D$22)/4</f>
        <v>425003.90625000006</v>
      </c>
      <c r="G9" s="185">
        <f>G79*(Assumptions!$D$23-Assumptions!$D$22)/4</f>
        <v>563062.50000000012</v>
      </c>
      <c r="H9" s="60">
        <f t="shared" si="0"/>
        <v>1416679.6875000005</v>
      </c>
      <c r="I9" s="185">
        <f>I79*(Assumptions!$D$23-Assumptions!$D$22)/4</f>
        <v>699316.40625000012</v>
      </c>
      <c r="J9" s="185">
        <f>J79*(Assumptions!$D$23-Assumptions!$D$22)/4</f>
        <v>833765.62500000012</v>
      </c>
      <c r="K9" s="185">
        <f>K79*(Assumptions!$D$23-Assumptions!$D$22)/4</f>
        <v>966410.15625000023</v>
      </c>
      <c r="L9" s="185">
        <f>L79*(Assumptions!$D$23-Assumptions!$D$22)/4</f>
        <v>1097250.0000000002</v>
      </c>
      <c r="M9" s="48">
        <f t="shared" si="1"/>
        <v>3596742.1875000009</v>
      </c>
      <c r="N9" s="185">
        <f>N79*(Assumptions!$D$23-Assumptions!$D$22)/4</f>
        <v>1226285.1562500002</v>
      </c>
      <c r="O9" s="185">
        <f>O79*(Assumptions!$D$23-Assumptions!$D$22)/4</f>
        <v>1353515.6250000002</v>
      </c>
      <c r="P9" s="185">
        <f>P79*(Assumptions!$D$23-Assumptions!$D$22)/4</f>
        <v>1478941.4062500002</v>
      </c>
      <c r="Q9" s="185">
        <f>Q79*(Assumptions!$D$23-Assumptions!$D$22)/4</f>
        <v>1602562.5000000002</v>
      </c>
      <c r="R9" s="48">
        <f t="shared" si="2"/>
        <v>5661304.6875000009</v>
      </c>
      <c r="S9" s="185">
        <f>S79*(Assumptions!$D$23-Assumptions!$D$22)/4</f>
        <v>1724378.9062500002</v>
      </c>
      <c r="T9" s="185">
        <f>T79*(Assumptions!$D$23-Assumptions!$D$22)/4</f>
        <v>1844390.6250000005</v>
      </c>
      <c r="U9" s="185">
        <f>U79*(Assumptions!$D$23-Assumptions!$D$22)/4</f>
        <v>1962597.6562500005</v>
      </c>
      <c r="V9" s="185">
        <f>V79*(Assumptions!$D$23-Assumptions!$D$22)/4</f>
        <v>2079000.0000000005</v>
      </c>
      <c r="W9" s="48">
        <f t="shared" si="3"/>
        <v>7610367.1875000019</v>
      </c>
      <c r="X9" s="185">
        <f>X79*(Assumptions!$D$23-Assumptions!$D$22)/4</f>
        <v>2193597.6562500005</v>
      </c>
      <c r="Y9" s="185">
        <f>Y79*(Assumptions!$D$23-Assumptions!$D$22)/4</f>
        <v>2306390.6250000005</v>
      </c>
      <c r="Z9" s="185">
        <f>Z79*(Assumptions!$D$23-Assumptions!$D$22)/4</f>
        <v>2417378.9062500005</v>
      </c>
      <c r="AA9" s="185">
        <f>AA79*(Assumptions!$D$23-Assumptions!$D$22)/4</f>
        <v>2526562.5000000005</v>
      </c>
      <c r="AB9" s="48">
        <f t="shared" si="4"/>
        <v>9443929.6875000019</v>
      </c>
      <c r="AC9" s="185">
        <f>AC79*(Assumptions!$D$23-Assumptions!$D$22)/4</f>
        <v>2508515.6250000005</v>
      </c>
      <c r="AD9" s="185">
        <f>AD79*(Assumptions!$D$23-Assumptions!$D$22)/4</f>
        <v>2490468.7500000005</v>
      </c>
      <c r="AE9" s="185">
        <f>AE79*(Assumptions!$D$23-Assumptions!$D$22)/4</f>
        <v>2472421.8750000005</v>
      </c>
      <c r="AF9" s="185">
        <f>AF79*(Assumptions!$D$23-Assumptions!$D$22)/4</f>
        <v>2454375.0000000005</v>
      </c>
      <c r="AG9" s="48">
        <f t="shared" si="5"/>
        <v>9925781.2500000019</v>
      </c>
      <c r="AH9" s="185">
        <f>AH79*(Assumptions!$D$23-Assumptions!$D$22)/4</f>
        <v>2436328.1250000005</v>
      </c>
      <c r="AI9" s="185">
        <f>AI79*(Assumptions!$D$23-Assumptions!$D$22)/4</f>
        <v>2418281.2500000005</v>
      </c>
      <c r="AJ9" s="185">
        <f>AJ79*(Assumptions!$D$23-Assumptions!$D$22)/4</f>
        <v>2400234.3750000005</v>
      </c>
      <c r="AK9" s="185">
        <f>AK79*(Assumptions!$D$23-Assumptions!$D$22)/4</f>
        <v>2382187.5000000005</v>
      </c>
      <c r="AL9" s="48">
        <f t="shared" si="6"/>
        <v>9637031.2500000019</v>
      </c>
    </row>
    <row r="10" spans="1:38" ht="15.95" outlineLevel="2">
      <c r="A10" s="31"/>
      <c r="C10" s="32" t="s">
        <v>253</v>
      </c>
      <c r="D10" s="185">
        <f>D80*(Assumptions!$D$23-Assumptions!$D$25)/4</f>
        <v>430417.96875</v>
      </c>
      <c r="E10" s="185">
        <f>E80*(Assumptions!$D$23-Assumptions!$D$25)/4</f>
        <v>855421.875</v>
      </c>
      <c r="F10" s="185">
        <f>F80*(Assumptions!$D$23-Assumptions!$D$25)/4</f>
        <v>1275011.71875</v>
      </c>
      <c r="G10" s="185">
        <f>G80*(Assumptions!$D$23-Assumptions!$D$25)/4</f>
        <v>1689187.5</v>
      </c>
      <c r="H10" s="60">
        <f t="shared" si="0"/>
        <v>4250039.0625</v>
      </c>
      <c r="I10" s="185">
        <f>I80*(Assumptions!$D$23-Assumptions!$D$25)/4</f>
        <v>2097949.21875</v>
      </c>
      <c r="J10" s="185">
        <f>J80*(Assumptions!$D$23-Assumptions!$D$25)/4</f>
        <v>2501296.875</v>
      </c>
      <c r="K10" s="185">
        <f>K80*(Assumptions!$D$23-Assumptions!$D$25)/4</f>
        <v>2899230.46875</v>
      </c>
      <c r="L10" s="185">
        <f>L80*(Assumptions!$D$23-Assumptions!$D$25)/4</f>
        <v>3291750</v>
      </c>
      <c r="M10" s="48">
        <f t="shared" si="1"/>
        <v>10790226.5625</v>
      </c>
      <c r="N10" s="185">
        <f>N80*(Assumptions!$D$23-Assumptions!$D$25)/4</f>
        <v>3678855.46875</v>
      </c>
      <c r="O10" s="185">
        <f>O80*(Assumptions!$D$23-Assumptions!$D$25)/4</f>
        <v>4060546.875</v>
      </c>
      <c r="P10" s="185">
        <f>P80*(Assumptions!$D$23-Assumptions!$D$25)/4</f>
        <v>4436824.21875</v>
      </c>
      <c r="Q10" s="185">
        <f>Q80*(Assumptions!$D$23-Assumptions!$D$25)/4</f>
        <v>4807687.5</v>
      </c>
      <c r="R10" s="48">
        <f t="shared" si="2"/>
        <v>16983914.0625</v>
      </c>
      <c r="S10" s="185">
        <f>S80*(Assumptions!$D$23-Assumptions!$D$25)/4</f>
        <v>5173136.71875</v>
      </c>
      <c r="T10" s="185">
        <f>T80*(Assumptions!$D$23-Assumptions!$D$25)/4</f>
        <v>5533171.875</v>
      </c>
      <c r="U10" s="185">
        <f>U80*(Assumptions!$D$23-Assumptions!$D$25)/4</f>
        <v>5887792.96875</v>
      </c>
      <c r="V10" s="185">
        <f>V80*(Assumptions!$D$23-Assumptions!$D$25)/4</f>
        <v>6237000</v>
      </c>
      <c r="W10" s="48">
        <f t="shared" si="3"/>
        <v>22831101.5625</v>
      </c>
      <c r="X10" s="185">
        <f>X80*(Assumptions!$D$23-Assumptions!$D$25)/4</f>
        <v>6580792.96875</v>
      </c>
      <c r="Y10" s="185">
        <f>Y80*(Assumptions!$D$23-Assumptions!$D$25)/4</f>
        <v>6919171.875</v>
      </c>
      <c r="Z10" s="185">
        <f>Z80*(Assumptions!$D$23-Assumptions!$D$25)/4</f>
        <v>7252136.71875</v>
      </c>
      <c r="AA10" s="185">
        <f>AA80*(Assumptions!$D$23-Assumptions!$D$25)/4</f>
        <v>7579687.5</v>
      </c>
      <c r="AB10" s="48">
        <f t="shared" si="4"/>
        <v>28331789.0625</v>
      </c>
      <c r="AC10" s="185">
        <f>AC80*(Assumptions!$D$23-Assumptions!$D$25)/4</f>
        <v>7525546.875</v>
      </c>
      <c r="AD10" s="185">
        <f>AD80*(Assumptions!$D$23-Assumptions!$D$25)/4</f>
        <v>7471406.25</v>
      </c>
      <c r="AE10" s="185">
        <f>AE80*(Assumptions!$D$23-Assumptions!$D$25)/4</f>
        <v>7417265.625</v>
      </c>
      <c r="AF10" s="185">
        <f>AF80*(Assumptions!$D$23-Assumptions!$D$25)/4</f>
        <v>7363125</v>
      </c>
      <c r="AG10" s="48">
        <f t="shared" si="5"/>
        <v>29777343.75</v>
      </c>
      <c r="AH10" s="185">
        <f>AH80*(Assumptions!$D$23-Assumptions!$D$25)/4</f>
        <v>7308984.375</v>
      </c>
      <c r="AI10" s="185">
        <f>AI80*(Assumptions!$D$23-Assumptions!$D$25)/4</f>
        <v>7254843.75</v>
      </c>
      <c r="AJ10" s="185">
        <f>AJ80*(Assumptions!$D$23-Assumptions!$D$25)/4</f>
        <v>7200703.125</v>
      </c>
      <c r="AK10" s="185">
        <f>AK80*(Assumptions!$D$23-Assumptions!$D$25)/4</f>
        <v>7146562.5</v>
      </c>
      <c r="AL10" s="48">
        <f t="shared" si="6"/>
        <v>28911093.75</v>
      </c>
    </row>
    <row r="11" spans="1:38" ht="17.100000000000001" outlineLevel="1" thickBot="1">
      <c r="A11" s="31"/>
      <c r="B11" s="34" t="s">
        <v>254</v>
      </c>
      <c r="C11" s="34"/>
      <c r="D11" s="184">
        <f>SUM(D6:D10)</f>
        <v>15916148.4375</v>
      </c>
      <c r="E11" s="184">
        <f t="shared" ref="E11:G11" si="7">SUM(E6:E10)</f>
        <v>31632093.75</v>
      </c>
      <c r="F11" s="184">
        <f t="shared" si="7"/>
        <v>47147835.937500007</v>
      </c>
      <c r="G11" s="184">
        <f t="shared" si="7"/>
        <v>62463375</v>
      </c>
      <c r="H11" s="61">
        <f t="shared" si="0"/>
        <v>157159453.125</v>
      </c>
      <c r="I11" s="184">
        <f>SUM(I6:I10)</f>
        <v>77578710.9375</v>
      </c>
      <c r="J11" s="184">
        <f t="shared" ref="J11" si="8">SUM(J6:J10)</f>
        <v>92493843.750000015</v>
      </c>
      <c r="K11" s="184">
        <f t="shared" ref="K11" si="9">SUM(K6:K10)</f>
        <v>107208773.43750001</v>
      </c>
      <c r="L11" s="184">
        <f t="shared" ref="L11" si="10">SUM(L6:L10)</f>
        <v>121723500</v>
      </c>
      <c r="M11" s="51">
        <f t="shared" si="1"/>
        <v>399004828.125</v>
      </c>
      <c r="N11" s="184">
        <f>SUM(N6:N10)</f>
        <v>136038023.4375</v>
      </c>
      <c r="O11" s="184">
        <f t="shared" ref="O11" si="11">SUM(O6:O10)</f>
        <v>150152343.75</v>
      </c>
      <c r="P11" s="184">
        <f t="shared" ref="P11" si="12">SUM(P6:P10)</f>
        <v>164066460.93750003</v>
      </c>
      <c r="Q11" s="184">
        <f t="shared" ref="Q11" si="13">SUM(Q6:Q10)</f>
        <v>177780375.00000003</v>
      </c>
      <c r="R11" s="51">
        <f t="shared" si="2"/>
        <v>628037203.125</v>
      </c>
      <c r="S11" s="184">
        <f>SUM(S6:S10)</f>
        <v>191294085.93750003</v>
      </c>
      <c r="T11" s="184">
        <f t="shared" ref="T11" si="14">SUM(T6:T10)</f>
        <v>204607593.75000003</v>
      </c>
      <c r="U11" s="184">
        <f t="shared" ref="U11" si="15">SUM(U6:U10)</f>
        <v>217720898.43750003</v>
      </c>
      <c r="V11" s="184">
        <f t="shared" ref="V11" si="16">SUM(V6:V10)</f>
        <v>230634000</v>
      </c>
      <c r="W11" s="51">
        <f t="shared" si="3"/>
        <v>844256578.12500012</v>
      </c>
      <c r="X11" s="184">
        <f>SUM(X6:X10)</f>
        <v>243346898.4375</v>
      </c>
      <c r="Y11" s="184">
        <f t="shared" ref="Y11" si="17">SUM(Y6:Y10)</f>
        <v>255859593.75</v>
      </c>
      <c r="Z11" s="184">
        <f t="shared" ref="Z11" si="18">SUM(Z6:Z10)</f>
        <v>268172085.9375</v>
      </c>
      <c r="AA11" s="184">
        <f t="shared" ref="AA11" si="19">SUM(AA6:AA10)</f>
        <v>280284375</v>
      </c>
      <c r="AB11" s="51">
        <f t="shared" si="4"/>
        <v>1047662953.125</v>
      </c>
      <c r="AC11" s="184">
        <f>SUM(AC6:AC10)</f>
        <v>278282343.75</v>
      </c>
      <c r="AD11" s="184">
        <f t="shared" ref="AD11" si="20">SUM(AD6:AD10)</f>
        <v>276280312.5</v>
      </c>
      <c r="AE11" s="184">
        <f t="shared" ref="AE11" si="21">SUM(AE6:AE10)</f>
        <v>274278281.25</v>
      </c>
      <c r="AF11" s="184">
        <f t="shared" ref="AF11" si="22">SUM(AF6:AF10)</f>
        <v>272276250</v>
      </c>
      <c r="AG11" s="51">
        <f t="shared" si="5"/>
        <v>1101117187.5</v>
      </c>
      <c r="AH11" s="184">
        <f>SUM(AH6:AH10)</f>
        <v>270274218.75</v>
      </c>
      <c r="AI11" s="184">
        <f t="shared" ref="AI11" si="23">SUM(AI6:AI10)</f>
        <v>268272187.5</v>
      </c>
      <c r="AJ11" s="184">
        <f t="shared" ref="AJ11" si="24">SUM(AJ6:AJ10)</f>
        <v>266270156.25</v>
      </c>
      <c r="AK11" s="184">
        <f t="shared" ref="AK11" si="25">SUM(AK6:AK10)</f>
        <v>264268125</v>
      </c>
      <c r="AL11" s="51">
        <f t="shared" si="6"/>
        <v>1069084687.5</v>
      </c>
    </row>
    <row r="12" spans="1:38" ht="17.100000000000001" thickBot="1">
      <c r="A12" s="36" t="s">
        <v>255</v>
      </c>
      <c r="B12" s="37"/>
      <c r="C12" s="38"/>
      <c r="D12" s="51">
        <f>D11</f>
        <v>15916148.4375</v>
      </c>
      <c r="E12" s="51">
        <f t="shared" ref="E12:G12" si="26">E11</f>
        <v>31632093.75</v>
      </c>
      <c r="F12" s="51">
        <f t="shared" si="26"/>
        <v>47147835.937500007</v>
      </c>
      <c r="G12" s="51">
        <f t="shared" si="26"/>
        <v>62463375</v>
      </c>
      <c r="H12" s="44">
        <f t="shared" si="0"/>
        <v>157159453.125</v>
      </c>
      <c r="I12" s="51">
        <f>I11</f>
        <v>77578710.9375</v>
      </c>
      <c r="J12" s="51">
        <f t="shared" ref="J12" si="27">J11</f>
        <v>92493843.750000015</v>
      </c>
      <c r="K12" s="51">
        <f t="shared" ref="K12" si="28">K11</f>
        <v>107208773.43750001</v>
      </c>
      <c r="L12" s="51">
        <f t="shared" ref="L12" si="29">L11</f>
        <v>121723500</v>
      </c>
      <c r="M12" s="44">
        <f t="shared" si="1"/>
        <v>399004828.125</v>
      </c>
      <c r="N12" s="51">
        <f>N11</f>
        <v>136038023.4375</v>
      </c>
      <c r="O12" s="51">
        <f t="shared" ref="O12" si="30">O11</f>
        <v>150152343.75</v>
      </c>
      <c r="P12" s="51">
        <f t="shared" ref="P12" si="31">P11</f>
        <v>164066460.93750003</v>
      </c>
      <c r="Q12" s="51">
        <f t="shared" ref="Q12" si="32">Q11</f>
        <v>177780375.00000003</v>
      </c>
      <c r="R12" s="44">
        <f t="shared" si="2"/>
        <v>628037203.125</v>
      </c>
      <c r="S12" s="51">
        <f>S11</f>
        <v>191294085.93750003</v>
      </c>
      <c r="T12" s="51">
        <f t="shared" ref="T12" si="33">T11</f>
        <v>204607593.75000003</v>
      </c>
      <c r="U12" s="51">
        <f t="shared" ref="U12" si="34">U11</f>
        <v>217720898.43750003</v>
      </c>
      <c r="V12" s="51">
        <f t="shared" ref="V12" si="35">V11</f>
        <v>230634000</v>
      </c>
      <c r="W12" s="44">
        <f t="shared" si="3"/>
        <v>844256578.12500012</v>
      </c>
      <c r="X12" s="51">
        <f>X11</f>
        <v>243346898.4375</v>
      </c>
      <c r="Y12" s="51">
        <f t="shared" ref="Y12" si="36">Y11</f>
        <v>255859593.75</v>
      </c>
      <c r="Z12" s="51">
        <f t="shared" ref="Z12" si="37">Z11</f>
        <v>268172085.9375</v>
      </c>
      <c r="AA12" s="51">
        <f t="shared" ref="AA12" si="38">AA11</f>
        <v>280284375</v>
      </c>
      <c r="AB12" s="44">
        <f t="shared" si="4"/>
        <v>1047662953.125</v>
      </c>
      <c r="AC12" s="51">
        <f>AC11</f>
        <v>278282343.75</v>
      </c>
      <c r="AD12" s="51">
        <f t="shared" ref="AD12" si="39">AD11</f>
        <v>276280312.5</v>
      </c>
      <c r="AE12" s="51">
        <f t="shared" ref="AE12" si="40">AE11</f>
        <v>274278281.25</v>
      </c>
      <c r="AF12" s="51">
        <f t="shared" ref="AF12" si="41">AF11</f>
        <v>272276250</v>
      </c>
      <c r="AG12" s="44">
        <f t="shared" si="5"/>
        <v>1101117187.5</v>
      </c>
      <c r="AH12" s="51">
        <f>AH11</f>
        <v>270274218.75</v>
      </c>
      <c r="AI12" s="51">
        <f t="shared" ref="AI12" si="42">AI11</f>
        <v>268272187.5</v>
      </c>
      <c r="AJ12" s="51">
        <f t="shared" ref="AJ12" si="43">AJ11</f>
        <v>266270156.25</v>
      </c>
      <c r="AK12" s="51">
        <f t="shared" ref="AK12" si="44">AK11</f>
        <v>264268125</v>
      </c>
      <c r="AL12" s="44">
        <f t="shared" si="6"/>
        <v>1069084687.5</v>
      </c>
    </row>
    <row r="13" spans="1:38" ht="15.95" outlineLevel="2">
      <c r="A13" s="31"/>
      <c r="C13" s="32" t="s">
        <v>256</v>
      </c>
      <c r="D13" s="183">
        <f>(D81*(1-Assumptions!$D$17)*Assumptions!$D$26+D81*(Assumptions!$D$17)*Assumptions!$D$27)</f>
        <v>1033003.125</v>
      </c>
      <c r="E13" s="183">
        <f>(E81*(1-Assumptions!$D$17)*Assumptions!$D$26+E81*(Assumptions!$D$17)*Assumptions!$D$27)</f>
        <v>2053012.5</v>
      </c>
      <c r="F13" s="183">
        <f>(F81*(1-Assumptions!$D$17)*Assumptions!$D$26+F81*(Assumptions!$D$17)*Assumptions!$D$27)</f>
        <v>3060028.125</v>
      </c>
      <c r="G13" s="183">
        <f>(G81*(1-Assumptions!$D$17)*Assumptions!$D$26+G81*(Assumptions!$D$17)*Assumptions!$D$27)</f>
        <v>4054050</v>
      </c>
      <c r="H13" s="60">
        <f t="shared" ref="H13:H22" si="45">SUM(D13:G13)</f>
        <v>10200093.75</v>
      </c>
      <c r="I13" s="183">
        <f>(I81*(1-Assumptions!$D$17)*Assumptions!$D$26+I81*(Assumptions!$D$17)*Assumptions!$D$27)</f>
        <v>5035078.125</v>
      </c>
      <c r="J13" s="183">
        <f>(J81*(1-Assumptions!$D$17)*Assumptions!$D$26+J81*(Assumptions!$D$17)*Assumptions!$D$27)</f>
        <v>6003112.5</v>
      </c>
      <c r="K13" s="183">
        <f>(K81*(1-Assumptions!$D$17)*Assumptions!$D$26+K81*(Assumptions!$D$17)*Assumptions!$D$27)</f>
        <v>6958153.125</v>
      </c>
      <c r="L13" s="183">
        <f>(L81*(1-Assumptions!$D$17)*Assumptions!$D$26+L81*(Assumptions!$D$17)*Assumptions!$D$27)</f>
        <v>7900200</v>
      </c>
      <c r="M13" s="48">
        <f t="shared" ref="M13:M22" si="46">SUM(I13:L13)</f>
        <v>25896543.75</v>
      </c>
      <c r="N13" s="183">
        <f>(N81*(1-Assumptions!$D$17)*Assumptions!$D$26+N81*(Assumptions!$D$17)*Assumptions!$D$27)</f>
        <v>8829253.125</v>
      </c>
      <c r="O13" s="183">
        <f>(O81*(1-Assumptions!$D$17)*Assumptions!$D$26+O81*(Assumptions!$D$17)*Assumptions!$D$27)</f>
        <v>9745312.5</v>
      </c>
      <c r="P13" s="183">
        <f>(P81*(1-Assumptions!$D$17)*Assumptions!$D$26+P81*(Assumptions!$D$17)*Assumptions!$D$27)</f>
        <v>10648378.125</v>
      </c>
      <c r="Q13" s="183">
        <f>(Q81*(1-Assumptions!$D$17)*Assumptions!$D$26+Q81*(Assumptions!$D$17)*Assumptions!$D$27)</f>
        <v>11538450</v>
      </c>
      <c r="R13" s="48">
        <f t="shared" ref="R13:R22" si="47">SUM(N13:Q13)</f>
        <v>40761393.75</v>
      </c>
      <c r="S13" s="183">
        <f>(S81*(1-Assumptions!$D$17)*Assumptions!$D$26+S81*(Assumptions!$D$17)*Assumptions!$D$27)</f>
        <v>12415528.125</v>
      </c>
      <c r="T13" s="183">
        <f>(T81*(1-Assumptions!$D$17)*Assumptions!$D$26+T81*(Assumptions!$D$17)*Assumptions!$D$27)</f>
        <v>13279612.5</v>
      </c>
      <c r="U13" s="183">
        <f>(U81*(1-Assumptions!$D$17)*Assumptions!$D$26+U81*(Assumptions!$D$17)*Assumptions!$D$27)</f>
        <v>14130703.125</v>
      </c>
      <c r="V13" s="183">
        <f>(V81*(1-Assumptions!$D$17)*Assumptions!$D$26+V81*(Assumptions!$D$17)*Assumptions!$D$27)</f>
        <v>14968800</v>
      </c>
      <c r="W13" s="48">
        <f t="shared" ref="W13:W22" si="48">SUM(S13:V13)</f>
        <v>54794643.75</v>
      </c>
      <c r="X13" s="183">
        <f>(X81*(1-Assumptions!$D$17)*Assumptions!$D$26+X81*(Assumptions!$D$17)*Assumptions!$D$27)</f>
        <v>15793903.125</v>
      </c>
      <c r="Y13" s="183">
        <f>(Y81*(1-Assumptions!$D$17)*Assumptions!$D$26+Y81*(Assumptions!$D$17)*Assumptions!$D$27)</f>
        <v>16606012.5</v>
      </c>
      <c r="Z13" s="183">
        <f>(Z81*(1-Assumptions!$D$17)*Assumptions!$D$26+Z81*(Assumptions!$D$17)*Assumptions!$D$27)</f>
        <v>17405128.125</v>
      </c>
      <c r="AA13" s="183">
        <f>(AA81*(1-Assumptions!$D$17)*Assumptions!$D$26+AA81*(Assumptions!$D$17)*Assumptions!$D$27)</f>
        <v>18191250</v>
      </c>
      <c r="AB13" s="48">
        <f t="shared" ref="AB13:AB22" si="49">SUM(X13:AA13)</f>
        <v>67996293.75</v>
      </c>
      <c r="AC13" s="183">
        <f>(AC81*(1-Assumptions!$D$17)*Assumptions!$D$26+AC81*(Assumptions!$D$17)*Assumptions!$D$27)</f>
        <v>18061312.5</v>
      </c>
      <c r="AD13" s="183">
        <f>(AD81*(1-Assumptions!$D$17)*Assumptions!$D$26+AD81*(Assumptions!$D$17)*Assumptions!$D$27)</f>
        <v>17931375</v>
      </c>
      <c r="AE13" s="183">
        <f>(AE81*(1-Assumptions!$D$17)*Assumptions!$D$26+AE81*(Assumptions!$D$17)*Assumptions!$D$27)</f>
        <v>17801437.5</v>
      </c>
      <c r="AF13" s="183">
        <f>(AF81*(1-Assumptions!$D$17)*Assumptions!$D$26+AF81*(Assumptions!$D$17)*Assumptions!$D$27)</f>
        <v>17671500</v>
      </c>
      <c r="AG13" s="48">
        <f t="shared" ref="AG13:AG22" si="50">SUM(AC13:AF13)</f>
        <v>71465625</v>
      </c>
      <c r="AH13" s="183">
        <f>(AH81*(1-Assumptions!$D$17)*Assumptions!$D$26+AH81*(Assumptions!$D$17)*Assumptions!$D$27)</f>
        <v>17541562.5</v>
      </c>
      <c r="AI13" s="183">
        <f>(AI81*(1-Assumptions!$D$17)*Assumptions!$D$26+AI81*(Assumptions!$D$17)*Assumptions!$D$27)</f>
        <v>17411625</v>
      </c>
      <c r="AJ13" s="183">
        <f>(AJ81*(1-Assumptions!$D$17)*Assumptions!$D$26+AJ81*(Assumptions!$D$17)*Assumptions!$D$27)</f>
        <v>17281687.5</v>
      </c>
      <c r="AK13" s="183">
        <f>(AK81*(1-Assumptions!$D$17)*Assumptions!$D$26+AK81*(Assumptions!$D$17)*Assumptions!$D$27)</f>
        <v>17151750</v>
      </c>
      <c r="AL13" s="48">
        <f t="shared" ref="AL13:AL22" si="51">SUM(AH13:AK13)</f>
        <v>69386625</v>
      </c>
    </row>
    <row r="14" spans="1:38" ht="15.95" outlineLevel="2">
      <c r="A14" s="31"/>
      <c r="C14" s="32" t="s">
        <v>257</v>
      </c>
      <c r="D14" s="185">
        <f>(D82*(1-Assumptions!$D$17)*Assumptions!$D$28+D82*(Assumptions!$D$17)*Assumptions!$D$29)</f>
        <v>2582507.8125</v>
      </c>
      <c r="E14" s="185">
        <f>(E82*(1-Assumptions!$D$17)*Assumptions!$D$28+E82*(Assumptions!$D$17)*Assumptions!$D$29)</f>
        <v>5132531.25</v>
      </c>
      <c r="F14" s="185">
        <f>(F82*(1-Assumptions!$D$17)*Assumptions!$D$28+F82*(Assumptions!$D$17)*Assumptions!$D$29)</f>
        <v>7650070.3125</v>
      </c>
      <c r="G14" s="185">
        <f>(G82*(1-Assumptions!$D$17)*Assumptions!$D$28+G82*(Assumptions!$D$17)*Assumptions!$D$29)</f>
        <v>10135125</v>
      </c>
      <c r="H14" s="60">
        <f t="shared" si="45"/>
        <v>25500234.375</v>
      </c>
      <c r="I14" s="185">
        <f>(I82*(1-Assumptions!$D$17)*Assumptions!$D$28+I82*(Assumptions!$D$17)*Assumptions!$D$29)</f>
        <v>12587695.3125</v>
      </c>
      <c r="J14" s="185">
        <f>(J82*(1-Assumptions!$D$17)*Assumptions!$D$28+J82*(Assumptions!$D$17)*Assumptions!$D$29)</f>
        <v>15007781.25</v>
      </c>
      <c r="K14" s="185">
        <f>(K82*(1-Assumptions!$D$17)*Assumptions!$D$28+K82*(Assumptions!$D$17)*Assumptions!$D$29)</f>
        <v>17395382.8125</v>
      </c>
      <c r="L14" s="185">
        <f>(L82*(1-Assumptions!$D$17)*Assumptions!$D$28+L82*(Assumptions!$D$17)*Assumptions!$D$29)</f>
        <v>19750500</v>
      </c>
      <c r="M14" s="48">
        <f t="shared" si="46"/>
        <v>64741359.375</v>
      </c>
      <c r="N14" s="185">
        <f>(N82*(1-Assumptions!$D$17)*Assumptions!$D$28+N82*(Assumptions!$D$17)*Assumptions!$D$29)</f>
        <v>22073132.8125</v>
      </c>
      <c r="O14" s="185">
        <f>(O82*(1-Assumptions!$D$17)*Assumptions!$D$28+O82*(Assumptions!$D$17)*Assumptions!$D$29)</f>
        <v>24363281.25</v>
      </c>
      <c r="P14" s="185">
        <f>(P82*(1-Assumptions!$D$17)*Assumptions!$D$28+P82*(Assumptions!$D$17)*Assumptions!$D$29)</f>
        <v>26620945.3125</v>
      </c>
      <c r="Q14" s="185">
        <f>(Q82*(1-Assumptions!$D$17)*Assumptions!$D$28+Q82*(Assumptions!$D$17)*Assumptions!$D$29)</f>
        <v>28846125</v>
      </c>
      <c r="R14" s="48">
        <f t="shared" si="47"/>
        <v>101903484.375</v>
      </c>
      <c r="S14" s="185">
        <f>(S82*(1-Assumptions!$D$17)*Assumptions!$D$28+S82*(Assumptions!$D$17)*Assumptions!$D$29)</f>
        <v>31038820.3125</v>
      </c>
      <c r="T14" s="185">
        <f>(T82*(1-Assumptions!$D$17)*Assumptions!$D$28+T82*(Assumptions!$D$17)*Assumptions!$D$29)</f>
        <v>33199031.25</v>
      </c>
      <c r="U14" s="185">
        <f>(U82*(1-Assumptions!$D$17)*Assumptions!$D$28+U82*(Assumptions!$D$17)*Assumptions!$D$29)</f>
        <v>35326757.8125</v>
      </c>
      <c r="V14" s="185">
        <f>(V82*(1-Assumptions!$D$17)*Assumptions!$D$28+V82*(Assumptions!$D$17)*Assumptions!$D$29)</f>
        <v>37422000</v>
      </c>
      <c r="W14" s="48">
        <f t="shared" si="48"/>
        <v>136986609.375</v>
      </c>
      <c r="X14" s="185">
        <f>(X82*(1-Assumptions!$D$17)*Assumptions!$D$28+X82*(Assumptions!$D$17)*Assumptions!$D$29)</f>
        <v>39484757.8125</v>
      </c>
      <c r="Y14" s="185">
        <f>(Y82*(1-Assumptions!$D$17)*Assumptions!$D$28+Y82*(Assumptions!$D$17)*Assumptions!$D$29)</f>
        <v>41515031.25</v>
      </c>
      <c r="Z14" s="185">
        <f>(Z82*(1-Assumptions!$D$17)*Assumptions!$D$28+Z82*(Assumptions!$D$17)*Assumptions!$D$29)</f>
        <v>43512820.3125</v>
      </c>
      <c r="AA14" s="185">
        <f>(AA82*(1-Assumptions!$D$17)*Assumptions!$D$28+AA82*(Assumptions!$D$17)*Assumptions!$D$29)</f>
        <v>45478125</v>
      </c>
      <c r="AB14" s="48">
        <f t="shared" si="49"/>
        <v>169990734.375</v>
      </c>
      <c r="AC14" s="185">
        <f>(AC82*(1-Assumptions!$D$17)*Assumptions!$D$28+AC82*(Assumptions!$D$17)*Assumptions!$D$29)</f>
        <v>45153281.25</v>
      </c>
      <c r="AD14" s="185">
        <f>(AD82*(1-Assumptions!$D$17)*Assumptions!$D$28+AD82*(Assumptions!$D$17)*Assumptions!$D$29)</f>
        <v>44828437.5</v>
      </c>
      <c r="AE14" s="185">
        <f>(AE82*(1-Assumptions!$D$17)*Assumptions!$D$28+AE82*(Assumptions!$D$17)*Assumptions!$D$29)</f>
        <v>44503593.75</v>
      </c>
      <c r="AF14" s="185">
        <f>(AF82*(1-Assumptions!$D$17)*Assumptions!$D$28+AF82*(Assumptions!$D$17)*Assumptions!$D$29)</f>
        <v>44178750</v>
      </c>
      <c r="AG14" s="48">
        <f t="shared" si="50"/>
        <v>178664062.5</v>
      </c>
      <c r="AH14" s="185">
        <f>(AH82*(1-Assumptions!$D$17)*Assumptions!$D$28+AH82*(Assumptions!$D$17)*Assumptions!$D$29)</f>
        <v>43853906.25</v>
      </c>
      <c r="AI14" s="185">
        <f>(AI82*(1-Assumptions!$D$17)*Assumptions!$D$28+AI82*(Assumptions!$D$17)*Assumptions!$D$29)</f>
        <v>43529062.5</v>
      </c>
      <c r="AJ14" s="185">
        <f>(AJ82*(1-Assumptions!$D$17)*Assumptions!$D$28+AJ82*(Assumptions!$D$17)*Assumptions!$D$29)</f>
        <v>43204218.75</v>
      </c>
      <c r="AK14" s="185">
        <f>(AK82*(1-Assumptions!$D$17)*Assumptions!$D$28+AK82*(Assumptions!$D$17)*Assumptions!$D$29)</f>
        <v>42879375</v>
      </c>
      <c r="AL14" s="48">
        <f t="shared" si="51"/>
        <v>173466562.5</v>
      </c>
    </row>
    <row r="15" spans="1:38" ht="15.95" outlineLevel="2">
      <c r="A15" s="31"/>
      <c r="C15" s="32" t="s">
        <v>258</v>
      </c>
      <c r="D15" s="185">
        <f>(D82*(1-Assumptions!$D$17)*Assumptions!$D$30+D82*(Assumptions!$D$17)*Assumptions!$D$31)</f>
        <v>5165015.625</v>
      </c>
      <c r="E15" s="185">
        <f>(E82*(1-Assumptions!$D$17)*Assumptions!$D$30+E82*(Assumptions!$D$17)*Assumptions!$D$31)</f>
        <v>10265062.5</v>
      </c>
      <c r="F15" s="185">
        <f>(F82*(1-Assumptions!$D$17)*Assumptions!$D$30+F82*(Assumptions!$D$17)*Assumptions!$D$31)</f>
        <v>15300140.625</v>
      </c>
      <c r="G15" s="185">
        <f>(G82*(1-Assumptions!$D$17)*Assumptions!$D$30+G82*(Assumptions!$D$17)*Assumptions!$D$31)</f>
        <v>20270250</v>
      </c>
      <c r="H15" s="60">
        <f t="shared" si="45"/>
        <v>51000468.75</v>
      </c>
      <c r="I15" s="185">
        <f>(I82*(1-Assumptions!$D$17)*Assumptions!$D$30+I82*(Assumptions!$D$17)*Assumptions!$D$31)</f>
        <v>25175390.625</v>
      </c>
      <c r="J15" s="185">
        <f>(J82*(1-Assumptions!$D$17)*Assumptions!$D$30+J82*(Assumptions!$D$17)*Assumptions!$D$31)</f>
        <v>30015562.5</v>
      </c>
      <c r="K15" s="185">
        <f>(K82*(1-Assumptions!$D$17)*Assumptions!$D$30+K82*(Assumptions!$D$17)*Assumptions!$D$31)</f>
        <v>34790765.625</v>
      </c>
      <c r="L15" s="185">
        <f>(L82*(1-Assumptions!$D$17)*Assumptions!$D$30+L82*(Assumptions!$D$17)*Assumptions!$D$31)</f>
        <v>39501000</v>
      </c>
      <c r="M15" s="48">
        <f t="shared" si="46"/>
        <v>129482718.75</v>
      </c>
      <c r="N15" s="185">
        <f>(N82*(1-Assumptions!$D$17)*Assumptions!$D$30+N82*(Assumptions!$D$17)*Assumptions!$D$31)</f>
        <v>44146265.625</v>
      </c>
      <c r="O15" s="185">
        <f>(O82*(1-Assumptions!$D$17)*Assumptions!$D$30+O82*(Assumptions!$D$17)*Assumptions!$D$31)</f>
        <v>48726562.5</v>
      </c>
      <c r="P15" s="185">
        <f>(P82*(1-Assumptions!$D$17)*Assumptions!$D$30+P82*(Assumptions!$D$17)*Assumptions!$D$31)</f>
        <v>53241890.625</v>
      </c>
      <c r="Q15" s="185">
        <f>(Q82*(1-Assumptions!$D$17)*Assumptions!$D$30+Q82*(Assumptions!$D$17)*Assumptions!$D$31)</f>
        <v>57692250</v>
      </c>
      <c r="R15" s="48">
        <f t="shared" si="47"/>
        <v>203806968.75</v>
      </c>
      <c r="S15" s="185">
        <f>(S82*(1-Assumptions!$D$17)*Assumptions!$D$30+S82*(Assumptions!$D$17)*Assumptions!$D$31)</f>
        <v>62077640.625</v>
      </c>
      <c r="T15" s="185">
        <f>(T82*(1-Assumptions!$D$17)*Assumptions!$D$30+T82*(Assumptions!$D$17)*Assumptions!$D$31)</f>
        <v>66398062.5</v>
      </c>
      <c r="U15" s="185">
        <f>(U82*(1-Assumptions!$D$17)*Assumptions!$D$30+U82*(Assumptions!$D$17)*Assumptions!$D$31)</f>
        <v>70653515.625</v>
      </c>
      <c r="V15" s="185">
        <f>(V82*(1-Assumptions!$D$17)*Assumptions!$D$30+V82*(Assumptions!$D$17)*Assumptions!$D$31)</f>
        <v>74844000</v>
      </c>
      <c r="W15" s="48">
        <f t="shared" si="48"/>
        <v>273973218.75</v>
      </c>
      <c r="X15" s="185">
        <f>(X82*(1-Assumptions!$D$17)*Assumptions!$D$30+X82*(Assumptions!$D$17)*Assumptions!$D$31)</f>
        <v>78969515.625</v>
      </c>
      <c r="Y15" s="185">
        <f>(Y82*(1-Assumptions!$D$17)*Assumptions!$D$30+Y82*(Assumptions!$D$17)*Assumptions!$D$31)</f>
        <v>83030062.5</v>
      </c>
      <c r="Z15" s="185">
        <f>(Z82*(1-Assumptions!$D$17)*Assumptions!$D$30+Z82*(Assumptions!$D$17)*Assumptions!$D$31)</f>
        <v>87025640.625</v>
      </c>
      <c r="AA15" s="185">
        <f>(AA82*(1-Assumptions!$D$17)*Assumptions!$D$30+AA82*(Assumptions!$D$17)*Assumptions!$D$31)</f>
        <v>90956250</v>
      </c>
      <c r="AB15" s="48">
        <f t="shared" si="49"/>
        <v>339981468.75</v>
      </c>
      <c r="AC15" s="185">
        <f>(AC82*(1-Assumptions!$D$17)*Assumptions!$D$30+AC82*(Assumptions!$D$17)*Assumptions!$D$31)</f>
        <v>90306562.5</v>
      </c>
      <c r="AD15" s="185">
        <f>(AD82*(1-Assumptions!$D$17)*Assumptions!$D$30+AD82*(Assumptions!$D$17)*Assumptions!$D$31)</f>
        <v>89656875</v>
      </c>
      <c r="AE15" s="185">
        <f>(AE82*(1-Assumptions!$D$17)*Assumptions!$D$30+AE82*(Assumptions!$D$17)*Assumptions!$D$31)</f>
        <v>89007187.5</v>
      </c>
      <c r="AF15" s="185">
        <f>(AF82*(1-Assumptions!$D$17)*Assumptions!$D$30+AF82*(Assumptions!$D$17)*Assumptions!$D$31)</f>
        <v>88357500</v>
      </c>
      <c r="AG15" s="48">
        <f t="shared" si="50"/>
        <v>357328125</v>
      </c>
      <c r="AH15" s="185">
        <f>(AH82*(1-Assumptions!$D$17)*Assumptions!$D$30+AH82*(Assumptions!$D$17)*Assumptions!$D$31)</f>
        <v>87707812.5</v>
      </c>
      <c r="AI15" s="185">
        <f>(AI82*(1-Assumptions!$D$17)*Assumptions!$D$30+AI82*(Assumptions!$D$17)*Assumptions!$D$31)</f>
        <v>87058125</v>
      </c>
      <c r="AJ15" s="185">
        <f>(AJ82*(1-Assumptions!$D$17)*Assumptions!$D$30+AJ82*(Assumptions!$D$17)*Assumptions!$D$31)</f>
        <v>86408437.5</v>
      </c>
      <c r="AK15" s="185">
        <f>(AK82*(1-Assumptions!$D$17)*Assumptions!$D$30+AK82*(Assumptions!$D$17)*Assumptions!$D$31)</f>
        <v>85758750</v>
      </c>
      <c r="AL15" s="48">
        <f t="shared" si="51"/>
        <v>346933125</v>
      </c>
    </row>
    <row r="16" spans="1:38" ht="15.95" outlineLevel="2">
      <c r="A16" s="31"/>
      <c r="C16" s="32" t="s">
        <v>259</v>
      </c>
      <c r="D16" s="185">
        <f>(D76+D77+D78)*Assumptions!$D$32</f>
        <v>25047468.75</v>
      </c>
      <c r="E16" s="185">
        <f>(E76+E77+E78-D76-D77-D78)*Assumptions!$D$34</f>
        <v>24732406.25</v>
      </c>
      <c r="F16" s="185">
        <f>(F76+F77+F78-E76-E77-E78)*Assumptions!$D$34</f>
        <v>24417343.75</v>
      </c>
      <c r="G16" s="185">
        <f>(G76+G77+G78-F76-F77-F78)*Assumptions!$D$34</f>
        <v>24102281.25</v>
      </c>
      <c r="H16" s="60">
        <f t="shared" si="45"/>
        <v>98299500</v>
      </c>
      <c r="I16" s="185">
        <f>(I76+I77+I78-H76-H77-H78)*Assumptions!$D$34</f>
        <v>23787218.75</v>
      </c>
      <c r="J16" s="185">
        <f>(J76+J77+J78-I76-I77-I78)*Assumptions!$D$34</f>
        <v>23472156.25</v>
      </c>
      <c r="K16" s="185">
        <f>(K76+K77+K78-J76-J77-J78)*Assumptions!$D$34</f>
        <v>23157093.75</v>
      </c>
      <c r="L16" s="185">
        <f>(L76+L77+L78-K76-K77-K78)*Assumptions!$D$34</f>
        <v>22842031.25</v>
      </c>
      <c r="M16" s="48">
        <f t="shared" si="46"/>
        <v>93258500</v>
      </c>
      <c r="N16" s="185">
        <f>(N76+N77+N78-M76-M77-M78)*Assumptions!$D$34</f>
        <v>22526968.75</v>
      </c>
      <c r="O16" s="185">
        <f>(O76+O77+O78-N76-N77-N78)*Assumptions!$D$34</f>
        <v>22211906.25</v>
      </c>
      <c r="P16" s="185">
        <f>(P76+P77+P78-O76-O77-O78)*Assumptions!$D$34</f>
        <v>21896843.75</v>
      </c>
      <c r="Q16" s="185">
        <f>(Q76+Q77+Q78-P76-P77-P78)*Assumptions!$D$34</f>
        <v>21581781.25</v>
      </c>
      <c r="R16" s="48">
        <f t="shared" si="47"/>
        <v>88217500</v>
      </c>
      <c r="S16" s="185">
        <f>(S76+S77+S78-R76-R77-R78)*Assumptions!$D$34</f>
        <v>21266718.75</v>
      </c>
      <c r="T16" s="185">
        <f>(T76+T77+T78-S76-S77-S78)*Assumptions!$D$34</f>
        <v>20951656.25</v>
      </c>
      <c r="U16" s="185">
        <f>(U76+U77+U78-T76-T77-T78)*Assumptions!$D$34</f>
        <v>20636593.75</v>
      </c>
      <c r="V16" s="185">
        <f>(V76+V77+V78-U76-U77-U78)*Assumptions!$D$34</f>
        <v>20321531.25</v>
      </c>
      <c r="W16" s="48">
        <f t="shared" si="48"/>
        <v>83176500</v>
      </c>
      <c r="X16" s="185">
        <f>(X76+X77+X78-W76-W77-W78)*Assumptions!$D$34</f>
        <v>20006468.75</v>
      </c>
      <c r="Y16" s="185">
        <f>(Y76+Y77+Y78-X76-X77-X78)*Assumptions!$D$34</f>
        <v>19691406.25</v>
      </c>
      <c r="Z16" s="185">
        <f>(Z76+Z77+Z78-Y76-Y77-Y78)*Assumptions!$D$34</f>
        <v>19376343.75</v>
      </c>
      <c r="AA16" s="185">
        <f>(AA76+AA77+AA78-Z76-Z77-Z78)*Assumptions!$D$34</f>
        <v>19061281.25</v>
      </c>
      <c r="AB16" s="48">
        <f t="shared" si="49"/>
        <v>78135500</v>
      </c>
      <c r="AC16" s="185">
        <f>(AC76+AC77+AC78-AB76-AB77-AB78)*Assumptions!$D$34</f>
        <v>-3150625</v>
      </c>
      <c r="AD16" s="185">
        <f>(AD76+AD77+AD78-AC76-AC77-AC78)*Assumptions!$D$34</f>
        <v>-3150625</v>
      </c>
      <c r="AE16" s="185">
        <f>(AE76+AE77+AE78-AD76-AD77-AD78)*Assumptions!$D$34</f>
        <v>-3150625</v>
      </c>
      <c r="AF16" s="185">
        <f>(AF76+AF77+AF78-AE76-AE77-AE78)*Assumptions!$D$34</f>
        <v>-3150625</v>
      </c>
      <c r="AG16" s="48">
        <f t="shared" si="50"/>
        <v>-12602500</v>
      </c>
      <c r="AH16" s="185">
        <f>(AH76+AH77+AH78-AG76-AG77-AG78)*Assumptions!$D$34</f>
        <v>-3150625</v>
      </c>
      <c r="AI16" s="185">
        <f>(AI76+AI77+AI78-AH76-AH77-AH78)*Assumptions!$D$34</f>
        <v>-3150625</v>
      </c>
      <c r="AJ16" s="185">
        <f>(AJ76+AJ77+AJ78-AI76-AI77-AI78)*Assumptions!$D$34</f>
        <v>-3150625</v>
      </c>
      <c r="AK16" s="185">
        <f>(AK76+AK77+AK78-AJ76-AJ77-AJ78)*Assumptions!$D$34</f>
        <v>-3150625</v>
      </c>
      <c r="AL16" s="48">
        <f t="shared" si="51"/>
        <v>-12602500</v>
      </c>
    </row>
    <row r="17" spans="1:38" ht="17.100000000000001" outlineLevel="1" thickBot="1">
      <c r="A17" s="31"/>
      <c r="B17" s="34" t="s">
        <v>260</v>
      </c>
      <c r="C17" s="34"/>
      <c r="D17" s="184">
        <f>SUM(D13:D16)</f>
        <v>33827995.3125</v>
      </c>
      <c r="E17" s="184">
        <f t="shared" ref="E17:G17" si="52">SUM(E13:E16)</f>
        <v>42183012.5</v>
      </c>
      <c r="F17" s="184">
        <f t="shared" si="52"/>
        <v>50427582.8125</v>
      </c>
      <c r="G17" s="184">
        <f t="shared" si="52"/>
        <v>58561706.25</v>
      </c>
      <c r="H17" s="61">
        <f t="shared" si="45"/>
        <v>185000296.875</v>
      </c>
      <c r="I17" s="184">
        <f>SUM(I13:I16)</f>
        <v>66585382.8125</v>
      </c>
      <c r="J17" s="184">
        <f t="shared" ref="J17" si="53">SUM(J13:J16)</f>
        <v>74498612.5</v>
      </c>
      <c r="K17" s="184">
        <f t="shared" ref="K17" si="54">SUM(K13:K16)</f>
        <v>82301395.3125</v>
      </c>
      <c r="L17" s="184">
        <f t="shared" ref="L17" si="55">SUM(L13:L16)</f>
        <v>89993731.25</v>
      </c>
      <c r="M17" s="51">
        <f t="shared" si="46"/>
        <v>313379121.875</v>
      </c>
      <c r="N17" s="184">
        <f>SUM(N13:N16)</f>
        <v>97575620.3125</v>
      </c>
      <c r="O17" s="184">
        <f t="shared" ref="O17" si="56">SUM(O13:O16)</f>
        <v>105047062.5</v>
      </c>
      <c r="P17" s="184">
        <f t="shared" ref="P17" si="57">SUM(P13:P16)</f>
        <v>112408057.8125</v>
      </c>
      <c r="Q17" s="184">
        <f t="shared" ref="Q17" si="58">SUM(Q13:Q16)</f>
        <v>119658606.25</v>
      </c>
      <c r="R17" s="51">
        <f t="shared" si="47"/>
        <v>434689346.875</v>
      </c>
      <c r="S17" s="184">
        <f>SUM(S13:S16)</f>
        <v>126798707.8125</v>
      </c>
      <c r="T17" s="184">
        <f t="shared" ref="T17" si="59">SUM(T13:T16)</f>
        <v>133828362.5</v>
      </c>
      <c r="U17" s="184">
        <f t="shared" ref="U17" si="60">SUM(U13:U16)</f>
        <v>140747570.3125</v>
      </c>
      <c r="V17" s="184">
        <f t="shared" ref="V17" si="61">SUM(V13:V16)</f>
        <v>147556331.25</v>
      </c>
      <c r="W17" s="51">
        <f t="shared" si="48"/>
        <v>548930971.875</v>
      </c>
      <c r="X17" s="184">
        <f>SUM(X13:X16)</f>
        <v>154254645.3125</v>
      </c>
      <c r="Y17" s="184">
        <f t="shared" ref="Y17" si="62">SUM(Y13:Y16)</f>
        <v>160842512.5</v>
      </c>
      <c r="Z17" s="184">
        <f t="shared" ref="Z17" si="63">SUM(Z13:Z16)</f>
        <v>167319932.8125</v>
      </c>
      <c r="AA17" s="184">
        <f t="shared" ref="AA17" si="64">SUM(AA13:AA16)</f>
        <v>173686906.25</v>
      </c>
      <c r="AB17" s="51">
        <f t="shared" si="49"/>
        <v>656103996.875</v>
      </c>
      <c r="AC17" s="184">
        <f>SUM(AC13:AC16)</f>
        <v>150370531.25</v>
      </c>
      <c r="AD17" s="184">
        <f t="shared" ref="AD17" si="65">SUM(AD13:AD16)</f>
        <v>149266062.5</v>
      </c>
      <c r="AE17" s="184">
        <f t="shared" ref="AE17" si="66">SUM(AE13:AE16)</f>
        <v>148161593.75</v>
      </c>
      <c r="AF17" s="184">
        <f t="shared" ref="AF17" si="67">SUM(AF13:AF16)</f>
        <v>147057125</v>
      </c>
      <c r="AG17" s="51">
        <f t="shared" si="50"/>
        <v>594855312.5</v>
      </c>
      <c r="AH17" s="184">
        <f>SUM(AH13:AH16)</f>
        <v>145952656.25</v>
      </c>
      <c r="AI17" s="184">
        <f t="shared" ref="AI17" si="68">SUM(AI13:AI16)</f>
        <v>144848187.5</v>
      </c>
      <c r="AJ17" s="184">
        <f t="shared" ref="AJ17" si="69">SUM(AJ13:AJ16)</f>
        <v>143743718.75</v>
      </c>
      <c r="AK17" s="184">
        <f t="shared" ref="AK17" si="70">SUM(AK13:AK16)</f>
        <v>142639250</v>
      </c>
      <c r="AL17" s="51">
        <f t="shared" si="51"/>
        <v>577183812.5</v>
      </c>
    </row>
    <row r="18" spans="1:38" ht="17.100000000000001" thickBot="1">
      <c r="A18" s="36" t="s">
        <v>261</v>
      </c>
      <c r="B18" s="37"/>
      <c r="C18" s="38"/>
      <c r="D18" s="51">
        <f>D17</f>
        <v>33827995.3125</v>
      </c>
      <c r="E18" s="51">
        <f t="shared" ref="E18:G18" si="71">E17</f>
        <v>42183012.5</v>
      </c>
      <c r="F18" s="51">
        <f t="shared" si="71"/>
        <v>50427582.8125</v>
      </c>
      <c r="G18" s="51">
        <f t="shared" si="71"/>
        <v>58561706.25</v>
      </c>
      <c r="H18" s="44">
        <f t="shared" si="45"/>
        <v>185000296.875</v>
      </c>
      <c r="I18" s="51">
        <f>I17</f>
        <v>66585382.8125</v>
      </c>
      <c r="J18" s="51">
        <f t="shared" ref="J18" si="72">J17</f>
        <v>74498612.5</v>
      </c>
      <c r="K18" s="51">
        <f t="shared" ref="K18" si="73">K17</f>
        <v>82301395.3125</v>
      </c>
      <c r="L18" s="51">
        <f t="shared" ref="L18" si="74">L17</f>
        <v>89993731.25</v>
      </c>
      <c r="M18" s="44">
        <f t="shared" si="46"/>
        <v>313379121.875</v>
      </c>
      <c r="N18" s="51">
        <f>N17</f>
        <v>97575620.3125</v>
      </c>
      <c r="O18" s="51">
        <f t="shared" ref="O18" si="75">O17</f>
        <v>105047062.5</v>
      </c>
      <c r="P18" s="51">
        <f t="shared" ref="P18" si="76">P17</f>
        <v>112408057.8125</v>
      </c>
      <c r="Q18" s="51">
        <f t="shared" ref="Q18" si="77">Q17</f>
        <v>119658606.25</v>
      </c>
      <c r="R18" s="44">
        <f t="shared" si="47"/>
        <v>434689346.875</v>
      </c>
      <c r="S18" s="51">
        <f>S17</f>
        <v>126798707.8125</v>
      </c>
      <c r="T18" s="51">
        <f t="shared" ref="T18" si="78">T17</f>
        <v>133828362.5</v>
      </c>
      <c r="U18" s="51">
        <f t="shared" ref="U18" si="79">U17</f>
        <v>140747570.3125</v>
      </c>
      <c r="V18" s="51">
        <f t="shared" ref="V18" si="80">V17</f>
        <v>147556331.25</v>
      </c>
      <c r="W18" s="44">
        <f t="shared" si="48"/>
        <v>548930971.875</v>
      </c>
      <c r="X18" s="51">
        <f>X17</f>
        <v>154254645.3125</v>
      </c>
      <c r="Y18" s="51">
        <f t="shared" ref="Y18" si="81">Y17</f>
        <v>160842512.5</v>
      </c>
      <c r="Z18" s="51">
        <f t="shared" ref="Z18" si="82">Z17</f>
        <v>167319932.8125</v>
      </c>
      <c r="AA18" s="51">
        <f t="shared" ref="AA18" si="83">AA17</f>
        <v>173686906.25</v>
      </c>
      <c r="AB18" s="44">
        <f t="shared" si="49"/>
        <v>656103996.875</v>
      </c>
      <c r="AC18" s="51">
        <f>AC17</f>
        <v>150370531.25</v>
      </c>
      <c r="AD18" s="51">
        <f t="shared" ref="AD18" si="84">AD17</f>
        <v>149266062.5</v>
      </c>
      <c r="AE18" s="51">
        <f t="shared" ref="AE18" si="85">AE17</f>
        <v>148161593.75</v>
      </c>
      <c r="AF18" s="51">
        <f t="shared" ref="AF18" si="86">AF17</f>
        <v>147057125</v>
      </c>
      <c r="AG18" s="44">
        <f t="shared" si="50"/>
        <v>594855312.5</v>
      </c>
      <c r="AH18" s="51">
        <f>AH17</f>
        <v>145952656.25</v>
      </c>
      <c r="AI18" s="51">
        <f t="shared" ref="AI18" si="87">AI17</f>
        <v>144848187.5</v>
      </c>
      <c r="AJ18" s="51">
        <f t="shared" ref="AJ18" si="88">AJ17</f>
        <v>143743718.75</v>
      </c>
      <c r="AK18" s="51">
        <f t="shared" ref="AK18" si="89">AK17</f>
        <v>142639250</v>
      </c>
      <c r="AL18" s="44">
        <f t="shared" si="51"/>
        <v>577183812.5</v>
      </c>
    </row>
    <row r="19" spans="1:38" ht="15.95" outlineLevel="2">
      <c r="A19" s="31"/>
      <c r="C19" s="32" t="s">
        <v>262</v>
      </c>
      <c r="D19" s="183">
        <f>SUM(D72:D75)*Assumptions!$D$55*Assumptions!$D$56/4/VLOOKUP(Assumptions!$D$7, Lists!$B$7:$C$10, 2, FALSE)</f>
        <v>5738906.25</v>
      </c>
      <c r="E19" s="183">
        <f>SUM(E72:E75)*Assumptions!$D$55*Assumptions!$D$56/4/VLOOKUP(Assumptions!$D$7, Lists!$B$7:$C$10, 2, FALSE)</f>
        <v>11405625</v>
      </c>
      <c r="F19" s="183">
        <f>SUM(F72:F75)*Assumptions!$D$55*Assumptions!$D$56/4/VLOOKUP(Assumptions!$D$7, Lists!$B$7:$C$10, 2, FALSE)</f>
        <v>17000156.25</v>
      </c>
      <c r="G19" s="183">
        <f>SUM(G72:G75)*Assumptions!$D$55*Assumptions!$D$56/4/VLOOKUP(Assumptions!$D$7, Lists!$B$7:$C$10, 2, FALSE)</f>
        <v>22522500</v>
      </c>
      <c r="H19" s="60">
        <f t="shared" si="45"/>
        <v>56667187.5</v>
      </c>
      <c r="I19" s="183">
        <f>SUM(I72:I75)*Assumptions!$D$55*Assumptions!$D$56/4/VLOOKUP(Assumptions!$D$7, Lists!$B$7:$C$10, 2, FALSE)</f>
        <v>27972656.25</v>
      </c>
      <c r="J19" s="183">
        <f>SUM(J72:J75)*Assumptions!$D$55*Assumptions!$D$56/4/VLOOKUP(Assumptions!$D$7, Lists!$B$7:$C$10, 2, FALSE)</f>
        <v>33350625</v>
      </c>
      <c r="K19" s="183">
        <f>SUM(K72:K75)*Assumptions!$D$55*Assumptions!$D$56/4/VLOOKUP(Assumptions!$D$7, Lists!$B$7:$C$10, 2, FALSE)</f>
        <v>38656406.25</v>
      </c>
      <c r="L19" s="183">
        <f>SUM(L72:L75)*Assumptions!$D$55*Assumptions!$D$56/4/VLOOKUP(Assumptions!$D$7, Lists!$B$7:$C$10, 2, FALSE)</f>
        <v>43890000</v>
      </c>
      <c r="M19" s="48">
        <f t="shared" si="46"/>
        <v>143869687.5</v>
      </c>
      <c r="N19" s="183">
        <f>SUM(N72:N75)*Assumptions!$D$55*Assumptions!$D$56/4/VLOOKUP(Assumptions!$D$7, Lists!$B$7:$C$10, 2, FALSE)</f>
        <v>49051406.25</v>
      </c>
      <c r="O19" s="183">
        <f>SUM(O72:O75)*Assumptions!$D$55*Assumptions!$D$56/4/VLOOKUP(Assumptions!$D$7, Lists!$B$7:$C$10, 2, FALSE)</f>
        <v>54140625</v>
      </c>
      <c r="P19" s="183">
        <f>SUM(P72:P75)*Assumptions!$D$55*Assumptions!$D$56/4/VLOOKUP(Assumptions!$D$7, Lists!$B$7:$C$10, 2, FALSE)</f>
        <v>59157656.25</v>
      </c>
      <c r="Q19" s="183">
        <f>SUM(Q72:Q75)*Assumptions!$D$55*Assumptions!$D$56/4/VLOOKUP(Assumptions!$D$7, Lists!$B$7:$C$10, 2, FALSE)</f>
        <v>64102500</v>
      </c>
      <c r="R19" s="48">
        <f t="shared" si="47"/>
        <v>226452187.5</v>
      </c>
      <c r="S19" s="183">
        <f>SUM(S72:S75)*Assumptions!$D$55*Assumptions!$D$56/4/VLOOKUP(Assumptions!$D$7, Lists!$B$7:$C$10, 2, FALSE)</f>
        <v>68975156.25</v>
      </c>
      <c r="T19" s="183">
        <f>SUM(T72:T75)*Assumptions!$D$55*Assumptions!$D$56/4/VLOOKUP(Assumptions!$D$7, Lists!$B$7:$C$10, 2, FALSE)</f>
        <v>73775625</v>
      </c>
      <c r="U19" s="183">
        <f>SUM(U72:U75)*Assumptions!$D$55*Assumptions!$D$56/4/VLOOKUP(Assumptions!$D$7, Lists!$B$7:$C$10, 2, FALSE)</f>
        <v>78503906.25</v>
      </c>
      <c r="V19" s="183">
        <f>SUM(V72:V75)*Assumptions!$D$55*Assumptions!$D$56/4/VLOOKUP(Assumptions!$D$7, Lists!$B$7:$C$10, 2, FALSE)</f>
        <v>83160000</v>
      </c>
      <c r="W19" s="48">
        <f t="shared" si="48"/>
        <v>304414687.5</v>
      </c>
      <c r="X19" s="183">
        <f>SUM(X72:X75)*Assumptions!$D$55*Assumptions!$D$56/4/VLOOKUP(Assumptions!$D$7, Lists!$B$7:$C$10, 2, FALSE)</f>
        <v>87743906.25</v>
      </c>
      <c r="Y19" s="183">
        <f>SUM(Y72:Y75)*Assumptions!$D$55*Assumptions!$D$56/4/VLOOKUP(Assumptions!$D$7, Lists!$B$7:$C$10, 2, FALSE)</f>
        <v>92255625</v>
      </c>
      <c r="Z19" s="183">
        <f>SUM(Z72:Z75)*Assumptions!$D$55*Assumptions!$D$56/4/VLOOKUP(Assumptions!$D$7, Lists!$B$7:$C$10, 2, FALSE)</f>
        <v>96695156.25</v>
      </c>
      <c r="AA19" s="183">
        <f>SUM(AA72:AA75)*Assumptions!$D$55*Assumptions!$D$56/4/VLOOKUP(Assumptions!$D$7, Lists!$B$7:$C$10, 2, FALSE)</f>
        <v>101062500</v>
      </c>
      <c r="AB19" s="48">
        <f t="shared" si="49"/>
        <v>377757187.5</v>
      </c>
      <c r="AC19" s="183">
        <f>SUM(AC72:AC75)*Assumptions!$D$55*Assumptions!$D$56/4/VLOOKUP(Assumptions!$D$7, Lists!$B$7:$C$10, 2, FALSE)</f>
        <v>100340625</v>
      </c>
      <c r="AD19" s="183">
        <f>SUM(AD72:AD75)*Assumptions!$D$55*Assumptions!$D$56/4/VLOOKUP(Assumptions!$D$7, Lists!$B$7:$C$10, 2, FALSE)</f>
        <v>99618750</v>
      </c>
      <c r="AE19" s="183">
        <f>SUM(AE72:AE75)*Assumptions!$D$55*Assumptions!$D$56/4/VLOOKUP(Assumptions!$D$7, Lists!$B$7:$C$10, 2, FALSE)</f>
        <v>98896875</v>
      </c>
      <c r="AF19" s="183">
        <f>SUM(AF72:AF75)*Assumptions!$D$55*Assumptions!$D$56/4/VLOOKUP(Assumptions!$D$7, Lists!$B$7:$C$10, 2, FALSE)</f>
        <v>98175000</v>
      </c>
      <c r="AG19" s="48">
        <f t="shared" si="50"/>
        <v>397031250</v>
      </c>
      <c r="AH19" s="183">
        <f>SUM(AH72:AH75)*Assumptions!$D$55*Assumptions!$D$56/4/VLOOKUP(Assumptions!$D$7, Lists!$B$7:$C$10, 2, FALSE)</f>
        <v>97453125</v>
      </c>
      <c r="AI19" s="183">
        <f>SUM(AI72:AI75)*Assumptions!$D$55*Assumptions!$D$56/4/VLOOKUP(Assumptions!$D$7, Lists!$B$7:$C$10, 2, FALSE)</f>
        <v>96731250</v>
      </c>
      <c r="AJ19" s="183">
        <f>SUM(AJ72:AJ75)*Assumptions!$D$55*Assumptions!$D$56/4/VLOOKUP(Assumptions!$D$7, Lists!$B$7:$C$10, 2, FALSE)</f>
        <v>96009375</v>
      </c>
      <c r="AK19" s="183">
        <f>SUM(AK72:AK75)*Assumptions!$D$55*Assumptions!$D$56/4/VLOOKUP(Assumptions!$D$7, Lists!$B$7:$C$10, 2, FALSE)</f>
        <v>95287500</v>
      </c>
      <c r="AL19" s="48">
        <f t="shared" si="51"/>
        <v>385481250</v>
      </c>
    </row>
    <row r="20" spans="1:38" ht="15.95" outlineLevel="2">
      <c r="A20" s="31"/>
      <c r="C20" s="32" t="s">
        <v>263</v>
      </c>
      <c r="D20" s="185">
        <f>Assumptions!$D$57/4/VLOOKUP(Assumptions!$D$7, Lists!$B$7:$C$10, 2, FALSE)</f>
        <v>2500000</v>
      </c>
      <c r="E20" s="185">
        <f>Assumptions!$D$57/4/VLOOKUP(Assumptions!$D$7, Lists!$B$7:$C$10, 2, FALSE)</f>
        <v>2500000</v>
      </c>
      <c r="F20" s="185">
        <f>Assumptions!$D$57/4/VLOOKUP(Assumptions!$D$7, Lists!$B$7:$C$10, 2, FALSE)</f>
        <v>2500000</v>
      </c>
      <c r="G20" s="185">
        <f>Assumptions!$D$57/4/VLOOKUP(Assumptions!$D$7, Lists!$B$7:$C$10, 2, FALSE)</f>
        <v>2500000</v>
      </c>
      <c r="H20" s="60">
        <f t="shared" si="45"/>
        <v>10000000</v>
      </c>
      <c r="I20" s="185">
        <f>Assumptions!$D$57/4/VLOOKUP(Assumptions!$D$7, Lists!$B$7:$C$10, 2, FALSE)</f>
        <v>2500000</v>
      </c>
      <c r="J20" s="185">
        <f>Assumptions!$D$57/4/VLOOKUP(Assumptions!$D$7, Lists!$B$7:$C$10, 2, FALSE)</f>
        <v>2500000</v>
      </c>
      <c r="K20" s="185">
        <f>Assumptions!$D$57/4/VLOOKUP(Assumptions!$D$7, Lists!$B$7:$C$10, 2, FALSE)</f>
        <v>2500000</v>
      </c>
      <c r="L20" s="185">
        <f>Assumptions!$D$57/4/VLOOKUP(Assumptions!$D$7, Lists!$B$7:$C$10, 2, FALSE)</f>
        <v>2500000</v>
      </c>
      <c r="M20" s="48">
        <f t="shared" si="46"/>
        <v>10000000</v>
      </c>
      <c r="N20" s="185">
        <f>Assumptions!$D$57/4/VLOOKUP(Assumptions!$D$7, Lists!$B$7:$C$10, 2, FALSE)</f>
        <v>2500000</v>
      </c>
      <c r="O20" s="185">
        <f>Assumptions!$D$57/4/VLOOKUP(Assumptions!$D$7, Lists!$B$7:$C$10, 2, FALSE)</f>
        <v>2500000</v>
      </c>
      <c r="P20" s="185">
        <f>Assumptions!$D$57/4/VLOOKUP(Assumptions!$D$7, Lists!$B$7:$C$10, 2, FALSE)</f>
        <v>2500000</v>
      </c>
      <c r="Q20" s="185">
        <f>Assumptions!$D$57/4/VLOOKUP(Assumptions!$D$7, Lists!$B$7:$C$10, 2, FALSE)</f>
        <v>2500000</v>
      </c>
      <c r="R20" s="48">
        <f t="shared" si="47"/>
        <v>10000000</v>
      </c>
      <c r="S20" s="185">
        <f>Assumptions!$D$57/4/VLOOKUP(Assumptions!$D$7, Lists!$B$7:$C$10, 2, FALSE)</f>
        <v>2500000</v>
      </c>
      <c r="T20" s="185">
        <f>Assumptions!$D$57/4/VLOOKUP(Assumptions!$D$7, Lists!$B$7:$C$10, 2, FALSE)</f>
        <v>2500000</v>
      </c>
      <c r="U20" s="185">
        <f>Assumptions!$D$57/4/VLOOKUP(Assumptions!$D$7, Lists!$B$7:$C$10, 2, FALSE)</f>
        <v>2500000</v>
      </c>
      <c r="V20" s="185">
        <f>Assumptions!$D$57/4/VLOOKUP(Assumptions!$D$7, Lists!$B$7:$C$10, 2, FALSE)</f>
        <v>2500000</v>
      </c>
      <c r="W20" s="48">
        <f t="shared" si="48"/>
        <v>10000000</v>
      </c>
      <c r="X20" s="185">
        <f>Assumptions!$D$57/4/VLOOKUP(Assumptions!$D$7, Lists!$B$7:$C$10, 2, FALSE)</f>
        <v>2500000</v>
      </c>
      <c r="Y20" s="185">
        <f>Assumptions!$D$57/4/VLOOKUP(Assumptions!$D$7, Lists!$B$7:$C$10, 2, FALSE)</f>
        <v>2500000</v>
      </c>
      <c r="Z20" s="185">
        <f>Assumptions!$D$57/4/VLOOKUP(Assumptions!$D$7, Lists!$B$7:$C$10, 2, FALSE)</f>
        <v>2500000</v>
      </c>
      <c r="AA20" s="185">
        <f>Assumptions!$D$57/4/VLOOKUP(Assumptions!$D$7, Lists!$B$7:$C$10, 2, FALSE)</f>
        <v>2500000</v>
      </c>
      <c r="AB20" s="48">
        <f t="shared" si="49"/>
        <v>10000000</v>
      </c>
      <c r="AC20" s="185">
        <f>Assumptions!$D$57/4/VLOOKUP(Assumptions!$D$7, Lists!$B$7:$C$10, 2, FALSE)</f>
        <v>2500000</v>
      </c>
      <c r="AD20" s="185">
        <f>Assumptions!$D$57/4/VLOOKUP(Assumptions!$D$7, Lists!$B$7:$C$10, 2, FALSE)</f>
        <v>2500000</v>
      </c>
      <c r="AE20" s="185">
        <f>Assumptions!$D$57/4/VLOOKUP(Assumptions!$D$7, Lists!$B$7:$C$10, 2, FALSE)</f>
        <v>2500000</v>
      </c>
      <c r="AF20" s="185">
        <f>Assumptions!$D$57/4/VLOOKUP(Assumptions!$D$7, Lists!$B$7:$C$10, 2, FALSE)</f>
        <v>2500000</v>
      </c>
      <c r="AG20" s="48">
        <f t="shared" si="50"/>
        <v>10000000</v>
      </c>
      <c r="AH20" s="185">
        <f>Assumptions!$D$57/4/VLOOKUP(Assumptions!$D$7, Lists!$B$7:$C$10, 2, FALSE)</f>
        <v>2500000</v>
      </c>
      <c r="AI20" s="185">
        <f>Assumptions!$D$57/4/VLOOKUP(Assumptions!$D$7, Lists!$B$7:$C$10, 2, FALSE)</f>
        <v>2500000</v>
      </c>
      <c r="AJ20" s="185">
        <f>Assumptions!$D$57/4/VLOOKUP(Assumptions!$D$7, Lists!$B$7:$C$10, 2, FALSE)</f>
        <v>2500000</v>
      </c>
      <c r="AK20" s="185">
        <f>Assumptions!$D$57/4/VLOOKUP(Assumptions!$D$7, Lists!$B$7:$C$10, 2, FALSE)</f>
        <v>2500000</v>
      </c>
      <c r="AL20" s="48">
        <f t="shared" si="51"/>
        <v>10000000</v>
      </c>
    </row>
    <row r="21" spans="1:38" ht="15.95" outlineLevel="2">
      <c r="A21" s="31"/>
      <c r="C21" s="32" t="s">
        <v>264</v>
      </c>
      <c r="D21" s="185">
        <f>-Assumptions!$D$58/4/VLOOKUP(Assumptions!$D$7, Lists!$B$7:$C$10, 2, FALSE)</f>
        <v>-6250000</v>
      </c>
      <c r="E21" s="185">
        <f>-Assumptions!$D$58/4/VLOOKUP(Assumptions!$D$7, Lists!$B$7:$C$10, 2, FALSE)</f>
        <v>-6250000</v>
      </c>
      <c r="F21" s="185">
        <f>-Assumptions!$D$58/4/VLOOKUP(Assumptions!$D$7, Lists!$B$7:$C$10, 2, FALSE)</f>
        <v>-6250000</v>
      </c>
      <c r="G21" s="185">
        <f>-Assumptions!$D$58/4/VLOOKUP(Assumptions!$D$7, Lists!$B$7:$C$10, 2, FALSE)</f>
        <v>-6250000</v>
      </c>
      <c r="H21" s="60">
        <f t="shared" si="45"/>
        <v>-25000000</v>
      </c>
      <c r="I21" s="185">
        <f>-Assumptions!$D$58/4/VLOOKUP(Assumptions!$D$7, Lists!$B$7:$C$10, 2, FALSE)</f>
        <v>-6250000</v>
      </c>
      <c r="J21" s="185">
        <f>-Assumptions!$D$58/4/VLOOKUP(Assumptions!$D$7, Lists!$B$7:$C$10, 2, FALSE)</f>
        <v>-6250000</v>
      </c>
      <c r="K21" s="185">
        <f>-Assumptions!$D$58/4/VLOOKUP(Assumptions!$D$7, Lists!$B$7:$C$10, 2, FALSE)</f>
        <v>-6250000</v>
      </c>
      <c r="L21" s="185">
        <f>-Assumptions!$D$58/4/VLOOKUP(Assumptions!$D$7, Lists!$B$7:$C$10, 2, FALSE)</f>
        <v>-6250000</v>
      </c>
      <c r="M21" s="48">
        <f t="shared" si="46"/>
        <v>-25000000</v>
      </c>
      <c r="N21" s="185">
        <f>-Assumptions!$D$58/4/VLOOKUP(Assumptions!$D$7, Lists!$B$7:$C$10, 2, FALSE)</f>
        <v>-6250000</v>
      </c>
      <c r="O21" s="185">
        <f>-Assumptions!$D$58/4/VLOOKUP(Assumptions!$D$7, Lists!$B$7:$C$10, 2, FALSE)</f>
        <v>-6250000</v>
      </c>
      <c r="P21" s="185">
        <f>-Assumptions!$D$58/4/VLOOKUP(Assumptions!$D$7, Lists!$B$7:$C$10, 2, FALSE)</f>
        <v>-6250000</v>
      </c>
      <c r="Q21" s="185">
        <f>-Assumptions!$D$58/4/VLOOKUP(Assumptions!$D$7, Lists!$B$7:$C$10, 2, FALSE)</f>
        <v>-6250000</v>
      </c>
      <c r="R21" s="48">
        <f t="shared" si="47"/>
        <v>-25000000</v>
      </c>
      <c r="S21" s="185">
        <f>-Assumptions!$D$58/4/VLOOKUP(Assumptions!$D$7, Lists!$B$7:$C$10, 2, FALSE)</f>
        <v>-6250000</v>
      </c>
      <c r="T21" s="185">
        <f>-Assumptions!$D$58/4/VLOOKUP(Assumptions!$D$7, Lists!$B$7:$C$10, 2, FALSE)</f>
        <v>-6250000</v>
      </c>
      <c r="U21" s="185">
        <f>-Assumptions!$D$58/4/VLOOKUP(Assumptions!$D$7, Lists!$B$7:$C$10, 2, FALSE)</f>
        <v>-6250000</v>
      </c>
      <c r="V21" s="185">
        <f>-Assumptions!$D$58/4/VLOOKUP(Assumptions!$D$7, Lists!$B$7:$C$10, 2, FALSE)</f>
        <v>-6250000</v>
      </c>
      <c r="W21" s="48">
        <f t="shared" si="48"/>
        <v>-25000000</v>
      </c>
      <c r="X21" s="185">
        <f>-Assumptions!$D$58/4/VLOOKUP(Assumptions!$D$7, Lists!$B$7:$C$10, 2, FALSE)</f>
        <v>-6250000</v>
      </c>
      <c r="Y21" s="185">
        <f>-Assumptions!$D$58/4/VLOOKUP(Assumptions!$D$7, Lists!$B$7:$C$10, 2, FALSE)</f>
        <v>-6250000</v>
      </c>
      <c r="Z21" s="185">
        <f>-Assumptions!$D$58/4/VLOOKUP(Assumptions!$D$7, Lists!$B$7:$C$10, 2, FALSE)</f>
        <v>-6250000</v>
      </c>
      <c r="AA21" s="185">
        <f>-Assumptions!$D$58/4/VLOOKUP(Assumptions!$D$7, Lists!$B$7:$C$10, 2, FALSE)</f>
        <v>-6250000</v>
      </c>
      <c r="AB21" s="48">
        <f t="shared" si="49"/>
        <v>-25000000</v>
      </c>
      <c r="AC21" s="185">
        <f>-Assumptions!$D$58/4/VLOOKUP(Assumptions!$D$7, Lists!$B$7:$C$10, 2, FALSE)</f>
        <v>-6250000</v>
      </c>
      <c r="AD21" s="185">
        <f>-Assumptions!$D$58/4/VLOOKUP(Assumptions!$D$7, Lists!$B$7:$C$10, 2, FALSE)</f>
        <v>-6250000</v>
      </c>
      <c r="AE21" s="185">
        <f>-Assumptions!$D$58/4/VLOOKUP(Assumptions!$D$7, Lists!$B$7:$C$10, 2, FALSE)</f>
        <v>-6250000</v>
      </c>
      <c r="AF21" s="185">
        <f>-Assumptions!$D$58/4/VLOOKUP(Assumptions!$D$7, Lists!$B$7:$C$10, 2, FALSE)</f>
        <v>-6250000</v>
      </c>
      <c r="AG21" s="48">
        <f t="shared" si="50"/>
        <v>-25000000</v>
      </c>
      <c r="AH21" s="185">
        <f>-Assumptions!$D$58/4/VLOOKUP(Assumptions!$D$7, Lists!$B$7:$C$10, 2, FALSE)</f>
        <v>-6250000</v>
      </c>
      <c r="AI21" s="185">
        <f>-Assumptions!$D$58/4/VLOOKUP(Assumptions!$D$7, Lists!$B$7:$C$10, 2, FALSE)</f>
        <v>-6250000</v>
      </c>
      <c r="AJ21" s="185">
        <f>-Assumptions!$D$58/4/VLOOKUP(Assumptions!$D$7, Lists!$B$7:$C$10, 2, FALSE)</f>
        <v>-6250000</v>
      </c>
      <c r="AK21" s="185">
        <f>-Assumptions!$D$58/4/VLOOKUP(Assumptions!$D$7, Lists!$B$7:$C$10, 2, FALSE)</f>
        <v>-6250000</v>
      </c>
      <c r="AL21" s="48">
        <f t="shared" si="51"/>
        <v>-25000000</v>
      </c>
    </row>
    <row r="22" spans="1:38" ht="15.95" outlineLevel="2">
      <c r="A22" s="31"/>
      <c r="C22" s="32" t="s">
        <v>265</v>
      </c>
      <c r="D22" s="185">
        <f>D20+D21</f>
        <v>-3750000</v>
      </c>
      <c r="E22" s="185">
        <f>E20+E21</f>
        <v>-3750000</v>
      </c>
      <c r="F22" s="185">
        <f>F20+F21</f>
        <v>-3750000</v>
      </c>
      <c r="G22" s="185">
        <f>G20+G21</f>
        <v>-3750000</v>
      </c>
      <c r="H22" s="60">
        <f t="shared" si="45"/>
        <v>-15000000</v>
      </c>
      <c r="I22" s="185">
        <f>I20+I21</f>
        <v>-3750000</v>
      </c>
      <c r="J22" s="185">
        <f>J20+J21</f>
        <v>-3750000</v>
      </c>
      <c r="K22" s="185">
        <f>K20+K21</f>
        <v>-3750000</v>
      </c>
      <c r="L22" s="185">
        <f>L20+L21</f>
        <v>-3750000</v>
      </c>
      <c r="M22" s="48">
        <f t="shared" si="46"/>
        <v>-15000000</v>
      </c>
      <c r="N22" s="185">
        <f>N20+N21</f>
        <v>-3750000</v>
      </c>
      <c r="O22" s="185">
        <f>O20+O21</f>
        <v>-3750000</v>
      </c>
      <c r="P22" s="185">
        <f>P20+P21</f>
        <v>-3750000</v>
      </c>
      <c r="Q22" s="185">
        <f>Q20+Q21</f>
        <v>-3750000</v>
      </c>
      <c r="R22" s="48">
        <f t="shared" si="47"/>
        <v>-15000000</v>
      </c>
      <c r="S22" s="185">
        <f>S20+S21</f>
        <v>-3750000</v>
      </c>
      <c r="T22" s="185">
        <f>T20+T21</f>
        <v>-3750000</v>
      </c>
      <c r="U22" s="185">
        <f>U20+U21</f>
        <v>-3750000</v>
      </c>
      <c r="V22" s="185">
        <f>V20+V21</f>
        <v>-3750000</v>
      </c>
      <c r="W22" s="48">
        <f t="shared" si="48"/>
        <v>-15000000</v>
      </c>
      <c r="X22" s="185">
        <f>X20+X21</f>
        <v>-3750000</v>
      </c>
      <c r="Y22" s="185">
        <f>Y20+Y21</f>
        <v>-3750000</v>
      </c>
      <c r="Z22" s="185">
        <f>Z20+Z21</f>
        <v>-3750000</v>
      </c>
      <c r="AA22" s="185">
        <f>AA20+AA21</f>
        <v>-3750000</v>
      </c>
      <c r="AB22" s="48">
        <f t="shared" si="49"/>
        <v>-15000000</v>
      </c>
      <c r="AC22" s="185">
        <f>AC20+AC21</f>
        <v>-3750000</v>
      </c>
      <c r="AD22" s="185">
        <f>AD20+AD21</f>
        <v>-3750000</v>
      </c>
      <c r="AE22" s="185">
        <f>AE20+AE21</f>
        <v>-3750000</v>
      </c>
      <c r="AF22" s="185">
        <f>AF20+AF21</f>
        <v>-3750000</v>
      </c>
      <c r="AG22" s="48">
        <f t="shared" si="50"/>
        <v>-15000000</v>
      </c>
      <c r="AH22" s="185">
        <f>AH20+AH21</f>
        <v>-3750000</v>
      </c>
      <c r="AI22" s="185">
        <f>AI20+AI21</f>
        <v>-3750000</v>
      </c>
      <c r="AJ22" s="185">
        <f>AJ20+AJ21</f>
        <v>-3750000</v>
      </c>
      <c r="AK22" s="185">
        <f>AK20+AK21</f>
        <v>-3750000</v>
      </c>
      <c r="AL22" s="48">
        <f t="shared" si="51"/>
        <v>-15000000</v>
      </c>
    </row>
    <row r="23" spans="1:38" ht="17.100000000000001" outlineLevel="1" thickBot="1">
      <c r="A23" s="31"/>
      <c r="B23" s="34" t="s">
        <v>266</v>
      </c>
      <c r="C23" s="34"/>
      <c r="D23" s="184">
        <f>D19+D22</f>
        <v>1988906.25</v>
      </c>
      <c r="E23" s="184">
        <f t="shared" ref="E23:G23" si="90">E19+E22</f>
        <v>7655625</v>
      </c>
      <c r="F23" s="184">
        <f t="shared" si="90"/>
        <v>13250156.25</v>
      </c>
      <c r="G23" s="184">
        <f t="shared" si="90"/>
        <v>18772500</v>
      </c>
      <c r="H23" s="61">
        <f t="shared" ref="H23:H28" si="91">SUM(D23:G23)</f>
        <v>41667187.5</v>
      </c>
      <c r="I23" s="184">
        <f>I19+I22</f>
        <v>24222656.25</v>
      </c>
      <c r="J23" s="184">
        <f t="shared" ref="J23" si="92">J19+J22</f>
        <v>29600625</v>
      </c>
      <c r="K23" s="184">
        <f t="shared" ref="K23" si="93">K19+K22</f>
        <v>34906406.25</v>
      </c>
      <c r="L23" s="184">
        <f t="shared" ref="L23" si="94">L19+L22</f>
        <v>40140000</v>
      </c>
      <c r="M23" s="51">
        <f t="shared" ref="M23:M28" si="95">SUM(I23:L23)</f>
        <v>128869687.5</v>
      </c>
      <c r="N23" s="184">
        <f>N19+N22</f>
        <v>45301406.25</v>
      </c>
      <c r="O23" s="184">
        <f t="shared" ref="O23" si="96">O19+O22</f>
        <v>50390625</v>
      </c>
      <c r="P23" s="184">
        <f t="shared" ref="P23" si="97">P19+P22</f>
        <v>55407656.25</v>
      </c>
      <c r="Q23" s="184">
        <f t="shared" ref="Q23" si="98">Q19+Q22</f>
        <v>60352500</v>
      </c>
      <c r="R23" s="51">
        <f t="shared" ref="R23:R28" si="99">SUM(N23:Q23)</f>
        <v>211452187.5</v>
      </c>
      <c r="S23" s="184">
        <f>S19+S22</f>
        <v>65225156.25</v>
      </c>
      <c r="T23" s="184">
        <f t="shared" ref="T23" si="100">T19+T22</f>
        <v>70025625</v>
      </c>
      <c r="U23" s="184">
        <f t="shared" ref="U23" si="101">U19+U22</f>
        <v>74753906.25</v>
      </c>
      <c r="V23" s="184">
        <f t="shared" ref="V23" si="102">V19+V22</f>
        <v>79410000</v>
      </c>
      <c r="W23" s="51">
        <f t="shared" ref="W23:W28" si="103">SUM(S23:V23)</f>
        <v>289414687.5</v>
      </c>
      <c r="X23" s="184">
        <f>X19+X22</f>
        <v>83993906.25</v>
      </c>
      <c r="Y23" s="184">
        <f t="shared" ref="Y23" si="104">Y19+Y22</f>
        <v>88505625</v>
      </c>
      <c r="Z23" s="184">
        <f t="shared" ref="Z23" si="105">Z19+Z22</f>
        <v>92945156.25</v>
      </c>
      <c r="AA23" s="184">
        <f t="shared" ref="AA23" si="106">AA19+AA22</f>
        <v>97312500</v>
      </c>
      <c r="AB23" s="51">
        <f t="shared" ref="AB23:AB28" si="107">SUM(X23:AA23)</f>
        <v>362757187.5</v>
      </c>
      <c r="AC23" s="184">
        <f>AC19+AC22</f>
        <v>96590625</v>
      </c>
      <c r="AD23" s="184">
        <f t="shared" ref="AD23" si="108">AD19+AD22</f>
        <v>95868750</v>
      </c>
      <c r="AE23" s="184">
        <f t="shared" ref="AE23" si="109">AE19+AE22</f>
        <v>95146875</v>
      </c>
      <c r="AF23" s="184">
        <f t="shared" ref="AF23" si="110">AF19+AF22</f>
        <v>94425000</v>
      </c>
      <c r="AG23" s="51">
        <f t="shared" ref="AG23:AG28" si="111">SUM(AC23:AF23)</f>
        <v>382031250</v>
      </c>
      <c r="AH23" s="184">
        <f>AH19+AH22</f>
        <v>93703125</v>
      </c>
      <c r="AI23" s="184">
        <f t="shared" ref="AI23" si="112">AI19+AI22</f>
        <v>92981250</v>
      </c>
      <c r="AJ23" s="184">
        <f t="shared" ref="AJ23" si="113">AJ19+AJ22</f>
        <v>92259375</v>
      </c>
      <c r="AK23" s="184">
        <f t="shared" ref="AK23" si="114">AK19+AK22</f>
        <v>91537500</v>
      </c>
      <c r="AL23" s="51">
        <f t="shared" ref="AL23:AL28" si="115">SUM(AH23:AK23)</f>
        <v>370481250</v>
      </c>
    </row>
    <row r="24" spans="1:38" ht="17.100000000000001" thickBot="1">
      <c r="A24" s="36" t="s">
        <v>267</v>
      </c>
      <c r="B24" s="37"/>
      <c r="C24" s="38"/>
      <c r="D24" s="53">
        <f>D23</f>
        <v>1988906.25</v>
      </c>
      <c r="E24" s="53">
        <f>E23</f>
        <v>7655625</v>
      </c>
      <c r="F24" s="53">
        <f>F23</f>
        <v>13250156.25</v>
      </c>
      <c r="G24" s="53">
        <f>G23</f>
        <v>18772500</v>
      </c>
      <c r="H24" s="44">
        <f t="shared" si="91"/>
        <v>41667187.5</v>
      </c>
      <c r="I24" s="53">
        <f>I23</f>
        <v>24222656.25</v>
      </c>
      <c r="J24" s="53">
        <f>J23</f>
        <v>29600625</v>
      </c>
      <c r="K24" s="53">
        <f>K23</f>
        <v>34906406.25</v>
      </c>
      <c r="L24" s="53">
        <f>L23</f>
        <v>40140000</v>
      </c>
      <c r="M24" s="44">
        <f t="shared" si="95"/>
        <v>128869687.5</v>
      </c>
      <c r="N24" s="53">
        <f>N23</f>
        <v>45301406.25</v>
      </c>
      <c r="O24" s="53">
        <f>O23</f>
        <v>50390625</v>
      </c>
      <c r="P24" s="53">
        <f>P23</f>
        <v>55407656.25</v>
      </c>
      <c r="Q24" s="53">
        <f>Q23</f>
        <v>60352500</v>
      </c>
      <c r="R24" s="44">
        <f t="shared" si="99"/>
        <v>211452187.5</v>
      </c>
      <c r="S24" s="53">
        <f>S23</f>
        <v>65225156.25</v>
      </c>
      <c r="T24" s="53">
        <f>T23</f>
        <v>70025625</v>
      </c>
      <c r="U24" s="53">
        <f>U23</f>
        <v>74753906.25</v>
      </c>
      <c r="V24" s="53">
        <f>V23</f>
        <v>79410000</v>
      </c>
      <c r="W24" s="44">
        <f t="shared" si="103"/>
        <v>289414687.5</v>
      </c>
      <c r="X24" s="53">
        <f>X23</f>
        <v>83993906.25</v>
      </c>
      <c r="Y24" s="53">
        <f>Y23</f>
        <v>88505625</v>
      </c>
      <c r="Z24" s="53">
        <f>Z23</f>
        <v>92945156.25</v>
      </c>
      <c r="AA24" s="53">
        <f>AA23</f>
        <v>97312500</v>
      </c>
      <c r="AB24" s="44">
        <f t="shared" si="107"/>
        <v>362757187.5</v>
      </c>
      <c r="AC24" s="53">
        <f>AC23</f>
        <v>96590625</v>
      </c>
      <c r="AD24" s="53">
        <f>AD23</f>
        <v>95868750</v>
      </c>
      <c r="AE24" s="53">
        <f>AE23</f>
        <v>95146875</v>
      </c>
      <c r="AF24" s="53">
        <f>AF23</f>
        <v>94425000</v>
      </c>
      <c r="AG24" s="44">
        <f t="shared" si="111"/>
        <v>382031250</v>
      </c>
      <c r="AH24" s="53">
        <f>AH23</f>
        <v>93703125</v>
      </c>
      <c r="AI24" s="53">
        <f>AI23</f>
        <v>92981250</v>
      </c>
      <c r="AJ24" s="53">
        <f>AJ23</f>
        <v>92259375</v>
      </c>
      <c r="AK24" s="53">
        <f>AK23</f>
        <v>91537500</v>
      </c>
      <c r="AL24" s="44">
        <f t="shared" si="115"/>
        <v>370481250</v>
      </c>
    </row>
    <row r="25" spans="1:38" ht="17.100000000000001" thickBot="1">
      <c r="A25" s="36" t="s">
        <v>268</v>
      </c>
      <c r="B25" s="37"/>
      <c r="C25" s="38"/>
      <c r="D25" s="182">
        <f>D24+D18+D12</f>
        <v>51733050</v>
      </c>
      <c r="E25" s="182">
        <f>E24+E18+E12</f>
        <v>81470731.25</v>
      </c>
      <c r="F25" s="182">
        <f>F24+F18+F12</f>
        <v>110825575</v>
      </c>
      <c r="G25" s="182">
        <f>G24+G18+G12</f>
        <v>139797581.25</v>
      </c>
      <c r="H25" s="44">
        <f t="shared" si="91"/>
        <v>383826937.5</v>
      </c>
      <c r="I25" s="182">
        <f>I24+I18+I12</f>
        <v>168386750</v>
      </c>
      <c r="J25" s="182">
        <f>J24+J18+J12</f>
        <v>196593081.25</v>
      </c>
      <c r="K25" s="182">
        <f>K24+K18+K12</f>
        <v>224416575</v>
      </c>
      <c r="L25" s="182">
        <f>L24+L18+L12</f>
        <v>251857231.25</v>
      </c>
      <c r="M25" s="44">
        <f t="shared" si="95"/>
        <v>841253637.5</v>
      </c>
      <c r="N25" s="182">
        <f>N24+N18+N12</f>
        <v>278915050</v>
      </c>
      <c r="O25" s="182">
        <f>O24+O18+O12</f>
        <v>305590031.25</v>
      </c>
      <c r="P25" s="182">
        <f>P24+P18+P12</f>
        <v>331882175</v>
      </c>
      <c r="Q25" s="182">
        <f>Q24+Q18+Q12</f>
        <v>357791481.25</v>
      </c>
      <c r="R25" s="44">
        <f t="shared" si="99"/>
        <v>1274178737.5</v>
      </c>
      <c r="S25" s="182">
        <f>S24+S18+S12</f>
        <v>383317950</v>
      </c>
      <c r="T25" s="182">
        <f>T24+T18+T12</f>
        <v>408461581.25</v>
      </c>
      <c r="U25" s="182">
        <f>U24+U18+U12</f>
        <v>433222375</v>
      </c>
      <c r="V25" s="182">
        <f>V24+V18+V12</f>
        <v>457600331.25</v>
      </c>
      <c r="W25" s="44">
        <f t="shared" si="103"/>
        <v>1682602237.5</v>
      </c>
      <c r="X25" s="182">
        <f>X24+X18+X12</f>
        <v>481595450</v>
      </c>
      <c r="Y25" s="182">
        <f>Y24+Y18+Y12</f>
        <v>505207731.25</v>
      </c>
      <c r="Z25" s="182">
        <f>Z24+Z18+Z12</f>
        <v>528437175</v>
      </c>
      <c r="AA25" s="182">
        <f>AA24+AA18+AA12</f>
        <v>551283781.25</v>
      </c>
      <c r="AB25" s="44">
        <f t="shared" si="107"/>
        <v>2066524137.5</v>
      </c>
      <c r="AC25" s="182">
        <f>AC24+AC18+AC12</f>
        <v>525243500</v>
      </c>
      <c r="AD25" s="182">
        <f>AD24+AD18+AD12</f>
        <v>521415125</v>
      </c>
      <c r="AE25" s="182">
        <f>AE24+AE18+AE12</f>
        <v>517586750</v>
      </c>
      <c r="AF25" s="182">
        <f>AF24+AF18+AF12</f>
        <v>513758375</v>
      </c>
      <c r="AG25" s="44">
        <f t="shared" si="111"/>
        <v>2078003750</v>
      </c>
      <c r="AH25" s="182">
        <f>AH24+AH18+AH12</f>
        <v>509930000</v>
      </c>
      <c r="AI25" s="182">
        <f>AI24+AI18+AI12</f>
        <v>506101625</v>
      </c>
      <c r="AJ25" s="182">
        <f>AJ24+AJ18+AJ12</f>
        <v>502273250</v>
      </c>
      <c r="AK25" s="182">
        <f>AK24+AK18+AK12</f>
        <v>498444875</v>
      </c>
      <c r="AL25" s="44">
        <f t="shared" si="115"/>
        <v>2016749750</v>
      </c>
    </row>
    <row r="26" spans="1:38" ht="15.95" outlineLevel="2">
      <c r="A26" s="31"/>
      <c r="C26" s="32" t="s">
        <v>269</v>
      </c>
      <c r="D26" s="183">
        <f>(D76+D77+D78)*-Assumptions!$D$34/4</f>
        <v>-6261867.1875</v>
      </c>
      <c r="E26" s="183">
        <f>(E76+E77+E78)*-Assumptions!$D$34/4</f>
        <v>-12444968.75</v>
      </c>
      <c r="F26" s="183">
        <f>(F76+F77+F78)*-Assumptions!$D$34/4</f>
        <v>-18549304.6875</v>
      </c>
      <c r="G26" s="183">
        <f>(G76+G77+G78)*-Assumptions!$D$34/4</f>
        <v>-24574875</v>
      </c>
      <c r="H26" s="60">
        <f t="shared" si="91"/>
        <v>-61831015.625</v>
      </c>
      <c r="I26" s="183">
        <f>(I76+I77+I78)*-Assumptions!$D$34/4</f>
        <v>-30521679.6875</v>
      </c>
      <c r="J26" s="183">
        <f>(J76+J77+J78)*-Assumptions!$D$34/4</f>
        <v>-36389718.75</v>
      </c>
      <c r="K26" s="183">
        <f>(K76+K77+K78)*-Assumptions!$D$34/4</f>
        <v>-42178992.1875</v>
      </c>
      <c r="L26" s="183">
        <f>(L76+L77+L78)*-Assumptions!$D$34/4</f>
        <v>-47889500</v>
      </c>
      <c r="M26" s="48">
        <f t="shared" si="95"/>
        <v>-156979890.625</v>
      </c>
      <c r="N26" s="183">
        <f>(N76+N77+N78)*-Assumptions!$D$34/4</f>
        <v>-53521242.1875</v>
      </c>
      <c r="O26" s="183">
        <f>(O76+O77+O78)*-Assumptions!$D$34/4</f>
        <v>-59074218.75</v>
      </c>
      <c r="P26" s="183">
        <f>(P76+P77+P78)*-Assumptions!$D$34/4</f>
        <v>-64548429.6875</v>
      </c>
      <c r="Q26" s="183">
        <f>(Q76+Q77+Q78)*-Assumptions!$D$34/4</f>
        <v>-69943875</v>
      </c>
      <c r="R26" s="48">
        <f t="shared" si="99"/>
        <v>-247087765.625</v>
      </c>
      <c r="S26" s="183">
        <f>(S76+S77+S78)*-Assumptions!$D$34/4</f>
        <v>-75260554.6875</v>
      </c>
      <c r="T26" s="183">
        <f>(T76+T77+T78)*-Assumptions!$D$34/4</f>
        <v>-80498468.75</v>
      </c>
      <c r="U26" s="183">
        <f>(U76+U77+U78)*-Assumptions!$D$34/4</f>
        <v>-85657617.1875</v>
      </c>
      <c r="V26" s="183">
        <f>(V76+V77+V78)*-Assumptions!$D$34/4</f>
        <v>-90738000</v>
      </c>
      <c r="W26" s="48">
        <f t="shared" si="103"/>
        <v>-332154640.625</v>
      </c>
      <c r="X26" s="183">
        <f>(X76+X77+X78)*-Assumptions!$D$34/4</f>
        <v>-95739617.1875</v>
      </c>
      <c r="Y26" s="183">
        <f>(Y76+Y77+Y78)*-Assumptions!$D$34/4</f>
        <v>-100662468.75</v>
      </c>
      <c r="Z26" s="183">
        <f>(Z76+Z77+Z78)*-Assumptions!$D$34/4</f>
        <v>-105506554.6875</v>
      </c>
      <c r="AA26" s="183">
        <f>(AA76+AA77+AA78)*-Assumptions!$D$34/4</f>
        <v>-110271875</v>
      </c>
      <c r="AB26" s="48">
        <f t="shared" si="107"/>
        <v>-412180515.625</v>
      </c>
      <c r="AC26" s="183">
        <f>(AC76+AC77+AC78)*-Assumptions!$D$34/4</f>
        <v>-109484218.75</v>
      </c>
      <c r="AD26" s="183">
        <f>(AD76+AD77+AD78)*-Assumptions!$D$34/4</f>
        <v>-108696562.5</v>
      </c>
      <c r="AE26" s="183">
        <f>(AE76+AE77+AE78)*-Assumptions!$D$34/4</f>
        <v>-107908906.25</v>
      </c>
      <c r="AF26" s="183">
        <f>(AF76+AF77+AF78)*-Assumptions!$D$34/4</f>
        <v>-107121250</v>
      </c>
      <c r="AG26" s="48">
        <f t="shared" si="111"/>
        <v>-433210937.5</v>
      </c>
      <c r="AH26" s="183">
        <f>(AH76+AH77+AH78)*-Assumptions!$D$34/4</f>
        <v>-106333593.75</v>
      </c>
      <c r="AI26" s="183">
        <f>(AI76+AI77+AI78)*-Assumptions!$D$34/4</f>
        <v>-105545937.5</v>
      </c>
      <c r="AJ26" s="183">
        <f>(AJ76+AJ77+AJ78)*-Assumptions!$D$34/4</f>
        <v>-104758281.25</v>
      </c>
      <c r="AK26" s="183">
        <f>(AK76+AK77+AK78)*-Assumptions!$D$34/4</f>
        <v>-103970625</v>
      </c>
      <c r="AL26" s="60">
        <f t="shared" si="115"/>
        <v>-420608437.5</v>
      </c>
    </row>
    <row r="27" spans="1:38" ht="17.100000000000001" outlineLevel="1" thickBot="1">
      <c r="A27" s="31"/>
      <c r="B27" s="34" t="s">
        <v>269</v>
      </c>
      <c r="C27" s="34"/>
      <c r="D27" s="184">
        <f>D26</f>
        <v>-6261867.1875</v>
      </c>
      <c r="E27" s="184">
        <f>E26</f>
        <v>-12444968.75</v>
      </c>
      <c r="F27" s="184">
        <f>F26</f>
        <v>-18549304.6875</v>
      </c>
      <c r="G27" s="184">
        <f>G26</f>
        <v>-24574875</v>
      </c>
      <c r="H27" s="61">
        <f t="shared" si="91"/>
        <v>-61831015.625</v>
      </c>
      <c r="I27" s="184">
        <f>I26</f>
        <v>-30521679.6875</v>
      </c>
      <c r="J27" s="184">
        <f>J26</f>
        <v>-36389718.75</v>
      </c>
      <c r="K27" s="184">
        <f>K26</f>
        <v>-42178992.1875</v>
      </c>
      <c r="L27" s="184">
        <f>L26</f>
        <v>-47889500</v>
      </c>
      <c r="M27" s="51">
        <f t="shared" si="95"/>
        <v>-156979890.625</v>
      </c>
      <c r="N27" s="184">
        <f>N26</f>
        <v>-53521242.1875</v>
      </c>
      <c r="O27" s="184">
        <f>O26</f>
        <v>-59074218.75</v>
      </c>
      <c r="P27" s="184">
        <f>P26</f>
        <v>-64548429.6875</v>
      </c>
      <c r="Q27" s="184">
        <f>Q26</f>
        <v>-69943875</v>
      </c>
      <c r="R27" s="51">
        <f t="shared" si="99"/>
        <v>-247087765.625</v>
      </c>
      <c r="S27" s="184">
        <f>S26</f>
        <v>-75260554.6875</v>
      </c>
      <c r="T27" s="184">
        <f>T26</f>
        <v>-80498468.75</v>
      </c>
      <c r="U27" s="184">
        <f>U26</f>
        <v>-85657617.1875</v>
      </c>
      <c r="V27" s="184">
        <f>V26</f>
        <v>-90738000</v>
      </c>
      <c r="W27" s="51">
        <f t="shared" si="103"/>
        <v>-332154640.625</v>
      </c>
      <c r="X27" s="184">
        <f>X26</f>
        <v>-95739617.1875</v>
      </c>
      <c r="Y27" s="184">
        <f>Y26</f>
        <v>-100662468.75</v>
      </c>
      <c r="Z27" s="184">
        <f>Z26</f>
        <v>-105506554.6875</v>
      </c>
      <c r="AA27" s="184">
        <f>AA26</f>
        <v>-110271875</v>
      </c>
      <c r="AB27" s="51">
        <f t="shared" si="107"/>
        <v>-412180515.625</v>
      </c>
      <c r="AC27" s="184">
        <f>AC26</f>
        <v>-109484218.75</v>
      </c>
      <c r="AD27" s="184">
        <f>AD26</f>
        <v>-108696562.5</v>
      </c>
      <c r="AE27" s="184">
        <f>AE26</f>
        <v>-107908906.25</v>
      </c>
      <c r="AF27" s="184">
        <f>AF26</f>
        <v>-107121250</v>
      </c>
      <c r="AG27" s="51">
        <f t="shared" si="111"/>
        <v>-433210937.5</v>
      </c>
      <c r="AH27" s="184">
        <f>AH26</f>
        <v>-106333593.75</v>
      </c>
      <c r="AI27" s="184">
        <f>AI26</f>
        <v>-105545937.5</v>
      </c>
      <c r="AJ27" s="184">
        <f>AJ26</f>
        <v>-104758281.25</v>
      </c>
      <c r="AK27" s="184">
        <f>AK26</f>
        <v>-103970625</v>
      </c>
      <c r="AL27" s="61">
        <f t="shared" si="115"/>
        <v>-420608437.5</v>
      </c>
    </row>
    <row r="28" spans="1:38" ht="17.100000000000001" thickBot="1">
      <c r="A28" s="36" t="s">
        <v>270</v>
      </c>
      <c r="B28" s="37"/>
      <c r="C28" s="38"/>
      <c r="D28" s="51">
        <f>D25-D27</f>
        <v>57994917.1875</v>
      </c>
      <c r="E28" s="51">
        <f>E25-E27</f>
        <v>93915700</v>
      </c>
      <c r="F28" s="51">
        <f>F25-F27</f>
        <v>129374879.6875</v>
      </c>
      <c r="G28" s="51">
        <f>G25-G27</f>
        <v>164372456.25</v>
      </c>
      <c r="H28" s="44">
        <f t="shared" si="91"/>
        <v>445657953.125</v>
      </c>
      <c r="I28" s="51">
        <f>I25-I27</f>
        <v>198908429.6875</v>
      </c>
      <c r="J28" s="51">
        <f>J25-J27</f>
        <v>232982800</v>
      </c>
      <c r="K28" s="51">
        <f>K25-K27</f>
        <v>266595567.1875</v>
      </c>
      <c r="L28" s="51">
        <f>L25-L27</f>
        <v>299746731.25</v>
      </c>
      <c r="M28" s="44">
        <f t="shared" si="95"/>
        <v>998233528.125</v>
      </c>
      <c r="N28" s="51">
        <f>N25-N27</f>
        <v>332436292.1875</v>
      </c>
      <c r="O28" s="51">
        <f>O25-O27</f>
        <v>364664250</v>
      </c>
      <c r="P28" s="51">
        <f>P25-P27</f>
        <v>396430604.6875</v>
      </c>
      <c r="Q28" s="51">
        <f>Q25-Q27</f>
        <v>427735356.25</v>
      </c>
      <c r="R28" s="44">
        <f t="shared" si="99"/>
        <v>1521266503.125</v>
      </c>
      <c r="S28" s="51">
        <f>S25-S27</f>
        <v>458578504.6875</v>
      </c>
      <c r="T28" s="51">
        <f>T25-T27</f>
        <v>488960050</v>
      </c>
      <c r="U28" s="51">
        <f>U25-U27</f>
        <v>518879992.1875</v>
      </c>
      <c r="V28" s="51">
        <f>V25-V27</f>
        <v>548338331.25</v>
      </c>
      <c r="W28" s="44">
        <f t="shared" si="103"/>
        <v>2014756878.125</v>
      </c>
      <c r="X28" s="51">
        <f>X25-X27</f>
        <v>577335067.1875</v>
      </c>
      <c r="Y28" s="51">
        <f>Y25-Y27</f>
        <v>605870200</v>
      </c>
      <c r="Z28" s="51">
        <f>Z25-Z27</f>
        <v>633943729.6875</v>
      </c>
      <c r="AA28" s="51">
        <f>AA25-AA27</f>
        <v>661555656.25</v>
      </c>
      <c r="AB28" s="44">
        <f t="shared" si="107"/>
        <v>2478704653.125</v>
      </c>
      <c r="AC28" s="51">
        <f>AC25-AC27</f>
        <v>634727718.75</v>
      </c>
      <c r="AD28" s="51">
        <f>AD25-AD27</f>
        <v>630111687.5</v>
      </c>
      <c r="AE28" s="51">
        <f>AE25-AE27</f>
        <v>625495656.25</v>
      </c>
      <c r="AF28" s="51">
        <f>AF25-AF27</f>
        <v>620879625</v>
      </c>
      <c r="AG28" s="44">
        <f t="shared" si="111"/>
        <v>2511214687.5</v>
      </c>
      <c r="AH28" s="51">
        <f>AH25-AH27</f>
        <v>616263593.75</v>
      </c>
      <c r="AI28" s="51">
        <f>AI25-AI27</f>
        <v>611647562.5</v>
      </c>
      <c r="AJ28" s="51">
        <f>AJ25-AJ27</f>
        <v>607031531.25</v>
      </c>
      <c r="AK28" s="51">
        <f>AK25-AK27</f>
        <v>602415500</v>
      </c>
      <c r="AL28" s="44">
        <f t="shared" si="115"/>
        <v>2437358187.5</v>
      </c>
    </row>
    <row r="29" spans="1:38" ht="15.95" outlineLevel="2">
      <c r="A29" s="31"/>
      <c r="C29" s="32" t="s">
        <v>271</v>
      </c>
      <c r="D29" s="183">
        <f>D87*-Assumptions!$D$69/4/VLOOKUP(Assumptions!$D$7, Lists!$B$7:$C$10, 2, FALSE)</f>
        <v>-2250000</v>
      </c>
      <c r="E29" s="183">
        <f>E87*-Assumptions!$D$69/4/VLOOKUP(Assumptions!$D$7, Lists!$B$7:$C$10, 2, FALSE)</f>
        <v>-4500000</v>
      </c>
      <c r="F29" s="183">
        <f>F87*-Assumptions!$D$69/4/VLOOKUP(Assumptions!$D$7, Lists!$B$7:$C$10, 2, FALSE)</f>
        <v>-6750000</v>
      </c>
      <c r="G29" s="183">
        <f>G87*-Assumptions!$D$69/4/VLOOKUP(Assumptions!$D$7, Lists!$B$7:$C$10, 2, FALSE)</f>
        <v>-8625000</v>
      </c>
      <c r="H29" s="60">
        <f>SUM(D29:G29)</f>
        <v>-22125000</v>
      </c>
      <c r="I29" s="183">
        <f>I87*-Assumptions!$D$69/4/VLOOKUP(Assumptions!$D$7, Lists!$B$7:$C$10, 2, FALSE)</f>
        <v>-10500000</v>
      </c>
      <c r="J29" s="183">
        <f>J87*-Assumptions!$D$69/4/VLOOKUP(Assumptions!$D$7, Lists!$B$7:$C$10, 2, FALSE)</f>
        <v>-12750000</v>
      </c>
      <c r="K29" s="183">
        <f>K87*-Assumptions!$D$69/4/VLOOKUP(Assumptions!$D$7, Lists!$B$7:$C$10, 2, FALSE)</f>
        <v>-14625000</v>
      </c>
      <c r="L29" s="183">
        <f>L87*-Assumptions!$D$69/4/VLOOKUP(Assumptions!$D$7, Lists!$B$7:$C$10, 2, FALSE)</f>
        <v>-16500000</v>
      </c>
      <c r="M29" s="48">
        <f>SUM(I29:L29)</f>
        <v>-54375000</v>
      </c>
      <c r="N29" s="183">
        <f>N87*-Assumptions!$D$69/4/VLOOKUP(Assumptions!$D$7, Lists!$B$7:$C$10, 2, FALSE)</f>
        <v>-18750000</v>
      </c>
      <c r="O29" s="183">
        <f>O87*-Assumptions!$D$69/4/VLOOKUP(Assumptions!$D$7, Lists!$B$7:$C$10, 2, FALSE)</f>
        <v>-20625000</v>
      </c>
      <c r="P29" s="183">
        <f>P87*-Assumptions!$D$69/4/VLOOKUP(Assumptions!$D$7, Lists!$B$7:$C$10, 2, FALSE)</f>
        <v>-22500000</v>
      </c>
      <c r="Q29" s="183">
        <f>Q87*-Assumptions!$D$69/4/VLOOKUP(Assumptions!$D$7, Lists!$B$7:$C$10, 2, FALSE)</f>
        <v>-24375000</v>
      </c>
      <c r="R29" s="48">
        <f>SUM(N29:Q29)</f>
        <v>-86250000</v>
      </c>
      <c r="S29" s="183">
        <f>S87*-Assumptions!$D$69/4/VLOOKUP(Assumptions!$D$7, Lists!$B$7:$C$10, 2, FALSE)</f>
        <v>-25875000</v>
      </c>
      <c r="T29" s="183">
        <f>T87*-Assumptions!$D$69/4/VLOOKUP(Assumptions!$D$7, Lists!$B$7:$C$10, 2, FALSE)</f>
        <v>-27750000</v>
      </c>
      <c r="U29" s="183">
        <f>U87*-Assumptions!$D$69/4/VLOOKUP(Assumptions!$D$7, Lists!$B$7:$C$10, 2, FALSE)</f>
        <v>-29625000</v>
      </c>
      <c r="V29" s="183">
        <f>V87*-Assumptions!$D$69/4/VLOOKUP(Assumptions!$D$7, Lists!$B$7:$C$10, 2, FALSE)</f>
        <v>-31500000</v>
      </c>
      <c r="W29" s="48">
        <f>SUM(S29:V29)</f>
        <v>-114750000</v>
      </c>
      <c r="X29" s="183">
        <f>X87*-Assumptions!$D$69/4/VLOOKUP(Assumptions!$D$7, Lists!$B$7:$C$10, 2, FALSE)</f>
        <v>-33000000</v>
      </c>
      <c r="Y29" s="183">
        <f>Y87*-Assumptions!$D$69/4/VLOOKUP(Assumptions!$D$7, Lists!$B$7:$C$10, 2, FALSE)</f>
        <v>-34875000</v>
      </c>
      <c r="Z29" s="183">
        <f>Z87*-Assumptions!$D$69/4/VLOOKUP(Assumptions!$D$7, Lists!$B$7:$C$10, 2, FALSE)</f>
        <v>-36375000</v>
      </c>
      <c r="AA29" s="183">
        <f>AA87*-Assumptions!$D$69/4/VLOOKUP(Assumptions!$D$7, Lists!$B$7:$C$10, 2, FALSE)</f>
        <v>-38250000</v>
      </c>
      <c r="AB29" s="48">
        <f>SUM(X29:AA29)</f>
        <v>-142500000</v>
      </c>
      <c r="AC29" s="183">
        <f>AC87*-Assumptions!$D$69/4/VLOOKUP(Assumptions!$D$7, Lists!$B$7:$C$10, 2, FALSE)</f>
        <v>-37875000</v>
      </c>
      <c r="AD29" s="183">
        <f>AD87*-Assumptions!$D$69/4/VLOOKUP(Assumptions!$D$7, Lists!$B$7:$C$10, 2, FALSE)</f>
        <v>-37500000</v>
      </c>
      <c r="AE29" s="183">
        <f>AE87*-Assumptions!$D$69/4/VLOOKUP(Assumptions!$D$7, Lists!$B$7:$C$10, 2, FALSE)</f>
        <v>-37125000</v>
      </c>
      <c r="AF29" s="183">
        <f>AF87*-Assumptions!$D$69/4/VLOOKUP(Assumptions!$D$7, Lists!$B$7:$C$10, 2, FALSE)</f>
        <v>-37125000</v>
      </c>
      <c r="AG29" s="48">
        <f>SUM(AC29:AF29)</f>
        <v>-149625000</v>
      </c>
      <c r="AH29" s="105">
        <f>AH87*-Assumptions!$D$69/4/VLOOKUP(Assumptions!$D$7, Lists!$B$7:$C$10, 2, FALSE)</f>
        <v>-36750000</v>
      </c>
      <c r="AI29" s="106">
        <f>AI87*-Assumptions!$D$69/4/VLOOKUP(Assumptions!$D$7, Lists!$B$7:$C$10, 2, FALSE)</f>
        <v>-36375000</v>
      </c>
      <c r="AJ29" s="106">
        <f>AJ87*-Assumptions!$D$69/4/VLOOKUP(Assumptions!$D$7, Lists!$B$7:$C$10, 2, FALSE)</f>
        <v>-36375000</v>
      </c>
      <c r="AK29" s="107">
        <f>AK87*-Assumptions!$D$69/4/VLOOKUP(Assumptions!$D$7, Lists!$B$7:$C$10, 2, FALSE)</f>
        <v>-36000000</v>
      </c>
      <c r="AL29" s="60">
        <f>SUM(AH29:AK29)</f>
        <v>-145500000</v>
      </c>
    </row>
    <row r="30" spans="1:38" ht="15.95" outlineLevel="2">
      <c r="A30" s="31"/>
      <c r="C30" s="32" t="s">
        <v>272</v>
      </c>
      <c r="D30" s="185">
        <f>D88*-Assumptions!$D$70/4/VLOOKUP(Assumptions!$D$7, Lists!$B$7:$C$10, 2, FALSE)</f>
        <v>-1500000</v>
      </c>
      <c r="E30" s="185">
        <f>E88*-Assumptions!$D$70/4/VLOOKUP(Assumptions!$D$7, Lists!$B$7:$C$10, 2, FALSE)</f>
        <v>-2500000</v>
      </c>
      <c r="F30" s="185">
        <f>F88*-Assumptions!$D$70/4/VLOOKUP(Assumptions!$D$7, Lists!$B$7:$C$10, 2, FALSE)</f>
        <v>-3500000</v>
      </c>
      <c r="G30" s="185">
        <f>G88*-Assumptions!$D$70/4/VLOOKUP(Assumptions!$D$7, Lists!$B$7:$C$10, 2, FALSE)</f>
        <v>-5000000</v>
      </c>
      <c r="H30" s="60">
        <f>SUM(D30:G30)</f>
        <v>-12500000</v>
      </c>
      <c r="I30" s="185">
        <f>I88*-Assumptions!$D$70/4/VLOOKUP(Assumptions!$D$7, Lists!$B$7:$C$10, 2, FALSE)</f>
        <v>-6000000</v>
      </c>
      <c r="J30" s="185">
        <f>J88*-Assumptions!$D$70/4/VLOOKUP(Assumptions!$D$7, Lists!$B$7:$C$10, 2, FALSE)</f>
        <v>-7000000</v>
      </c>
      <c r="K30" s="185">
        <f>K88*-Assumptions!$D$70/4/VLOOKUP(Assumptions!$D$7, Lists!$B$7:$C$10, 2, FALSE)</f>
        <v>-8000000</v>
      </c>
      <c r="L30" s="185">
        <f>L88*-Assumptions!$D$70/4/VLOOKUP(Assumptions!$D$7, Lists!$B$7:$C$10, 2, FALSE)</f>
        <v>-9000000</v>
      </c>
      <c r="M30" s="48">
        <f>SUM(I30:L30)</f>
        <v>-30000000</v>
      </c>
      <c r="N30" s="185">
        <f>N88*-Assumptions!$D$70/4/VLOOKUP(Assumptions!$D$7, Lists!$B$7:$C$10, 2, FALSE)</f>
        <v>-10000000</v>
      </c>
      <c r="O30" s="185">
        <f>O88*-Assumptions!$D$70/4/VLOOKUP(Assumptions!$D$7, Lists!$B$7:$C$10, 2, FALSE)</f>
        <v>-11000000</v>
      </c>
      <c r="P30" s="185">
        <f>P88*-Assumptions!$D$70/4/VLOOKUP(Assumptions!$D$7, Lists!$B$7:$C$10, 2, FALSE)</f>
        <v>-12000000</v>
      </c>
      <c r="Q30" s="185">
        <f>Q88*-Assumptions!$D$70/4/VLOOKUP(Assumptions!$D$7, Lists!$B$7:$C$10, 2, FALSE)</f>
        <v>-13000000</v>
      </c>
      <c r="R30" s="48">
        <f>SUM(N30:Q30)</f>
        <v>-46000000</v>
      </c>
      <c r="S30" s="185">
        <f>S88*-Assumptions!$D$70/4/VLOOKUP(Assumptions!$D$7, Lists!$B$7:$C$10, 2, FALSE)</f>
        <v>-14000000</v>
      </c>
      <c r="T30" s="185">
        <f>T88*-Assumptions!$D$70/4/VLOOKUP(Assumptions!$D$7, Lists!$B$7:$C$10, 2, FALSE)</f>
        <v>-15000000</v>
      </c>
      <c r="U30" s="185">
        <f>U88*-Assumptions!$D$70/4/VLOOKUP(Assumptions!$D$7, Lists!$B$7:$C$10, 2, FALSE)</f>
        <v>-16000000</v>
      </c>
      <c r="V30" s="185">
        <f>V88*-Assumptions!$D$70/4/VLOOKUP(Assumptions!$D$7, Lists!$B$7:$C$10, 2, FALSE)</f>
        <v>-17000000</v>
      </c>
      <c r="W30" s="48">
        <f>SUM(S30:V30)</f>
        <v>-62000000</v>
      </c>
      <c r="X30" s="185">
        <f>X88*-Assumptions!$D$70/4/VLOOKUP(Assumptions!$D$7, Lists!$B$7:$C$10, 2, FALSE)</f>
        <v>-18000000</v>
      </c>
      <c r="Y30" s="185">
        <f>Y88*-Assumptions!$D$70/4/VLOOKUP(Assumptions!$D$7, Lists!$B$7:$C$10, 2, FALSE)</f>
        <v>-18500000</v>
      </c>
      <c r="Z30" s="185">
        <f>Z88*-Assumptions!$D$70/4/VLOOKUP(Assumptions!$D$7, Lists!$B$7:$C$10, 2, FALSE)</f>
        <v>-19500000</v>
      </c>
      <c r="AA30" s="185">
        <f>AA88*-Assumptions!$D$70/4/VLOOKUP(Assumptions!$D$7, Lists!$B$7:$C$10, 2, FALSE)</f>
        <v>-20500000</v>
      </c>
      <c r="AB30" s="48">
        <f>SUM(X30:AA30)</f>
        <v>-76500000</v>
      </c>
      <c r="AC30" s="185">
        <f>AC88*-Assumptions!$D$70/4/VLOOKUP(Assumptions!$D$7, Lists!$B$7:$C$10, 2, FALSE)</f>
        <v>-20500000</v>
      </c>
      <c r="AD30" s="185">
        <f>AD88*-Assumptions!$D$70/4/VLOOKUP(Assumptions!$D$7, Lists!$B$7:$C$10, 2, FALSE)</f>
        <v>-20000000</v>
      </c>
      <c r="AE30" s="185">
        <f>AE88*-Assumptions!$D$70/4/VLOOKUP(Assumptions!$D$7, Lists!$B$7:$C$10, 2, FALSE)</f>
        <v>-20000000</v>
      </c>
      <c r="AF30" s="185">
        <f>AF88*-Assumptions!$D$70/4/VLOOKUP(Assumptions!$D$7, Lists!$B$7:$C$10, 2, FALSE)</f>
        <v>-20000000</v>
      </c>
      <c r="AG30" s="48">
        <f>SUM(AC30:AF30)</f>
        <v>-80500000</v>
      </c>
      <c r="AH30" s="63">
        <f>AH88*-Assumptions!$D$70/4/VLOOKUP(Assumptions!$D$7, Lists!$B$7:$C$10, 2, FALSE)</f>
        <v>-19500000</v>
      </c>
      <c r="AI30" s="64">
        <f>AI88*-Assumptions!$D$70/4/VLOOKUP(Assumptions!$D$7, Lists!$B$7:$C$10, 2, FALSE)</f>
        <v>-19500000</v>
      </c>
      <c r="AJ30" s="64">
        <f>AJ88*-Assumptions!$D$70/4/VLOOKUP(Assumptions!$D$7, Lists!$B$7:$C$10, 2, FALSE)</f>
        <v>-19500000</v>
      </c>
      <c r="AK30" s="108">
        <f>AK88*-Assumptions!$D$70/4/VLOOKUP(Assumptions!$D$7, Lists!$B$7:$C$10, 2, FALSE)</f>
        <v>-19500000</v>
      </c>
      <c r="AL30" s="60">
        <f>SUM(AH30:AK30)</f>
        <v>-78000000</v>
      </c>
    </row>
    <row r="31" spans="1:38" ht="15.95" outlineLevel="2">
      <c r="A31" s="31"/>
      <c r="C31" s="32" t="s">
        <v>273</v>
      </c>
      <c r="D31" s="185">
        <f>D89*-Assumptions!$D$71/4/VLOOKUP(Assumptions!$D$7, Lists!$B$7:$C$10, 2, FALSE)</f>
        <v>-1000000</v>
      </c>
      <c r="E31" s="185">
        <f>E89*-Assumptions!$D$71/4/VLOOKUP(Assumptions!$D$7, Lists!$B$7:$C$10, 2, FALSE)</f>
        <v>-1500000</v>
      </c>
      <c r="F31" s="185">
        <f>F89*-Assumptions!$D$71/4/VLOOKUP(Assumptions!$D$7, Lists!$B$7:$C$10, 2, FALSE)</f>
        <v>-2000000</v>
      </c>
      <c r="G31" s="185">
        <f>G89*-Assumptions!$D$71/4/VLOOKUP(Assumptions!$D$7, Lists!$B$7:$C$10, 2, FALSE)</f>
        <v>-2500000</v>
      </c>
      <c r="H31" s="60">
        <f>SUM(D31:G31)</f>
        <v>-7000000</v>
      </c>
      <c r="I31" s="185">
        <f>I89*-Assumptions!$D$71/4/VLOOKUP(Assumptions!$D$7, Lists!$B$7:$C$10, 2, FALSE)</f>
        <v>-3500000</v>
      </c>
      <c r="J31" s="185">
        <f>J89*-Assumptions!$D$71/4/VLOOKUP(Assumptions!$D$7, Lists!$B$7:$C$10, 2, FALSE)</f>
        <v>-4000000</v>
      </c>
      <c r="K31" s="185">
        <f>K89*-Assumptions!$D$71/4/VLOOKUP(Assumptions!$D$7, Lists!$B$7:$C$10, 2, FALSE)</f>
        <v>-4500000</v>
      </c>
      <c r="L31" s="185">
        <f>L89*-Assumptions!$D$71/4/VLOOKUP(Assumptions!$D$7, Lists!$B$7:$C$10, 2, FALSE)</f>
        <v>-5000000</v>
      </c>
      <c r="M31" s="48">
        <f>SUM(I31:L31)</f>
        <v>-17000000</v>
      </c>
      <c r="N31" s="185">
        <f>N89*-Assumptions!$D$71/4/VLOOKUP(Assumptions!$D$7, Lists!$B$7:$C$10, 2, FALSE)</f>
        <v>-5500000</v>
      </c>
      <c r="O31" s="185">
        <f>O89*-Assumptions!$D$71/4/VLOOKUP(Assumptions!$D$7, Lists!$B$7:$C$10, 2, FALSE)</f>
        <v>-6000000</v>
      </c>
      <c r="P31" s="185">
        <f>P89*-Assumptions!$D$71/4/VLOOKUP(Assumptions!$D$7, Lists!$B$7:$C$10, 2, FALSE)</f>
        <v>-7000000</v>
      </c>
      <c r="Q31" s="185">
        <f>Q89*-Assumptions!$D$71/4/VLOOKUP(Assumptions!$D$7, Lists!$B$7:$C$10, 2, FALSE)</f>
        <v>-7500000</v>
      </c>
      <c r="R31" s="48">
        <f>SUM(N31:Q31)</f>
        <v>-26000000</v>
      </c>
      <c r="S31" s="185">
        <f>S89*-Assumptions!$D$71/4/VLOOKUP(Assumptions!$D$7, Lists!$B$7:$C$10, 2, FALSE)</f>
        <v>-8000000</v>
      </c>
      <c r="T31" s="185">
        <f>T89*-Assumptions!$D$71/4/VLOOKUP(Assumptions!$D$7, Lists!$B$7:$C$10, 2, FALSE)</f>
        <v>-8500000</v>
      </c>
      <c r="U31" s="185">
        <f>U89*-Assumptions!$D$71/4/VLOOKUP(Assumptions!$D$7, Lists!$B$7:$C$10, 2, FALSE)</f>
        <v>-9000000</v>
      </c>
      <c r="V31" s="185">
        <f>V89*-Assumptions!$D$71/4/VLOOKUP(Assumptions!$D$7, Lists!$B$7:$C$10, 2, FALSE)</f>
        <v>-9500000</v>
      </c>
      <c r="W31" s="48">
        <f>SUM(S31:V31)</f>
        <v>-35000000</v>
      </c>
      <c r="X31" s="185">
        <f>X89*-Assumptions!$D$71/4/VLOOKUP(Assumptions!$D$7, Lists!$B$7:$C$10, 2, FALSE)</f>
        <v>-10000000</v>
      </c>
      <c r="Y31" s="185">
        <f>Y89*-Assumptions!$D$71/4/VLOOKUP(Assumptions!$D$7, Lists!$B$7:$C$10, 2, FALSE)</f>
        <v>-10500000</v>
      </c>
      <c r="Z31" s="185">
        <f>Z89*-Assumptions!$D$71/4/VLOOKUP(Assumptions!$D$7, Lists!$B$7:$C$10, 2, FALSE)</f>
        <v>-11000000</v>
      </c>
      <c r="AA31" s="185">
        <f>AA89*-Assumptions!$D$71/4/VLOOKUP(Assumptions!$D$7, Lists!$B$7:$C$10, 2, FALSE)</f>
        <v>-11500000</v>
      </c>
      <c r="AB31" s="48">
        <f>SUM(X31:AA31)</f>
        <v>-43000000</v>
      </c>
      <c r="AC31" s="185">
        <f>AC89*-Assumptions!$D$71/4/VLOOKUP(Assumptions!$D$7, Lists!$B$7:$C$10, 2, FALSE)</f>
        <v>-11500000</v>
      </c>
      <c r="AD31" s="185">
        <f>AD89*-Assumptions!$D$71/4/VLOOKUP(Assumptions!$D$7, Lists!$B$7:$C$10, 2, FALSE)</f>
        <v>-11000000</v>
      </c>
      <c r="AE31" s="185">
        <f>AE89*-Assumptions!$D$71/4/VLOOKUP(Assumptions!$D$7, Lists!$B$7:$C$10, 2, FALSE)</f>
        <v>-11000000</v>
      </c>
      <c r="AF31" s="185">
        <f>AF89*-Assumptions!$D$71/4/VLOOKUP(Assumptions!$D$7, Lists!$B$7:$C$10, 2, FALSE)</f>
        <v>-11000000</v>
      </c>
      <c r="AG31" s="48">
        <f>SUM(AC31:AF31)</f>
        <v>-44500000</v>
      </c>
      <c r="AH31" s="63">
        <f>AH89*-Assumptions!$D$71/4/VLOOKUP(Assumptions!$D$7, Lists!$B$7:$C$10, 2, FALSE)</f>
        <v>-11000000</v>
      </c>
      <c r="AI31" s="64">
        <f>AI89*-Assumptions!$D$71/4/VLOOKUP(Assumptions!$D$7, Lists!$B$7:$C$10, 2, FALSE)</f>
        <v>-11000000</v>
      </c>
      <c r="AJ31" s="64">
        <f>AJ89*-Assumptions!$D$71/4/VLOOKUP(Assumptions!$D$7, Lists!$B$7:$C$10, 2, FALSE)</f>
        <v>-11000000</v>
      </c>
      <c r="AK31" s="108">
        <f>AK89*-Assumptions!$D$71/4/VLOOKUP(Assumptions!$D$7, Lists!$B$7:$C$10, 2, FALSE)</f>
        <v>-10500000</v>
      </c>
      <c r="AL31" s="60">
        <f>SUM(AH31:AK31)</f>
        <v>-43500000</v>
      </c>
    </row>
    <row r="32" spans="1:38" ht="15.95" outlineLevel="2">
      <c r="A32" s="31"/>
      <c r="C32" s="32" t="s">
        <v>274</v>
      </c>
      <c r="D32" s="185">
        <f>D90*-Assumptions!$D$72/4/VLOOKUP(Assumptions!$D$7, Lists!$B$7:$C$10, 2, FALSE)</f>
        <v>-3000000</v>
      </c>
      <c r="E32" s="185">
        <f>E90*-Assumptions!$D$72/4/VLOOKUP(Assumptions!$D$7, Lists!$B$7:$C$10, 2, FALSE)</f>
        <v>-5000000</v>
      </c>
      <c r="F32" s="185">
        <f>F90*-Assumptions!$D$72/4/VLOOKUP(Assumptions!$D$7, Lists!$B$7:$C$10, 2, FALSE)</f>
        <v>-7000000</v>
      </c>
      <c r="G32" s="185">
        <f>G90*-Assumptions!$D$72/4/VLOOKUP(Assumptions!$D$7, Lists!$B$7:$C$10, 2, FALSE)</f>
        <v>-10000000</v>
      </c>
      <c r="H32" s="60">
        <f t="shared" ref="H32:H46" si="116">SUM(D32:G32)</f>
        <v>-25000000</v>
      </c>
      <c r="I32" s="185">
        <f>I90*-Assumptions!$D$72/4/VLOOKUP(Assumptions!$D$7, Lists!$B$7:$C$10, 2, FALSE)</f>
        <v>-12000000</v>
      </c>
      <c r="J32" s="185">
        <f>J90*-Assumptions!$D$72/4/VLOOKUP(Assumptions!$D$7, Lists!$B$7:$C$10, 2, FALSE)</f>
        <v>-14000000</v>
      </c>
      <c r="K32" s="185">
        <f>K90*-Assumptions!$D$72/4/VLOOKUP(Assumptions!$D$7, Lists!$B$7:$C$10, 2, FALSE)</f>
        <v>-16000000</v>
      </c>
      <c r="L32" s="185">
        <f>L90*-Assumptions!$D$72/4/VLOOKUP(Assumptions!$D$7, Lists!$B$7:$C$10, 2, FALSE)</f>
        <v>-18000000</v>
      </c>
      <c r="M32" s="48">
        <f t="shared" ref="M32:M46" si="117">SUM(I32:L32)</f>
        <v>-60000000</v>
      </c>
      <c r="N32" s="185">
        <f>N90*-Assumptions!$D$72/4/VLOOKUP(Assumptions!$D$7, Lists!$B$7:$C$10, 2, FALSE)</f>
        <v>-20000000</v>
      </c>
      <c r="O32" s="185">
        <f>O90*-Assumptions!$D$72/4/VLOOKUP(Assumptions!$D$7, Lists!$B$7:$C$10, 2, FALSE)</f>
        <v>-22000000</v>
      </c>
      <c r="P32" s="185">
        <f>P90*-Assumptions!$D$72/4/VLOOKUP(Assumptions!$D$7, Lists!$B$7:$C$10, 2, FALSE)</f>
        <v>-24000000</v>
      </c>
      <c r="Q32" s="185">
        <f>Q90*-Assumptions!$D$72/4/VLOOKUP(Assumptions!$D$7, Lists!$B$7:$C$10, 2, FALSE)</f>
        <v>-26000000</v>
      </c>
      <c r="R32" s="48">
        <f t="shared" ref="R32:R46" si="118">SUM(N32:Q32)</f>
        <v>-92000000</v>
      </c>
      <c r="S32" s="185">
        <f>S90*-Assumptions!$D$72/4/VLOOKUP(Assumptions!$D$7, Lists!$B$7:$C$10, 2, FALSE)</f>
        <v>-28000000</v>
      </c>
      <c r="T32" s="185">
        <f>T90*-Assumptions!$D$72/4/VLOOKUP(Assumptions!$D$7, Lists!$B$7:$C$10, 2, FALSE)</f>
        <v>-30000000</v>
      </c>
      <c r="U32" s="185">
        <f>U90*-Assumptions!$D$72/4/VLOOKUP(Assumptions!$D$7, Lists!$B$7:$C$10, 2, FALSE)</f>
        <v>-32000000</v>
      </c>
      <c r="V32" s="185">
        <f>V90*-Assumptions!$D$72/4/VLOOKUP(Assumptions!$D$7, Lists!$B$7:$C$10, 2, FALSE)</f>
        <v>-34000000</v>
      </c>
      <c r="W32" s="48">
        <f t="shared" ref="W32:W46" si="119">SUM(S32:V32)</f>
        <v>-124000000</v>
      </c>
      <c r="X32" s="185">
        <f>X90*-Assumptions!$D$72/4/VLOOKUP(Assumptions!$D$7, Lists!$B$7:$C$10, 2, FALSE)</f>
        <v>-36000000</v>
      </c>
      <c r="Y32" s="185">
        <f>Y90*-Assumptions!$D$72/4/VLOOKUP(Assumptions!$D$7, Lists!$B$7:$C$10, 2, FALSE)</f>
        <v>-37000000</v>
      </c>
      <c r="Z32" s="185">
        <f>Z90*-Assumptions!$D$72/4/VLOOKUP(Assumptions!$D$7, Lists!$B$7:$C$10, 2, FALSE)</f>
        <v>-39000000</v>
      </c>
      <c r="AA32" s="185">
        <f>AA90*-Assumptions!$D$72/4/VLOOKUP(Assumptions!$D$7, Lists!$B$7:$C$10, 2, FALSE)</f>
        <v>-41000000</v>
      </c>
      <c r="AB32" s="48">
        <f t="shared" ref="AB32:AB46" si="120">SUM(X32:AA32)</f>
        <v>-153000000</v>
      </c>
      <c r="AC32" s="185">
        <f>AC90*-Assumptions!$D$72/4/VLOOKUP(Assumptions!$D$7, Lists!$B$7:$C$10, 2, FALSE)</f>
        <v>-41000000</v>
      </c>
      <c r="AD32" s="185">
        <f>AD90*-Assumptions!$D$72/4/VLOOKUP(Assumptions!$D$7, Lists!$B$7:$C$10, 2, FALSE)</f>
        <v>-40000000</v>
      </c>
      <c r="AE32" s="185">
        <f>AE90*-Assumptions!$D$72/4/VLOOKUP(Assumptions!$D$7, Lists!$B$7:$C$10, 2, FALSE)</f>
        <v>-40000000</v>
      </c>
      <c r="AF32" s="185">
        <f>AF90*-Assumptions!$D$72/4/VLOOKUP(Assumptions!$D$7, Lists!$B$7:$C$10, 2, FALSE)</f>
        <v>-40000000</v>
      </c>
      <c r="AG32" s="48">
        <f t="shared" ref="AG32:AG46" si="121">SUM(AC32:AF32)</f>
        <v>-161000000</v>
      </c>
      <c r="AH32" s="63">
        <f>AH90*-Assumptions!$D$72/4/VLOOKUP(Assumptions!$D$7, Lists!$B$7:$C$10, 2, FALSE)</f>
        <v>-39000000</v>
      </c>
      <c r="AI32" s="64">
        <f>AI90*-Assumptions!$D$72/4/VLOOKUP(Assumptions!$D$7, Lists!$B$7:$C$10, 2, FALSE)</f>
        <v>-39000000</v>
      </c>
      <c r="AJ32" s="64">
        <f>AJ90*-Assumptions!$D$72/4/VLOOKUP(Assumptions!$D$7, Lists!$B$7:$C$10, 2, FALSE)</f>
        <v>-39000000</v>
      </c>
      <c r="AK32" s="108">
        <f>AK90*-Assumptions!$D$72/4/VLOOKUP(Assumptions!$D$7, Lists!$B$7:$C$10, 2, FALSE)</f>
        <v>-39000000</v>
      </c>
      <c r="AL32" s="60">
        <f t="shared" ref="AL32:AL46" si="122">SUM(AH32:AK32)</f>
        <v>-156000000</v>
      </c>
    </row>
    <row r="33" spans="1:38" ht="15.95" outlineLevel="1">
      <c r="A33" s="31"/>
      <c r="B33" s="34" t="s">
        <v>166</v>
      </c>
      <c r="C33" s="34"/>
      <c r="D33" s="186">
        <f>SUM(D29:D32)</f>
        <v>-7750000</v>
      </c>
      <c r="E33" s="186">
        <f>SUM(E29:E32)</f>
        <v>-13500000</v>
      </c>
      <c r="F33" s="186">
        <f>SUM(F29:F32)</f>
        <v>-19250000</v>
      </c>
      <c r="G33" s="186">
        <f>SUM(G29:G32)</f>
        <v>-26125000</v>
      </c>
      <c r="H33" s="61">
        <f t="shared" si="116"/>
        <v>-66625000</v>
      </c>
      <c r="I33" s="186">
        <f>SUM(I29:I32)</f>
        <v>-32000000</v>
      </c>
      <c r="J33" s="186">
        <f>SUM(J29:J32)</f>
        <v>-37750000</v>
      </c>
      <c r="K33" s="186">
        <f>SUM(K29:K32)</f>
        <v>-43125000</v>
      </c>
      <c r="L33" s="186">
        <f>SUM(L29:L32)</f>
        <v>-48500000</v>
      </c>
      <c r="M33" s="51">
        <f t="shared" si="117"/>
        <v>-161375000</v>
      </c>
      <c r="N33" s="186">
        <f>SUM(N29:N32)</f>
        <v>-54250000</v>
      </c>
      <c r="O33" s="186">
        <f>SUM(O29:O32)</f>
        <v>-59625000</v>
      </c>
      <c r="P33" s="186">
        <f>SUM(P29:P32)</f>
        <v>-65500000</v>
      </c>
      <c r="Q33" s="186">
        <f>SUM(Q29:Q32)</f>
        <v>-70875000</v>
      </c>
      <c r="R33" s="51">
        <f t="shared" si="118"/>
        <v>-250250000</v>
      </c>
      <c r="S33" s="186">
        <f>SUM(S29:S32)</f>
        <v>-75875000</v>
      </c>
      <c r="T33" s="186">
        <f>SUM(T29:T32)</f>
        <v>-81250000</v>
      </c>
      <c r="U33" s="186">
        <f>SUM(U29:U32)</f>
        <v>-86625000</v>
      </c>
      <c r="V33" s="186">
        <f>SUM(V29:V32)</f>
        <v>-92000000</v>
      </c>
      <c r="W33" s="51">
        <f t="shared" si="119"/>
        <v>-335750000</v>
      </c>
      <c r="X33" s="186">
        <f>SUM(X29:X32)</f>
        <v>-97000000</v>
      </c>
      <c r="Y33" s="186">
        <f>SUM(Y29:Y32)</f>
        <v>-100875000</v>
      </c>
      <c r="Z33" s="186">
        <f>SUM(Z29:Z32)</f>
        <v>-105875000</v>
      </c>
      <c r="AA33" s="186">
        <f>SUM(AA29:AA32)</f>
        <v>-111250000</v>
      </c>
      <c r="AB33" s="51">
        <f t="shared" si="120"/>
        <v>-415000000</v>
      </c>
      <c r="AC33" s="186">
        <f>SUM(AC29:AC32)</f>
        <v>-110875000</v>
      </c>
      <c r="AD33" s="186">
        <f>SUM(AD29:AD32)</f>
        <v>-108500000</v>
      </c>
      <c r="AE33" s="186">
        <f>SUM(AE29:AE32)</f>
        <v>-108125000</v>
      </c>
      <c r="AF33" s="186">
        <f>SUM(AF29:AF32)</f>
        <v>-108125000</v>
      </c>
      <c r="AG33" s="51">
        <f t="shared" si="121"/>
        <v>-435625000</v>
      </c>
      <c r="AH33" s="65">
        <f>SUM(AH29:AH32)</f>
        <v>-106250000</v>
      </c>
      <c r="AI33" s="66">
        <f>SUM(AI29:AI32)</f>
        <v>-105875000</v>
      </c>
      <c r="AJ33" s="66">
        <f>SUM(AJ29:AJ32)</f>
        <v>-105875000</v>
      </c>
      <c r="AK33" s="141">
        <f>SUM(AK29:AK32)</f>
        <v>-105000000</v>
      </c>
      <c r="AL33" s="61">
        <f t="shared" si="122"/>
        <v>-423000000</v>
      </c>
    </row>
    <row r="34" spans="1:38" ht="15.95" outlineLevel="2">
      <c r="A34" s="31"/>
      <c r="C34" s="32" t="s">
        <v>275</v>
      </c>
      <c r="D34" s="185">
        <f>SUM(D87:D90)*-Assumptions!$D$80/28/VLOOKUP(Assumptions!$D$7, Lists!$B$7:$C$10, 2, FALSE)</f>
        <v>-75000</v>
      </c>
      <c r="E34" s="185">
        <f>SUM(E87:E90)*-Assumptions!$D$80/28/VLOOKUP(Assumptions!$D$7, Lists!$B$7:$C$10, 2, FALSE)</f>
        <v>-133928.57142857142</v>
      </c>
      <c r="F34" s="185">
        <f>SUM(F87:F90)*-Assumptions!$D$80/28/VLOOKUP(Assumptions!$D$7, Lists!$B$7:$C$10, 2, FALSE)</f>
        <v>-192857.14285714287</v>
      </c>
      <c r="G34" s="185">
        <f>SUM(G87:G90)*-Assumptions!$D$80/28/VLOOKUP(Assumptions!$D$7, Lists!$B$7:$C$10, 2, FALSE)</f>
        <v>-257142.85714285713</v>
      </c>
      <c r="H34" s="60">
        <f t="shared" si="116"/>
        <v>-658928.57142857148</v>
      </c>
      <c r="I34" s="185">
        <f>SUM(I87:I90)*-Assumptions!$D$80/28/VLOOKUP(Assumptions!$D$7, Lists!$B$7:$C$10, 2, FALSE)</f>
        <v>-316071.42857142858</v>
      </c>
      <c r="J34" s="185">
        <f>SUM(J87:J90)*-Assumptions!$D$80/28/VLOOKUP(Assumptions!$D$7, Lists!$B$7:$C$10, 2, FALSE)</f>
        <v>-375000</v>
      </c>
      <c r="K34" s="185">
        <f>SUM(K87:K90)*-Assumptions!$D$80/28/VLOOKUP(Assumptions!$D$7, Lists!$B$7:$C$10, 2, FALSE)</f>
        <v>-428571.42857142858</v>
      </c>
      <c r="L34" s="185">
        <f>SUM(L87:L90)*-Assumptions!$D$80/28/VLOOKUP(Assumptions!$D$7, Lists!$B$7:$C$10, 2, FALSE)</f>
        <v>-482142.85714285716</v>
      </c>
      <c r="M34" s="48">
        <f t="shared" si="117"/>
        <v>-1601785.7142857146</v>
      </c>
      <c r="N34" s="185">
        <f>SUM(N87:N90)*-Assumptions!$D$80/28/VLOOKUP(Assumptions!$D$7, Lists!$B$7:$C$10, 2, FALSE)</f>
        <v>-541071.42857142852</v>
      </c>
      <c r="O34" s="185">
        <f>SUM(O87:O90)*-Assumptions!$D$80/28/VLOOKUP(Assumptions!$D$7, Lists!$B$7:$C$10, 2, FALSE)</f>
        <v>-594642.85714285716</v>
      </c>
      <c r="P34" s="185">
        <f>SUM(P87:P90)*-Assumptions!$D$80/28/VLOOKUP(Assumptions!$D$7, Lists!$B$7:$C$10, 2, FALSE)</f>
        <v>-653571.42857142852</v>
      </c>
      <c r="Q34" s="185">
        <f>SUM(Q87:Q90)*-Assumptions!$D$80/28/VLOOKUP(Assumptions!$D$7, Lists!$B$7:$C$10, 2, FALSE)</f>
        <v>-707142.85714285716</v>
      </c>
      <c r="R34" s="48">
        <f t="shared" si="118"/>
        <v>-2496428.5714285714</v>
      </c>
      <c r="S34" s="185">
        <f>SUM(S87:S90)*-Assumptions!$D$80/28/VLOOKUP(Assumptions!$D$7, Lists!$B$7:$C$10, 2, FALSE)</f>
        <v>-755357.14285714284</v>
      </c>
      <c r="T34" s="185">
        <f>SUM(T87:T90)*-Assumptions!$D$80/28/VLOOKUP(Assumptions!$D$7, Lists!$B$7:$C$10, 2, FALSE)</f>
        <v>-808928.57142857148</v>
      </c>
      <c r="U34" s="185">
        <f>SUM(U87:U90)*-Assumptions!$D$80/28/VLOOKUP(Assumptions!$D$7, Lists!$B$7:$C$10, 2, FALSE)</f>
        <v>-862500</v>
      </c>
      <c r="V34" s="185">
        <f>SUM(V87:V90)*-Assumptions!$D$80/28/VLOOKUP(Assumptions!$D$7, Lists!$B$7:$C$10, 2, FALSE)</f>
        <v>-916071.42857142852</v>
      </c>
      <c r="W34" s="48">
        <f t="shared" si="119"/>
        <v>-3342857.1428571432</v>
      </c>
      <c r="X34" s="185">
        <f>SUM(X87:X90)*-Assumptions!$D$80/28/VLOOKUP(Assumptions!$D$7, Lists!$B$7:$C$10, 2, FALSE)</f>
        <v>-964285.71428571432</v>
      </c>
      <c r="Y34" s="185">
        <f>SUM(Y87:Y90)*-Assumptions!$D$80/28/VLOOKUP(Assumptions!$D$7, Lists!$B$7:$C$10, 2, FALSE)</f>
        <v>-1007142.8571428572</v>
      </c>
      <c r="Z34" s="185">
        <f>SUM(Z87:Z90)*-Assumptions!$D$80/28/VLOOKUP(Assumptions!$D$7, Lists!$B$7:$C$10, 2, FALSE)</f>
        <v>-1055357.142857143</v>
      </c>
      <c r="AA34" s="185">
        <f>SUM(AA87:AA90)*-Assumptions!$D$80/28/VLOOKUP(Assumptions!$D$7, Lists!$B$7:$C$10, 2, FALSE)</f>
        <v>-1108928.5714285714</v>
      </c>
      <c r="AB34" s="48">
        <f t="shared" si="120"/>
        <v>-4135714.2857142859</v>
      </c>
      <c r="AC34" s="185">
        <f>SUM(AC87:AC90)*-Assumptions!$D$80/28/VLOOKUP(Assumptions!$D$7, Lists!$B$7:$C$10, 2, FALSE)</f>
        <v>-1103571.4285714286</v>
      </c>
      <c r="AD34" s="185">
        <f>SUM(AD87:AD90)*-Assumptions!$D$80/28/VLOOKUP(Assumptions!$D$7, Lists!$B$7:$C$10, 2, FALSE)</f>
        <v>-1082142.857142857</v>
      </c>
      <c r="AE34" s="185">
        <f>SUM(AE87:AE90)*-Assumptions!$D$80/28/VLOOKUP(Assumptions!$D$7, Lists!$B$7:$C$10, 2, FALSE)</f>
        <v>-1076785.7142857143</v>
      </c>
      <c r="AF34" s="185">
        <f>SUM(AF87:AF90)*-Assumptions!$D$80/28/VLOOKUP(Assumptions!$D$7, Lists!$B$7:$C$10, 2, FALSE)</f>
        <v>-1076785.7142857143</v>
      </c>
      <c r="AG34" s="48">
        <f t="shared" si="121"/>
        <v>-4339285.7142857146</v>
      </c>
      <c r="AH34" s="63">
        <f>SUM(AH87:AH90)*-Assumptions!$D$80/28/VLOOKUP(Assumptions!$D$7, Lists!$B$7:$C$10, 2, FALSE)</f>
        <v>-1060714.2857142857</v>
      </c>
      <c r="AI34" s="64">
        <f>SUM(AI87:AI90)*-Assumptions!$D$80/28/VLOOKUP(Assumptions!$D$7, Lists!$B$7:$C$10, 2, FALSE)</f>
        <v>-1055357.142857143</v>
      </c>
      <c r="AJ34" s="64">
        <f>SUM(AJ87:AJ90)*-Assumptions!$D$80/28/VLOOKUP(Assumptions!$D$7, Lists!$B$7:$C$10, 2, FALSE)</f>
        <v>-1055357.142857143</v>
      </c>
      <c r="AK34" s="108">
        <f>SUM(AK87:AK90)*-Assumptions!$D$80/28/VLOOKUP(Assumptions!$D$7, Lists!$B$7:$C$10, 2, FALSE)</f>
        <v>-1044642.8571428572</v>
      </c>
      <c r="AL34" s="60">
        <f t="shared" si="122"/>
        <v>-4216071.4285714291</v>
      </c>
    </row>
    <row r="35" spans="1:38" ht="15.95" outlineLevel="2">
      <c r="A35" s="31"/>
      <c r="C35" s="32" t="s">
        <v>276</v>
      </c>
      <c r="D35" s="185">
        <f>D86*-Assumptions!$D$79/28/VLOOKUP(Assumptions!$D$7, Lists!$B$7:$C$10, 2, FALSE)</f>
        <v>-714285.71428571432</v>
      </c>
      <c r="E35" s="185">
        <f>E86*-Assumptions!$D$79/28/VLOOKUP(Assumptions!$D$7, Lists!$B$7:$C$10, 2, FALSE)</f>
        <v>-1071428.5714285714</v>
      </c>
      <c r="F35" s="185">
        <f>F86*-Assumptions!$D$79/28/VLOOKUP(Assumptions!$D$7, Lists!$B$7:$C$10, 2, FALSE)</f>
        <v>-1428571.4285714286</v>
      </c>
      <c r="G35" s="185">
        <f>G86*-Assumptions!$D$79/28/VLOOKUP(Assumptions!$D$7, Lists!$B$7:$C$10, 2, FALSE)</f>
        <v>-1785714.2857142857</v>
      </c>
      <c r="H35" s="60">
        <f t="shared" si="116"/>
        <v>-5000000</v>
      </c>
      <c r="I35" s="185">
        <f>I86*-Assumptions!$D$79/28/VLOOKUP(Assumptions!$D$7, Lists!$B$7:$C$10, 2, FALSE)</f>
        <v>-2142857.1428571427</v>
      </c>
      <c r="J35" s="185">
        <f>J86*-Assumptions!$D$79/28/VLOOKUP(Assumptions!$D$7, Lists!$B$7:$C$10, 2, FALSE)</f>
        <v>-2500000</v>
      </c>
      <c r="K35" s="185">
        <f>K86*-Assumptions!$D$79/28/VLOOKUP(Assumptions!$D$7, Lists!$B$7:$C$10, 2, FALSE)</f>
        <v>-2857142.8571428573</v>
      </c>
      <c r="L35" s="185">
        <f>L86*-Assumptions!$D$79/28/VLOOKUP(Assumptions!$D$7, Lists!$B$7:$C$10, 2, FALSE)</f>
        <v>-3214285.7142857141</v>
      </c>
      <c r="M35" s="48">
        <f t="shared" si="117"/>
        <v>-10714285.714285715</v>
      </c>
      <c r="N35" s="185">
        <f>N86*-Assumptions!$D$79/28/VLOOKUP(Assumptions!$D$7, Lists!$B$7:$C$10, 2, FALSE)</f>
        <v>-3571428.5714285714</v>
      </c>
      <c r="O35" s="185">
        <f>O86*-Assumptions!$D$79/28/VLOOKUP(Assumptions!$D$7, Lists!$B$7:$C$10, 2, FALSE)</f>
        <v>-3928571.4285714286</v>
      </c>
      <c r="P35" s="185">
        <f>P86*-Assumptions!$D$79/28/VLOOKUP(Assumptions!$D$7, Lists!$B$7:$C$10, 2, FALSE)</f>
        <v>-4285714.2857142854</v>
      </c>
      <c r="Q35" s="185">
        <f>Q86*-Assumptions!$D$79/28/VLOOKUP(Assumptions!$D$7, Lists!$B$7:$C$10, 2, FALSE)</f>
        <v>-4642857.1428571427</v>
      </c>
      <c r="R35" s="48">
        <f t="shared" si="118"/>
        <v>-16428571.428571429</v>
      </c>
      <c r="S35" s="185">
        <f>S86*-Assumptions!$D$79/28/VLOOKUP(Assumptions!$D$7, Lists!$B$7:$C$10, 2, FALSE)</f>
        <v>-5000000</v>
      </c>
      <c r="T35" s="185">
        <f>T86*-Assumptions!$D$79/28/VLOOKUP(Assumptions!$D$7, Lists!$B$7:$C$10, 2, FALSE)</f>
        <v>-5357142.8571428573</v>
      </c>
      <c r="U35" s="185">
        <f>U86*-Assumptions!$D$79/28/VLOOKUP(Assumptions!$D$7, Lists!$B$7:$C$10, 2, FALSE)</f>
        <v>-5714285.7142857146</v>
      </c>
      <c r="V35" s="185">
        <f>V86*-Assumptions!$D$79/28/VLOOKUP(Assumptions!$D$7, Lists!$B$7:$C$10, 2, FALSE)</f>
        <v>-6071428.5714285718</v>
      </c>
      <c r="W35" s="48">
        <f t="shared" si="119"/>
        <v>-22142857.142857146</v>
      </c>
      <c r="X35" s="185">
        <f>X86*-Assumptions!$D$79/28/VLOOKUP(Assumptions!$D$7, Lists!$B$7:$C$10, 2, FALSE)</f>
        <v>-6428571.4285714282</v>
      </c>
      <c r="Y35" s="185">
        <f>Y86*-Assumptions!$D$79/28/VLOOKUP(Assumptions!$D$7, Lists!$B$7:$C$10, 2, FALSE)</f>
        <v>-6785714.2857142854</v>
      </c>
      <c r="Z35" s="185">
        <f>Z86*-Assumptions!$D$79/28/VLOOKUP(Assumptions!$D$7, Lists!$B$7:$C$10, 2, FALSE)</f>
        <v>-7142857.1428571427</v>
      </c>
      <c r="AA35" s="185">
        <f>AA86*-Assumptions!$D$79/28/VLOOKUP(Assumptions!$D$7, Lists!$B$7:$C$10, 2, FALSE)</f>
        <v>-7500000</v>
      </c>
      <c r="AB35" s="48">
        <f t="shared" si="120"/>
        <v>-27857142.857142854</v>
      </c>
      <c r="AC35" s="185">
        <f>AC86*-Assumptions!$D$79/28/VLOOKUP(Assumptions!$D$7, Lists!$B$7:$C$10, 2, FALSE)</f>
        <v>-7500000</v>
      </c>
      <c r="AD35" s="185">
        <f>AD86*-Assumptions!$D$79/28/VLOOKUP(Assumptions!$D$7, Lists!$B$7:$C$10, 2, FALSE)</f>
        <v>-7142857.1428571427</v>
      </c>
      <c r="AE35" s="185">
        <f>AE86*-Assumptions!$D$79/28/VLOOKUP(Assumptions!$D$7, Lists!$B$7:$C$10, 2, FALSE)</f>
        <v>-7142857.1428571427</v>
      </c>
      <c r="AF35" s="185">
        <f>AF86*-Assumptions!$D$79/28/VLOOKUP(Assumptions!$D$7, Lists!$B$7:$C$10, 2, FALSE)</f>
        <v>-7142857.1428571427</v>
      </c>
      <c r="AG35" s="48">
        <f t="shared" si="121"/>
        <v>-28928571.428571425</v>
      </c>
      <c r="AH35" s="63">
        <f>AH86*-Assumptions!$D$79/28/VLOOKUP(Assumptions!$D$7, Lists!$B$7:$C$10, 2, FALSE)</f>
        <v>-7142857.1428571427</v>
      </c>
      <c r="AI35" s="64">
        <f>AI86*-Assumptions!$D$79/28/VLOOKUP(Assumptions!$D$7, Lists!$B$7:$C$10, 2, FALSE)</f>
        <v>-7142857.1428571427</v>
      </c>
      <c r="AJ35" s="64">
        <f>AJ86*-Assumptions!$D$79/28/VLOOKUP(Assumptions!$D$7, Lists!$B$7:$C$10, 2, FALSE)</f>
        <v>-7142857.1428571427</v>
      </c>
      <c r="AK35" s="108">
        <f>AK86*-Assumptions!$D$79/28/VLOOKUP(Assumptions!$D$7, Lists!$B$7:$C$10, 2, FALSE)</f>
        <v>-7142857.1428571427</v>
      </c>
      <c r="AL35" s="60">
        <f t="shared" si="122"/>
        <v>-28571428.571428571</v>
      </c>
    </row>
    <row r="36" spans="1:38" ht="15.95" outlineLevel="2">
      <c r="A36" s="31"/>
      <c r="C36" s="32" t="s">
        <v>277</v>
      </c>
      <c r="D36" s="185">
        <f>-Assumptions!$D$81/28/VLOOKUP(Assumptions!$D$7, Lists!$B$7:$C$10, 2, FALSE)</f>
        <v>-8928571.4285714291</v>
      </c>
      <c r="E36" s="185">
        <f>-Assumptions!$D$81/28/VLOOKUP(Assumptions!$D$7, Lists!$B$7:$C$10, 2, FALSE)</f>
        <v>-8928571.4285714291</v>
      </c>
      <c r="F36" s="185">
        <f>-Assumptions!$D$81/28/VLOOKUP(Assumptions!$D$7, Lists!$B$7:$C$10, 2, FALSE)</f>
        <v>-8928571.4285714291</v>
      </c>
      <c r="G36" s="185">
        <f>-Assumptions!$D$81/28/VLOOKUP(Assumptions!$D$7, Lists!$B$7:$C$10, 2, FALSE)</f>
        <v>-8928571.4285714291</v>
      </c>
      <c r="H36" s="60">
        <f t="shared" si="116"/>
        <v>-35714285.714285716</v>
      </c>
      <c r="I36" s="185">
        <f>-Assumptions!$D$81/28/VLOOKUP(Assumptions!$D$7, Lists!$B$7:$C$10, 2, FALSE)</f>
        <v>-8928571.4285714291</v>
      </c>
      <c r="J36" s="185">
        <f>-Assumptions!$D$81/28/VLOOKUP(Assumptions!$D$7, Lists!$B$7:$C$10, 2, FALSE)</f>
        <v>-8928571.4285714291</v>
      </c>
      <c r="K36" s="185">
        <f>-Assumptions!$D$81/28/VLOOKUP(Assumptions!$D$7, Lists!$B$7:$C$10, 2, FALSE)</f>
        <v>-8928571.4285714291</v>
      </c>
      <c r="L36" s="185">
        <f>-Assumptions!$D$81/28/VLOOKUP(Assumptions!$D$7, Lists!$B$7:$C$10, 2, FALSE)</f>
        <v>-8928571.4285714291</v>
      </c>
      <c r="M36" s="48">
        <f t="shared" si="117"/>
        <v>-35714285.714285716</v>
      </c>
      <c r="N36" s="185">
        <f>-Assumptions!$D$81/28/VLOOKUP(Assumptions!$D$7, Lists!$B$7:$C$10, 2, FALSE)</f>
        <v>-8928571.4285714291</v>
      </c>
      <c r="O36" s="185">
        <f>-Assumptions!$D$81/28/VLOOKUP(Assumptions!$D$7, Lists!$B$7:$C$10, 2, FALSE)</f>
        <v>-8928571.4285714291</v>
      </c>
      <c r="P36" s="185">
        <f>-Assumptions!$D$81/28/VLOOKUP(Assumptions!$D$7, Lists!$B$7:$C$10, 2, FALSE)</f>
        <v>-8928571.4285714291</v>
      </c>
      <c r="Q36" s="185">
        <f>-Assumptions!$D$81/28/VLOOKUP(Assumptions!$D$7, Lists!$B$7:$C$10, 2, FALSE)</f>
        <v>-8928571.4285714291</v>
      </c>
      <c r="R36" s="48">
        <f t="shared" si="118"/>
        <v>-35714285.714285716</v>
      </c>
      <c r="S36" s="185">
        <f>-Assumptions!$D$81/28/VLOOKUP(Assumptions!$D$7, Lists!$B$7:$C$10, 2, FALSE)</f>
        <v>-8928571.4285714291</v>
      </c>
      <c r="T36" s="185">
        <f>-Assumptions!$D$81/28/VLOOKUP(Assumptions!$D$7, Lists!$B$7:$C$10, 2, FALSE)</f>
        <v>-8928571.4285714291</v>
      </c>
      <c r="U36" s="185">
        <f>-Assumptions!$D$81/28/VLOOKUP(Assumptions!$D$7, Lists!$B$7:$C$10, 2, FALSE)</f>
        <v>-8928571.4285714291</v>
      </c>
      <c r="V36" s="185">
        <f>-Assumptions!$D$81/28/VLOOKUP(Assumptions!$D$7, Lists!$B$7:$C$10, 2, FALSE)</f>
        <v>-8928571.4285714291</v>
      </c>
      <c r="W36" s="48">
        <f t="shared" si="119"/>
        <v>-35714285.714285716</v>
      </c>
      <c r="X36" s="185">
        <f>-Assumptions!$D$81/28/VLOOKUP(Assumptions!$D$7, Lists!$B$7:$C$10, 2, FALSE)</f>
        <v>-8928571.4285714291</v>
      </c>
      <c r="Y36" s="185">
        <f>-Assumptions!$D$81/28/VLOOKUP(Assumptions!$D$7, Lists!$B$7:$C$10, 2, FALSE)</f>
        <v>-8928571.4285714291</v>
      </c>
      <c r="Z36" s="185">
        <f>-Assumptions!$D$81/28/VLOOKUP(Assumptions!$D$7, Lists!$B$7:$C$10, 2, FALSE)</f>
        <v>-8928571.4285714291</v>
      </c>
      <c r="AA36" s="185">
        <f>-Assumptions!$D$81/28/VLOOKUP(Assumptions!$D$7, Lists!$B$7:$C$10, 2, FALSE)</f>
        <v>-8928571.4285714291</v>
      </c>
      <c r="AB36" s="48">
        <f t="shared" si="120"/>
        <v>-35714285.714285716</v>
      </c>
      <c r="AC36" s="185">
        <f>-Assumptions!$D$81/28/VLOOKUP(Assumptions!$D$7, Lists!$B$7:$C$10, 2, FALSE)</f>
        <v>-8928571.4285714291</v>
      </c>
      <c r="AD36" s="185">
        <f>-Assumptions!$D$81/28/VLOOKUP(Assumptions!$D$7, Lists!$B$7:$C$10, 2, FALSE)</f>
        <v>-8928571.4285714291</v>
      </c>
      <c r="AE36" s="185">
        <f>-Assumptions!$D$81/28/VLOOKUP(Assumptions!$D$7, Lists!$B$7:$C$10, 2, FALSE)</f>
        <v>-8928571.4285714291</v>
      </c>
      <c r="AF36" s="185">
        <f>-Assumptions!$D$81/28/VLOOKUP(Assumptions!$D$7, Lists!$B$7:$C$10, 2, FALSE)</f>
        <v>-8928571.4285714291</v>
      </c>
      <c r="AG36" s="48">
        <f t="shared" si="121"/>
        <v>-35714285.714285716</v>
      </c>
      <c r="AH36" s="63">
        <f>-Assumptions!$D$81/28/VLOOKUP(Assumptions!$D$7, Lists!$B$7:$C$10, 2, FALSE)</f>
        <v>-8928571.4285714291</v>
      </c>
      <c r="AI36" s="64">
        <f>-Assumptions!$D$81/28/VLOOKUP(Assumptions!$D$7, Lists!$B$7:$C$10, 2, FALSE)</f>
        <v>-8928571.4285714291</v>
      </c>
      <c r="AJ36" s="64">
        <f>-Assumptions!$D$81/28/VLOOKUP(Assumptions!$D$7, Lists!$B$7:$C$10, 2, FALSE)</f>
        <v>-8928571.4285714291</v>
      </c>
      <c r="AK36" s="108">
        <f>-Assumptions!$D$81/28/VLOOKUP(Assumptions!$D$7, Lists!$B$7:$C$10, 2, FALSE)</f>
        <v>-8928571.4285714291</v>
      </c>
      <c r="AL36" s="60">
        <f t="shared" si="122"/>
        <v>-35714285.714285716</v>
      </c>
    </row>
    <row r="37" spans="1:38" ht="15.95" outlineLevel="1">
      <c r="A37" s="31"/>
      <c r="B37" s="34" t="s">
        <v>278</v>
      </c>
      <c r="C37" s="34"/>
      <c r="D37" s="186">
        <f>SUM(D34:D36)</f>
        <v>-9717857.1428571437</v>
      </c>
      <c r="E37" s="186">
        <f>SUM(E34:E36)</f>
        <v>-10133928.571428571</v>
      </c>
      <c r="F37" s="186">
        <f>SUM(F34:F36)</f>
        <v>-10550000</v>
      </c>
      <c r="G37" s="186">
        <f>SUM(G34:G36)</f>
        <v>-10971428.571428571</v>
      </c>
      <c r="H37" s="61">
        <f t="shared" si="116"/>
        <v>-41373214.285714284</v>
      </c>
      <c r="I37" s="186">
        <f>SUM(I34:I36)</f>
        <v>-11387500</v>
      </c>
      <c r="J37" s="186">
        <f>SUM(J34:J36)</f>
        <v>-11803571.428571429</v>
      </c>
      <c r="K37" s="186">
        <f>SUM(K34:K36)</f>
        <v>-12214285.714285715</v>
      </c>
      <c r="L37" s="186">
        <f>SUM(L34:L36)</f>
        <v>-12625000</v>
      </c>
      <c r="M37" s="51">
        <f t="shared" si="117"/>
        <v>-48030357.142857142</v>
      </c>
      <c r="N37" s="186">
        <f>SUM(N34:N36)</f>
        <v>-13041071.428571429</v>
      </c>
      <c r="O37" s="186">
        <f>SUM(O34:O36)</f>
        <v>-13451785.714285715</v>
      </c>
      <c r="P37" s="186">
        <f>SUM(P34:P36)</f>
        <v>-13867857.142857142</v>
      </c>
      <c r="Q37" s="186">
        <f>SUM(Q34:Q36)</f>
        <v>-14278571.428571429</v>
      </c>
      <c r="R37" s="51">
        <f t="shared" si="118"/>
        <v>-54639285.714285716</v>
      </c>
      <c r="S37" s="186">
        <f>SUM(S34:S36)</f>
        <v>-14683928.571428571</v>
      </c>
      <c r="T37" s="186">
        <f>SUM(T34:T36)</f>
        <v>-15094642.857142858</v>
      </c>
      <c r="U37" s="186">
        <f>SUM(U34:U36)</f>
        <v>-15505357.142857144</v>
      </c>
      <c r="V37" s="186">
        <f>SUM(V34:V36)</f>
        <v>-15916071.428571429</v>
      </c>
      <c r="W37" s="51">
        <f t="shared" si="119"/>
        <v>-61200000</v>
      </c>
      <c r="X37" s="186">
        <f>SUM(X34:X36)</f>
        <v>-16321428.571428571</v>
      </c>
      <c r="Y37" s="186">
        <f>SUM(Y34:Y36)</f>
        <v>-16721428.571428571</v>
      </c>
      <c r="Z37" s="186">
        <f>SUM(Z34:Z36)</f>
        <v>-17126785.714285716</v>
      </c>
      <c r="AA37" s="186">
        <f>SUM(AA34:AA36)</f>
        <v>-17537500</v>
      </c>
      <c r="AB37" s="51">
        <f t="shared" si="120"/>
        <v>-67707142.857142866</v>
      </c>
      <c r="AC37" s="186">
        <f>SUM(AC34:AC36)</f>
        <v>-17532142.857142858</v>
      </c>
      <c r="AD37" s="186">
        <f>SUM(AD34:AD36)</f>
        <v>-17153571.428571429</v>
      </c>
      <c r="AE37" s="186">
        <f>SUM(AE34:AE36)</f>
        <v>-17148214.285714287</v>
      </c>
      <c r="AF37" s="186">
        <f>SUM(AF34:AF36)</f>
        <v>-17148214.285714287</v>
      </c>
      <c r="AG37" s="51">
        <f t="shared" si="121"/>
        <v>-68982142.857142851</v>
      </c>
      <c r="AH37" s="65">
        <f>SUM(AH34:AH36)</f>
        <v>-17132142.857142858</v>
      </c>
      <c r="AI37" s="66">
        <f>SUM(AI34:AI36)</f>
        <v>-17126785.714285716</v>
      </c>
      <c r="AJ37" s="66">
        <f>SUM(AJ34:AJ36)</f>
        <v>-17126785.714285716</v>
      </c>
      <c r="AK37" s="141">
        <f>SUM(AK34:AK36)</f>
        <v>-17116071.428571429</v>
      </c>
      <c r="AL37" s="61">
        <f t="shared" si="122"/>
        <v>-68501785.714285716</v>
      </c>
    </row>
    <row r="38" spans="1:38" ht="15.95" outlineLevel="2">
      <c r="A38" s="31"/>
      <c r="C38" s="32" t="s">
        <v>279</v>
      </c>
      <c r="D38" s="185">
        <f>D86*-Assumptions!$D$78/4/VLOOKUP(Assumptions!$D$7, Lists!$B$7:$C$10, 2, FALSE)</f>
        <v>-2500000</v>
      </c>
      <c r="E38" s="185">
        <f>E86*-Assumptions!$D$78/4/VLOOKUP(Assumptions!$D$7, Lists!$B$7:$C$10, 2, FALSE)</f>
        <v>-3750000</v>
      </c>
      <c r="F38" s="185">
        <f>F86*-Assumptions!$D$78/4/VLOOKUP(Assumptions!$D$7, Lists!$B$7:$C$10, 2, FALSE)</f>
        <v>-5000000</v>
      </c>
      <c r="G38" s="185">
        <f>G86*-Assumptions!$D$78/4/VLOOKUP(Assumptions!$D$7, Lists!$B$7:$C$10, 2, FALSE)</f>
        <v>-6250000</v>
      </c>
      <c r="H38" s="60">
        <f t="shared" si="116"/>
        <v>-17500000</v>
      </c>
      <c r="I38" s="185">
        <f>I86*-Assumptions!$D$78/4/VLOOKUP(Assumptions!$D$7, Lists!$B$7:$C$10, 2, FALSE)</f>
        <v>-7500000</v>
      </c>
      <c r="J38" s="185">
        <f>J86*-Assumptions!$D$78/4/VLOOKUP(Assumptions!$D$7, Lists!$B$7:$C$10, 2, FALSE)</f>
        <v>-8750000</v>
      </c>
      <c r="K38" s="185">
        <f>K86*-Assumptions!$D$78/4/VLOOKUP(Assumptions!$D$7, Lists!$B$7:$C$10, 2, FALSE)</f>
        <v>-10000000</v>
      </c>
      <c r="L38" s="185">
        <f>L86*-Assumptions!$D$78/4/VLOOKUP(Assumptions!$D$7, Lists!$B$7:$C$10, 2, FALSE)</f>
        <v>-11250000</v>
      </c>
      <c r="M38" s="48">
        <f t="shared" si="117"/>
        <v>-37500000</v>
      </c>
      <c r="N38" s="185">
        <f>N86*-Assumptions!$D$78/4/VLOOKUP(Assumptions!$D$7, Lists!$B$7:$C$10, 2, FALSE)</f>
        <v>-12500000</v>
      </c>
      <c r="O38" s="185">
        <f>O86*-Assumptions!$D$78/4/VLOOKUP(Assumptions!$D$7, Lists!$B$7:$C$10, 2, FALSE)</f>
        <v>-13750000</v>
      </c>
      <c r="P38" s="185">
        <f>P86*-Assumptions!$D$78/4/VLOOKUP(Assumptions!$D$7, Lists!$B$7:$C$10, 2, FALSE)</f>
        <v>-15000000</v>
      </c>
      <c r="Q38" s="185">
        <f>Q86*-Assumptions!$D$78/4/VLOOKUP(Assumptions!$D$7, Lists!$B$7:$C$10, 2, FALSE)</f>
        <v>-16250000</v>
      </c>
      <c r="R38" s="48">
        <f t="shared" si="118"/>
        <v>-57500000</v>
      </c>
      <c r="S38" s="185">
        <f>S86*-Assumptions!$D$78/4/VLOOKUP(Assumptions!$D$7, Lists!$B$7:$C$10, 2, FALSE)</f>
        <v>-17500000</v>
      </c>
      <c r="T38" s="185">
        <f>T86*-Assumptions!$D$78/4/VLOOKUP(Assumptions!$D$7, Lists!$B$7:$C$10, 2, FALSE)</f>
        <v>-18750000</v>
      </c>
      <c r="U38" s="185">
        <f>U86*-Assumptions!$D$78/4/VLOOKUP(Assumptions!$D$7, Lists!$B$7:$C$10, 2, FALSE)</f>
        <v>-20000000</v>
      </c>
      <c r="V38" s="185">
        <f>V86*-Assumptions!$D$78/4/VLOOKUP(Assumptions!$D$7, Lists!$B$7:$C$10, 2, FALSE)</f>
        <v>-21250000</v>
      </c>
      <c r="W38" s="48">
        <f t="shared" si="119"/>
        <v>-77500000</v>
      </c>
      <c r="X38" s="185">
        <f>X86*-Assumptions!$D$78/4/VLOOKUP(Assumptions!$D$7, Lists!$B$7:$C$10, 2, FALSE)</f>
        <v>-22500000</v>
      </c>
      <c r="Y38" s="185">
        <f>Y86*-Assumptions!$D$78/4/VLOOKUP(Assumptions!$D$7, Lists!$B$7:$C$10, 2, FALSE)</f>
        <v>-23750000</v>
      </c>
      <c r="Z38" s="185">
        <f>Z86*-Assumptions!$D$78/4/VLOOKUP(Assumptions!$D$7, Lists!$B$7:$C$10, 2, FALSE)</f>
        <v>-25000000</v>
      </c>
      <c r="AA38" s="185">
        <f>AA86*-Assumptions!$D$78/4/VLOOKUP(Assumptions!$D$7, Lists!$B$7:$C$10, 2, FALSE)</f>
        <v>-26250000</v>
      </c>
      <c r="AB38" s="48">
        <f t="shared" si="120"/>
        <v>-97500000</v>
      </c>
      <c r="AC38" s="185">
        <f>AC86*-Assumptions!$D$78/4/VLOOKUP(Assumptions!$D$7, Lists!$B$7:$C$10, 2, FALSE)</f>
        <v>-26250000</v>
      </c>
      <c r="AD38" s="185">
        <f>AD86*-Assumptions!$D$78/4/VLOOKUP(Assumptions!$D$7, Lists!$B$7:$C$10, 2, FALSE)</f>
        <v>-25000000</v>
      </c>
      <c r="AE38" s="185">
        <f>AE86*-Assumptions!$D$78/4/VLOOKUP(Assumptions!$D$7, Lists!$B$7:$C$10, 2, FALSE)</f>
        <v>-25000000</v>
      </c>
      <c r="AF38" s="185">
        <f>AF86*-Assumptions!$D$78/4/VLOOKUP(Assumptions!$D$7, Lists!$B$7:$C$10, 2, FALSE)</f>
        <v>-25000000</v>
      </c>
      <c r="AG38" s="48">
        <f t="shared" si="121"/>
        <v>-101250000</v>
      </c>
      <c r="AH38" s="63">
        <f>AH86*-Assumptions!$D$78/4/VLOOKUP(Assumptions!$D$7, Lists!$B$7:$C$10, 2, FALSE)</f>
        <v>-25000000</v>
      </c>
      <c r="AI38" s="64">
        <f>AI86*-Assumptions!$D$78/4/VLOOKUP(Assumptions!$D$7, Lists!$B$7:$C$10, 2, FALSE)</f>
        <v>-25000000</v>
      </c>
      <c r="AJ38" s="64">
        <f>AJ86*-Assumptions!$D$78/4/VLOOKUP(Assumptions!$D$7, Lists!$B$7:$C$10, 2, FALSE)</f>
        <v>-25000000</v>
      </c>
      <c r="AK38" s="108">
        <f>AK86*-Assumptions!$D$78/4/VLOOKUP(Assumptions!$D$7, Lists!$B$7:$C$10, 2, FALSE)</f>
        <v>-25000000</v>
      </c>
      <c r="AL38" s="60">
        <f t="shared" si="122"/>
        <v>-100000000</v>
      </c>
    </row>
    <row r="39" spans="1:38" ht="15.95" outlineLevel="2">
      <c r="A39" s="31"/>
      <c r="C39" s="32" t="s">
        <v>280</v>
      </c>
      <c r="D39" s="185">
        <f>D86*-Assumptions!$D$83/4/VLOOKUP(Assumptions!$D$7, Lists!$B$7:$C$10, 2, FALSE)</f>
        <v>-250000</v>
      </c>
      <c r="E39" s="185">
        <f>E86*-Assumptions!$D$83/4/VLOOKUP(Assumptions!$D$7, Lists!$B$7:$C$10, 2, FALSE)</f>
        <v>-375000</v>
      </c>
      <c r="F39" s="185">
        <f>F86*-Assumptions!$D$83/4/VLOOKUP(Assumptions!$D$7, Lists!$B$7:$C$10, 2, FALSE)</f>
        <v>-500000</v>
      </c>
      <c r="G39" s="185">
        <f>G86*-Assumptions!$D$83/4/VLOOKUP(Assumptions!$D$7, Lists!$B$7:$C$10, 2, FALSE)</f>
        <v>-625000</v>
      </c>
      <c r="H39" s="60">
        <f t="shared" si="116"/>
        <v>-1750000</v>
      </c>
      <c r="I39" s="185">
        <f>I86*-Assumptions!$D$83/4/VLOOKUP(Assumptions!$D$7, Lists!$B$7:$C$10, 2, FALSE)</f>
        <v>-750000</v>
      </c>
      <c r="J39" s="185">
        <f>J86*-Assumptions!$D$83/4/VLOOKUP(Assumptions!$D$7, Lists!$B$7:$C$10, 2, FALSE)</f>
        <v>-875000</v>
      </c>
      <c r="K39" s="185">
        <f>K86*-Assumptions!$D$83/4/VLOOKUP(Assumptions!$D$7, Lists!$B$7:$C$10, 2, FALSE)</f>
        <v>-1000000</v>
      </c>
      <c r="L39" s="185">
        <f>L86*-Assumptions!$D$83/4/VLOOKUP(Assumptions!$D$7, Lists!$B$7:$C$10, 2, FALSE)</f>
        <v>-1125000</v>
      </c>
      <c r="M39" s="48">
        <f t="shared" si="117"/>
        <v>-3750000</v>
      </c>
      <c r="N39" s="185">
        <f>N86*-Assumptions!$D$83/4/VLOOKUP(Assumptions!$D$7, Lists!$B$7:$C$10, 2, FALSE)</f>
        <v>-1250000</v>
      </c>
      <c r="O39" s="185">
        <f>O86*-Assumptions!$D$83/4/VLOOKUP(Assumptions!$D$7, Lists!$B$7:$C$10, 2, FALSE)</f>
        <v>-1375000</v>
      </c>
      <c r="P39" s="185">
        <f>P86*-Assumptions!$D$83/4/VLOOKUP(Assumptions!$D$7, Lists!$B$7:$C$10, 2, FALSE)</f>
        <v>-1500000</v>
      </c>
      <c r="Q39" s="185">
        <f>Q86*-Assumptions!$D$83/4/VLOOKUP(Assumptions!$D$7, Lists!$B$7:$C$10, 2, FALSE)</f>
        <v>-1625000</v>
      </c>
      <c r="R39" s="48">
        <f t="shared" si="118"/>
        <v>-5750000</v>
      </c>
      <c r="S39" s="185">
        <f>S86*-Assumptions!$D$83/4/VLOOKUP(Assumptions!$D$7, Lists!$B$7:$C$10, 2, FALSE)</f>
        <v>-1750000</v>
      </c>
      <c r="T39" s="185">
        <f>T86*-Assumptions!$D$83/4/VLOOKUP(Assumptions!$D$7, Lists!$B$7:$C$10, 2, FALSE)</f>
        <v>-1875000</v>
      </c>
      <c r="U39" s="185">
        <f>U86*-Assumptions!$D$83/4/VLOOKUP(Assumptions!$D$7, Lists!$B$7:$C$10, 2, FALSE)</f>
        <v>-2000000</v>
      </c>
      <c r="V39" s="185">
        <f>V86*-Assumptions!$D$83/4/VLOOKUP(Assumptions!$D$7, Lists!$B$7:$C$10, 2, FALSE)</f>
        <v>-2125000</v>
      </c>
      <c r="W39" s="48">
        <f t="shared" si="119"/>
        <v>-7750000</v>
      </c>
      <c r="X39" s="185">
        <f>X86*-Assumptions!$D$83/4/VLOOKUP(Assumptions!$D$7, Lists!$B$7:$C$10, 2, FALSE)</f>
        <v>-2250000</v>
      </c>
      <c r="Y39" s="185">
        <f>Y86*-Assumptions!$D$83/4/VLOOKUP(Assumptions!$D$7, Lists!$B$7:$C$10, 2, FALSE)</f>
        <v>-2375000</v>
      </c>
      <c r="Z39" s="185">
        <f>Z86*-Assumptions!$D$83/4/VLOOKUP(Assumptions!$D$7, Lists!$B$7:$C$10, 2, FALSE)</f>
        <v>-2500000</v>
      </c>
      <c r="AA39" s="185">
        <f>AA86*-Assumptions!$D$83/4/VLOOKUP(Assumptions!$D$7, Lists!$B$7:$C$10, 2, FALSE)</f>
        <v>-2625000</v>
      </c>
      <c r="AB39" s="48">
        <f t="shared" si="120"/>
        <v>-9750000</v>
      </c>
      <c r="AC39" s="185">
        <f>AC86*-Assumptions!$D$83/4/VLOOKUP(Assumptions!$D$7, Lists!$B$7:$C$10, 2, FALSE)</f>
        <v>-2625000</v>
      </c>
      <c r="AD39" s="185">
        <f>AD86*-Assumptions!$D$83/4/VLOOKUP(Assumptions!$D$7, Lists!$B$7:$C$10, 2, FALSE)</f>
        <v>-2500000</v>
      </c>
      <c r="AE39" s="185">
        <f>AE86*-Assumptions!$D$83/4/VLOOKUP(Assumptions!$D$7, Lists!$B$7:$C$10, 2, FALSE)</f>
        <v>-2500000</v>
      </c>
      <c r="AF39" s="185">
        <f>AF86*-Assumptions!$D$83/4/VLOOKUP(Assumptions!$D$7, Lists!$B$7:$C$10, 2, FALSE)</f>
        <v>-2500000</v>
      </c>
      <c r="AG39" s="48">
        <f t="shared" si="121"/>
        <v>-10125000</v>
      </c>
      <c r="AH39" s="63">
        <f>AH86*-Assumptions!$D$83/4/VLOOKUP(Assumptions!$D$7, Lists!$B$7:$C$10, 2, FALSE)</f>
        <v>-2500000</v>
      </c>
      <c r="AI39" s="64">
        <f>AI86*-Assumptions!$D$83/4/VLOOKUP(Assumptions!$D$7, Lists!$B$7:$C$10, 2, FALSE)</f>
        <v>-2500000</v>
      </c>
      <c r="AJ39" s="64">
        <f>AJ86*-Assumptions!$D$83/4/VLOOKUP(Assumptions!$D$7, Lists!$B$7:$C$10, 2, FALSE)</f>
        <v>-2500000</v>
      </c>
      <c r="AK39" s="108">
        <f>AK86*-Assumptions!$D$83/4/VLOOKUP(Assumptions!$D$7, Lists!$B$7:$C$10, 2, FALSE)</f>
        <v>-2500000</v>
      </c>
      <c r="AL39" s="60">
        <f t="shared" si="122"/>
        <v>-10000000</v>
      </c>
    </row>
    <row r="40" spans="1:38" ht="15.95" outlineLevel="2">
      <c r="A40" s="31"/>
      <c r="C40" s="32" t="s">
        <v>281</v>
      </c>
      <c r="D40" s="185">
        <f>SUM(D68:D71)*(1-Assumptions!$D$88)*-Assumptions!D86/VLOOKUP(Assumptions!$D$7, Lists!$B$7:$C$10, 2, FALSE)</f>
        <v>-103950000</v>
      </c>
      <c r="E40" s="185">
        <f>(-IF((SUM(E68:E71)-SUM(D68:D71)-SUM(E68:E71)*(Assumptions!$D$87+Assumptions!$D$88)-Assumptions!$D$59*Assumptions!$D$60)*Assumptions!$D$86&gt;0,(SUM(E68:E71)-SUM(D68:D71)-SUM(E68:E71)*(Assumptions!$D$87+Assumptions!$D$88)-Assumptions!$D$59*Assumptions!$D$60)*Assumptions!$D$86,0))/VLOOKUP(Assumptions!$D$7, Lists!$B$7:$C$10, 2, FALSE)</f>
        <v>-82970000</v>
      </c>
      <c r="F40" s="185">
        <f>(-IF((SUM(F68:F71)-SUM(E68:E71)-SUM(F68:F71)*(Assumptions!$D$87+Assumptions!$D$88)-Assumptions!$D$59*Assumptions!$D$60)*Assumptions!$D$86&gt;0,(SUM(F68:F71)-SUM(E68:E71)-SUM(F68:F71)*(Assumptions!$D$87+Assumptions!$D$88)-Assumptions!$D$59*Assumptions!$D$60)*Assumptions!$D$86,0))/VLOOKUP(Assumptions!$D$7, Lists!$B$7:$C$10, 2, FALSE)</f>
        <v>-67955000</v>
      </c>
      <c r="G40" s="185">
        <f>(-IF((SUM(G68:G71)-SUM(F68:F71)-SUM(G68:G71)*(Assumptions!$D$87+Assumptions!$D$88)-Assumptions!$D$59*Assumptions!$D$60)*Assumptions!$D$86&gt;0,(SUM(G68:G71)-SUM(F68:F71)-SUM(G68:G71)*(Assumptions!$D$87+Assumptions!$D$88)-Assumptions!$D$59*Assumptions!$D$60)*Assumptions!$D$86,0))/VLOOKUP(Assumptions!$D$7, Lists!$B$7:$C$10, 2, FALSE)</f>
        <v>-52940000</v>
      </c>
      <c r="H40" s="60">
        <f t="shared" si="116"/>
        <v>-307815000</v>
      </c>
      <c r="I40" s="185">
        <f>(-IF((SUM(I68:I71)-SUM(H68:H71)-SUM(I68:I71)*(Assumptions!$D$87+Assumptions!$D$88)-Assumptions!$D$59*Assumptions!$D$60)*Assumptions!$D$86&gt;0,(SUM(I68:I71)-SUM(H68:H71)-SUM(I68:I71)*(Assumptions!$D$87+Assumptions!$D$88)-Assumptions!$D$59*Assumptions!$D$60)*Assumptions!$D$86,0))/VLOOKUP(Assumptions!$D$7, Lists!$B$7:$C$10, 2, FALSE)</f>
        <v>-37925000</v>
      </c>
      <c r="J40" s="185">
        <f>(-IF((SUM(J68:J71)-SUM(I68:I71)-SUM(J68:J71)*(Assumptions!$D$87+Assumptions!$D$88)-Assumptions!$D$59*Assumptions!$D$60)*Assumptions!$D$86&gt;0,(SUM(J68:J71)-SUM(I68:I71)-SUM(J68:J71)*(Assumptions!$D$87+Assumptions!$D$88)-Assumptions!$D$59*Assumptions!$D$60)*Assumptions!$D$86,0))/VLOOKUP(Assumptions!$D$7, Lists!$B$7:$C$10, 2, FALSE)</f>
        <v>-22910000.000000004</v>
      </c>
      <c r="K40" s="185">
        <f>(-IF((SUM(K68:K71)-SUM(J68:J71)-SUM(K68:K71)*(Assumptions!$D$87+Assumptions!$D$88)-Assumptions!$D$59*Assumptions!$D$60)*Assumptions!$D$86&gt;0,(SUM(K68:K71)-SUM(J68:J71)-SUM(K68:K71)*(Assumptions!$D$87+Assumptions!$D$88)-Assumptions!$D$59*Assumptions!$D$60)*Assumptions!$D$86,0))/VLOOKUP(Assumptions!$D$7, Lists!$B$7:$C$10, 2, FALSE)</f>
        <v>-7895000.0000000047</v>
      </c>
      <c r="L40" s="185">
        <f>(-IF((SUM(L68:L71)-SUM(K68:K71)-SUM(L68:L71)*(Assumptions!$D$87+Assumptions!$D$88)-Assumptions!$D$59*Assumptions!$D$60)*Assumptions!$D$86&gt;0,(SUM(L68:L71)-SUM(K68:K71)-SUM(L68:L71)*(Assumptions!$D$87+Assumptions!$D$88)-Assumptions!$D$59*Assumptions!$D$60)*Assumptions!$D$86,0))/VLOOKUP(Assumptions!$D$7, Lists!$B$7:$C$10, 2, FALSE)</f>
        <v>0</v>
      </c>
      <c r="M40" s="48">
        <f t="shared" si="117"/>
        <v>-68730000</v>
      </c>
      <c r="N40" s="185">
        <f>(-IF((SUM(N68:N71)-SUM(M68:M71)-SUM(N68:N71)*(Assumptions!$D$87+Assumptions!$D$88)-Assumptions!$D$59*Assumptions!$D$60)*Assumptions!$D$86&gt;0,(SUM(N68:N71)-SUM(M68:M71)-SUM(N68:N71)*(Assumptions!$D$87+Assumptions!$D$88)-Assumptions!$D$59*Assumptions!$D$60)*Assumptions!$D$86,0))/VLOOKUP(Assumptions!$D$7, Lists!$B$7:$C$10, 2, FALSE)</f>
        <v>0</v>
      </c>
      <c r="O40" s="185">
        <f>(-IF((SUM(O68:O71)-SUM(N68:N71)-SUM(O68:O71)*(Assumptions!$D$87+Assumptions!$D$88)-Assumptions!$D$59*Assumptions!$D$60)*Assumptions!$D$86&gt;0,(SUM(O68:O71)-SUM(N68:N71)-SUM(O68:O71)*(Assumptions!$D$87+Assumptions!$D$88)-Assumptions!$D$59*Assumptions!$D$60)*Assumptions!$D$86,0))/VLOOKUP(Assumptions!$D$7, Lists!$B$7:$C$10, 2, FALSE)</f>
        <v>0</v>
      </c>
      <c r="P40" s="185">
        <f>(-IF((SUM(P68:P71)-SUM(O68:O71)-SUM(P68:P71)*(Assumptions!$D$87+Assumptions!$D$88)-Assumptions!$D$59*Assumptions!$D$60)*Assumptions!$D$86&gt;0,(SUM(P68:P71)-SUM(O68:O71)-SUM(P68:P71)*(Assumptions!$D$87+Assumptions!$D$88)-Assumptions!$D$59*Assumptions!$D$60)*Assumptions!$D$86,0))/VLOOKUP(Assumptions!$D$7, Lists!$B$7:$C$10, 2, FALSE)</f>
        <v>0</v>
      </c>
      <c r="Q40" s="185">
        <f>(-IF((SUM(Q68:Q71)-SUM(P68:P71)-SUM(Q68:Q71)*(Assumptions!$D$87+Assumptions!$D$88)-Assumptions!$D$59*Assumptions!$D$60)*Assumptions!$D$86&gt;0,(SUM(Q68:Q71)-SUM(P68:P71)-SUM(Q68:Q71)*(Assumptions!$D$87+Assumptions!$D$88)-Assumptions!$D$59*Assumptions!$D$60)*Assumptions!$D$86,0))/VLOOKUP(Assumptions!$D$7, Lists!$B$7:$C$10, 2, FALSE)</f>
        <v>0</v>
      </c>
      <c r="R40" s="48">
        <f t="shared" si="118"/>
        <v>0</v>
      </c>
      <c r="S40" s="185">
        <f>(-IF((SUM(S68:S71)-SUM(R68:R71)-SUM(S68:S71)*(Assumptions!$D$87+Assumptions!$D$88)-Assumptions!$D$59*Assumptions!$D$60)*Assumptions!$D$86&gt;0,(SUM(S68:S71)-SUM(R68:R71)-SUM(S68:S71)*(Assumptions!$D$87+Assumptions!$D$88)-Assumptions!$D$59*Assumptions!$D$60)*Assumptions!$D$86,0))/VLOOKUP(Assumptions!$D$7, Lists!$B$7:$C$10, 2, FALSE)</f>
        <v>0</v>
      </c>
      <c r="T40" s="185">
        <f>(-IF((SUM(T68:T71)-SUM(S68:S71)-SUM(T68:T71)*(Assumptions!$D$87+Assumptions!$D$88)-Assumptions!$D$59*Assumptions!$D$60)*Assumptions!$D$86&gt;0,(SUM(T68:T71)-SUM(S68:S71)-SUM(T68:T71)*(Assumptions!$D$87+Assumptions!$D$88)-Assumptions!$D$59*Assumptions!$D$60)*Assumptions!$D$86,0))/VLOOKUP(Assumptions!$D$7, Lists!$B$7:$C$10, 2, FALSE)</f>
        <v>0</v>
      </c>
      <c r="U40" s="185">
        <f>(-IF((SUM(U68:U71)-SUM(T68:T71)-SUM(U68:U71)*(Assumptions!$D$87+Assumptions!$D$88)-Assumptions!$D$59*Assumptions!$D$60)*Assumptions!$D$86&gt;0,(SUM(U68:U71)-SUM(T68:T71)-SUM(U68:U71)*(Assumptions!$D$87+Assumptions!$D$88)-Assumptions!$D$59*Assumptions!$D$60)*Assumptions!$D$86,0))/VLOOKUP(Assumptions!$D$7, Lists!$B$7:$C$10, 2, FALSE)</f>
        <v>0</v>
      </c>
      <c r="V40" s="185">
        <f>(-IF((SUM(V68:V71)-SUM(U68:U71)-SUM(V68:V71)*(Assumptions!$D$87+Assumptions!$D$88)-Assumptions!$D$59*Assumptions!$D$60)*Assumptions!$D$86&gt;0,(SUM(V68:V71)-SUM(U68:U71)-SUM(V68:V71)*(Assumptions!$D$87+Assumptions!$D$88)-Assumptions!$D$59*Assumptions!$D$60)*Assumptions!$D$86,0))/VLOOKUP(Assumptions!$D$7, Lists!$B$7:$C$10, 2, FALSE)</f>
        <v>0</v>
      </c>
      <c r="W40" s="48">
        <f t="shared" si="119"/>
        <v>0</v>
      </c>
      <c r="X40" s="185">
        <f>(-IF((SUM(X68:X71)-SUM(W68:W71)-SUM(X68:X71)*(Assumptions!$D$87+Assumptions!$D$88)-Assumptions!$D$59*Assumptions!$D$60)*Assumptions!$D$86&gt;0,(SUM(X68:X71)-SUM(W68:W71)-SUM(X68:X71)*(Assumptions!$D$87+Assumptions!$D$88)-Assumptions!$D$59*Assumptions!$D$60)*Assumptions!$D$86,0))/VLOOKUP(Assumptions!$D$7, Lists!$B$7:$C$10, 2, FALSE)</f>
        <v>0</v>
      </c>
      <c r="Y40" s="185">
        <f>(-IF((SUM(Y68:Y71)-SUM(X68:X71)-SUM(Y68:Y71)*(Assumptions!$D$87+Assumptions!$D$88)-Assumptions!$D$59*Assumptions!$D$60)*Assumptions!$D$86&gt;0,(SUM(Y68:Y71)-SUM(X68:X71)-SUM(Y68:Y71)*(Assumptions!$D$87+Assumptions!$D$88)-Assumptions!$D$59*Assumptions!$D$60)*Assumptions!$D$86,0))/VLOOKUP(Assumptions!$D$7, Lists!$B$7:$C$10, 2, FALSE)</f>
        <v>0</v>
      </c>
      <c r="Z40" s="185">
        <f>(-IF((SUM(Z68:Z71)-SUM(Y68:Y71)-SUM(Z68:Z71)*(Assumptions!$D$87+Assumptions!$D$88)-Assumptions!$D$59*Assumptions!$D$60)*Assumptions!$D$86&gt;0,(SUM(Z68:Z71)-SUM(Y68:Y71)-SUM(Z68:Z71)*(Assumptions!$D$87+Assumptions!$D$88)-Assumptions!$D$59*Assumptions!$D$60)*Assumptions!$D$86,0))/VLOOKUP(Assumptions!$D$7, Lists!$B$7:$C$10, 2, FALSE)</f>
        <v>0</v>
      </c>
      <c r="AA40" s="185">
        <f>(-IF((SUM(AA68:AA71)-SUM(Z68:Z71)-SUM(AA68:AA71)*(Assumptions!$D$87+Assumptions!$D$88)-Assumptions!$D$59*Assumptions!$D$60)*Assumptions!$D$86&gt;0,(SUM(AA68:AA71)-SUM(Z68:Z71)-SUM(AA68:AA71)*(Assumptions!$D$87+Assumptions!$D$88)-Assumptions!$D$59*Assumptions!$D$60)*Assumptions!$D$86,0))/VLOOKUP(Assumptions!$D$7, Lists!$B$7:$C$10, 2, FALSE)</f>
        <v>0</v>
      </c>
      <c r="AB40" s="48">
        <f t="shared" si="120"/>
        <v>0</v>
      </c>
      <c r="AC40" s="185">
        <f>-IF((SUM(AC68:AC71)-SUM(AB68:AB71)-SUM(AC68:AC71)*(Assumptions!$D$87+Assumptions!$D$88)-Assumptions!$D$59*Assumptions!$D$60)*Assumptions!$D$86&gt;0,(SUM(AC68:AC71)-SUM(AB68:AB71)-SUM(AC68:AC71)*(Assumptions!$D$87+Assumptions!$D$88)-Assumptions!$D$59*Assumptions!$D$60)*Assumptions!$D$86,0)</f>
        <v>0</v>
      </c>
      <c r="AD40" s="185">
        <f>-IF((SUM(AD68:AD71)-SUM(AC68:AC71)-SUM(AD68:AD71)*(Assumptions!$D$87+Assumptions!$D$88)-Assumptions!$D$59*Assumptions!$D$60)*Assumptions!$D$86&gt;0,(SUM(AD68:AD71)-SUM(AC68:AC71)-SUM(AD68:AD71)*(Assumptions!$D$87+Assumptions!$D$88)-Assumptions!$D$59*Assumptions!$D$60)*Assumptions!$D$86,0)</f>
        <v>0</v>
      </c>
      <c r="AE40" s="185">
        <f>-IF((SUM(AE68:AE71)-SUM(AD68:AD71)-SUM(AE68:AE71)*(Assumptions!$D$87+Assumptions!$D$88)-Assumptions!$D$59*Assumptions!$D$60)*Assumptions!$D$86&gt;0,(SUM(AE68:AE71)-SUM(AD68:AD71)-SUM(AE68:AE71)*(Assumptions!$D$87+Assumptions!$D$88)-Assumptions!$D$59*Assumptions!$D$60)*Assumptions!$D$86,0)</f>
        <v>0</v>
      </c>
      <c r="AF40" s="185">
        <f>-IF((SUM(AF68:AF71)-SUM(AE68:AE71)-SUM(AF68:AF71)*(Assumptions!$D$87+Assumptions!$D$88)-Assumptions!$D$59*Assumptions!$D$60)*Assumptions!$D$86&gt;0,(SUM(AF68:AF71)-SUM(AE68:AE71)-SUM(AF68:AF71)*(Assumptions!$D$87+Assumptions!$D$88)-Assumptions!$D$59*Assumptions!$D$60)*Assumptions!$D$86,0)</f>
        <v>0</v>
      </c>
      <c r="AG40" s="48">
        <f t="shared" si="121"/>
        <v>0</v>
      </c>
      <c r="AH40" s="63">
        <f>(-IF((SUM(AH68:AH71)-SUM(AG68:AG71)-SUM(AH68:AH71)*(Assumptions!$D$87+Assumptions!$D$88)-Assumptions!$D$59*Assumptions!$D$60)*Assumptions!$D$86&gt;0,(SUM(AH68:AH71)-SUM(AG68:AG71)-SUM(AH68:AH71)*(Assumptions!$D$87+Assumptions!$D$88)-Assumptions!$D$59*Assumptions!$D$60)*Assumptions!$D$86,0))/VLOOKUP(Assumptions!$D$7, Lists!$B$7:$C$10, 2, FALSE)</f>
        <v>0</v>
      </c>
      <c r="AI40" s="64">
        <f>(-IF((SUM(AI68:AI71)-SUM(AH68:AH71)-SUM(AI68:AI71)*(Assumptions!$D$87+Assumptions!$D$88)-Assumptions!$D$59*Assumptions!$D$60)*Assumptions!$D$86&gt;0,(SUM(AI68:AI71)-SUM(AH68:AH71)-SUM(AI68:AI71)*(Assumptions!$D$87+Assumptions!$D$88)-Assumptions!$D$59*Assumptions!$D$60)*Assumptions!$D$86,0))/VLOOKUP(Assumptions!$D$7, Lists!$B$7:$C$10, 2, FALSE)</f>
        <v>0</v>
      </c>
      <c r="AJ40" s="64">
        <f>(-IF((SUM(AJ68:AJ71)-SUM(AI68:AI71)-SUM(AJ68:AJ71)*(Assumptions!$D$87+Assumptions!$D$88)-Assumptions!$D$59*Assumptions!$D$60)*Assumptions!$D$86&gt;0,(SUM(AJ68:AJ71)-SUM(AI68:AI71)-SUM(AJ68:AJ71)*(Assumptions!$D$87+Assumptions!$D$88)-Assumptions!$D$59*Assumptions!$D$60)*Assumptions!$D$86,0))/VLOOKUP(Assumptions!$D$7, Lists!$B$7:$C$10, 2, FALSE)</f>
        <v>0</v>
      </c>
      <c r="AK40" s="108">
        <f>(-IF((SUM(AK68:AK71)-SUM(AJ68:AJ71)-SUM(AK68:AK71)*(Assumptions!$D$87+Assumptions!$D$88)-Assumptions!$D$59*Assumptions!$D$60)*Assumptions!$D$86&gt;0,(SUM(AK68:AK71)-SUM(AJ68:AJ71)-SUM(AK68:AK71)*(Assumptions!$D$87+Assumptions!$D$88)-Assumptions!$D$59*Assumptions!$D$60)*Assumptions!$D$86,0))/VLOOKUP(Assumptions!$D$7, Lists!$B$7:$C$10, 2, FALSE)</f>
        <v>0</v>
      </c>
      <c r="AL40" s="60">
        <f t="shared" si="122"/>
        <v>0</v>
      </c>
    </row>
    <row r="41" spans="1:38" ht="15.95" outlineLevel="2">
      <c r="A41" s="31"/>
      <c r="C41" s="32" t="s">
        <v>282</v>
      </c>
      <c r="D41" s="185">
        <f>SUM(D68:D71)*Assumptions!$D$88*-Assumptions!$D$89/VLOOKUP(Assumptions!$D$7, Lists!$B$7:$C$10, 2, FALSE)</f>
        <v>-4620000</v>
      </c>
      <c r="E41" s="185">
        <f>((SUM(E68:E70)-SUM(D68:D70))*-Assumptions!$D$89)/VLOOKUP(Assumptions!$D$7, Lists!$B$7:$C$10, 2, FALSE)</f>
        <v>-6200000</v>
      </c>
      <c r="F41" s="185">
        <f>((SUM(F68:F70)-SUM(E68:E70))*-Assumptions!$D$89)/VLOOKUP(Assumptions!$D$7, Lists!$B$7:$C$10, 2, FALSE)</f>
        <v>-6200000</v>
      </c>
      <c r="G41" s="185">
        <f>((SUM(G68:G70)-SUM(F68:F70))*-Assumptions!$D$89)/VLOOKUP(Assumptions!$D$7, Lists!$B$7:$C$10, 2, FALSE)</f>
        <v>-6200000</v>
      </c>
      <c r="H41" s="60">
        <f t="shared" si="116"/>
        <v>-23220000</v>
      </c>
      <c r="I41" s="185">
        <f>((SUM(I68:I70)-SUM(H68:H70))*-Assumptions!$D$89)/VLOOKUP(Assumptions!$D$7, Lists!$B$7:$C$10, 2, FALSE)</f>
        <v>-6200000</v>
      </c>
      <c r="J41" s="185">
        <f>((SUM(J68:J70)-SUM(I68:I70))*-Assumptions!$D$89)/VLOOKUP(Assumptions!$D$7, Lists!$B$7:$C$10, 2, FALSE)</f>
        <v>-6200000</v>
      </c>
      <c r="K41" s="185">
        <f>((SUM(K68:K70)-SUM(J68:J70))*-Assumptions!$D$89)/VLOOKUP(Assumptions!$D$7, Lists!$B$7:$C$10, 2, FALSE)</f>
        <v>-6200000</v>
      </c>
      <c r="L41" s="185">
        <f>((SUM(L68:L70)-SUM(K68:K70))*-Assumptions!$D$89)/VLOOKUP(Assumptions!$D$7, Lists!$B$7:$C$10, 2, FALSE)</f>
        <v>-6200000</v>
      </c>
      <c r="M41" s="48">
        <f t="shared" si="117"/>
        <v>-24800000</v>
      </c>
      <c r="N41" s="185">
        <f>((SUM(N68:N70)-SUM(M68:M70))*-Assumptions!$D$89)/VLOOKUP(Assumptions!$D$7, Lists!$B$7:$C$10, 2, FALSE)</f>
        <v>-6200000</v>
      </c>
      <c r="O41" s="185">
        <f>((SUM(O68:O70)-SUM(N68:N70))*-Assumptions!$D$89)/VLOOKUP(Assumptions!$D$7, Lists!$B$7:$C$10, 2, FALSE)</f>
        <v>-6200000</v>
      </c>
      <c r="P41" s="185">
        <f>((SUM(P68:P70)-SUM(O68:O70))*-Assumptions!$D$89)/VLOOKUP(Assumptions!$D$7, Lists!$B$7:$C$10, 2, FALSE)</f>
        <v>-6200000</v>
      </c>
      <c r="Q41" s="185">
        <f>((SUM(Q68:Q70)-SUM(P68:P70))*-Assumptions!$D$89)/VLOOKUP(Assumptions!$D$7, Lists!$B$7:$C$10, 2, FALSE)</f>
        <v>-6200000</v>
      </c>
      <c r="R41" s="48">
        <f t="shared" si="118"/>
        <v>-24800000</v>
      </c>
      <c r="S41" s="185">
        <f>((SUM(S68:S70)-SUM(R68:R70))*-Assumptions!$D$89)/VLOOKUP(Assumptions!$D$7, Lists!$B$7:$C$10, 2, FALSE)</f>
        <v>-6200000</v>
      </c>
      <c r="T41" s="185">
        <f>((SUM(T68:T70)-SUM(S68:S70))*-Assumptions!$D$89)/VLOOKUP(Assumptions!$D$7, Lists!$B$7:$C$10, 2, FALSE)</f>
        <v>-6200000</v>
      </c>
      <c r="U41" s="185">
        <f>((SUM(U68:U70)-SUM(T68:T70))*-Assumptions!$D$89)/VLOOKUP(Assumptions!$D$7, Lists!$B$7:$C$10, 2, FALSE)</f>
        <v>-6200000</v>
      </c>
      <c r="V41" s="185">
        <f>((SUM(V68:V70)-SUM(U68:U70))*-Assumptions!$D$89)/VLOOKUP(Assumptions!$D$7, Lists!$B$7:$C$10, 2, FALSE)</f>
        <v>-6200000</v>
      </c>
      <c r="W41" s="48">
        <f t="shared" si="119"/>
        <v>-24800000</v>
      </c>
      <c r="X41" s="185">
        <f>((SUM(X68:X70)-SUM(W68:W70))*-Assumptions!$D$89)/VLOOKUP(Assumptions!$D$7, Lists!$B$7:$C$10, 2, FALSE)</f>
        <v>-6200000</v>
      </c>
      <c r="Y41" s="185">
        <f>((SUM(Y68:Y70)-SUM(X68:X70))*-Assumptions!$D$89)/VLOOKUP(Assumptions!$D$7, Lists!$B$7:$C$10, 2, FALSE)</f>
        <v>-6200000</v>
      </c>
      <c r="Z41" s="185">
        <f>((SUM(Z68:Z70)-SUM(Y68:Y70))*-Assumptions!$D$89)/VLOOKUP(Assumptions!$D$7, Lists!$B$7:$C$10, 2, FALSE)</f>
        <v>-6200000</v>
      </c>
      <c r="AA41" s="185">
        <f>((SUM(AA68:AA70)-SUM(Z68:Z70))*-Assumptions!$D$89)/VLOOKUP(Assumptions!$D$7, Lists!$B$7:$C$10, 2, FALSE)</f>
        <v>-6200000</v>
      </c>
      <c r="AB41" s="48">
        <f t="shared" si="120"/>
        <v>-24800000</v>
      </c>
      <c r="AC41" s="185">
        <f>((SUM(AC68:AC70)-SUM(AB68:AB70))*-Assumptions!$D$89)/VLOOKUP(Assumptions!$D$7, Lists!$B$7:$C$10, 2, FALSE)</f>
        <v>0</v>
      </c>
      <c r="AD41" s="185">
        <f>((SUM(AD68:AD70)-SUM(AC68:AC70))*-Assumptions!$D$89)/VLOOKUP(Assumptions!$D$7, Lists!$B$7:$C$10, 2, FALSE)</f>
        <v>0</v>
      </c>
      <c r="AE41" s="185">
        <f>((SUM(AE68:AE70)-SUM(AD68:AD70))*-Assumptions!$D$89)/VLOOKUP(Assumptions!$D$7, Lists!$B$7:$C$10, 2, FALSE)</f>
        <v>0</v>
      </c>
      <c r="AF41" s="185">
        <f>((SUM(AF68:AF70)-SUM(AE68:AE70))*-Assumptions!$D$89)/VLOOKUP(Assumptions!$D$7, Lists!$B$7:$C$10, 2, FALSE)</f>
        <v>0</v>
      </c>
      <c r="AG41" s="48">
        <f t="shared" si="121"/>
        <v>0</v>
      </c>
      <c r="AH41" s="63">
        <f>((SUM(AH68:AH70)-SUM(AG68:AG70))*-Assumptions!$D$89)/VLOOKUP(Assumptions!$D$7, Lists!$B$7:$C$10, 2, FALSE)</f>
        <v>0</v>
      </c>
      <c r="AI41" s="64">
        <f>((SUM(AI68:AI70)-SUM(AH68:AH70))*-Assumptions!$D$89)/VLOOKUP(Assumptions!$D$7, Lists!$B$7:$C$10, 2, FALSE)</f>
        <v>0</v>
      </c>
      <c r="AJ41" s="64">
        <f>((SUM(AJ68:AJ70)-SUM(AI68:AI70))*-Assumptions!$D$89)/VLOOKUP(Assumptions!$D$7, Lists!$B$7:$C$10, 2, FALSE)</f>
        <v>0</v>
      </c>
      <c r="AK41" s="108">
        <f>((SUM(AK68:AK70)-SUM(AJ68:AJ70))*-Assumptions!$D$89)/VLOOKUP(Assumptions!$D$7, Lists!$B$7:$C$10, 2, FALSE)</f>
        <v>0</v>
      </c>
      <c r="AL41" s="60">
        <f t="shared" si="122"/>
        <v>0</v>
      </c>
    </row>
    <row r="42" spans="1:38" ht="15.95" outlineLevel="2">
      <c r="A42" s="31"/>
      <c r="C42" s="32" t="s">
        <v>283</v>
      </c>
      <c r="D42" s="185">
        <f>D85*-Assumptions!$D$77/VLOOKUP(Assumptions!$D$7, Lists!$B$7:$C$10, 2, FALSE)</f>
        <v>-1147781.25</v>
      </c>
      <c r="E42" s="185">
        <f>E85*-Assumptions!$D$77/VLOOKUP(Assumptions!$D$7, Lists!$B$7:$C$10, 2, FALSE)</f>
        <v>-2281125</v>
      </c>
      <c r="F42" s="185">
        <f>F85*-Assumptions!$D$77/VLOOKUP(Assumptions!$D$7, Lists!$B$7:$C$10, 2, FALSE)</f>
        <v>-3400031.25</v>
      </c>
      <c r="G42" s="185">
        <f>G85*-Assumptions!$D$77/VLOOKUP(Assumptions!$D$7, Lists!$B$7:$C$10, 2, FALSE)</f>
        <v>-4504500</v>
      </c>
      <c r="H42" s="60">
        <f t="shared" si="116"/>
        <v>-11333437.5</v>
      </c>
      <c r="I42" s="185">
        <f>I85*-Assumptions!$D$77/VLOOKUP(Assumptions!$D$7, Lists!$B$7:$C$10, 2, FALSE)</f>
        <v>-5594531.25</v>
      </c>
      <c r="J42" s="185">
        <f>J85*-Assumptions!$D$77/VLOOKUP(Assumptions!$D$7, Lists!$B$7:$C$10, 2, FALSE)</f>
        <v>-6670125</v>
      </c>
      <c r="K42" s="185">
        <f>K85*-Assumptions!$D$77/VLOOKUP(Assumptions!$D$7, Lists!$B$7:$C$10, 2, FALSE)</f>
        <v>-7731281.2500000009</v>
      </c>
      <c r="L42" s="185">
        <f>L85*-Assumptions!$D$77/VLOOKUP(Assumptions!$D$7, Lists!$B$7:$C$10, 2, FALSE)</f>
        <v>-8778000</v>
      </c>
      <c r="M42" s="48">
        <f t="shared" si="117"/>
        <v>-28773937.5</v>
      </c>
      <c r="N42" s="185">
        <f>N85*-Assumptions!$D$77/VLOOKUP(Assumptions!$D$7, Lists!$B$7:$C$10, 2, FALSE)</f>
        <v>-9810281.25</v>
      </c>
      <c r="O42" s="185">
        <f>O85*-Assumptions!$D$77/VLOOKUP(Assumptions!$D$7, Lists!$B$7:$C$10, 2, FALSE)</f>
        <v>-10828125</v>
      </c>
      <c r="P42" s="185">
        <f>P85*-Assumptions!$D$77/VLOOKUP(Assumptions!$D$7, Lists!$B$7:$C$10, 2, FALSE)</f>
        <v>-11831531.25</v>
      </c>
      <c r="Q42" s="185">
        <f>Q85*-Assumptions!$D$77/VLOOKUP(Assumptions!$D$7, Lists!$B$7:$C$10, 2, FALSE)</f>
        <v>-12820500.000000002</v>
      </c>
      <c r="R42" s="48">
        <f t="shared" si="118"/>
        <v>-45290437.5</v>
      </c>
      <c r="S42" s="185">
        <f>S85*-Assumptions!$D$77/VLOOKUP(Assumptions!$D$7, Lists!$B$7:$C$10, 2, FALSE)</f>
        <v>-13795031.25</v>
      </c>
      <c r="T42" s="185">
        <f>T85*-Assumptions!$D$77/VLOOKUP(Assumptions!$D$7, Lists!$B$7:$C$10, 2, FALSE)</f>
        <v>-14755125.000000002</v>
      </c>
      <c r="U42" s="185">
        <f>U85*-Assumptions!$D$77/VLOOKUP(Assumptions!$D$7, Lists!$B$7:$C$10, 2, FALSE)</f>
        <v>-15700781.25</v>
      </c>
      <c r="V42" s="185">
        <f>V85*-Assumptions!$D$77/VLOOKUP(Assumptions!$D$7, Lists!$B$7:$C$10, 2, FALSE)</f>
        <v>-16632000</v>
      </c>
      <c r="W42" s="48">
        <f t="shared" si="119"/>
        <v>-60882937.5</v>
      </c>
      <c r="X42" s="185">
        <f>X85*-Assumptions!$D$77/VLOOKUP(Assumptions!$D$7, Lists!$B$7:$C$10, 2, FALSE)</f>
        <v>-17548781.25</v>
      </c>
      <c r="Y42" s="185">
        <f>Y85*-Assumptions!$D$77/VLOOKUP(Assumptions!$D$7, Lists!$B$7:$C$10, 2, FALSE)</f>
        <v>-18451125</v>
      </c>
      <c r="Z42" s="185">
        <f>Z85*-Assumptions!$D$77/VLOOKUP(Assumptions!$D$7, Lists!$B$7:$C$10, 2, FALSE)</f>
        <v>-19339031.25</v>
      </c>
      <c r="AA42" s="185">
        <f>AA85*-Assumptions!$D$77/VLOOKUP(Assumptions!$D$7, Lists!$B$7:$C$10, 2, FALSE)</f>
        <v>-20212500</v>
      </c>
      <c r="AB42" s="48">
        <f t="shared" si="120"/>
        <v>-75551437.5</v>
      </c>
      <c r="AC42" s="185">
        <f>AC85*-Assumptions!$D$77/VLOOKUP(Assumptions!$D$7, Lists!$B$7:$C$10, 2, FALSE)</f>
        <v>-20068125</v>
      </c>
      <c r="AD42" s="185">
        <f>AD85*-Assumptions!$D$77/VLOOKUP(Assumptions!$D$7, Lists!$B$7:$C$10, 2, FALSE)</f>
        <v>-19923750</v>
      </c>
      <c r="AE42" s="185">
        <f>AE85*-Assumptions!$D$77/VLOOKUP(Assumptions!$D$7, Lists!$B$7:$C$10, 2, FALSE)</f>
        <v>-19779375</v>
      </c>
      <c r="AF42" s="185">
        <f>AF85*-Assumptions!$D$77/VLOOKUP(Assumptions!$D$7, Lists!$B$7:$C$10, 2, FALSE)</f>
        <v>-19635000</v>
      </c>
      <c r="AG42" s="48">
        <f t="shared" si="121"/>
        <v>-79406250</v>
      </c>
      <c r="AH42" s="63">
        <f>AH85*-Assumptions!$D$77/VLOOKUP(Assumptions!$D$7, Lists!$B$7:$C$10, 2, FALSE)</f>
        <v>-19490625</v>
      </c>
      <c r="AI42" s="64">
        <f>AI85*-Assumptions!$D$77/VLOOKUP(Assumptions!$D$7, Lists!$B$7:$C$10, 2, FALSE)</f>
        <v>-19346250</v>
      </c>
      <c r="AJ42" s="64">
        <f>AJ85*-Assumptions!$D$77/VLOOKUP(Assumptions!$D$7, Lists!$B$7:$C$10, 2, FALSE)</f>
        <v>-19201875</v>
      </c>
      <c r="AK42" s="108">
        <f>AK85*-Assumptions!$D$77/VLOOKUP(Assumptions!$D$7, Lists!$B$7:$C$10, 2, FALSE)</f>
        <v>-19057500</v>
      </c>
      <c r="AL42" s="60">
        <f t="shared" si="122"/>
        <v>-77096250</v>
      </c>
    </row>
    <row r="43" spans="1:38" ht="15.95" outlineLevel="2">
      <c r="A43" s="31"/>
      <c r="C43" s="32" t="s">
        <v>284</v>
      </c>
      <c r="D43" s="185">
        <f>-Assumptions!$D$82/4/VLOOKUP(Assumptions!$D$7, Lists!$B$7:$C$10, 2, FALSE)</f>
        <v>-12500000</v>
      </c>
      <c r="E43" s="185">
        <f>-Assumptions!$D$82/4/VLOOKUP(Assumptions!$D$7, Lists!$B$7:$C$10, 2, FALSE)</f>
        <v>-12500000</v>
      </c>
      <c r="F43" s="185">
        <f>-Assumptions!$D$82/4/VLOOKUP(Assumptions!$D$7, Lists!$B$7:$C$10, 2, FALSE)</f>
        <v>-12500000</v>
      </c>
      <c r="G43" s="185">
        <f>-Assumptions!$D$82/4/VLOOKUP(Assumptions!$D$7, Lists!$B$7:$C$10, 2, FALSE)</f>
        <v>-12500000</v>
      </c>
      <c r="H43" s="60">
        <f t="shared" si="116"/>
        <v>-50000000</v>
      </c>
      <c r="I43" s="185">
        <f>-Assumptions!$D$82/4/VLOOKUP(Assumptions!$D$7, Lists!$B$7:$C$10, 2, FALSE)</f>
        <v>-12500000</v>
      </c>
      <c r="J43" s="185">
        <f>-Assumptions!$D$82/4/VLOOKUP(Assumptions!$D$7, Lists!$B$7:$C$10, 2, FALSE)</f>
        <v>-12500000</v>
      </c>
      <c r="K43" s="185">
        <f>-Assumptions!$D$82/4/VLOOKUP(Assumptions!$D$7, Lists!$B$7:$C$10, 2, FALSE)</f>
        <v>-12500000</v>
      </c>
      <c r="L43" s="185">
        <f>-Assumptions!$D$82/4/VLOOKUP(Assumptions!$D$7, Lists!$B$7:$C$10, 2, FALSE)</f>
        <v>-12500000</v>
      </c>
      <c r="M43" s="48">
        <f t="shared" si="117"/>
        <v>-50000000</v>
      </c>
      <c r="N43" s="185">
        <f>-Assumptions!$D$82/4/VLOOKUP(Assumptions!$D$7, Lists!$B$7:$C$10, 2, FALSE)</f>
        <v>-12500000</v>
      </c>
      <c r="O43" s="185">
        <f>-Assumptions!$D$82/4/VLOOKUP(Assumptions!$D$7, Lists!$B$7:$C$10, 2, FALSE)</f>
        <v>-12500000</v>
      </c>
      <c r="P43" s="185">
        <f>-Assumptions!$D$82/4/VLOOKUP(Assumptions!$D$7, Lists!$B$7:$C$10, 2, FALSE)</f>
        <v>-12500000</v>
      </c>
      <c r="Q43" s="185">
        <f>-Assumptions!$D$82/4/VLOOKUP(Assumptions!$D$7, Lists!$B$7:$C$10, 2, FALSE)</f>
        <v>-12500000</v>
      </c>
      <c r="R43" s="48">
        <f t="shared" si="118"/>
        <v>-50000000</v>
      </c>
      <c r="S43" s="185">
        <f>-Assumptions!$D$82/4/VLOOKUP(Assumptions!$D$7, Lists!$B$7:$C$10, 2, FALSE)</f>
        <v>-12500000</v>
      </c>
      <c r="T43" s="185">
        <f>-Assumptions!$D$82/4/VLOOKUP(Assumptions!$D$7, Lists!$B$7:$C$10, 2, FALSE)</f>
        <v>-12500000</v>
      </c>
      <c r="U43" s="185">
        <f>-Assumptions!$D$82/4/VLOOKUP(Assumptions!$D$7, Lists!$B$7:$C$10, 2, FALSE)</f>
        <v>-12500000</v>
      </c>
      <c r="V43" s="185">
        <f>-Assumptions!$D$82/4/VLOOKUP(Assumptions!$D$7, Lists!$B$7:$C$10, 2, FALSE)</f>
        <v>-12500000</v>
      </c>
      <c r="W43" s="48">
        <f t="shared" si="119"/>
        <v>-50000000</v>
      </c>
      <c r="X43" s="185">
        <f>-Assumptions!$D$82/4/VLOOKUP(Assumptions!$D$7, Lists!$B$7:$C$10, 2, FALSE)</f>
        <v>-12500000</v>
      </c>
      <c r="Y43" s="185">
        <f>-Assumptions!$D$82/4/VLOOKUP(Assumptions!$D$7, Lists!$B$7:$C$10, 2, FALSE)</f>
        <v>-12500000</v>
      </c>
      <c r="Z43" s="185">
        <f>-Assumptions!$D$82/4/VLOOKUP(Assumptions!$D$7, Lists!$B$7:$C$10, 2, FALSE)</f>
        <v>-12500000</v>
      </c>
      <c r="AA43" s="185">
        <f>-Assumptions!$D$82/4/VLOOKUP(Assumptions!$D$7, Lists!$B$7:$C$10, 2, FALSE)</f>
        <v>-12500000</v>
      </c>
      <c r="AB43" s="48">
        <f t="shared" si="120"/>
        <v>-50000000</v>
      </c>
      <c r="AC43" s="185">
        <f>-Assumptions!$D$82/4/VLOOKUP(Assumptions!$D$7, Lists!$B$7:$C$10, 2, FALSE)</f>
        <v>-12500000</v>
      </c>
      <c r="AD43" s="185">
        <f>-Assumptions!$D$82/4/VLOOKUP(Assumptions!$D$7, Lists!$B$7:$C$10, 2, FALSE)</f>
        <v>-12500000</v>
      </c>
      <c r="AE43" s="185">
        <f>-Assumptions!$D$82/4/VLOOKUP(Assumptions!$D$7, Lists!$B$7:$C$10, 2, FALSE)</f>
        <v>-12500000</v>
      </c>
      <c r="AF43" s="185">
        <f>-Assumptions!$D$82/4/VLOOKUP(Assumptions!$D$7, Lists!$B$7:$C$10, 2, FALSE)</f>
        <v>-12500000</v>
      </c>
      <c r="AG43" s="48">
        <f t="shared" si="121"/>
        <v>-50000000</v>
      </c>
      <c r="AH43" s="63">
        <f>-Assumptions!$D$82/4/VLOOKUP(Assumptions!$D$7, Lists!$B$7:$C$10, 2, FALSE)</f>
        <v>-12500000</v>
      </c>
      <c r="AI43" s="64">
        <f>-Assumptions!$D$82/4/VLOOKUP(Assumptions!$D$7, Lists!$B$7:$C$10, 2, FALSE)</f>
        <v>-12500000</v>
      </c>
      <c r="AJ43" s="64">
        <f>-Assumptions!$D$82/4/VLOOKUP(Assumptions!$D$7, Lists!$B$7:$C$10, 2, FALSE)</f>
        <v>-12500000</v>
      </c>
      <c r="AK43" s="108">
        <f>-Assumptions!$D$82/4/VLOOKUP(Assumptions!$D$7, Lists!$B$7:$C$10, 2, FALSE)</f>
        <v>-12500000</v>
      </c>
      <c r="AL43" s="60">
        <f t="shared" si="122"/>
        <v>-50000000</v>
      </c>
    </row>
    <row r="44" spans="1:38" ht="17.100000000000001" outlineLevel="1" thickBot="1">
      <c r="A44" s="31"/>
      <c r="B44" s="34" t="s">
        <v>285</v>
      </c>
      <c r="D44" s="184">
        <f>SUM(D38:D43)</f>
        <v>-124967781.25</v>
      </c>
      <c r="E44" s="184">
        <f>SUM(E38:E43)</f>
        <v>-108076125</v>
      </c>
      <c r="F44" s="184">
        <f>SUM(F38:F43)</f>
        <v>-95555031.25</v>
      </c>
      <c r="G44" s="184">
        <f>SUM(G38:G43)</f>
        <v>-83019500</v>
      </c>
      <c r="H44" s="61">
        <f t="shared" si="116"/>
        <v>-411618437.5</v>
      </c>
      <c r="I44" s="184">
        <f>SUM(I38:I43)</f>
        <v>-70469531.25</v>
      </c>
      <c r="J44" s="184">
        <f>SUM(J38:J43)</f>
        <v>-57905125</v>
      </c>
      <c r="K44" s="184">
        <f>SUM(K38:K43)</f>
        <v>-45326281.25</v>
      </c>
      <c r="L44" s="184">
        <f>SUM(L38:L43)</f>
        <v>-39853000</v>
      </c>
      <c r="M44" s="51">
        <f t="shared" si="117"/>
        <v>-213553937.5</v>
      </c>
      <c r="N44" s="184">
        <f>SUM(N38:N43)</f>
        <v>-42260281.25</v>
      </c>
      <c r="O44" s="184">
        <f>SUM(O38:O43)</f>
        <v>-44653125</v>
      </c>
      <c r="P44" s="184">
        <f>SUM(P38:P43)</f>
        <v>-47031531.25</v>
      </c>
      <c r="Q44" s="184">
        <f>SUM(Q38:Q43)</f>
        <v>-49395500</v>
      </c>
      <c r="R44" s="51">
        <f t="shared" si="118"/>
        <v>-183340437.5</v>
      </c>
      <c r="S44" s="184">
        <f>SUM(S38:S43)</f>
        <v>-51745031.25</v>
      </c>
      <c r="T44" s="184">
        <f>SUM(T38:T43)</f>
        <v>-54080125</v>
      </c>
      <c r="U44" s="184">
        <f>SUM(U38:U43)</f>
        <v>-56400781.25</v>
      </c>
      <c r="V44" s="184">
        <f>SUM(V38:V43)</f>
        <v>-58707000</v>
      </c>
      <c r="W44" s="51">
        <f t="shared" si="119"/>
        <v>-220932937.5</v>
      </c>
      <c r="X44" s="184">
        <f>SUM(X38:X43)</f>
        <v>-60998781.25</v>
      </c>
      <c r="Y44" s="184">
        <f>SUM(Y38:Y43)</f>
        <v>-63276125</v>
      </c>
      <c r="Z44" s="184">
        <f>SUM(Z38:Z43)</f>
        <v>-65539031.25</v>
      </c>
      <c r="AA44" s="184">
        <f>SUM(AA38:AA43)</f>
        <v>-67787500</v>
      </c>
      <c r="AB44" s="51">
        <f t="shared" si="120"/>
        <v>-257601437.5</v>
      </c>
      <c r="AC44" s="184">
        <f>SUM(AC38:AC43)</f>
        <v>-61443125</v>
      </c>
      <c r="AD44" s="184">
        <f>SUM(AD38:AD43)</f>
        <v>-59923750</v>
      </c>
      <c r="AE44" s="184">
        <f>SUM(AE38:AE43)</f>
        <v>-59779375</v>
      </c>
      <c r="AF44" s="184">
        <f>SUM(AF38:AF43)</f>
        <v>-59635000</v>
      </c>
      <c r="AG44" s="51">
        <f t="shared" si="121"/>
        <v>-240781250</v>
      </c>
      <c r="AH44" s="142">
        <f>SUM(AH38:AH43)</f>
        <v>-59490625</v>
      </c>
      <c r="AI44" s="143">
        <f>SUM(AI38:AI43)</f>
        <v>-59346250</v>
      </c>
      <c r="AJ44" s="143">
        <f>SUM(AJ38:AJ43)</f>
        <v>-59201875</v>
      </c>
      <c r="AK44" s="144">
        <f>SUM(AK38:AK43)</f>
        <v>-59057500</v>
      </c>
      <c r="AL44" s="61">
        <f t="shared" si="122"/>
        <v>-237096250</v>
      </c>
    </row>
    <row r="45" spans="1:38" ht="17.100000000000001" thickBot="1">
      <c r="A45" s="36" t="s">
        <v>286</v>
      </c>
      <c r="B45" s="37"/>
      <c r="C45" s="38"/>
      <c r="D45" s="53">
        <f>D28+D33+D37+D44</f>
        <v>-84440721.205357134</v>
      </c>
      <c r="E45" s="53">
        <f>E28+E33+E37+E44</f>
        <v>-37794353.571428567</v>
      </c>
      <c r="F45" s="53">
        <f>F28+F33+F37+F44</f>
        <v>4019848.4375</v>
      </c>
      <c r="G45" s="53">
        <f>G28+G33+G37+G44</f>
        <v>44256527.678571433</v>
      </c>
      <c r="H45" s="44">
        <f t="shared" si="116"/>
        <v>-73958698.660714269</v>
      </c>
      <c r="I45" s="53">
        <f>I28+I33+I37+I44</f>
        <v>85051398.4375</v>
      </c>
      <c r="J45" s="53">
        <f>J28+J33+J37+J44</f>
        <v>125524103.57142857</v>
      </c>
      <c r="K45" s="53">
        <f>K28+K33+K37+K44</f>
        <v>165930000.2232143</v>
      </c>
      <c r="L45" s="53">
        <f>L28+L33+L37+L44</f>
        <v>198768731.25</v>
      </c>
      <c r="M45" s="44">
        <f t="shared" si="117"/>
        <v>575274233.48214293</v>
      </c>
      <c r="N45" s="53">
        <f>N28+N33+N37+N44</f>
        <v>222884939.50892857</v>
      </c>
      <c r="O45" s="53">
        <f>O28+O33+O37+O44</f>
        <v>246934339.28571427</v>
      </c>
      <c r="P45" s="53">
        <f>P28+P33+P37+P44</f>
        <v>270031216.29464287</v>
      </c>
      <c r="Q45" s="53">
        <f>Q28+Q33+Q37+Q44</f>
        <v>293186284.8214286</v>
      </c>
      <c r="R45" s="44">
        <f t="shared" si="118"/>
        <v>1033036779.9107141</v>
      </c>
      <c r="S45" s="53">
        <f>S28+S33+S37+S44</f>
        <v>316274544.8660714</v>
      </c>
      <c r="T45" s="53">
        <f>T28+T33+T37+T44</f>
        <v>338535282.14285713</v>
      </c>
      <c r="U45" s="53">
        <f>U28+U33+U37+U44</f>
        <v>360348853.79464287</v>
      </c>
      <c r="V45" s="53">
        <f>V28+V33+V37+V44</f>
        <v>381715259.8214286</v>
      </c>
      <c r="W45" s="44">
        <f t="shared" si="119"/>
        <v>1396873940.625</v>
      </c>
      <c r="X45" s="53">
        <f>X28+X33+X37+X44</f>
        <v>403014857.3660714</v>
      </c>
      <c r="Y45" s="53">
        <f>Y28+Y33+Y37+Y44</f>
        <v>424997646.4285714</v>
      </c>
      <c r="Z45" s="53">
        <f>Z28+Z33+Z37+Z44</f>
        <v>445402912.72321427</v>
      </c>
      <c r="AA45" s="53">
        <f>AA28+AA33+AA37+AA44</f>
        <v>464980656.25</v>
      </c>
      <c r="AB45" s="44">
        <f t="shared" si="120"/>
        <v>1738396072.7678571</v>
      </c>
      <c r="AC45" s="53">
        <f>AC28+AC33+AC37+AC44</f>
        <v>444877450.89285713</v>
      </c>
      <c r="AD45" s="53">
        <f>AD28+AD33+AD37+AD44</f>
        <v>444534366.0714286</v>
      </c>
      <c r="AE45" s="53">
        <f>AE28+AE33+AE37+AE44</f>
        <v>440443066.96428573</v>
      </c>
      <c r="AF45" s="53">
        <f>AF28+AF33+AF37+AF44</f>
        <v>435971410.71428573</v>
      </c>
      <c r="AG45" s="44">
        <f t="shared" si="121"/>
        <v>1765826294.6428571</v>
      </c>
      <c r="AH45" s="52">
        <f>AH28+AH33+AH37+AH44</f>
        <v>433390825.89285713</v>
      </c>
      <c r="AI45" s="52">
        <f>AI28+AI33+AI37+AI44</f>
        <v>429299526.78571427</v>
      </c>
      <c r="AJ45" s="52">
        <f>AJ28+AJ33+AJ37+AJ44</f>
        <v>424827870.53571427</v>
      </c>
      <c r="AK45" s="52">
        <f>AK28+AK33+AK37+AK44</f>
        <v>421241928.5714286</v>
      </c>
      <c r="AL45" s="44">
        <f t="shared" si="122"/>
        <v>1708760151.7857144</v>
      </c>
    </row>
    <row r="46" spans="1:38" ht="15.95" outlineLevel="2">
      <c r="A46" s="31"/>
      <c r="C46" s="33" t="s">
        <v>287</v>
      </c>
      <c r="D46" s="46"/>
      <c r="E46" s="47"/>
      <c r="F46" s="47"/>
      <c r="G46" s="47"/>
      <c r="H46" s="48">
        <f t="shared" si="116"/>
        <v>0</v>
      </c>
      <c r="I46" s="46"/>
      <c r="J46" s="47"/>
      <c r="K46" s="47"/>
      <c r="L46" s="47"/>
      <c r="M46" s="48">
        <f t="shared" si="117"/>
        <v>0</v>
      </c>
      <c r="N46" s="46"/>
      <c r="O46" s="47"/>
      <c r="P46" s="47"/>
      <c r="Q46" s="47"/>
      <c r="R46" s="48">
        <f t="shared" si="118"/>
        <v>0</v>
      </c>
      <c r="S46" s="46"/>
      <c r="T46" s="47"/>
      <c r="U46" s="47"/>
      <c r="V46" s="47"/>
      <c r="W46" s="48">
        <f t="shared" si="119"/>
        <v>0</v>
      </c>
      <c r="X46" s="46"/>
      <c r="Y46" s="47"/>
      <c r="Z46" s="47"/>
      <c r="AA46" s="47"/>
      <c r="AB46" s="48">
        <f t="shared" si="120"/>
        <v>0</v>
      </c>
      <c r="AC46" s="46"/>
      <c r="AD46" s="47"/>
      <c r="AE46" s="47"/>
      <c r="AF46" s="47"/>
      <c r="AG46" s="48">
        <f t="shared" si="121"/>
        <v>0</v>
      </c>
      <c r="AH46" s="46"/>
      <c r="AI46" s="47"/>
      <c r="AJ46" s="47"/>
      <c r="AK46" s="47"/>
      <c r="AL46" s="48">
        <f t="shared" si="122"/>
        <v>0</v>
      </c>
    </row>
    <row r="47" spans="1:38" ht="15.95" outlineLevel="1">
      <c r="A47" s="31"/>
      <c r="B47" s="34" t="s">
        <v>287</v>
      </c>
      <c r="C47" s="35"/>
      <c r="D47" s="49"/>
      <c r="E47" s="50"/>
      <c r="F47" s="50"/>
      <c r="G47" s="50"/>
      <c r="H47" s="51">
        <f>IF(H45&gt;0,H45*-Assumptions!$D$62,0)</f>
        <v>0</v>
      </c>
      <c r="I47" s="49"/>
      <c r="J47" s="50"/>
      <c r="K47" s="50"/>
      <c r="L47" s="50"/>
      <c r="M47" s="51">
        <f>M45*-Assumptions!$D$62</f>
        <v>-57527423.348214298</v>
      </c>
      <c r="N47" s="49"/>
      <c r="O47" s="50"/>
      <c r="P47" s="50"/>
      <c r="Q47" s="50"/>
      <c r="R47" s="51">
        <f>R45*-Assumptions!$D$62</f>
        <v>-103303677.99107142</v>
      </c>
      <c r="S47" s="49"/>
      <c r="T47" s="50"/>
      <c r="U47" s="50"/>
      <c r="V47" s="50"/>
      <c r="W47" s="51">
        <f>W45*-Assumptions!$D$62</f>
        <v>-139687394.0625</v>
      </c>
      <c r="X47" s="49"/>
      <c r="Y47" s="50"/>
      <c r="Z47" s="50"/>
      <c r="AA47" s="50"/>
      <c r="AB47" s="51">
        <f>AB45*-Assumptions!$D$62</f>
        <v>-173839607.27678573</v>
      </c>
      <c r="AC47" s="49"/>
      <c r="AD47" s="50"/>
      <c r="AE47" s="50"/>
      <c r="AF47" s="50"/>
      <c r="AG47" s="51">
        <f>AG45*-Assumptions!$D$62</f>
        <v>-176582629.46428573</v>
      </c>
      <c r="AH47" s="49"/>
      <c r="AI47" s="50"/>
      <c r="AJ47" s="50"/>
      <c r="AK47" s="50"/>
      <c r="AL47" s="51">
        <f>AL45*-Assumptions!$D$62</f>
        <v>-170876015.17857146</v>
      </c>
    </row>
    <row r="48" spans="1:38" ht="17.100000000000001" thickBot="1">
      <c r="A48" s="39" t="s">
        <v>288</v>
      </c>
      <c r="B48" s="40"/>
      <c r="C48" s="41"/>
      <c r="D48" s="52"/>
      <c r="E48" s="45"/>
      <c r="F48" s="45"/>
      <c r="G48" s="45"/>
      <c r="H48" s="53">
        <f>H45+H47</f>
        <v>-73958698.660714269</v>
      </c>
      <c r="I48" s="52"/>
      <c r="J48" s="45"/>
      <c r="K48" s="45"/>
      <c r="L48" s="45"/>
      <c r="M48" s="53">
        <f>M45+M47</f>
        <v>517746810.13392866</v>
      </c>
      <c r="N48" s="52"/>
      <c r="O48" s="45"/>
      <c r="P48" s="45"/>
      <c r="Q48" s="45"/>
      <c r="R48" s="53">
        <f>R45+R47</f>
        <v>929733101.91964269</v>
      </c>
      <c r="S48" s="52"/>
      <c r="T48" s="45"/>
      <c r="U48" s="45"/>
      <c r="V48" s="45"/>
      <c r="W48" s="53">
        <f>W45+W47</f>
        <v>1257186546.5625</v>
      </c>
      <c r="X48" s="52"/>
      <c r="Y48" s="45"/>
      <c r="Z48" s="45"/>
      <c r="AA48" s="45"/>
      <c r="AB48" s="53">
        <f>AB45+AB47</f>
        <v>1564556465.4910712</v>
      </c>
      <c r="AC48" s="52"/>
      <c r="AD48" s="45"/>
      <c r="AE48" s="45"/>
      <c r="AF48" s="45"/>
      <c r="AG48" s="53">
        <f>AG45+AG47</f>
        <v>1589243665.1785712</v>
      </c>
      <c r="AH48" s="52"/>
      <c r="AI48" s="45"/>
      <c r="AJ48" s="45"/>
      <c r="AK48" s="45"/>
      <c r="AL48" s="53">
        <f>AL45+AL47</f>
        <v>1537884136.6071429</v>
      </c>
    </row>
    <row r="49" spans="1:38" ht="18.95">
      <c r="A49" s="42" t="s">
        <v>289</v>
      </c>
      <c r="B49" s="42"/>
      <c r="C49" s="42"/>
      <c r="D49" s="54"/>
      <c r="E49" s="54"/>
      <c r="F49" s="54"/>
      <c r="G49" s="54"/>
      <c r="H49" s="54">
        <f>H48</f>
        <v>-73958698.660714269</v>
      </c>
      <c r="I49" s="54"/>
      <c r="J49" s="54"/>
      <c r="K49" s="54"/>
      <c r="L49" s="54"/>
      <c r="M49" s="54">
        <f>H49+M48</f>
        <v>443788111.47321439</v>
      </c>
      <c r="N49" s="54"/>
      <c r="O49" s="54"/>
      <c r="P49" s="54"/>
      <c r="Q49" s="54"/>
      <c r="R49" s="54">
        <f>M49+R48</f>
        <v>1373521213.3928571</v>
      </c>
      <c r="S49" s="54"/>
      <c r="T49" s="54"/>
      <c r="U49" s="54"/>
      <c r="V49" s="54"/>
      <c r="W49" s="54">
        <f>R49+W48</f>
        <v>2630707759.9553571</v>
      </c>
      <c r="X49" s="54"/>
      <c r="Y49" s="54"/>
      <c r="Z49" s="54"/>
      <c r="AA49" s="54"/>
      <c r="AB49" s="54">
        <f>W49+AB48</f>
        <v>4195264225.4464283</v>
      </c>
      <c r="AC49" s="54"/>
      <c r="AD49" s="54"/>
      <c r="AE49" s="54"/>
      <c r="AF49" s="54"/>
      <c r="AG49" s="54">
        <f>AB49+AG48</f>
        <v>5784507890.625</v>
      </c>
      <c r="AH49" s="54"/>
      <c r="AI49" s="54"/>
      <c r="AJ49" s="54"/>
      <c r="AK49" s="54"/>
      <c r="AL49" s="54">
        <f>AG49+AL48</f>
        <v>7322392027.2321434</v>
      </c>
    </row>
    <row r="50" spans="1:38" ht="17.100000000000001" thickBot="1">
      <c r="A50" s="56"/>
      <c r="C50" s="56"/>
      <c r="D50" s="67"/>
      <c r="E50" s="67"/>
      <c r="F50" s="67"/>
      <c r="G50" s="67"/>
      <c r="H50" s="58"/>
      <c r="I50" s="67"/>
      <c r="J50" s="67"/>
      <c r="K50" s="67"/>
      <c r="L50" s="67"/>
      <c r="M50" s="58"/>
      <c r="N50" s="67"/>
      <c r="O50" s="67"/>
      <c r="P50" s="67"/>
      <c r="Q50" s="67"/>
      <c r="R50" s="58"/>
      <c r="S50" s="67"/>
      <c r="T50" s="67"/>
      <c r="U50" s="67"/>
      <c r="V50" s="67"/>
      <c r="W50" s="58"/>
      <c r="X50" s="67"/>
      <c r="Y50" s="67"/>
      <c r="Z50" s="67"/>
      <c r="AA50" s="67"/>
      <c r="AB50" s="58"/>
      <c r="AC50" s="67"/>
      <c r="AD50" s="67"/>
      <c r="AE50" s="67"/>
      <c r="AF50" s="67"/>
      <c r="AG50" s="58"/>
      <c r="AH50" s="67"/>
      <c r="AI50" s="67"/>
      <c r="AJ50" s="67"/>
      <c r="AK50" s="67"/>
      <c r="AL50" s="58"/>
    </row>
    <row r="51" spans="1:38" ht="17.100000000000001" thickBot="1">
      <c r="A51" s="28" t="s">
        <v>290</v>
      </c>
      <c r="B51" s="28"/>
      <c r="C51" s="28"/>
      <c r="D51" s="103" t="s">
        <v>214</v>
      </c>
      <c r="E51" s="104" t="s">
        <v>215</v>
      </c>
      <c r="F51" s="104" t="s">
        <v>216</v>
      </c>
      <c r="G51" s="104" t="s">
        <v>217</v>
      </c>
      <c r="H51" s="43" t="s">
        <v>218</v>
      </c>
      <c r="I51" s="103" t="s">
        <v>219</v>
      </c>
      <c r="J51" s="104" t="s">
        <v>220</v>
      </c>
      <c r="K51" s="104" t="s">
        <v>221</v>
      </c>
      <c r="L51" s="104" t="s">
        <v>222</v>
      </c>
      <c r="M51" s="43" t="s">
        <v>223</v>
      </c>
      <c r="N51" s="103" t="s">
        <v>224</v>
      </c>
      <c r="O51" s="104" t="s">
        <v>225</v>
      </c>
      <c r="P51" s="104" t="s">
        <v>226</v>
      </c>
      <c r="Q51" s="104" t="s">
        <v>227</v>
      </c>
      <c r="R51" s="43" t="s">
        <v>228</v>
      </c>
      <c r="S51" s="103" t="s">
        <v>229</v>
      </c>
      <c r="T51" s="104" t="s">
        <v>230</v>
      </c>
      <c r="U51" s="104" t="s">
        <v>231</v>
      </c>
      <c r="V51" s="104" t="s">
        <v>232</v>
      </c>
      <c r="W51" s="43" t="s">
        <v>233</v>
      </c>
      <c r="X51" s="103" t="s">
        <v>234</v>
      </c>
      <c r="Y51" s="104" t="s">
        <v>235</v>
      </c>
      <c r="Z51" s="104" t="s">
        <v>236</v>
      </c>
      <c r="AA51" s="104" t="s">
        <v>237</v>
      </c>
      <c r="AB51" s="43" t="s">
        <v>238</v>
      </c>
      <c r="AC51" s="103" t="s">
        <v>239</v>
      </c>
      <c r="AD51" s="104" t="s">
        <v>240</v>
      </c>
      <c r="AE51" s="104" t="s">
        <v>241</v>
      </c>
      <c r="AF51" s="104" t="s">
        <v>242</v>
      </c>
      <c r="AG51" s="43" t="s">
        <v>243</v>
      </c>
      <c r="AH51" s="103" t="s">
        <v>244</v>
      </c>
      <c r="AI51" s="104" t="s">
        <v>245</v>
      </c>
      <c r="AJ51" s="104" t="s">
        <v>246</v>
      </c>
      <c r="AK51" s="104" t="s">
        <v>247</v>
      </c>
      <c r="AL51" s="43" t="s">
        <v>248</v>
      </c>
    </row>
    <row r="52" spans="1:38" ht="15.95">
      <c r="A52" s="36"/>
      <c r="B52" s="34" t="s">
        <v>255</v>
      </c>
      <c r="C52" s="56"/>
      <c r="D52" s="105">
        <f>D12</f>
        <v>15916148.4375</v>
      </c>
      <c r="E52" s="106">
        <f>E12</f>
        <v>31632093.75</v>
      </c>
      <c r="F52" s="106">
        <f>F12</f>
        <v>47147835.937500007</v>
      </c>
      <c r="G52" s="107">
        <f>G12</f>
        <v>62463375</v>
      </c>
      <c r="H52" s="97">
        <f>SUM(D52:G52)</f>
        <v>157159453.125</v>
      </c>
      <c r="I52" s="105">
        <f>I12</f>
        <v>77578710.9375</v>
      </c>
      <c r="J52" s="106">
        <f>J12</f>
        <v>92493843.750000015</v>
      </c>
      <c r="K52" s="106">
        <f>K12</f>
        <v>107208773.43750001</v>
      </c>
      <c r="L52" s="107">
        <f>L12</f>
        <v>121723500</v>
      </c>
      <c r="M52" s="97">
        <f>SUM(I52:L52)</f>
        <v>399004828.125</v>
      </c>
      <c r="N52" s="105">
        <f>N12</f>
        <v>136038023.4375</v>
      </c>
      <c r="O52" s="106">
        <f>O12</f>
        <v>150152343.75</v>
      </c>
      <c r="P52" s="106">
        <f>P12</f>
        <v>164066460.93750003</v>
      </c>
      <c r="Q52" s="107">
        <f>Q12</f>
        <v>177780375.00000003</v>
      </c>
      <c r="R52" s="97">
        <f>SUM(N52:Q52)</f>
        <v>628037203.125</v>
      </c>
      <c r="S52" s="105">
        <f>S12</f>
        <v>191294085.93750003</v>
      </c>
      <c r="T52" s="106">
        <f>T12</f>
        <v>204607593.75000003</v>
      </c>
      <c r="U52" s="106">
        <f>U12</f>
        <v>217720898.43750003</v>
      </c>
      <c r="V52" s="107">
        <f>V12</f>
        <v>230634000</v>
      </c>
      <c r="W52" s="97">
        <f>SUM(S52:V52)</f>
        <v>844256578.12500012</v>
      </c>
      <c r="X52" s="105">
        <f>X12</f>
        <v>243346898.4375</v>
      </c>
      <c r="Y52" s="106">
        <f>Y12</f>
        <v>255859593.75</v>
      </c>
      <c r="Z52" s="106">
        <f>Z12</f>
        <v>268172085.9375</v>
      </c>
      <c r="AA52" s="107">
        <f>AA12</f>
        <v>280284375</v>
      </c>
      <c r="AB52" s="97">
        <f>SUM(X52:AA52)</f>
        <v>1047662953.125</v>
      </c>
      <c r="AC52" s="105">
        <f>AC12</f>
        <v>278282343.75</v>
      </c>
      <c r="AD52" s="106">
        <f>AD12</f>
        <v>276280312.5</v>
      </c>
      <c r="AE52" s="106">
        <f>AE12</f>
        <v>274278281.25</v>
      </c>
      <c r="AF52" s="107">
        <f>AF12</f>
        <v>272276250</v>
      </c>
      <c r="AG52" s="97">
        <f>SUM(AC52:AF52)</f>
        <v>1101117187.5</v>
      </c>
      <c r="AH52" s="105">
        <f>AH12</f>
        <v>270274218.75</v>
      </c>
      <c r="AI52" s="106">
        <f>AI12</f>
        <v>268272187.5</v>
      </c>
      <c r="AJ52" s="106">
        <f>AJ12</f>
        <v>266270156.25</v>
      </c>
      <c r="AK52" s="107">
        <f>AK12</f>
        <v>264268125</v>
      </c>
      <c r="AL52" s="60">
        <f>SUM(AH52:AK52)</f>
        <v>1069084687.5</v>
      </c>
    </row>
    <row r="53" spans="1:38" ht="15.95">
      <c r="A53" s="36"/>
      <c r="B53" s="34" t="s">
        <v>261</v>
      </c>
      <c r="C53" s="56"/>
      <c r="D53" s="63">
        <f>D18</f>
        <v>33827995.3125</v>
      </c>
      <c r="E53" s="64">
        <f>E18</f>
        <v>42183012.5</v>
      </c>
      <c r="F53" s="64">
        <f>F18</f>
        <v>50427582.8125</v>
      </c>
      <c r="G53" s="108">
        <f>G18</f>
        <v>58561706.25</v>
      </c>
      <c r="H53" s="97">
        <f t="shared" ref="H53:H60" si="123">SUM(D53:G53)</f>
        <v>185000296.875</v>
      </c>
      <c r="I53" s="63">
        <f>I18</f>
        <v>66585382.8125</v>
      </c>
      <c r="J53" s="64">
        <f>J18</f>
        <v>74498612.5</v>
      </c>
      <c r="K53" s="64">
        <f>K18</f>
        <v>82301395.3125</v>
      </c>
      <c r="L53" s="108">
        <f>L18</f>
        <v>89993731.25</v>
      </c>
      <c r="M53" s="97">
        <f t="shared" ref="M53:M60" si="124">SUM(I53:L53)</f>
        <v>313379121.875</v>
      </c>
      <c r="N53" s="63">
        <f>N18</f>
        <v>97575620.3125</v>
      </c>
      <c r="O53" s="64">
        <f>O18</f>
        <v>105047062.5</v>
      </c>
      <c r="P53" s="64">
        <f>P18</f>
        <v>112408057.8125</v>
      </c>
      <c r="Q53" s="108">
        <f>Q18</f>
        <v>119658606.25</v>
      </c>
      <c r="R53" s="97">
        <f t="shared" ref="R53:R60" si="125">SUM(N53:Q53)</f>
        <v>434689346.875</v>
      </c>
      <c r="S53" s="63">
        <f>S18</f>
        <v>126798707.8125</v>
      </c>
      <c r="T53" s="64">
        <f>T18</f>
        <v>133828362.5</v>
      </c>
      <c r="U53" s="64">
        <f>U18</f>
        <v>140747570.3125</v>
      </c>
      <c r="V53" s="108">
        <f>V18</f>
        <v>147556331.25</v>
      </c>
      <c r="W53" s="97">
        <f t="shared" ref="W53:W60" si="126">SUM(S53:V53)</f>
        <v>548930971.875</v>
      </c>
      <c r="X53" s="63">
        <f>X18</f>
        <v>154254645.3125</v>
      </c>
      <c r="Y53" s="64">
        <f>Y18</f>
        <v>160842512.5</v>
      </c>
      <c r="Z53" s="64">
        <f>Z18</f>
        <v>167319932.8125</v>
      </c>
      <c r="AA53" s="108">
        <f>AA18</f>
        <v>173686906.25</v>
      </c>
      <c r="AB53" s="97">
        <f t="shared" ref="AB53:AB60" si="127">SUM(X53:AA53)</f>
        <v>656103996.875</v>
      </c>
      <c r="AC53" s="63">
        <f>AC18</f>
        <v>150370531.25</v>
      </c>
      <c r="AD53" s="64">
        <f>AD18</f>
        <v>149266062.5</v>
      </c>
      <c r="AE53" s="64">
        <f>AE18</f>
        <v>148161593.75</v>
      </c>
      <c r="AF53" s="108">
        <f>AF18</f>
        <v>147057125</v>
      </c>
      <c r="AG53" s="97">
        <f t="shared" ref="AG53:AG60" si="128">SUM(AC53:AF53)</f>
        <v>594855312.5</v>
      </c>
      <c r="AH53" s="63">
        <f>AH18</f>
        <v>145952656.25</v>
      </c>
      <c r="AI53" s="64">
        <f>AI18</f>
        <v>144848187.5</v>
      </c>
      <c r="AJ53" s="64">
        <f>AJ18</f>
        <v>143743718.75</v>
      </c>
      <c r="AK53" s="108">
        <f>AK18</f>
        <v>142639250</v>
      </c>
      <c r="AL53" s="60">
        <f t="shared" ref="AL53:AL60" si="129">SUM(AH53:AK53)</f>
        <v>577183812.5</v>
      </c>
    </row>
    <row r="54" spans="1:38" ht="15.95">
      <c r="A54" s="36"/>
      <c r="B54" s="34" t="s">
        <v>291</v>
      </c>
      <c r="C54" s="56"/>
      <c r="D54" s="63">
        <f>D23</f>
        <v>1988906.25</v>
      </c>
      <c r="E54" s="64">
        <f>E23</f>
        <v>7655625</v>
      </c>
      <c r="F54" s="64">
        <f>F23</f>
        <v>13250156.25</v>
      </c>
      <c r="G54" s="108">
        <f>G23</f>
        <v>18772500</v>
      </c>
      <c r="H54" s="97">
        <f t="shared" si="123"/>
        <v>41667187.5</v>
      </c>
      <c r="I54" s="63">
        <f>I23</f>
        <v>24222656.25</v>
      </c>
      <c r="J54" s="64">
        <f>J23</f>
        <v>29600625</v>
      </c>
      <c r="K54" s="64">
        <f>K23</f>
        <v>34906406.25</v>
      </c>
      <c r="L54" s="108">
        <f>L23</f>
        <v>40140000</v>
      </c>
      <c r="M54" s="97">
        <f t="shared" si="124"/>
        <v>128869687.5</v>
      </c>
      <c r="N54" s="63">
        <f>N23</f>
        <v>45301406.25</v>
      </c>
      <c r="O54" s="64">
        <f>O23</f>
        <v>50390625</v>
      </c>
      <c r="P54" s="64">
        <f>P23</f>
        <v>55407656.25</v>
      </c>
      <c r="Q54" s="108">
        <f>Q23</f>
        <v>60352500</v>
      </c>
      <c r="R54" s="97">
        <f t="shared" si="125"/>
        <v>211452187.5</v>
      </c>
      <c r="S54" s="63">
        <f>S23</f>
        <v>65225156.25</v>
      </c>
      <c r="T54" s="64">
        <f>T23</f>
        <v>70025625</v>
      </c>
      <c r="U54" s="64">
        <f>U23</f>
        <v>74753906.25</v>
      </c>
      <c r="V54" s="108">
        <f>V23</f>
        <v>79410000</v>
      </c>
      <c r="W54" s="97">
        <f t="shared" si="126"/>
        <v>289414687.5</v>
      </c>
      <c r="X54" s="63">
        <f>X23</f>
        <v>83993906.25</v>
      </c>
      <c r="Y54" s="64">
        <f>Y23</f>
        <v>88505625</v>
      </c>
      <c r="Z54" s="64">
        <f>Z23</f>
        <v>92945156.25</v>
      </c>
      <c r="AA54" s="108">
        <f>AA23</f>
        <v>97312500</v>
      </c>
      <c r="AB54" s="97">
        <f t="shared" si="127"/>
        <v>362757187.5</v>
      </c>
      <c r="AC54" s="63">
        <f>AC23</f>
        <v>96590625</v>
      </c>
      <c r="AD54" s="64">
        <f>AD23</f>
        <v>95868750</v>
      </c>
      <c r="AE54" s="64">
        <f>AE23</f>
        <v>95146875</v>
      </c>
      <c r="AF54" s="108">
        <f>AF23</f>
        <v>94425000</v>
      </c>
      <c r="AG54" s="97">
        <f t="shared" si="128"/>
        <v>382031250</v>
      </c>
      <c r="AH54" s="63">
        <f>AH23</f>
        <v>93703125</v>
      </c>
      <c r="AI54" s="64">
        <f>AI23</f>
        <v>92981250</v>
      </c>
      <c r="AJ54" s="64">
        <f>AJ23</f>
        <v>92259375</v>
      </c>
      <c r="AK54" s="108">
        <f>AK23</f>
        <v>91537500</v>
      </c>
      <c r="AL54" s="60">
        <f t="shared" si="129"/>
        <v>370481250</v>
      </c>
    </row>
    <row r="55" spans="1:38" ht="15.95">
      <c r="A55" s="36"/>
      <c r="B55" s="34" t="s">
        <v>292</v>
      </c>
      <c r="C55" s="56"/>
      <c r="D55" s="63">
        <f>D27</f>
        <v>-6261867.1875</v>
      </c>
      <c r="E55" s="64">
        <f>E27</f>
        <v>-12444968.75</v>
      </c>
      <c r="F55" s="64">
        <f>F27</f>
        <v>-18549304.6875</v>
      </c>
      <c r="G55" s="108">
        <f>G27</f>
        <v>-24574875</v>
      </c>
      <c r="H55" s="97">
        <f t="shared" si="123"/>
        <v>-61831015.625</v>
      </c>
      <c r="I55" s="63">
        <f>I27</f>
        <v>-30521679.6875</v>
      </c>
      <c r="J55" s="64">
        <f>J27</f>
        <v>-36389718.75</v>
      </c>
      <c r="K55" s="64">
        <f>K27</f>
        <v>-42178992.1875</v>
      </c>
      <c r="L55" s="108">
        <f>L27</f>
        <v>-47889500</v>
      </c>
      <c r="M55" s="97">
        <f t="shared" si="124"/>
        <v>-156979890.625</v>
      </c>
      <c r="N55" s="63">
        <f>N27</f>
        <v>-53521242.1875</v>
      </c>
      <c r="O55" s="64">
        <f>O27</f>
        <v>-59074218.75</v>
      </c>
      <c r="P55" s="64">
        <f>P27</f>
        <v>-64548429.6875</v>
      </c>
      <c r="Q55" s="108">
        <f>Q27</f>
        <v>-69943875</v>
      </c>
      <c r="R55" s="97">
        <f t="shared" si="125"/>
        <v>-247087765.625</v>
      </c>
      <c r="S55" s="63">
        <f>S27</f>
        <v>-75260554.6875</v>
      </c>
      <c r="T55" s="64">
        <f>T27</f>
        <v>-80498468.75</v>
      </c>
      <c r="U55" s="64">
        <f>U27</f>
        <v>-85657617.1875</v>
      </c>
      <c r="V55" s="108">
        <f>V27</f>
        <v>-90738000</v>
      </c>
      <c r="W55" s="97">
        <f t="shared" si="126"/>
        <v>-332154640.625</v>
      </c>
      <c r="X55" s="63">
        <f>X27</f>
        <v>-95739617.1875</v>
      </c>
      <c r="Y55" s="64">
        <f>Y27</f>
        <v>-100662468.75</v>
      </c>
      <c r="Z55" s="64">
        <f>Z27</f>
        <v>-105506554.6875</v>
      </c>
      <c r="AA55" s="108">
        <f>AA27</f>
        <v>-110271875</v>
      </c>
      <c r="AB55" s="97">
        <f t="shared" si="127"/>
        <v>-412180515.625</v>
      </c>
      <c r="AC55" s="63">
        <f>AC27</f>
        <v>-109484218.75</v>
      </c>
      <c r="AD55" s="64">
        <f>AD27</f>
        <v>-108696562.5</v>
      </c>
      <c r="AE55" s="64">
        <f>AE27</f>
        <v>-107908906.25</v>
      </c>
      <c r="AF55" s="108">
        <f>AF27</f>
        <v>-107121250</v>
      </c>
      <c r="AG55" s="97">
        <f t="shared" si="128"/>
        <v>-433210937.5</v>
      </c>
      <c r="AH55" s="63">
        <f>AH27</f>
        <v>-106333593.75</v>
      </c>
      <c r="AI55" s="64">
        <f>AI27</f>
        <v>-105545937.5</v>
      </c>
      <c r="AJ55" s="64">
        <f>AJ27</f>
        <v>-104758281.25</v>
      </c>
      <c r="AK55" s="108">
        <f>AK27</f>
        <v>-103970625</v>
      </c>
      <c r="AL55" s="60">
        <f t="shared" si="129"/>
        <v>-420608437.5</v>
      </c>
    </row>
    <row r="56" spans="1:38" ht="15.95">
      <c r="A56" s="36"/>
      <c r="B56" s="34" t="s">
        <v>293</v>
      </c>
      <c r="C56" s="56"/>
      <c r="D56" s="63">
        <f>D33</f>
        <v>-7750000</v>
      </c>
      <c r="E56" s="64">
        <f>E33</f>
        <v>-13500000</v>
      </c>
      <c r="F56" s="64">
        <f>F33</f>
        <v>-19250000</v>
      </c>
      <c r="G56" s="108">
        <f>G33</f>
        <v>-26125000</v>
      </c>
      <c r="H56" s="97">
        <f t="shared" si="123"/>
        <v>-66625000</v>
      </c>
      <c r="I56" s="63">
        <f>I33</f>
        <v>-32000000</v>
      </c>
      <c r="J56" s="64">
        <f>J33</f>
        <v>-37750000</v>
      </c>
      <c r="K56" s="64">
        <f>K33</f>
        <v>-43125000</v>
      </c>
      <c r="L56" s="108">
        <f>L33</f>
        <v>-48500000</v>
      </c>
      <c r="M56" s="97">
        <f t="shared" si="124"/>
        <v>-161375000</v>
      </c>
      <c r="N56" s="63">
        <f>N33</f>
        <v>-54250000</v>
      </c>
      <c r="O56" s="64">
        <f>O33</f>
        <v>-59625000</v>
      </c>
      <c r="P56" s="64">
        <f>P33</f>
        <v>-65500000</v>
      </c>
      <c r="Q56" s="108">
        <f>Q33</f>
        <v>-70875000</v>
      </c>
      <c r="R56" s="97">
        <f t="shared" si="125"/>
        <v>-250250000</v>
      </c>
      <c r="S56" s="63">
        <f>S33</f>
        <v>-75875000</v>
      </c>
      <c r="T56" s="64">
        <f>T33</f>
        <v>-81250000</v>
      </c>
      <c r="U56" s="64">
        <f>U33</f>
        <v>-86625000</v>
      </c>
      <c r="V56" s="108">
        <f>V33</f>
        <v>-92000000</v>
      </c>
      <c r="W56" s="97">
        <f t="shared" si="126"/>
        <v>-335750000</v>
      </c>
      <c r="X56" s="63">
        <f>X33</f>
        <v>-97000000</v>
      </c>
      <c r="Y56" s="64">
        <f>Y33</f>
        <v>-100875000</v>
      </c>
      <c r="Z56" s="64">
        <f>Z33</f>
        <v>-105875000</v>
      </c>
      <c r="AA56" s="108">
        <f>AA33</f>
        <v>-111250000</v>
      </c>
      <c r="AB56" s="97">
        <f t="shared" si="127"/>
        <v>-415000000</v>
      </c>
      <c r="AC56" s="63">
        <f>AC33</f>
        <v>-110875000</v>
      </c>
      <c r="AD56" s="64">
        <f>AD33</f>
        <v>-108500000</v>
      </c>
      <c r="AE56" s="64">
        <f>AE33</f>
        <v>-108125000</v>
      </c>
      <c r="AF56" s="108">
        <f>AF33</f>
        <v>-108125000</v>
      </c>
      <c r="AG56" s="97">
        <f t="shared" si="128"/>
        <v>-435625000</v>
      </c>
      <c r="AH56" s="63">
        <f>AH33</f>
        <v>-106250000</v>
      </c>
      <c r="AI56" s="64">
        <f>AI33</f>
        <v>-105875000</v>
      </c>
      <c r="AJ56" s="64">
        <f>AJ33</f>
        <v>-105875000</v>
      </c>
      <c r="AK56" s="108">
        <f>AK33</f>
        <v>-105000000</v>
      </c>
      <c r="AL56" s="60">
        <f t="shared" si="129"/>
        <v>-423000000</v>
      </c>
    </row>
    <row r="57" spans="1:38" ht="15.95">
      <c r="A57" s="36"/>
      <c r="B57" s="34" t="s">
        <v>294</v>
      </c>
      <c r="C57" s="56"/>
      <c r="D57" s="63">
        <f>D44</f>
        <v>-124967781.25</v>
      </c>
      <c r="E57" s="64">
        <f>E44</f>
        <v>-108076125</v>
      </c>
      <c r="F57" s="64">
        <f>F44</f>
        <v>-95555031.25</v>
      </c>
      <c r="G57" s="108">
        <f>G44</f>
        <v>-83019500</v>
      </c>
      <c r="H57" s="97">
        <f t="shared" si="123"/>
        <v>-411618437.5</v>
      </c>
      <c r="I57" s="63">
        <f>I44</f>
        <v>-70469531.25</v>
      </c>
      <c r="J57" s="64">
        <f>J44</f>
        <v>-57905125</v>
      </c>
      <c r="K57" s="64">
        <f>K44</f>
        <v>-45326281.25</v>
      </c>
      <c r="L57" s="108">
        <f>L44</f>
        <v>-39853000</v>
      </c>
      <c r="M57" s="97">
        <f t="shared" si="124"/>
        <v>-213553937.5</v>
      </c>
      <c r="N57" s="63">
        <f>N44</f>
        <v>-42260281.25</v>
      </c>
      <c r="O57" s="64">
        <f>O44</f>
        <v>-44653125</v>
      </c>
      <c r="P57" s="64">
        <f>P44</f>
        <v>-47031531.25</v>
      </c>
      <c r="Q57" s="108">
        <f>Q44</f>
        <v>-49395500</v>
      </c>
      <c r="R57" s="97">
        <f t="shared" si="125"/>
        <v>-183340437.5</v>
      </c>
      <c r="S57" s="63">
        <f>S44</f>
        <v>-51745031.25</v>
      </c>
      <c r="T57" s="64">
        <f>T44</f>
        <v>-54080125</v>
      </c>
      <c r="U57" s="64">
        <f>U44</f>
        <v>-56400781.25</v>
      </c>
      <c r="V57" s="108">
        <f>V44</f>
        <v>-58707000</v>
      </c>
      <c r="W57" s="97">
        <f t="shared" si="126"/>
        <v>-220932937.5</v>
      </c>
      <c r="X57" s="63">
        <f>X44</f>
        <v>-60998781.25</v>
      </c>
      <c r="Y57" s="64">
        <f>Y44</f>
        <v>-63276125</v>
      </c>
      <c r="Z57" s="64">
        <f>Z44</f>
        <v>-65539031.25</v>
      </c>
      <c r="AA57" s="108">
        <f>AA44</f>
        <v>-67787500</v>
      </c>
      <c r="AB57" s="97">
        <f t="shared" si="127"/>
        <v>-257601437.5</v>
      </c>
      <c r="AC57" s="63">
        <f>AC44</f>
        <v>-61443125</v>
      </c>
      <c r="AD57" s="64">
        <f>AD44</f>
        <v>-59923750</v>
      </c>
      <c r="AE57" s="64">
        <f>AE44</f>
        <v>-59779375</v>
      </c>
      <c r="AF57" s="108">
        <f>AF44</f>
        <v>-59635000</v>
      </c>
      <c r="AG57" s="97">
        <f t="shared" si="128"/>
        <v>-240781250</v>
      </c>
      <c r="AH57" s="63">
        <f>AH44</f>
        <v>-59490625</v>
      </c>
      <c r="AI57" s="64">
        <f>AI44</f>
        <v>-59346250</v>
      </c>
      <c r="AJ57" s="64">
        <f>AJ44</f>
        <v>-59201875</v>
      </c>
      <c r="AK57" s="108">
        <f>AK44</f>
        <v>-59057500</v>
      </c>
      <c r="AL57" s="60">
        <f t="shared" si="129"/>
        <v>-237096250</v>
      </c>
    </row>
    <row r="58" spans="1:38" ht="15.95">
      <c r="A58" s="36"/>
      <c r="B58" s="34" t="s">
        <v>295</v>
      </c>
      <c r="C58" s="56"/>
      <c r="D58" s="63">
        <f>(SUM(D87:D90)*-Assumptions!$D$80+D86*-Assumptions!$D$79+-Assumptions!$D$81)/VLOOKUP(Assumptions!$D$7, Lists!$B$7:$C$10, 2, FALSE)</f>
        <v>-272100000</v>
      </c>
      <c r="E58" s="64">
        <f>((SUM(E87:E90)-SUM(D87:D90))*-Assumptions!$D$80+(E86-D86)*-Assumptions!$D$79)/VLOOKUP(Assumptions!$D$7, Lists!$B$7:$C$10, 2, FALSE)</f>
        <v>-11650000</v>
      </c>
      <c r="F58" s="64">
        <f>((SUM(F87:F90)-SUM(E87:E90))*-Assumptions!$D$80+(F86-E86)*-Assumptions!$D$79)/VLOOKUP(Assumptions!$D$7, Lists!$B$7:$C$10, 2, FALSE)</f>
        <v>-11650000</v>
      </c>
      <c r="G58" s="108">
        <f>((SUM(G87:G90)-SUM(F87:F90))*-Assumptions!$D$80+(G86-F86)*-Assumptions!$D$79)/VLOOKUP(Assumptions!$D$7, Lists!$B$7:$C$10, 2, FALSE)</f>
        <v>-11800000</v>
      </c>
      <c r="H58" s="97">
        <f t="shared" si="123"/>
        <v>-307200000</v>
      </c>
      <c r="I58" s="63">
        <f>((SUM(I87:I90)-SUM(G87:G90))*-Assumptions!$D$80+(I86-G86)*-Assumptions!$D$79)/VLOOKUP(Assumptions!$D$7, Lists!$B$7:$C$10, 2, FALSE)</f>
        <v>-11650000</v>
      </c>
      <c r="J58" s="64">
        <f>((SUM(J87:J90)-SUM(I87:I90))*-Assumptions!$D$80+(J86-I86)*-Assumptions!$D$79)/VLOOKUP(Assumptions!$D$7, Lists!$B$7:$C$10, 2, FALSE)</f>
        <v>-11650000</v>
      </c>
      <c r="K58" s="64">
        <f>((SUM(K87:K90)-SUM(J87:J90))*-Assumptions!$D$80+(K86-J86)*-Assumptions!$D$79)/VLOOKUP(Assumptions!$D$7, Lists!$B$7:$C$10, 2, FALSE)</f>
        <v>-11500000</v>
      </c>
      <c r="L58" s="108">
        <f>((SUM(L87:L90)-SUM(K87:K90))*-Assumptions!$D$80+(L86-K86)*-Assumptions!$D$79)/VLOOKUP(Assumptions!$D$7, Lists!$B$7:$C$10, 2, FALSE)</f>
        <v>-11500000</v>
      </c>
      <c r="M58" s="97">
        <f t="shared" si="124"/>
        <v>-46300000</v>
      </c>
      <c r="N58" s="63">
        <f>((SUM(N87:N90)-SUM(L87:L90))*-Assumptions!$D$80+(N86-L86)*-Assumptions!$D$79)/VLOOKUP(Assumptions!$D$7, Lists!$B$7:$C$10, 2, FALSE)</f>
        <v>-11650000</v>
      </c>
      <c r="O58" s="64">
        <f>((SUM(O87:O90)-SUM(N87:N90))*-Assumptions!$D$80+(O86-N86)*-Assumptions!$D$79)/VLOOKUP(Assumptions!$D$7, Lists!$B$7:$C$10, 2, FALSE)</f>
        <v>-11500000</v>
      </c>
      <c r="P58" s="64">
        <f>((SUM(P87:P90)-SUM(O87:O90))*-Assumptions!$D$80+(P86-O86)*-Assumptions!$D$79)/VLOOKUP(Assumptions!$D$7, Lists!$B$7:$C$10, 2, FALSE)</f>
        <v>-11650000</v>
      </c>
      <c r="Q58" s="108">
        <f>((SUM(Q87:Q90)-SUM(P87:P90))*-Assumptions!$D$80+(Q86-P86)*-Assumptions!$D$79)/VLOOKUP(Assumptions!$D$7, Lists!$B$7:$C$10, 2, FALSE)</f>
        <v>-11500000</v>
      </c>
      <c r="R58" s="97">
        <f t="shared" si="125"/>
        <v>-46300000</v>
      </c>
      <c r="S58" s="63">
        <f>((SUM(S87:S90)-SUM(Q87:Q90))*-Assumptions!$D$80+(S86-Q86)*-Assumptions!$D$79)/VLOOKUP(Assumptions!$D$7, Lists!$B$7:$C$10, 2, FALSE)</f>
        <v>-11350000</v>
      </c>
      <c r="T58" s="64">
        <f>((SUM(T87:T90)-SUM(S87:S90))*-Assumptions!$D$80+(T86-S86)*-Assumptions!$D$79)/VLOOKUP(Assumptions!$D$7, Lists!$B$7:$C$10, 2, FALSE)</f>
        <v>-11500000</v>
      </c>
      <c r="U58" s="64">
        <f>((SUM(U87:U90)-SUM(T87:T90))*-Assumptions!$D$80+(U86-T86)*-Assumptions!$D$79)/VLOOKUP(Assumptions!$D$7, Lists!$B$7:$C$10, 2, FALSE)</f>
        <v>-11500000</v>
      </c>
      <c r="V58" s="108">
        <f>((SUM(V87:V90)-SUM(U87:U90))*-Assumptions!$D$80+(V86-U86)*-Assumptions!$D$79)/VLOOKUP(Assumptions!$D$7, Lists!$B$7:$C$10, 2, FALSE)</f>
        <v>-11500000</v>
      </c>
      <c r="W58" s="97">
        <f t="shared" si="126"/>
        <v>-45850000</v>
      </c>
      <c r="X58" s="63">
        <f>((SUM(X87:X90)-SUM(V87:V90))*-Assumptions!$D$80+(X86-V86)*-Assumptions!$D$79)/VLOOKUP(Assumptions!$D$7, Lists!$B$7:$C$10, 2, FALSE)</f>
        <v>-11350000</v>
      </c>
      <c r="Y58" s="64">
        <f>((SUM(Y87:Y90)-SUM(X87:X90))*-Assumptions!$D$80+(Y86-X86)*-Assumptions!$D$79)/VLOOKUP(Assumptions!$D$7, Lists!$B$7:$C$10, 2, FALSE)</f>
        <v>-11200000</v>
      </c>
      <c r="Z58" s="64">
        <f>((SUM(Z87:Z90)-SUM(Y87:Y90))*-Assumptions!$D$80+(Z86-Y86)*-Assumptions!$D$79)/VLOOKUP(Assumptions!$D$7, Lists!$B$7:$C$10, 2, FALSE)</f>
        <v>-11350000</v>
      </c>
      <c r="AA58" s="108">
        <f>((SUM(AA87:AA90)-SUM(Z87:Z90))*-Assumptions!$D$80+(AA86-Z86)*-Assumptions!$D$79)/VLOOKUP(Assumptions!$D$7, Lists!$B$7:$C$10, 2, FALSE)</f>
        <v>-11500000</v>
      </c>
      <c r="AB58" s="97">
        <f t="shared" si="127"/>
        <v>-45400000</v>
      </c>
      <c r="AC58" s="63">
        <f>((SUM(AC87:AC90)-SUM(AA87:AA90))*-Assumptions!$D$80+(AC86-AA86)*-Assumptions!$D$79)/VLOOKUP(Assumptions!$D$7, Lists!$B$7:$C$10, 2, FALSE)</f>
        <v>150000</v>
      </c>
      <c r="AD58" s="64">
        <f>((SUM(AD87:AD90)-SUM(AC87:AC90))*-Assumptions!$D$80+(AD86-AC86)*-Assumptions!$D$79)/VLOOKUP(Assumptions!$D$7, Lists!$B$7:$C$10, 2, FALSE)</f>
        <v>10600000</v>
      </c>
      <c r="AE58" s="64">
        <f>((SUM(AE87:AE90)-SUM(AD87:AD90))*-Assumptions!$D$80+(AE86-AD86)*-Assumptions!$D$79)/VLOOKUP(Assumptions!$D$7, Lists!$B$7:$C$10, 2, FALSE)</f>
        <v>150000</v>
      </c>
      <c r="AF58" s="108">
        <f>((SUM(AF87:AF90)-SUM(AE87:AE90))*-Assumptions!$D$80+(AF86-AE86)*-Assumptions!$D$79)/VLOOKUP(Assumptions!$D$7, Lists!$B$7:$C$10, 2, FALSE)</f>
        <v>0</v>
      </c>
      <c r="AG58" s="97">
        <f t="shared" si="128"/>
        <v>10900000</v>
      </c>
      <c r="AH58" s="63">
        <f>((SUM(AH87:AH90)-SUM(AF87:AF90))*-Assumptions!$D$80+(AH86-AF86)*-Assumptions!$D$79)/VLOOKUP(Assumptions!$D$7, Lists!$B$7:$C$10, 2, FALSE)</f>
        <v>450000</v>
      </c>
      <c r="AI58" s="64">
        <f>((SUM(AI87:AI90)-SUM(AH87:AH90))*-Assumptions!$D$80+(AI86-AH86)*-Assumptions!$D$79)/VLOOKUP(Assumptions!$D$7, Lists!$B$7:$C$10, 2, FALSE)</f>
        <v>150000</v>
      </c>
      <c r="AJ58" s="64">
        <f>((SUM(AJ87:AJ90)-SUM(AI87:AI90))*-Assumptions!$D$80+(AJ86-AI86)*-Assumptions!$D$79)/VLOOKUP(Assumptions!$D$7, Lists!$B$7:$C$10, 2, FALSE)</f>
        <v>0</v>
      </c>
      <c r="AK58" s="108">
        <f>((SUM(AK87:AK90)-SUM(AJ87:AJ90))*-Assumptions!$D$80+(AK86-AJ86)*-Assumptions!$D$79)/VLOOKUP(Assumptions!$D$7, Lists!$B$7:$C$10, 2, FALSE)</f>
        <v>300000</v>
      </c>
      <c r="AL58" s="60">
        <f t="shared" si="129"/>
        <v>900000</v>
      </c>
    </row>
    <row r="59" spans="1:38" ht="15.95">
      <c r="A59" s="36"/>
      <c r="B59" s="34" t="s">
        <v>296</v>
      </c>
      <c r="C59" s="56"/>
      <c r="D59" s="63"/>
      <c r="E59" s="64"/>
      <c r="F59" s="64"/>
      <c r="G59" s="108"/>
      <c r="H59" s="97">
        <f t="shared" si="123"/>
        <v>0</v>
      </c>
      <c r="I59" s="63">
        <f>-H47</f>
        <v>0</v>
      </c>
      <c r="J59" s="64"/>
      <c r="K59" s="64"/>
      <c r="L59" s="108"/>
      <c r="M59" s="97">
        <f t="shared" si="124"/>
        <v>0</v>
      </c>
      <c r="N59" s="63">
        <f>-M47</f>
        <v>57527423.348214298</v>
      </c>
      <c r="O59" s="64"/>
      <c r="P59" s="64"/>
      <c r="Q59" s="108"/>
      <c r="R59" s="97">
        <f t="shared" si="125"/>
        <v>57527423.348214298</v>
      </c>
      <c r="S59" s="63">
        <f>-R47</f>
        <v>103303677.99107142</v>
      </c>
      <c r="T59" s="64"/>
      <c r="U59" s="64"/>
      <c r="V59" s="108"/>
      <c r="W59" s="97">
        <f t="shared" si="126"/>
        <v>103303677.99107142</v>
      </c>
      <c r="X59" s="63">
        <f>-W47</f>
        <v>139687394.0625</v>
      </c>
      <c r="Y59" s="64"/>
      <c r="Z59" s="64"/>
      <c r="AA59" s="108"/>
      <c r="AB59" s="97">
        <f t="shared" si="127"/>
        <v>139687394.0625</v>
      </c>
      <c r="AC59" s="63">
        <f>-AB47</f>
        <v>173839607.27678573</v>
      </c>
      <c r="AD59" s="64"/>
      <c r="AE59" s="64"/>
      <c r="AF59" s="108"/>
      <c r="AG59" s="97">
        <f t="shared" si="128"/>
        <v>173839607.27678573</v>
      </c>
      <c r="AH59" s="63">
        <f>-AG47</f>
        <v>176582629.46428573</v>
      </c>
      <c r="AI59" s="64"/>
      <c r="AJ59" s="64"/>
      <c r="AK59" s="108"/>
      <c r="AL59" s="60">
        <f t="shared" si="129"/>
        <v>176582629.46428573</v>
      </c>
    </row>
    <row r="60" spans="1:38" ht="17.100000000000001" thickBot="1">
      <c r="A60" s="102" t="s">
        <v>297</v>
      </c>
      <c r="B60" s="34"/>
      <c r="C60" s="56"/>
      <c r="D60" s="142">
        <f>SUM(D52:D59)</f>
        <v>-359346598.4375</v>
      </c>
      <c r="E60" s="143">
        <f>SUM(E52:E59)</f>
        <v>-64200362.5</v>
      </c>
      <c r="F60" s="143">
        <f>SUM(F52:F59)</f>
        <v>-34178760.9375</v>
      </c>
      <c r="G60" s="144">
        <f>SUM(G52:G59)</f>
        <v>-5721793.75</v>
      </c>
      <c r="H60" s="112">
        <f t="shared" si="123"/>
        <v>-463447515.625</v>
      </c>
      <c r="I60" s="142">
        <f>SUM(I52:I59)</f>
        <v>23745539.0625</v>
      </c>
      <c r="J60" s="143">
        <f>SUM(J52:J59)</f>
        <v>52898237.5</v>
      </c>
      <c r="K60" s="143">
        <f>SUM(K52:K59)</f>
        <v>82286301.5625</v>
      </c>
      <c r="L60" s="144">
        <f>SUM(L52:L59)</f>
        <v>104114731.25</v>
      </c>
      <c r="M60" s="112">
        <f t="shared" si="124"/>
        <v>263044809.375</v>
      </c>
      <c r="N60" s="142">
        <f>SUM(N52:N59)</f>
        <v>174760949.9107143</v>
      </c>
      <c r="O60" s="143">
        <f>SUM(O52:O59)</f>
        <v>130737687.5</v>
      </c>
      <c r="P60" s="143">
        <f>SUM(P52:P59)</f>
        <v>143152214.0625</v>
      </c>
      <c r="Q60" s="144">
        <f>SUM(Q52:Q59)</f>
        <v>156077106.25</v>
      </c>
      <c r="R60" s="112">
        <f t="shared" si="125"/>
        <v>604727957.72321427</v>
      </c>
      <c r="S60" s="142">
        <f>SUM(S52:S59)</f>
        <v>272391042.0535714</v>
      </c>
      <c r="T60" s="143">
        <f>SUM(T52:T59)</f>
        <v>181132987.5</v>
      </c>
      <c r="U60" s="143">
        <f>SUM(U52:U59)</f>
        <v>193038976.5625</v>
      </c>
      <c r="V60" s="144">
        <f>SUM(V52:V59)</f>
        <v>204655331.25</v>
      </c>
      <c r="W60" s="112">
        <f t="shared" si="126"/>
        <v>851218337.36607146</v>
      </c>
      <c r="X60" s="142">
        <f>SUM(X52:X59)</f>
        <v>356194445.625</v>
      </c>
      <c r="Y60" s="143">
        <f>SUM(Y52:Y59)</f>
        <v>229194137.5</v>
      </c>
      <c r="Z60" s="143">
        <f>SUM(Z52:Z59)</f>
        <v>240166589.0625</v>
      </c>
      <c r="AA60" s="144">
        <f>SUM(AA52:AA59)</f>
        <v>250474406.25</v>
      </c>
      <c r="AB60" s="112">
        <f t="shared" si="127"/>
        <v>1076029578.4375</v>
      </c>
      <c r="AC60" s="142">
        <f>SUM(AC52:AC59)</f>
        <v>417430763.52678573</v>
      </c>
      <c r="AD60" s="143">
        <f>SUM(AD52:AD59)</f>
        <v>254894812.5</v>
      </c>
      <c r="AE60" s="143">
        <f>SUM(AE52:AE59)</f>
        <v>241923468.75</v>
      </c>
      <c r="AF60" s="144">
        <f>SUM(AF52:AF59)</f>
        <v>238877125</v>
      </c>
      <c r="AG60" s="112">
        <f t="shared" si="128"/>
        <v>1153126169.7767859</v>
      </c>
      <c r="AH60" s="142">
        <f>SUM(AH52:AH59)</f>
        <v>414888410.71428573</v>
      </c>
      <c r="AI60" s="143">
        <f>SUM(AI52:AI59)</f>
        <v>235484437.5</v>
      </c>
      <c r="AJ60" s="143">
        <f>SUM(AJ52:AJ59)</f>
        <v>232438093.75</v>
      </c>
      <c r="AK60" s="144">
        <f>SUM(AK52:AK59)</f>
        <v>230716750</v>
      </c>
      <c r="AL60" s="61">
        <f t="shared" si="129"/>
        <v>1113527691.9642859</v>
      </c>
    </row>
    <row r="61" spans="1:38" s="109" customFormat="1" ht="20.100000000000001" thickBot="1">
      <c r="A61" s="197" t="s">
        <v>298</v>
      </c>
      <c r="B61" s="198"/>
      <c r="C61" s="199"/>
      <c r="D61" s="145">
        <f>D60</f>
        <v>-359346598.4375</v>
      </c>
      <c r="E61" s="146">
        <f>D61+E60</f>
        <v>-423546960.9375</v>
      </c>
      <c r="F61" s="146">
        <f>E61+F60</f>
        <v>-457725721.875</v>
      </c>
      <c r="G61" s="147">
        <f>F61+G60</f>
        <v>-463447515.625</v>
      </c>
      <c r="H61" s="193">
        <f>G61</f>
        <v>-463447515.625</v>
      </c>
      <c r="I61" s="194">
        <f>G61+I60</f>
        <v>-439701976.5625</v>
      </c>
      <c r="J61" s="195">
        <f>I61+J60</f>
        <v>-386803739.0625</v>
      </c>
      <c r="K61" s="195">
        <f>J61+K60</f>
        <v>-304517437.5</v>
      </c>
      <c r="L61" s="196">
        <f>K61+L60</f>
        <v>-200402706.25</v>
      </c>
      <c r="M61" s="110">
        <f>L61</f>
        <v>-200402706.25</v>
      </c>
      <c r="N61" s="194">
        <f>L61+N60</f>
        <v>-25641756.339285702</v>
      </c>
      <c r="O61" s="195">
        <f>N61+O60</f>
        <v>105095931.1607143</v>
      </c>
      <c r="P61" s="195">
        <f>O61+P60</f>
        <v>248248145.2232143</v>
      </c>
      <c r="Q61" s="196">
        <f>P61+Q60</f>
        <v>404325251.47321427</v>
      </c>
      <c r="R61" s="110">
        <f>Q61</f>
        <v>404325251.47321427</v>
      </c>
      <c r="S61" s="194">
        <f>Q61+S60</f>
        <v>676716293.52678561</v>
      </c>
      <c r="T61" s="195">
        <f>S61+T60</f>
        <v>857849281.02678561</v>
      </c>
      <c r="U61" s="195">
        <f>T61+U60</f>
        <v>1050888257.5892856</v>
      </c>
      <c r="V61" s="196">
        <f>U61+V60</f>
        <v>1255543588.8392856</v>
      </c>
      <c r="W61" s="110">
        <f>V61</f>
        <v>1255543588.8392856</v>
      </c>
      <c r="X61" s="194">
        <f>V61+X60</f>
        <v>1611738034.4642856</v>
      </c>
      <c r="Y61" s="195">
        <f>X61+Y60</f>
        <v>1840932171.9642856</v>
      </c>
      <c r="Z61" s="195">
        <f>Y61+Z60</f>
        <v>2081098761.0267856</v>
      </c>
      <c r="AA61" s="196">
        <f>Z61+AA60</f>
        <v>2331573167.2767859</v>
      </c>
      <c r="AB61" s="110">
        <f>AA61</f>
        <v>2331573167.2767859</v>
      </c>
      <c r="AC61" s="194">
        <f>AA61+AC60</f>
        <v>2749003930.8035717</v>
      </c>
      <c r="AD61" s="195">
        <f>AC61+AD60</f>
        <v>3003898743.3035717</v>
      </c>
      <c r="AE61" s="195">
        <f>AD61+AE60</f>
        <v>3245822212.0535717</v>
      </c>
      <c r="AF61" s="196">
        <f>AE61+AF60</f>
        <v>3484699337.0535717</v>
      </c>
      <c r="AG61" s="110">
        <f>AF61</f>
        <v>3484699337.0535717</v>
      </c>
      <c r="AH61" s="194">
        <f>AF61+AH60</f>
        <v>3899587747.7678576</v>
      </c>
      <c r="AI61" s="195">
        <f>AH61+AI60</f>
        <v>4135072185.2678576</v>
      </c>
      <c r="AJ61" s="195">
        <f>AI61+AJ60</f>
        <v>4367510279.0178576</v>
      </c>
      <c r="AK61" s="196">
        <f>AJ61+AK60</f>
        <v>4598227029.0178576</v>
      </c>
      <c r="AL61" s="111">
        <f>AK61</f>
        <v>4598227029.0178576</v>
      </c>
    </row>
    <row r="62" spans="1:38" ht="15.95" thickBot="1"/>
    <row r="63" spans="1:38" ht="17.100000000000001" thickBot="1">
      <c r="A63" s="28" t="s">
        <v>299</v>
      </c>
      <c r="B63" s="28"/>
      <c r="C63" s="28"/>
      <c r="D63" s="148" t="s">
        <v>214</v>
      </c>
      <c r="E63" s="149" t="s">
        <v>215</v>
      </c>
      <c r="F63" s="149" t="s">
        <v>216</v>
      </c>
      <c r="G63" s="149" t="s">
        <v>217</v>
      </c>
      <c r="H63" s="43" t="s">
        <v>218</v>
      </c>
      <c r="I63" s="148" t="s">
        <v>219</v>
      </c>
      <c r="J63" s="149" t="s">
        <v>220</v>
      </c>
      <c r="K63" s="149" t="s">
        <v>221</v>
      </c>
      <c r="L63" s="149" t="s">
        <v>222</v>
      </c>
      <c r="M63" s="43" t="s">
        <v>223</v>
      </c>
      <c r="N63" s="148" t="s">
        <v>224</v>
      </c>
      <c r="O63" s="149" t="s">
        <v>225</v>
      </c>
      <c r="P63" s="149" t="s">
        <v>226</v>
      </c>
      <c r="Q63" s="149" t="s">
        <v>227</v>
      </c>
      <c r="R63" s="43" t="s">
        <v>228</v>
      </c>
      <c r="S63" s="148" t="s">
        <v>229</v>
      </c>
      <c r="T63" s="149" t="s">
        <v>230</v>
      </c>
      <c r="U63" s="149" t="s">
        <v>231</v>
      </c>
      <c r="V63" s="149" t="s">
        <v>232</v>
      </c>
      <c r="W63" s="43" t="s">
        <v>233</v>
      </c>
      <c r="X63" s="148" t="s">
        <v>234</v>
      </c>
      <c r="Y63" s="149" t="s">
        <v>235</v>
      </c>
      <c r="Z63" s="149" t="s">
        <v>236</v>
      </c>
      <c r="AA63" s="149" t="s">
        <v>237</v>
      </c>
      <c r="AB63" s="43" t="s">
        <v>238</v>
      </c>
      <c r="AC63" s="148" t="s">
        <v>239</v>
      </c>
      <c r="AD63" s="149" t="s">
        <v>240</v>
      </c>
      <c r="AE63" s="149" t="s">
        <v>241</v>
      </c>
      <c r="AF63" s="149" t="s">
        <v>242</v>
      </c>
      <c r="AG63" s="43" t="s">
        <v>243</v>
      </c>
      <c r="AH63" s="148" t="s">
        <v>244</v>
      </c>
      <c r="AI63" s="149" t="s">
        <v>245</v>
      </c>
      <c r="AJ63" s="149" t="s">
        <v>246</v>
      </c>
      <c r="AK63" s="149" t="s">
        <v>247</v>
      </c>
      <c r="AL63" s="43" t="s">
        <v>248</v>
      </c>
    </row>
    <row r="64" spans="1:38" ht="15.95">
      <c r="A64" s="188"/>
      <c r="B64" s="29"/>
      <c r="C64" s="30" t="s">
        <v>300</v>
      </c>
      <c r="D64" s="130">
        <f>IFERROR(D72/(_xlfn.XLOOKUP(Assumptions!$D$5, 'Baseline Headcount Estimates'!$B$13:$B$180, 'Baseline Headcount Estimates'!$R$13:$R$180, "")*1000), "N/A")</f>
        <v>3.4927718458987911E-3</v>
      </c>
      <c r="E64" s="150">
        <f>IFERROR(E72/(_xlfn.XLOOKUP(Assumptions!$D$5, 'Baseline Headcount Estimates'!$B$13:$B$180, 'Baseline Headcount Estimates'!$R$13:$R$180, "")*1000), "N/A")</f>
        <v>6.9416094547422513E-3</v>
      </c>
      <c r="F64" s="150">
        <f>IFERROR(F72/(_xlfn.XLOOKUP(Assumptions!$D$5, 'Baseline Headcount Estimates'!$B$13:$B$180, 'Baseline Headcount Estimates'!$R$13:$R$180, "")*1000), "N/A")</f>
        <v>1.0346512826530381E-2</v>
      </c>
      <c r="G64" s="151">
        <f>IFERROR(G72/(_xlfn.XLOOKUP(Assumptions!$D$5, 'Baseline Headcount Estimates'!$B$13:$B$180, 'Baseline Headcount Estimates'!$R$13:$R$180, "")*1000), "N/A")</f>
        <v>1.3707481961263179E-2</v>
      </c>
      <c r="H64" s="129">
        <f t="shared" ref="H64:H72" si="130">G64</f>
        <v>1.3707481961263179E-2</v>
      </c>
      <c r="I64" s="130">
        <f>IFERROR(I72/(_xlfn.XLOOKUP(Assumptions!$D$5, 'Baseline Headcount Estimates'!$B$13:$B$180, 'Baseline Headcount Estimates'!$R$13:$R$180, "")*1000), "N/A")</f>
        <v>1.7024516858940648E-2</v>
      </c>
      <c r="J64" s="150">
        <f>IFERROR(J72/(_xlfn.XLOOKUP(Assumptions!$D$5, 'Baseline Headcount Estimates'!$B$13:$B$180, 'Baseline Headcount Estimates'!$R$13:$R$180, "")*1000), "N/A")</f>
        <v>2.0297617519562786E-2</v>
      </c>
      <c r="K64" s="150">
        <f>IFERROR(K72/(_xlfn.XLOOKUP(Assumptions!$D$5, 'Baseline Headcount Estimates'!$B$13:$B$180, 'Baseline Headcount Estimates'!$R$13:$R$180, "")*1000), "N/A")</f>
        <v>2.3526783943129591E-2</v>
      </c>
      <c r="L64" s="151">
        <f>IFERROR(L72/(_xlfn.XLOOKUP(Assumptions!$D$5, 'Baseline Headcount Estimates'!$B$13:$B$180, 'Baseline Headcount Estimates'!$R$13:$R$180, "")*1000), "N/A")</f>
        <v>2.6712016129641067E-2</v>
      </c>
      <c r="M64" s="129">
        <f t="shared" ref="M64:M72" si="131">L64</f>
        <v>2.6712016129641067E-2</v>
      </c>
      <c r="N64" s="130">
        <f>IFERROR(N72/(_xlfn.XLOOKUP(Assumptions!$D$5, 'Baseline Headcount Estimates'!$B$13:$B$180, 'Baseline Headcount Estimates'!$R$13:$R$180, "")*1000), "N/A")</f>
        <v>2.9853314079097214E-2</v>
      </c>
      <c r="O64" s="150">
        <f>IFERROR(O72/(_xlfn.XLOOKUP(Assumptions!$D$5, 'Baseline Headcount Estimates'!$B$13:$B$180, 'Baseline Headcount Estimates'!$R$13:$R$180, "")*1000), "N/A")</f>
        <v>3.2950677791498025E-2</v>
      </c>
      <c r="P64" s="150">
        <f>IFERROR(P72/(_xlfn.XLOOKUP(Assumptions!$D$5, 'Baseline Headcount Estimates'!$B$13:$B$180, 'Baseline Headcount Estimates'!$R$13:$R$180, "")*1000), "N/A")</f>
        <v>3.6004107266843513E-2</v>
      </c>
      <c r="Q64" s="151">
        <f>IFERROR(Q72/(_xlfn.XLOOKUP(Assumptions!$D$5, 'Baseline Headcount Estimates'!$B$13:$B$180, 'Baseline Headcount Estimates'!$R$13:$R$180, "")*1000), "N/A")</f>
        <v>3.9013602505133665E-2</v>
      </c>
      <c r="R64" s="129">
        <f t="shared" ref="R64:R72" si="132">Q64</f>
        <v>3.9013602505133665E-2</v>
      </c>
      <c r="S64" s="130">
        <f>IFERROR(S72/(_xlfn.XLOOKUP(Assumptions!$D$5, 'Baseline Headcount Estimates'!$B$13:$B$180, 'Baseline Headcount Estimates'!$R$13:$R$180, "")*1000), "N/A")</f>
        <v>4.1979163506368489E-2</v>
      </c>
      <c r="T64" s="150">
        <f>IFERROR(T72/(_xlfn.XLOOKUP(Assumptions!$D$5, 'Baseline Headcount Estimates'!$B$13:$B$180, 'Baseline Headcount Estimates'!$R$13:$R$180, "")*1000), "N/A")</f>
        <v>4.4900790270547976E-2</v>
      </c>
      <c r="U64" s="150">
        <f>IFERROR(U72/(_xlfn.XLOOKUP(Assumptions!$D$5, 'Baseline Headcount Estimates'!$B$13:$B$180, 'Baseline Headcount Estimates'!$R$13:$R$180, "")*1000), "N/A")</f>
        <v>4.7778482797672141E-2</v>
      </c>
      <c r="V64" s="151">
        <f>IFERROR(V72/(_xlfn.XLOOKUP(Assumptions!$D$5, 'Baseline Headcount Estimates'!$B$13:$B$180, 'Baseline Headcount Estimates'!$R$13:$R$180, "")*1000), "N/A")</f>
        <v>5.061224108774097E-2</v>
      </c>
      <c r="W64" s="129">
        <f t="shared" ref="W64:W72" si="133">V64</f>
        <v>5.061224108774097E-2</v>
      </c>
      <c r="X64" s="130">
        <f>IFERROR(X72/(_xlfn.XLOOKUP(Assumptions!$D$5, 'Baseline Headcount Estimates'!$B$13:$B$180, 'Baseline Headcount Estimates'!$R$13:$R$180, "")*1000), "N/A")</f>
        <v>5.3402065140754469E-2</v>
      </c>
      <c r="Y64" s="150">
        <f>IFERROR(Y72/(_xlfn.XLOOKUP(Assumptions!$D$5, 'Baseline Headcount Estimates'!$B$13:$B$180, 'Baseline Headcount Estimates'!$R$13:$R$180, "")*1000), "N/A")</f>
        <v>5.614795495671264E-2</v>
      </c>
      <c r="Z64" s="150">
        <f>IFERROR(Z72/(_xlfn.XLOOKUP(Assumptions!$D$5, 'Baseline Headcount Estimates'!$B$13:$B$180, 'Baseline Headcount Estimates'!$R$13:$R$180, "")*1000), "N/A")</f>
        <v>5.8849910535615474E-2</v>
      </c>
      <c r="AA64" s="151">
        <f>IFERROR(AA72/(_xlfn.XLOOKUP(Assumptions!$D$5, 'Baseline Headcount Estimates'!$B$13:$B$180, 'Baseline Headcount Estimates'!$R$13:$R$180, "")*1000), "N/A")</f>
        <v>6.1507931877462986E-2</v>
      </c>
      <c r="AB64" s="180">
        <f>AA64</f>
        <v>6.1507931877462986E-2</v>
      </c>
      <c r="AC64" s="130">
        <f>IFERROR(AC72/(_xlfn.XLOOKUP(Assumptions!$D$5, 'Baseline Headcount Estimates'!$B$13:$B$180, 'Baseline Headcount Estimates'!$R$13:$R$180, "")*1000), "N/A")</f>
        <v>6.106858950690968E-2</v>
      </c>
      <c r="AD64" s="150">
        <f>IFERROR(AD72/(_xlfn.XLOOKUP(Assumptions!$D$5, 'Baseline Headcount Estimates'!$B$13:$B$180, 'Baseline Headcount Estimates'!$R$13:$R$180, "")*1000), "N/A")</f>
        <v>6.0629247136356368E-2</v>
      </c>
      <c r="AE64" s="150">
        <f>IFERROR(AE72/(_xlfn.XLOOKUP(Assumptions!$D$5, 'Baseline Headcount Estimates'!$B$13:$B$180, 'Baseline Headcount Estimates'!$R$13:$R$180, "")*1000), "N/A")</f>
        <v>6.0189904765803062E-2</v>
      </c>
      <c r="AF64" s="151">
        <f>IFERROR(AF72/(_xlfn.XLOOKUP(Assumptions!$D$5, 'Baseline Headcount Estimates'!$B$13:$B$180, 'Baseline Headcount Estimates'!$R$13:$R$180, "")*1000), "N/A")</f>
        <v>5.9750562395249757E-2</v>
      </c>
      <c r="AG64" s="180">
        <f>AF64</f>
        <v>5.9750562395249757E-2</v>
      </c>
      <c r="AH64" s="130">
        <f>IFERROR(AH72/(_xlfn.XLOOKUP(Assumptions!$D$5, 'Baseline Headcount Estimates'!$B$13:$B$180, 'Baseline Headcount Estimates'!$R$13:$R$180, "")*1000), "N/A")</f>
        <v>5.9311220024696451E-2</v>
      </c>
      <c r="AI64" s="150">
        <f>IFERROR(AI72/(_xlfn.XLOOKUP(Assumptions!$D$5, 'Baseline Headcount Estimates'!$B$13:$B$180, 'Baseline Headcount Estimates'!$R$13:$R$180, "")*1000), "N/A")</f>
        <v>5.8871877654143145E-2</v>
      </c>
      <c r="AJ64" s="150">
        <f>IFERROR(AJ72/(_xlfn.XLOOKUP(Assumptions!$D$5, 'Baseline Headcount Estimates'!$B$13:$B$180, 'Baseline Headcount Estimates'!$R$13:$R$180, "")*1000), "N/A")</f>
        <v>5.8432535283589833E-2</v>
      </c>
      <c r="AK64" s="151">
        <f>IFERROR(AK72/(_xlfn.XLOOKUP(Assumptions!$D$5, 'Baseline Headcount Estimates'!$B$13:$B$180, 'Baseline Headcount Estimates'!$R$13:$R$180, "")*1000), "N/A")</f>
        <v>5.7993192913036527E-2</v>
      </c>
      <c r="AL64" s="129">
        <f>AK64</f>
        <v>5.7993192913036527E-2</v>
      </c>
    </row>
    <row r="65" spans="1:38" ht="15.95">
      <c r="A65" s="31"/>
      <c r="C65" s="33" t="s">
        <v>301</v>
      </c>
      <c r="D65" s="132">
        <f>IFERROR(D73/(_xlfn.XLOOKUP(Assumptions!$D$5, 'Baseline Headcount Estimates'!$B$13:$B$180, 'Baseline Headcount Estimates'!$Q$13:$Q$180, "")*1000), "N/A")</f>
        <v>5.971471512259836E-3</v>
      </c>
      <c r="E65" s="131">
        <f>IFERROR(E73/(_xlfn.XLOOKUP(Assumptions!$D$5, 'Baseline Headcount Estimates'!$B$13:$B$180, 'Baseline Headcount Estimates'!$Q$13:$Q$180, "")*1000), "N/A")</f>
        <v>1.1867830175308857E-2</v>
      </c>
      <c r="F65" s="131">
        <f>IFERROR(F73/(_xlfn.XLOOKUP(Assumptions!$D$5, 'Baseline Headcount Estimates'!$B$13:$B$180, 'Baseline Headcount Estimates'!$Q$13:$Q$180, "")*1000), "N/A")</f>
        <v>1.7689075989147061E-2</v>
      </c>
      <c r="G65" s="133">
        <f>IFERROR(G73/(_xlfn.XLOOKUP(Assumptions!$D$5, 'Baseline Headcount Estimates'!$B$13:$B$180, 'Baseline Headcount Estimates'!$Q$13:$Q$180, "")*1000), "N/A")</f>
        <v>2.3435208953774451E-2</v>
      </c>
      <c r="H65" s="129">
        <f t="shared" si="130"/>
        <v>2.3435208953774451E-2</v>
      </c>
      <c r="I65" s="132">
        <f>IFERROR(I73/(_xlfn.XLOOKUP(Assumptions!$D$5, 'Baseline Headcount Estimates'!$B$13:$B$180, 'Baseline Headcount Estimates'!$Q$13:$Q$180, "")*1000), "N/A")</f>
        <v>2.9106229069191025E-2</v>
      </c>
      <c r="J65" s="131">
        <f>IFERROR(J73/(_xlfn.XLOOKUP(Assumptions!$D$5, 'Baseline Headcount Estimates'!$B$13:$B$180, 'Baseline Headcount Estimates'!$Q$13:$Q$180, "")*1000), "N/A")</f>
        <v>3.4702136335396781E-2</v>
      </c>
      <c r="K65" s="131">
        <f>IFERROR(K73/(_xlfn.XLOOKUP(Assumptions!$D$5, 'Baseline Headcount Estimates'!$B$13:$B$180, 'Baseline Headcount Estimates'!$Q$13:$Q$180, "")*1000), "N/A")</f>
        <v>4.0222930752391722E-2</v>
      </c>
      <c r="L65" s="133">
        <f>IFERROR(L73/(_xlfn.XLOOKUP(Assumptions!$D$5, 'Baseline Headcount Estimates'!$B$13:$B$180, 'Baseline Headcount Estimates'!$Q$13:$Q$180, "")*1000), "N/A")</f>
        <v>4.5668612320175855E-2</v>
      </c>
      <c r="M65" s="129">
        <f t="shared" si="131"/>
        <v>4.5668612320175855E-2</v>
      </c>
      <c r="N65" s="132">
        <f>IFERROR(N73/(_xlfn.XLOOKUP(Assumptions!$D$5, 'Baseline Headcount Estimates'!$B$13:$B$180, 'Baseline Headcount Estimates'!$Q$13:$Q$180, "")*1000), "N/A")</f>
        <v>5.1039181038749167E-2</v>
      </c>
      <c r="O65" s="131">
        <f>IFERROR(O73/(_xlfn.XLOOKUP(Assumptions!$D$5, 'Baseline Headcount Estimates'!$B$13:$B$180, 'Baseline Headcount Estimates'!$Q$13:$Q$180, "")*1000), "N/A")</f>
        <v>5.6334636908111663E-2</v>
      </c>
      <c r="P65" s="131">
        <f>IFERROR(P73/(_xlfn.XLOOKUP(Assumptions!$D$5, 'Baseline Headcount Estimates'!$B$13:$B$180, 'Baseline Headcount Estimates'!$Q$13:$Q$180, "")*1000), "N/A")</f>
        <v>6.1554979928263344E-2</v>
      </c>
      <c r="Q65" s="133">
        <f>IFERROR(Q73/(_xlfn.XLOOKUP(Assumptions!$D$5, 'Baseline Headcount Estimates'!$B$13:$B$180, 'Baseline Headcount Estimates'!$Q$13:$Q$180, "")*1000), "N/A")</f>
        <v>6.670021009920421E-2</v>
      </c>
      <c r="R65" s="129">
        <f t="shared" si="132"/>
        <v>6.670021009920421E-2</v>
      </c>
      <c r="S65" s="132">
        <f>IFERROR(S73/(_xlfn.XLOOKUP(Assumptions!$D$5, 'Baseline Headcount Estimates'!$B$13:$B$180, 'Baseline Headcount Estimates'!$Q$13:$Q$180, "")*1000), "N/A")</f>
        <v>7.1770327420934255E-2</v>
      </c>
      <c r="T65" s="131">
        <f>IFERROR(T73/(_xlfn.XLOOKUP(Assumptions!$D$5, 'Baseline Headcount Estimates'!$B$13:$B$180, 'Baseline Headcount Estimates'!$Q$13:$Q$180, "")*1000), "N/A")</f>
        <v>7.6765331893453484E-2</v>
      </c>
      <c r="U65" s="131">
        <f>IFERROR(U73/(_xlfn.XLOOKUP(Assumptions!$D$5, 'Baseline Headcount Estimates'!$B$13:$B$180, 'Baseline Headcount Estimates'!$Q$13:$Q$180, "")*1000), "N/A")</f>
        <v>8.1685223516761912E-2</v>
      </c>
      <c r="V65" s="133">
        <f>IFERROR(V73/(_xlfn.XLOOKUP(Assumptions!$D$5, 'Baseline Headcount Estimates'!$B$13:$B$180, 'Baseline Headcount Estimates'!$Q$13:$Q$180, "")*1000), "N/A")</f>
        <v>8.6530002290859512E-2</v>
      </c>
      <c r="W65" s="129">
        <f t="shared" si="133"/>
        <v>8.6530002290859512E-2</v>
      </c>
      <c r="X65" s="132">
        <f>IFERROR(X73/(_xlfn.XLOOKUP(Assumptions!$D$5, 'Baseline Headcount Estimates'!$B$13:$B$180, 'Baseline Headcount Estimates'!$Q$13:$Q$180, "")*1000), "N/A")</f>
        <v>9.1299668215746296E-2</v>
      </c>
      <c r="Y65" s="131">
        <f>IFERROR(Y73/(_xlfn.XLOOKUP(Assumptions!$D$5, 'Baseline Headcount Estimates'!$B$13:$B$180, 'Baseline Headcount Estimates'!$Q$13:$Q$180, "")*1000), "N/A")</f>
        <v>9.5994221291422266E-2</v>
      </c>
      <c r="Z65" s="131">
        <f>IFERROR(Z73/(_xlfn.XLOOKUP(Assumptions!$D$5, 'Baseline Headcount Estimates'!$B$13:$B$180, 'Baseline Headcount Estimates'!$Q$13:$Q$180, "")*1000), "N/A")</f>
        <v>0.10061366151788742</v>
      </c>
      <c r="AA65" s="133">
        <f>IFERROR(AA73/(_xlfn.XLOOKUP(Assumptions!$D$5, 'Baseline Headcount Estimates'!$B$13:$B$180, 'Baseline Headcount Estimates'!$Q$13:$Q$180, "")*1000), "N/A")</f>
        <v>0.10515798889514176</v>
      </c>
      <c r="AB65" s="181">
        <f>AA65</f>
        <v>0.10515798889514176</v>
      </c>
      <c r="AC65" s="132">
        <f>IFERROR(AC73/(_xlfn.XLOOKUP(Assumptions!$D$5, 'Baseline Headcount Estimates'!$B$13:$B$180, 'Baseline Headcount Estimates'!$Q$13:$Q$180, "")*1000), "N/A")</f>
        <v>0.10440686040303361</v>
      </c>
      <c r="AD65" s="131">
        <f>IFERROR(AD73/(_xlfn.XLOOKUP(Assumptions!$D$5, 'Baseline Headcount Estimates'!$B$13:$B$180, 'Baseline Headcount Estimates'!$Q$13:$Q$180, "")*1000), "N/A")</f>
        <v>0.10365573191092546</v>
      </c>
      <c r="AE65" s="131">
        <f>IFERROR(AE73/(_xlfn.XLOOKUP(Assumptions!$D$5, 'Baseline Headcount Estimates'!$B$13:$B$180, 'Baseline Headcount Estimates'!$Q$13:$Q$180, "")*1000), "N/A")</f>
        <v>0.1029046034188173</v>
      </c>
      <c r="AF65" s="133">
        <f>IFERROR(AF73/(_xlfn.XLOOKUP(Assumptions!$D$5, 'Baseline Headcount Estimates'!$B$13:$B$180, 'Baseline Headcount Estimates'!$Q$13:$Q$180, "")*1000), "N/A")</f>
        <v>0.10215347492670915</v>
      </c>
      <c r="AG65" s="181">
        <f>AF65</f>
        <v>0.10215347492670915</v>
      </c>
      <c r="AH65" s="132">
        <f>IFERROR(AH73/(_xlfn.XLOOKUP(Assumptions!$D$5, 'Baseline Headcount Estimates'!$B$13:$B$180, 'Baseline Headcount Estimates'!$Q$13:$Q$180, "")*1000), "N/A")</f>
        <v>0.10140234643460098</v>
      </c>
      <c r="AI65" s="131">
        <f>IFERROR(AI73/(_xlfn.XLOOKUP(Assumptions!$D$5, 'Baseline Headcount Estimates'!$B$13:$B$180, 'Baseline Headcount Estimates'!$Q$13:$Q$180, "")*1000), "N/A")</f>
        <v>0.10065121794249283</v>
      </c>
      <c r="AJ65" s="131">
        <f>IFERROR(AJ73/(_xlfn.XLOOKUP(Assumptions!$D$5, 'Baseline Headcount Estimates'!$B$13:$B$180, 'Baseline Headcount Estimates'!$Q$13:$Q$180, "")*1000), "N/A")</f>
        <v>9.9900089450384671E-2</v>
      </c>
      <c r="AK65" s="133">
        <f>IFERROR(AK73/(_xlfn.XLOOKUP(Assumptions!$D$5, 'Baseline Headcount Estimates'!$B$13:$B$180, 'Baseline Headcount Estimates'!$Q$13:$Q$180, "")*1000), "N/A")</f>
        <v>9.9148960958276522E-2</v>
      </c>
      <c r="AL65" s="129">
        <f>AK65</f>
        <v>9.9148960958276522E-2</v>
      </c>
    </row>
    <row r="66" spans="1:38" ht="15.95">
      <c r="A66" s="31"/>
      <c r="C66" s="33" t="s">
        <v>302</v>
      </c>
      <c r="D66" s="132">
        <f>IFERROR(D74/(_xlfn.XLOOKUP(Assumptions!$D$5, 'Baseline Headcount Estimates'!$B$13:$B$180, 'Baseline Headcount Estimates'!$P$13:$P$180, "")*1000), "N/A")</f>
        <v>9.8181020050228194E-3</v>
      </c>
      <c r="E66" s="131">
        <f>IFERROR(E74/(_xlfn.XLOOKUP(Assumptions!$D$5, 'Baseline Headcount Estimates'!$B$13:$B$180, 'Baseline Headcount Estimates'!$P$13:$P$180, "")*1000), "N/A")</f>
        <v>1.9512705871617679E-2</v>
      </c>
      <c r="F66" s="131">
        <f>IFERROR(F74/(_xlfn.XLOOKUP(Assumptions!$D$5, 'Baseline Headcount Estimates'!$B$13:$B$180, 'Baseline Headcount Estimates'!$P$13:$P$180, "")*1000), "N/A")</f>
        <v>2.9083811599784577E-2</v>
      </c>
      <c r="G66" s="133">
        <f>IFERROR(G74/(_xlfn.XLOOKUP(Assumptions!$D$5, 'Baseline Headcount Estimates'!$B$13:$B$180, 'Baseline Headcount Estimates'!$P$13:$P$180, "")*1000), "N/A")</f>
        <v>3.8531419189523519E-2</v>
      </c>
      <c r="H66" s="129">
        <f t="shared" si="130"/>
        <v>3.8531419189523519E-2</v>
      </c>
      <c r="I66" s="132">
        <f>IFERROR(I74/(_xlfn.XLOOKUP(Assumptions!$D$5, 'Baseline Headcount Estimates'!$B$13:$B$180, 'Baseline Headcount Estimates'!$P$13:$P$180, "")*1000), "N/A")</f>
        <v>4.7855528640834498E-2</v>
      </c>
      <c r="J66" s="131">
        <f>IFERROR(J74/(_xlfn.XLOOKUP(Assumptions!$D$5, 'Baseline Headcount Estimates'!$B$13:$B$180, 'Baseline Headcount Estimates'!$P$13:$P$180, "")*1000), "N/A")</f>
        <v>5.7056139953717513E-2</v>
      </c>
      <c r="K66" s="131">
        <f>IFERROR(K74/(_xlfn.XLOOKUP(Assumptions!$D$5, 'Baseline Headcount Estimates'!$B$13:$B$180, 'Baseline Headcount Estimates'!$P$13:$P$180, "")*1000), "N/A")</f>
        <v>6.6133253128172573E-2</v>
      </c>
      <c r="L66" s="133">
        <f>IFERROR(L74/(_xlfn.XLOOKUP(Assumptions!$D$5, 'Baseline Headcount Estimates'!$B$13:$B$180, 'Baseline Headcount Estimates'!$P$13:$P$180, "")*1000), "N/A")</f>
        <v>7.5086868164199669E-2</v>
      </c>
      <c r="M66" s="129">
        <f t="shared" si="131"/>
        <v>7.5086868164199669E-2</v>
      </c>
      <c r="N66" s="132">
        <f>IFERROR(N74/(_xlfn.XLOOKUP(Assumptions!$D$5, 'Baseline Headcount Estimates'!$B$13:$B$180, 'Baseline Headcount Estimates'!$P$13:$P$180, "")*1000), "N/A")</f>
        <v>8.3916985061798816E-2</v>
      </c>
      <c r="O66" s="131">
        <f>IFERROR(O74/(_xlfn.XLOOKUP(Assumptions!$D$5, 'Baseline Headcount Estimates'!$B$13:$B$180, 'Baseline Headcount Estimates'!$P$13:$P$180, "")*1000), "N/A")</f>
        <v>9.2623603820969999E-2</v>
      </c>
      <c r="P66" s="131">
        <f>IFERROR(P74/(_xlfn.XLOOKUP(Assumptions!$D$5, 'Baseline Headcount Estimates'!$B$13:$B$180, 'Baseline Headcount Estimates'!$P$13:$P$180, "")*1000), "N/A")</f>
        <v>0.10120672444171321</v>
      </c>
      <c r="Q66" s="133">
        <f>IFERROR(Q74/(_xlfn.XLOOKUP(Assumptions!$D$5, 'Baseline Headcount Estimates'!$B$13:$B$180, 'Baseline Headcount Estimates'!$P$13:$P$180, "")*1000), "N/A")</f>
        <v>0.10966634692402848</v>
      </c>
      <c r="R66" s="129">
        <f t="shared" si="132"/>
        <v>0.10966634692402848</v>
      </c>
      <c r="S66" s="132">
        <f>IFERROR(S74/(_xlfn.XLOOKUP(Assumptions!$D$5, 'Baseline Headcount Estimates'!$B$13:$B$180, 'Baseline Headcount Estimates'!$P$13:$P$180, "")*1000), "N/A")</f>
        <v>0.11800247126791577</v>
      </c>
      <c r="T66" s="131">
        <f>IFERROR(T74/(_xlfn.XLOOKUP(Assumptions!$D$5, 'Baseline Headcount Estimates'!$B$13:$B$180, 'Baseline Headcount Estimates'!$P$13:$P$180, "")*1000), "N/A")</f>
        <v>0.12621509747337512</v>
      </c>
      <c r="U66" s="131">
        <f>IFERROR(U74/(_xlfn.XLOOKUP(Assumptions!$D$5, 'Baseline Headcount Estimates'!$B$13:$B$180, 'Baseline Headcount Estimates'!$P$13:$P$180, "")*1000), "N/A")</f>
        <v>0.1343042255404065</v>
      </c>
      <c r="V66" s="133">
        <f>IFERROR(V74/(_xlfn.XLOOKUP(Assumptions!$D$5, 'Baseline Headcount Estimates'!$B$13:$B$180, 'Baseline Headcount Estimates'!$P$13:$P$180, "")*1000), "N/A")</f>
        <v>0.14226985546900991</v>
      </c>
      <c r="W66" s="129">
        <f t="shared" si="133"/>
        <v>0.14226985546900991</v>
      </c>
      <c r="X66" s="132">
        <f>IFERROR(X74/(_xlfn.XLOOKUP(Assumptions!$D$5, 'Baseline Headcount Estimates'!$B$13:$B$180, 'Baseline Headcount Estimates'!$P$13:$P$180, "")*1000), "N/A")</f>
        <v>0.15011198725918537</v>
      </c>
      <c r="Y66" s="131">
        <f>IFERROR(Y74/(_xlfn.XLOOKUP(Assumptions!$D$5, 'Baseline Headcount Estimates'!$B$13:$B$180, 'Baseline Headcount Estimates'!$P$13:$P$180, "")*1000), "N/A")</f>
        <v>0.15783062091093286</v>
      </c>
      <c r="Z66" s="131">
        <f>IFERROR(Z74/(_xlfn.XLOOKUP(Assumptions!$D$5, 'Baseline Headcount Estimates'!$B$13:$B$180, 'Baseline Headcount Estimates'!$P$13:$P$180, "")*1000), "N/A")</f>
        <v>0.16542575642425242</v>
      </c>
      <c r="AA66" s="133">
        <f>IFERROR(AA74/(_xlfn.XLOOKUP(Assumptions!$D$5, 'Baseline Headcount Estimates'!$B$13:$B$180, 'Baseline Headcount Estimates'!$P$13:$P$180, "")*1000), "N/A")</f>
        <v>0.17289739379914398</v>
      </c>
      <c r="AB66" s="181">
        <f>AA66</f>
        <v>0.17289739379914398</v>
      </c>
      <c r="AC66" s="132">
        <f>IFERROR(AC74/(_xlfn.XLOOKUP(Assumptions!$D$5, 'Baseline Headcount Estimates'!$B$13:$B$180, 'Baseline Headcount Estimates'!$P$13:$P$180, "")*1000), "N/A")</f>
        <v>0.17166241241486438</v>
      </c>
      <c r="AD66" s="131">
        <f>IFERROR(AD74/(_xlfn.XLOOKUP(Assumptions!$D$5, 'Baseline Headcount Estimates'!$B$13:$B$180, 'Baseline Headcount Estimates'!$P$13:$P$180, "")*1000), "N/A")</f>
        <v>0.17042743103058478</v>
      </c>
      <c r="AE66" s="131">
        <f>IFERROR(AE74/(_xlfn.XLOOKUP(Assumptions!$D$5, 'Baseline Headcount Estimates'!$B$13:$B$180, 'Baseline Headcount Estimates'!$P$13:$P$180, "")*1000), "N/A")</f>
        <v>0.1691924496463052</v>
      </c>
      <c r="AF66" s="133">
        <f>IFERROR(AF74/(_xlfn.XLOOKUP(Assumptions!$D$5, 'Baseline Headcount Estimates'!$B$13:$B$180, 'Baseline Headcount Estimates'!$P$13:$P$180, "")*1000), "N/A")</f>
        <v>0.16795746826202559</v>
      </c>
      <c r="AG66" s="181">
        <f>AF66</f>
        <v>0.16795746826202559</v>
      </c>
      <c r="AH66" s="132">
        <f>IFERROR(AH74/(_xlfn.XLOOKUP(Assumptions!$D$5, 'Baseline Headcount Estimates'!$B$13:$B$180, 'Baseline Headcount Estimates'!$P$13:$P$180, "")*1000), "N/A")</f>
        <v>0.16672248687774599</v>
      </c>
      <c r="AI66" s="131">
        <f>IFERROR(AI74/(_xlfn.XLOOKUP(Assumptions!$D$5, 'Baseline Headcount Estimates'!$B$13:$B$180, 'Baseline Headcount Estimates'!$P$13:$P$180, "")*1000), "N/A")</f>
        <v>0.16548750549346639</v>
      </c>
      <c r="AJ66" s="131">
        <f>IFERROR(AJ74/(_xlfn.XLOOKUP(Assumptions!$D$5, 'Baseline Headcount Estimates'!$B$13:$B$180, 'Baseline Headcount Estimates'!$P$13:$P$180, "")*1000), "N/A")</f>
        <v>0.16425252410918678</v>
      </c>
      <c r="AK66" s="133">
        <f>IFERROR(AK74/(_xlfn.XLOOKUP(Assumptions!$D$5, 'Baseline Headcount Estimates'!$B$13:$B$180, 'Baseline Headcount Estimates'!$P$13:$P$180, "")*1000), "N/A")</f>
        <v>0.16301754272490718</v>
      </c>
      <c r="AL66" s="129">
        <f>AK66</f>
        <v>0.16301754272490718</v>
      </c>
    </row>
    <row r="67" spans="1:38" ht="15.95">
      <c r="A67" s="31"/>
      <c r="C67" s="33" t="s">
        <v>303</v>
      </c>
      <c r="D67" s="132">
        <f>IFERROR(D75/(_xlfn.XLOOKUP(Assumptions!$D$5, 'Baseline Headcount Estimates'!$B$13:$B$180, 'Baseline Headcount Estimates'!$O$13:$O$180, "")*1000), "N/A")</f>
        <v>9.4418130698424082E-3</v>
      </c>
      <c r="E67" s="131">
        <f>IFERROR(E75/(_xlfn.XLOOKUP(Assumptions!$D$5, 'Baseline Headcount Estimates'!$B$13:$B$180, 'Baseline Headcount Estimates'!$O$13:$O$180, "")*1000), "N/A")</f>
        <v>1.8764861195410067E-2</v>
      </c>
      <c r="F67" s="131">
        <f>IFERROR(F75/(_xlfn.XLOOKUP(Assumptions!$D$5, 'Baseline Headcount Estimates'!$B$13:$B$180, 'Baseline Headcount Estimates'!$O$13:$O$180, "")*1000), "N/A")</f>
        <v>2.7969144376702979E-2</v>
      </c>
      <c r="G67" s="133">
        <f>IFERROR(G75/(_xlfn.XLOOKUP(Assumptions!$D$5, 'Baseline Headcount Estimates'!$B$13:$B$180, 'Baseline Headcount Estimates'!$O$13:$O$180, "")*1000), "N/A")</f>
        <v>3.7054662613721145E-2</v>
      </c>
      <c r="H67" s="129">
        <f t="shared" si="130"/>
        <v>3.7054662613721145E-2</v>
      </c>
      <c r="I67" s="132">
        <f>IFERROR(I75/(_xlfn.XLOOKUP(Assumptions!$D$5, 'Baseline Headcount Estimates'!$B$13:$B$180, 'Baseline Headcount Estimates'!$O$13:$O$180, "")*1000), "N/A")</f>
        <v>4.6021415906464566E-2</v>
      </c>
      <c r="J67" s="131">
        <f>IFERROR(J75/(_xlfn.XLOOKUP(Assumptions!$D$5, 'Baseline Headcount Estimates'!$B$13:$B$180, 'Baseline Headcount Estimates'!$O$13:$O$180, "")*1000), "N/A")</f>
        <v>5.4869404254933238E-2</v>
      </c>
      <c r="K67" s="131">
        <f>IFERROR(K75/(_xlfn.XLOOKUP(Assumptions!$D$5, 'Baseline Headcount Estimates'!$B$13:$B$180, 'Baseline Headcount Estimates'!$O$13:$O$180, "")*1000), "N/A")</f>
        <v>6.359862765912716E-2</v>
      </c>
      <c r="L67" s="133">
        <f>IFERROR(L75/(_xlfn.XLOOKUP(Assumptions!$D$5, 'Baseline Headcount Estimates'!$B$13:$B$180, 'Baseline Headcount Estimates'!$O$13:$O$180, "")*1000), "N/A")</f>
        <v>7.2209086119046334E-2</v>
      </c>
      <c r="M67" s="129">
        <f t="shared" si="131"/>
        <v>7.2209086119046334E-2</v>
      </c>
      <c r="N67" s="132">
        <f>IFERROR(N75/(_xlfn.XLOOKUP(Assumptions!$D$5, 'Baseline Headcount Estimates'!$B$13:$B$180, 'Baseline Headcount Estimates'!$O$13:$O$180, "")*1000), "N/A")</f>
        <v>8.0700779634690772E-2</v>
      </c>
      <c r="O67" s="131">
        <f>IFERROR(O75/(_xlfn.XLOOKUP(Assumptions!$D$5, 'Baseline Headcount Estimates'!$B$13:$B$180, 'Baseline Headcount Estimates'!$O$13:$O$180, "")*1000), "N/A")</f>
        <v>8.9073708206060448E-2</v>
      </c>
      <c r="P67" s="131">
        <f>IFERROR(P75/(_xlfn.XLOOKUP(Assumptions!$D$5, 'Baseline Headcount Estimates'!$B$13:$B$180, 'Baseline Headcount Estimates'!$O$13:$O$180, "")*1000), "N/A")</f>
        <v>9.7327871833155388E-2</v>
      </c>
      <c r="Q67" s="133">
        <f>IFERROR(Q75/(_xlfn.XLOOKUP(Assumptions!$D$5, 'Baseline Headcount Estimates'!$B$13:$B$180, 'Baseline Headcount Estimates'!$O$13:$O$180, "")*1000), "N/A")</f>
        <v>0.10546327051597557</v>
      </c>
      <c r="R67" s="129">
        <f t="shared" si="132"/>
        <v>0.10546327051597557</v>
      </c>
      <c r="S67" s="132">
        <f>IFERROR(S75/(_xlfn.XLOOKUP(Assumptions!$D$5, 'Baseline Headcount Estimates'!$B$13:$B$180, 'Baseline Headcount Estimates'!$O$13:$O$180, "")*1000), "N/A")</f>
        <v>0.11347990425452101</v>
      </c>
      <c r="T67" s="131">
        <f>IFERROR(T75/(_xlfn.XLOOKUP(Assumptions!$D$5, 'Baseline Headcount Estimates'!$B$13:$B$180, 'Baseline Headcount Estimates'!$O$13:$O$180, "")*1000), "N/A")</f>
        <v>0.1213777730487917</v>
      </c>
      <c r="U67" s="131">
        <f>IFERROR(U75/(_xlfn.XLOOKUP(Assumptions!$D$5, 'Baseline Headcount Estimates'!$B$13:$B$180, 'Baseline Headcount Estimates'!$O$13:$O$180, "")*1000), "N/A")</f>
        <v>0.12915687689878766</v>
      </c>
      <c r="V67" s="133">
        <f>IFERROR(V75/(_xlfn.XLOOKUP(Assumptions!$D$5, 'Baseline Headcount Estimates'!$B$13:$B$180, 'Baseline Headcount Estimates'!$O$13:$O$180, "")*1000), "N/A")</f>
        <v>0.13681721580450884</v>
      </c>
      <c r="W67" s="129">
        <f t="shared" si="133"/>
        <v>0.13681721580450884</v>
      </c>
      <c r="X67" s="132">
        <f>IFERROR(X75/(_xlfn.XLOOKUP(Assumptions!$D$5, 'Baseline Headcount Estimates'!$B$13:$B$180, 'Baseline Headcount Estimates'!$O$13:$O$180, "")*1000), "N/A")</f>
        <v>0.14435878976595529</v>
      </c>
      <c r="Y67" s="131">
        <f>IFERROR(Y75/(_xlfn.XLOOKUP(Assumptions!$D$5, 'Baseline Headcount Estimates'!$B$13:$B$180, 'Baseline Headcount Estimates'!$O$13:$O$180, "")*1000), "N/A")</f>
        <v>0.151781598783127</v>
      </c>
      <c r="Z67" s="131">
        <f>IFERROR(Z75/(_xlfn.XLOOKUP(Assumptions!$D$5, 'Baseline Headcount Estimates'!$B$13:$B$180, 'Baseline Headcount Estimates'!$O$13:$O$180, "")*1000), "N/A")</f>
        <v>0.15908564285602397</v>
      </c>
      <c r="AA67" s="133">
        <f>IFERROR(AA75/(_xlfn.XLOOKUP(Assumptions!$D$5, 'Baseline Headcount Estimates'!$B$13:$B$180, 'Baseline Headcount Estimates'!$O$13:$O$180, "")*1000), "N/A")</f>
        <v>0.16627092198464616</v>
      </c>
      <c r="AB67" s="181">
        <f>AA67</f>
        <v>0.16627092198464616</v>
      </c>
      <c r="AC67" s="132">
        <f>IFERROR(AC75/(_xlfn.XLOOKUP(Assumptions!$D$5, 'Baseline Headcount Estimates'!$B$13:$B$180, 'Baseline Headcount Estimates'!$O$13:$O$180, "")*1000), "N/A")</f>
        <v>0.1650832725418987</v>
      </c>
      <c r="AD67" s="131">
        <f>IFERROR(AD75/(_xlfn.XLOOKUP(Assumptions!$D$5, 'Baseline Headcount Estimates'!$B$13:$B$180, 'Baseline Headcount Estimates'!$O$13:$O$180, "")*1000), "N/A")</f>
        <v>0.16389562309915123</v>
      </c>
      <c r="AE67" s="131">
        <f>IFERROR(AE75/(_xlfn.XLOOKUP(Assumptions!$D$5, 'Baseline Headcount Estimates'!$B$13:$B$180, 'Baseline Headcount Estimates'!$O$13:$O$180, "")*1000), "N/A")</f>
        <v>0.16270797365640374</v>
      </c>
      <c r="AF67" s="133">
        <f>IFERROR(AF75/(_xlfn.XLOOKUP(Assumptions!$D$5, 'Baseline Headcount Estimates'!$B$13:$B$180, 'Baseline Headcount Estimates'!$O$13:$O$180, "")*1000), "N/A")</f>
        <v>0.16152032421365628</v>
      </c>
      <c r="AG67" s="181">
        <f>AF67</f>
        <v>0.16152032421365628</v>
      </c>
      <c r="AH67" s="132">
        <f>IFERROR(AH75/(_xlfn.XLOOKUP(Assumptions!$D$5, 'Baseline Headcount Estimates'!$B$13:$B$180, 'Baseline Headcount Estimates'!$O$13:$O$180, "")*1000), "N/A")</f>
        <v>0.16033267477090882</v>
      </c>
      <c r="AI67" s="131">
        <f>IFERROR(AI75/(_xlfn.XLOOKUP(Assumptions!$D$5, 'Baseline Headcount Estimates'!$B$13:$B$180, 'Baseline Headcount Estimates'!$O$13:$O$180, "")*1000), "N/A")</f>
        <v>0.15914502532816133</v>
      </c>
      <c r="AJ67" s="131">
        <f>IFERROR(AJ75/(_xlfn.XLOOKUP(Assumptions!$D$5, 'Baseline Headcount Estimates'!$B$13:$B$180, 'Baseline Headcount Estimates'!$O$13:$O$180, "")*1000), "N/A")</f>
        <v>0.15795737588541386</v>
      </c>
      <c r="AK67" s="133">
        <f>IFERROR(AK75/(_xlfn.XLOOKUP(Assumptions!$D$5, 'Baseline Headcount Estimates'!$B$13:$B$180, 'Baseline Headcount Estimates'!$O$13:$O$180, "")*1000), "N/A")</f>
        <v>0.1567697264426664</v>
      </c>
      <c r="AL67" s="129">
        <f>AK67</f>
        <v>0.1567697264426664</v>
      </c>
    </row>
    <row r="68" spans="1:38" ht="15.95">
      <c r="A68" s="55"/>
      <c r="C68" s="189" t="s">
        <v>304</v>
      </c>
      <c r="D68" s="68">
        <f>Assumptions!$D$12*(1/(Assumptions!$D$16*4))</f>
        <v>10</v>
      </c>
      <c r="E68" s="69">
        <f>D68+Assumptions!$D$12*(1/(Assumptions!$D$16*4))</f>
        <v>20</v>
      </c>
      <c r="F68" s="69">
        <f>E68+Assumptions!$D$12*(1/(Assumptions!$D$16*4))</f>
        <v>30</v>
      </c>
      <c r="G68" s="92">
        <f>F68+Assumptions!$D$12*(1/(Assumptions!$D$16*4))</f>
        <v>40</v>
      </c>
      <c r="H68" s="91">
        <f t="shared" si="130"/>
        <v>40</v>
      </c>
      <c r="I68" s="68">
        <f>IF($H$68&lt;Assumptions!$D$12,(H68+Assumptions!$D$12*(1/(Assumptions!$D$16*4))),$H$68)</f>
        <v>50</v>
      </c>
      <c r="J68" s="69">
        <f>IF($H$68&lt;Assumptions!$D$12,(I68+Assumptions!$D$12*(1/(Assumptions!$D$16*4))),$H$68)</f>
        <v>60</v>
      </c>
      <c r="K68" s="69">
        <f>IF($H$68&lt;Assumptions!$D$12,(J68+Assumptions!$D$12*(1/(Assumptions!$D$16*4))),$H$68)</f>
        <v>70</v>
      </c>
      <c r="L68" s="92">
        <f>IF($H$68&lt;Assumptions!$D$12,(K68+Assumptions!$D$12*(1/(Assumptions!$D$16*4))),$H$68)</f>
        <v>80</v>
      </c>
      <c r="M68" s="57">
        <f t="shared" si="131"/>
        <v>80</v>
      </c>
      <c r="N68" s="68">
        <f>IF($M$68&lt;Assumptions!$D$12,(M68+Assumptions!$D$12*(1/(Assumptions!$D$16*4))),$M$68)</f>
        <v>90</v>
      </c>
      <c r="O68" s="69">
        <f>IF($M$68&lt;Assumptions!$D$12,(N68+Assumptions!$D$12*(1/(Assumptions!$D$16*4))),$M$68)</f>
        <v>100</v>
      </c>
      <c r="P68" s="69">
        <f>IF($M$68&lt;Assumptions!$D$12,(O68+Assumptions!$D$12*(1/(Assumptions!$D$16*4))),$M$68)</f>
        <v>110</v>
      </c>
      <c r="Q68" s="92">
        <f>IF($M$68&lt;Assumptions!$D$12,(P68+Assumptions!$D$12*(1/(Assumptions!$D$16*4))),$M$68)</f>
        <v>120</v>
      </c>
      <c r="R68" s="57">
        <f t="shared" si="132"/>
        <v>120</v>
      </c>
      <c r="S68" s="68">
        <f>IF($R$68&lt;Assumptions!$D$12,(R68+Assumptions!$D$12*(1/(Assumptions!$D$16*4))),$R$68)</f>
        <v>130</v>
      </c>
      <c r="T68" s="69">
        <f>IF($R$68&lt;Assumptions!$D$12,(S68+Assumptions!$D$12*(1/(Assumptions!$D$16*4))),$R$68)</f>
        <v>140</v>
      </c>
      <c r="U68" s="69">
        <f>IF($R$68&lt;Assumptions!$D$12,(T68+Assumptions!$D$12*(1/(Assumptions!$D$16*4))),$R$68)</f>
        <v>150</v>
      </c>
      <c r="V68" s="92">
        <f>IF($R$68&lt;Assumptions!$D$12,(U68+Assumptions!$D$12*(1/(Assumptions!$D$16*4))),$R$68)</f>
        <v>160</v>
      </c>
      <c r="W68" s="57">
        <f t="shared" si="133"/>
        <v>160</v>
      </c>
      <c r="X68" s="68">
        <f>IF($W$68&lt;Assumptions!$D$12,(W68+Assumptions!$D$12*(1/(Assumptions!$D$16*4))),$W$68)</f>
        <v>170</v>
      </c>
      <c r="Y68" s="69">
        <f>IF($W$68&lt;Assumptions!$D$12,(X68+Assumptions!$D$12*(1/(Assumptions!$D$16*4))),$W$68)</f>
        <v>180</v>
      </c>
      <c r="Z68" s="69">
        <f>IF($W$68&lt;Assumptions!$D$12,(Y68+Assumptions!$D$12*(1/(Assumptions!$D$16*4))),$W$68)</f>
        <v>190</v>
      </c>
      <c r="AA68" s="92">
        <f>IF($W$68&lt;Assumptions!$D$12,(Z68+Assumptions!$D$12*(1/(Assumptions!$D$16*4))),$W$68)</f>
        <v>200</v>
      </c>
      <c r="AB68" s="57">
        <f t="shared" ref="AB68:AL68" si="134">AA68</f>
        <v>200</v>
      </c>
      <c r="AC68" s="68">
        <f>IF($AB$68&lt;Assumptions!$D$12,(AB68+Assumptions!$D$12*(1/(Assumptions!$D$16*4))),$AB$68)</f>
        <v>200</v>
      </c>
      <c r="AD68" s="69">
        <f>IF($AB$68&lt;Assumptions!$D$12,(AC68+Assumptions!$D$12*(1/(Assumptions!$D$16*4))),$AB$68)</f>
        <v>200</v>
      </c>
      <c r="AE68" s="69">
        <f>IF($AB$68&lt;Assumptions!$D$12,(AD68+Assumptions!$D$12*(1/(Assumptions!$D$16*4))),$AB$68)</f>
        <v>200</v>
      </c>
      <c r="AF68" s="92">
        <f>IF($AB$68&lt;Assumptions!$D$12,(AE68+Assumptions!$D$12*(1/(Assumptions!$D$16*4))),$AB$68)</f>
        <v>200</v>
      </c>
      <c r="AG68" s="57">
        <f t="shared" si="134"/>
        <v>200</v>
      </c>
      <c r="AH68" s="68">
        <f>IF($AB$68&lt;Assumptions!$D$12,(AG68+Assumptions!$D$12*(1/(Assumptions!$D$16*4))),$AB$68)</f>
        <v>200</v>
      </c>
      <c r="AI68" s="69">
        <f>IF($AB$68&lt;Assumptions!$D$12,(AH68+Assumptions!$D$12*(1/(Assumptions!$D$16*4))),$AB$68)</f>
        <v>200</v>
      </c>
      <c r="AJ68" s="69">
        <f>IF($AB$68&lt;Assumptions!$D$12,(AI68+Assumptions!$D$12*(1/(Assumptions!$D$16*4))),$AB$68)</f>
        <v>200</v>
      </c>
      <c r="AK68" s="92">
        <f>IF($AB$68&lt;Assumptions!$D$12,(AJ68+Assumptions!$D$12*(1/(Assumptions!$D$16*4))),$AB$68)</f>
        <v>200</v>
      </c>
      <c r="AL68" s="91">
        <f t="shared" si="134"/>
        <v>200</v>
      </c>
    </row>
    <row r="69" spans="1:38" ht="15.95">
      <c r="A69" s="55"/>
      <c r="C69" s="189" t="s">
        <v>305</v>
      </c>
      <c r="D69" s="68">
        <f>Assumptions!$D$13*(1/(Assumptions!$D$16*4))</f>
        <v>50</v>
      </c>
      <c r="E69" s="69">
        <f>D69+Assumptions!$D$13*(1/(Assumptions!$D$16*4))</f>
        <v>100</v>
      </c>
      <c r="F69" s="69">
        <f>E69+Assumptions!$D$13*(1/(Assumptions!$D$16*4))</f>
        <v>150</v>
      </c>
      <c r="G69" s="92">
        <f>F69+Assumptions!$D$13*(1/(Assumptions!$D$16*4))</f>
        <v>200</v>
      </c>
      <c r="H69" s="91">
        <f t="shared" si="130"/>
        <v>200</v>
      </c>
      <c r="I69" s="68">
        <f>IF($H$69&lt;Assumptions!$D$13,(H69+Assumptions!$D$13*(1/(Assumptions!$D$16*4))),$H$69)</f>
        <v>250</v>
      </c>
      <c r="J69" s="69">
        <f>IF($H$69&lt;Assumptions!$D$13,(I69+Assumptions!$D$13*(1/(Assumptions!$D$16*4))),$H$69)</f>
        <v>300</v>
      </c>
      <c r="K69" s="69">
        <f>IF($H$69&lt;Assumptions!$D$13,(J69+Assumptions!$D$13*(1/(Assumptions!$D$16*4))),$H$69)</f>
        <v>350</v>
      </c>
      <c r="L69" s="92">
        <f>IF($H$69&lt;Assumptions!$D$13,(K69+Assumptions!$D$13*(1/(Assumptions!$D$16*4))),$H$69)</f>
        <v>400</v>
      </c>
      <c r="M69" s="57">
        <f t="shared" si="131"/>
        <v>400</v>
      </c>
      <c r="N69" s="68">
        <f>IF($M$69&lt;Assumptions!$D$13,(M69+Assumptions!$D$13*(1/(Assumptions!$D$16*4))),$M$69)</f>
        <v>450</v>
      </c>
      <c r="O69" s="69">
        <f>IF($M$69&lt;Assumptions!$D$13,(N69+Assumptions!$D$13*(1/(Assumptions!$D$16*4))),$M$69)</f>
        <v>500</v>
      </c>
      <c r="P69" s="69">
        <f>IF($M$69&lt;Assumptions!$D$13,(O69+Assumptions!$D$13*(1/(Assumptions!$D$16*4))),$M$69)</f>
        <v>550</v>
      </c>
      <c r="Q69" s="92">
        <f>IF($M$69&lt;Assumptions!$D$13,(P69+Assumptions!$D$13*(1/(Assumptions!$D$16*4))),$M$69)</f>
        <v>600</v>
      </c>
      <c r="R69" s="57">
        <f t="shared" si="132"/>
        <v>600</v>
      </c>
      <c r="S69" s="68">
        <f>IF($R$69&lt;Assumptions!$D$13,(R69+Assumptions!$D$13*(1/(Assumptions!$D$16*4))),$R$69)</f>
        <v>650</v>
      </c>
      <c r="T69" s="69">
        <f>IF($R$69&lt;Assumptions!$D$13,(S69+Assumptions!$D$13*(1/(Assumptions!$D$16*4))),$R$69)</f>
        <v>700</v>
      </c>
      <c r="U69" s="69">
        <f>IF($R$69&lt;Assumptions!$D$13,(T69+Assumptions!$D$13*(1/(Assumptions!$D$16*4))),$R$69)</f>
        <v>750</v>
      </c>
      <c r="V69" s="92">
        <f>IF($R$69&lt;Assumptions!$D$13,(U69+Assumptions!$D$13*(1/(Assumptions!$D$16*4))),$R$69)</f>
        <v>800</v>
      </c>
      <c r="W69" s="57">
        <f t="shared" si="133"/>
        <v>800</v>
      </c>
      <c r="X69" s="68">
        <f>IF($W$69&lt;Assumptions!$D$13,(W69+Assumptions!$D$13*(1/(Assumptions!$D$16*4))),$W$69)</f>
        <v>850</v>
      </c>
      <c r="Y69" s="69">
        <f>IF($W$69&lt;Assumptions!$D$13,(X69+Assumptions!$D$13*(1/(Assumptions!$D$16*4))),$W$69)</f>
        <v>900</v>
      </c>
      <c r="Z69" s="69">
        <f>IF($W$69&lt;Assumptions!$D$13,(Y69+Assumptions!$D$13*(1/(Assumptions!$D$16*4))),$W$69)</f>
        <v>950</v>
      </c>
      <c r="AA69" s="92">
        <f>IF($W$69&lt;Assumptions!$D$13,(Z69+Assumptions!$D$13*(1/(Assumptions!$D$16*4))),$W$69)</f>
        <v>1000</v>
      </c>
      <c r="AB69" s="57">
        <f t="shared" ref="AB69" si="135">AA69</f>
        <v>1000</v>
      </c>
      <c r="AC69" s="68">
        <f>IF($AB$69&lt;Assumptions!$D$13,(AB69+Assumptions!$D$13*(1/(Assumptions!$D$16*4))),$AB$69)</f>
        <v>1000</v>
      </c>
      <c r="AD69" s="69">
        <f>IF($AB$69&lt;Assumptions!$D$13,(AC69+Assumptions!$D$13*(1/(Assumptions!$D$16*4))),$AB$69)</f>
        <v>1000</v>
      </c>
      <c r="AE69" s="69">
        <f>IF($AB$69&lt;Assumptions!$D$13,(AD69+Assumptions!$D$13*(1/(Assumptions!$D$16*4))),$AB$69)</f>
        <v>1000</v>
      </c>
      <c r="AF69" s="92">
        <f>IF($AB$69&lt;Assumptions!$D$13,(AE69+Assumptions!$D$13*(1/(Assumptions!$D$16*4))),$AB$69)</f>
        <v>1000</v>
      </c>
      <c r="AG69" s="57">
        <f t="shared" ref="AG69" si="136">AF69</f>
        <v>1000</v>
      </c>
      <c r="AH69" s="68">
        <f>IF($AB$69&lt;Assumptions!$D$13,(AG69+Assumptions!$D$13*(1/(Assumptions!$D$16*4))),$AB$69)</f>
        <v>1000</v>
      </c>
      <c r="AI69" s="69">
        <f>IF($AB$69&lt;Assumptions!$D$13,(AH69+Assumptions!$D$13*(1/(Assumptions!$D$16*4))),$AB$69)</f>
        <v>1000</v>
      </c>
      <c r="AJ69" s="69">
        <f>IF($AB$69&lt;Assumptions!$D$13,(AI69+Assumptions!$D$13*(1/(Assumptions!$D$16*4))),$AB$69)</f>
        <v>1000</v>
      </c>
      <c r="AK69" s="92">
        <f>IF($AB$69&lt;Assumptions!$D$13,(AJ69+Assumptions!$D$13*(1/(Assumptions!$D$16*4))),$AB$69)</f>
        <v>1000</v>
      </c>
      <c r="AL69" s="91">
        <f t="shared" ref="AL69" si="137">AK69</f>
        <v>1000</v>
      </c>
    </row>
    <row r="70" spans="1:38" ht="15.95">
      <c r="A70" s="55"/>
      <c r="C70" s="189" t="s">
        <v>306</v>
      </c>
      <c r="D70" s="68">
        <f>Assumptions!$D$14*(1/(Assumptions!$D$16*4))</f>
        <v>250</v>
      </c>
      <c r="E70" s="69">
        <f>D70+Assumptions!$D$14*(1/(Assumptions!$D$16*4))</f>
        <v>500</v>
      </c>
      <c r="F70" s="69">
        <f>E70+Assumptions!$D$14*(1/(Assumptions!$D$16*4))</f>
        <v>750</v>
      </c>
      <c r="G70" s="92">
        <f>F70+Assumptions!$D$14*(1/(Assumptions!$D$16*4))</f>
        <v>1000</v>
      </c>
      <c r="H70" s="91">
        <f t="shared" si="130"/>
        <v>1000</v>
      </c>
      <c r="I70" s="68">
        <f>IF($H$70&lt;Assumptions!$D$14,(H70+Assumptions!$D$14*(1/(Assumptions!$D$16*4))),$H$70)</f>
        <v>1250</v>
      </c>
      <c r="J70" s="69">
        <f>IF($H$70&lt;Assumptions!$D$14,(I70+Assumptions!$D$14*(1/(Assumptions!$D$16*4))),$H$70)</f>
        <v>1500</v>
      </c>
      <c r="K70" s="69">
        <f>IF($H$70&lt;Assumptions!$D$14,(J70+Assumptions!$D$14*(1/(Assumptions!$D$16*4))),$H$70)</f>
        <v>1750</v>
      </c>
      <c r="L70" s="92">
        <f>IF($H$70&lt;Assumptions!$D$14,(K70+Assumptions!$D$14*(1/(Assumptions!$D$16*4))),$H$70)</f>
        <v>2000</v>
      </c>
      <c r="M70" s="57">
        <f t="shared" si="131"/>
        <v>2000</v>
      </c>
      <c r="N70" s="68">
        <f>IF($M$70&lt;Assumptions!$D$14,(M70+Assumptions!$D$14*(1/(Assumptions!$D$16*4))),$M$70)</f>
        <v>2250</v>
      </c>
      <c r="O70" s="69">
        <f>IF($M$70&lt;Assumptions!$D$14,(N70+Assumptions!$D$14*(1/(Assumptions!$D$16*4))),$M$70)</f>
        <v>2500</v>
      </c>
      <c r="P70" s="69">
        <f>IF($M$70&lt;Assumptions!$D$14,(O70+Assumptions!$D$14*(1/(Assumptions!$D$16*4))),$M$70)</f>
        <v>2750</v>
      </c>
      <c r="Q70" s="92">
        <f>IF($M$70&lt;Assumptions!$D$14,(P70+Assumptions!$D$14*(1/(Assumptions!$D$16*4))),$M$70)</f>
        <v>3000</v>
      </c>
      <c r="R70" s="57">
        <f t="shared" si="132"/>
        <v>3000</v>
      </c>
      <c r="S70" s="68">
        <f>IF($R$70&lt;Assumptions!$D$14,(R70+Assumptions!$D$14*(1/(Assumptions!$D$16*4))),$R$70)</f>
        <v>3250</v>
      </c>
      <c r="T70" s="69">
        <f>IF($R$70&lt;Assumptions!$D$14,(S70+Assumptions!$D$14*(1/(Assumptions!$D$16*4))),$R$70)</f>
        <v>3500</v>
      </c>
      <c r="U70" s="69">
        <f>IF($R$70&lt;Assumptions!$D$14,(T70+Assumptions!$D$14*(1/(Assumptions!$D$16*4))),$R$70)</f>
        <v>3750</v>
      </c>
      <c r="V70" s="92">
        <f>IF($R$70&lt;Assumptions!$D$14,(U70+Assumptions!$D$14*(1/(Assumptions!$D$16*4))),$R$70)</f>
        <v>4000</v>
      </c>
      <c r="W70" s="57">
        <f t="shared" si="133"/>
        <v>4000</v>
      </c>
      <c r="X70" s="68">
        <f>IF($W$70&lt;Assumptions!$D$14,(W70+Assumptions!$D$14*(1/(Assumptions!$D$16*4))),$W$70)</f>
        <v>4250</v>
      </c>
      <c r="Y70" s="69">
        <f>IF($W$70&lt;Assumptions!$D$14,(X70+Assumptions!$D$14*(1/(Assumptions!$D$16*4))),$W$70)</f>
        <v>4500</v>
      </c>
      <c r="Z70" s="69">
        <f>IF($W$70&lt;Assumptions!$D$14,(Y70+Assumptions!$D$14*(1/(Assumptions!$D$16*4))),$W$70)</f>
        <v>4750</v>
      </c>
      <c r="AA70" s="92">
        <f>IF($W$70&lt;Assumptions!$D$14,(Z70+Assumptions!$D$14*(1/(Assumptions!$D$16*4))),$W$70)</f>
        <v>5000</v>
      </c>
      <c r="AB70" s="57">
        <f t="shared" ref="AB70" si="138">AA70</f>
        <v>5000</v>
      </c>
      <c r="AC70" s="68">
        <f>IF($AB$70&lt;Assumptions!$D$14,(AB70+Assumptions!$D$14*(1/(Assumptions!$D$16*4))),$AB$70)</f>
        <v>5000</v>
      </c>
      <c r="AD70" s="69">
        <f>IF($AB$70&lt;Assumptions!$D$14,(AC70+Assumptions!$D$14*(1/(Assumptions!$D$16*4))),$AB$70)</f>
        <v>5000</v>
      </c>
      <c r="AE70" s="69">
        <f>IF($AB$70&lt;Assumptions!$D$14,(AD70+Assumptions!$D$14*(1/(Assumptions!$D$16*4))),$AB$70)</f>
        <v>5000</v>
      </c>
      <c r="AF70" s="92">
        <f>IF($AB$70&lt;Assumptions!$D$14,(AE70+Assumptions!$D$14*(1/(Assumptions!$D$16*4))),$AB$70)</f>
        <v>5000</v>
      </c>
      <c r="AG70" s="57">
        <f t="shared" ref="AG70" si="139">AF70</f>
        <v>5000</v>
      </c>
      <c r="AH70" s="68">
        <f>IF($AB$70&lt;Assumptions!$D$14,(AG70+Assumptions!$D$14*(1/(Assumptions!$D$16*4))),$AB$70)</f>
        <v>5000</v>
      </c>
      <c r="AI70" s="69">
        <f>IF($AB$70&lt;Assumptions!$D$14,(AH70+Assumptions!$D$14*(1/(Assumptions!$D$16*4))),$AB$70)</f>
        <v>5000</v>
      </c>
      <c r="AJ70" s="69">
        <f>IF($AB$70&lt;Assumptions!$D$14,(AI70+Assumptions!$D$14*(1/(Assumptions!$D$16*4))),$AB$70)</f>
        <v>5000</v>
      </c>
      <c r="AK70" s="92">
        <f>IF($AB$70&lt;Assumptions!$D$14,(AJ70+Assumptions!$D$14*(1/(Assumptions!$D$16*4))),$AB$70)</f>
        <v>5000</v>
      </c>
      <c r="AL70" s="91">
        <f t="shared" ref="AL70" si="140">AK70</f>
        <v>5000</v>
      </c>
    </row>
    <row r="71" spans="1:38" ht="15.95">
      <c r="A71" s="55"/>
      <c r="C71" s="189" t="s">
        <v>307</v>
      </c>
      <c r="D71" s="68">
        <f>Assumptions!$D$15*(1/(Assumptions!$D$16*4))</f>
        <v>2000</v>
      </c>
      <c r="E71" s="69">
        <f>D71+Assumptions!$D$15*(1/(Assumptions!$D$16*4))</f>
        <v>4000</v>
      </c>
      <c r="F71" s="69">
        <f>E71+Assumptions!$D$15*(1/(Assumptions!$D$16*4))</f>
        <v>6000</v>
      </c>
      <c r="G71" s="92">
        <f>F71+Assumptions!$D$15*(1/(Assumptions!$D$16*4))</f>
        <v>8000</v>
      </c>
      <c r="H71" s="91">
        <f t="shared" si="130"/>
        <v>8000</v>
      </c>
      <c r="I71" s="68">
        <f>IF($H$71&lt;Assumptions!$D$15,(H71+Assumptions!$D$15*(1/(Assumptions!$D$16*4))),$H$71)</f>
        <v>10000</v>
      </c>
      <c r="J71" s="69">
        <f>IF($H$71&lt;Assumptions!$D$15,(I71+Assumptions!$D$15*(1/(Assumptions!$D$16*4))),$H$71)</f>
        <v>12000</v>
      </c>
      <c r="K71" s="69">
        <f>IF($H$71&lt;Assumptions!$D$15,(J71+Assumptions!$D$15*(1/(Assumptions!$D$16*4))),$H$71)</f>
        <v>14000</v>
      </c>
      <c r="L71" s="92">
        <f>IF($H$71&lt;Assumptions!$D$15,(K71+Assumptions!$D$15*(1/(Assumptions!$D$16*4))),$H$71)</f>
        <v>16000</v>
      </c>
      <c r="M71" s="57">
        <f t="shared" si="131"/>
        <v>16000</v>
      </c>
      <c r="N71" s="68">
        <f>IF($M$71&lt;Assumptions!$D$15,(M71+Assumptions!$D$15*(1/(Assumptions!$D$16*4))),$M$71)</f>
        <v>18000</v>
      </c>
      <c r="O71" s="69">
        <f>IF($M$71&lt;Assumptions!$D$15,(N71+Assumptions!$D$15*(1/(Assumptions!$D$16*4))),$M$71)</f>
        <v>20000</v>
      </c>
      <c r="P71" s="69">
        <f>IF($M$71&lt;Assumptions!$D$15,(O71+Assumptions!$D$15*(1/(Assumptions!$D$16*4))),$M$71)</f>
        <v>22000</v>
      </c>
      <c r="Q71" s="92">
        <f>IF($M$71&lt;Assumptions!$D$15,(P71+Assumptions!$D$15*(1/(Assumptions!$D$16*4))),$M$71)</f>
        <v>24000</v>
      </c>
      <c r="R71" s="57">
        <f t="shared" si="132"/>
        <v>24000</v>
      </c>
      <c r="S71" s="68">
        <f>IF($R$71&lt;Assumptions!$D$15,(R71+Assumptions!$D$15*(1/(Assumptions!$D$16*4))),$R$71)</f>
        <v>26000</v>
      </c>
      <c r="T71" s="69">
        <f>IF($R$71&lt;Assumptions!$D$15,(S71+Assumptions!$D$15*(1/(Assumptions!$D$16*4))),$R$71)</f>
        <v>28000</v>
      </c>
      <c r="U71" s="69">
        <f>IF($R$71&lt;Assumptions!$D$15,(T71+Assumptions!$D$15*(1/(Assumptions!$D$16*4))),$R$71)</f>
        <v>30000</v>
      </c>
      <c r="V71" s="92">
        <f>IF($R$71&lt;Assumptions!$D$15,(U71+Assumptions!$D$15*(1/(Assumptions!$D$16*4))),$R$71)</f>
        <v>32000</v>
      </c>
      <c r="W71" s="57">
        <f t="shared" si="133"/>
        <v>32000</v>
      </c>
      <c r="X71" s="68">
        <f>IF($W$71&lt;Assumptions!$D$15,(W71+Assumptions!$D$15*(1/(Assumptions!$D$16*4))),$W$71)</f>
        <v>34000</v>
      </c>
      <c r="Y71" s="69">
        <f>IF($W$71&lt;Assumptions!$D$15,(X71+Assumptions!$D$15*(1/(Assumptions!$D$16*4))),$W$71)</f>
        <v>36000</v>
      </c>
      <c r="Z71" s="69">
        <f>IF($W$71&lt;Assumptions!$D$15,(Y71+Assumptions!$D$15*(1/(Assumptions!$D$16*4))),$W$71)</f>
        <v>38000</v>
      </c>
      <c r="AA71" s="92">
        <f>IF($W$71&lt;Assumptions!$D$15,(Z71+Assumptions!$D$15*(1/(Assumptions!$D$16*4))),$W$71)</f>
        <v>40000</v>
      </c>
      <c r="AB71" s="57">
        <f t="shared" ref="AB71" si="141">AA71</f>
        <v>40000</v>
      </c>
      <c r="AC71" s="68">
        <f>IF($AB$71&lt;Assumptions!$D$15,(AB71+Assumptions!$D$15*(1/(Assumptions!$D$16*4))),$AB$71)</f>
        <v>40000</v>
      </c>
      <c r="AD71" s="69">
        <f>IF($AB$71&lt;Assumptions!$D$15,(AC71+Assumptions!$D$15*(1/(Assumptions!$D$16*4))),$AB$71)</f>
        <v>40000</v>
      </c>
      <c r="AE71" s="69">
        <f>IF($AB$71&lt;Assumptions!$D$15,(AD71+Assumptions!$D$15*(1/(Assumptions!$D$16*4))),$AB$71)</f>
        <v>40000</v>
      </c>
      <c r="AF71" s="92">
        <f>IF($AB$71&lt;Assumptions!$D$15,(AE71+Assumptions!$D$15*(1/(Assumptions!$D$16*4))),$AB$71)</f>
        <v>40000</v>
      </c>
      <c r="AG71" s="57">
        <f t="shared" ref="AG71" si="142">AF71</f>
        <v>40000</v>
      </c>
      <c r="AH71" s="68">
        <f>IF($AB$71&lt;Assumptions!$D$15,(AG71+Assumptions!$D$15*(1/(Assumptions!$D$16*4))),$AB$71)</f>
        <v>40000</v>
      </c>
      <c r="AI71" s="69">
        <f>IF($AB$71&lt;Assumptions!$D$15,(AH71+Assumptions!$D$15*(1/(Assumptions!$D$16*4))),$AB$71)</f>
        <v>40000</v>
      </c>
      <c r="AJ71" s="69">
        <f>IF($AB$71&lt;Assumptions!$D$15,(AI71+Assumptions!$D$15*(1/(Assumptions!$D$16*4))),$AB$71)</f>
        <v>40000</v>
      </c>
      <c r="AK71" s="92">
        <f>IF($AB$71&lt;Assumptions!$D$15,(AJ71+Assumptions!$D$15*(1/(Assumptions!$D$16*4))),$AB$71)</f>
        <v>40000</v>
      </c>
      <c r="AL71" s="91">
        <f t="shared" ref="AL71" si="143">AK71</f>
        <v>40000</v>
      </c>
    </row>
    <row r="72" spans="1:38" s="56" customFormat="1" ht="15.95">
      <c r="A72" s="55"/>
      <c r="C72" s="189" t="s">
        <v>308</v>
      </c>
      <c r="D72" s="68">
        <f>D68*(1-(Assumptions!$D$85/4))</f>
        <v>9.9375</v>
      </c>
      <c r="E72" s="69">
        <f>E68*(1-2*(Assumptions!$D$85/4))</f>
        <v>19.75</v>
      </c>
      <c r="F72" s="69">
        <f>F68*(1-3*(Assumptions!$D$85/4))</f>
        <v>29.4375</v>
      </c>
      <c r="G72" s="92">
        <f>G68*(1-4*(Assumptions!$D$85/4))</f>
        <v>39</v>
      </c>
      <c r="H72" s="91">
        <f t="shared" si="130"/>
        <v>39</v>
      </c>
      <c r="I72" s="68">
        <f>I68*(1-5*(Assumptions!$D$85/4))</f>
        <v>48.4375</v>
      </c>
      <c r="J72" s="69">
        <f>J68*(1-6*(Assumptions!$D$85/4))</f>
        <v>57.75</v>
      </c>
      <c r="K72" s="69">
        <f>K68*(1-7*(Assumptions!$D$85/4))</f>
        <v>66.9375</v>
      </c>
      <c r="L72" s="92">
        <f>L68*(1-8*(Assumptions!$D$85/4))</f>
        <v>76</v>
      </c>
      <c r="M72" s="57">
        <f t="shared" si="131"/>
        <v>76</v>
      </c>
      <c r="N72" s="68">
        <f>N68*(1-9*(Assumptions!$D$85/4))</f>
        <v>84.9375</v>
      </c>
      <c r="O72" s="69">
        <f>O68*(1-10*(Assumptions!$D$85/4))</f>
        <v>93.75</v>
      </c>
      <c r="P72" s="69">
        <f>P68*(1-11*(Assumptions!$D$85/4))</f>
        <v>102.4375</v>
      </c>
      <c r="Q72" s="92">
        <f>Q68*(1-12*(Assumptions!$D$85/4))</f>
        <v>111</v>
      </c>
      <c r="R72" s="57">
        <f t="shared" si="132"/>
        <v>111</v>
      </c>
      <c r="S72" s="68">
        <f>S68*(1-13*(Assumptions!$D$85/4))</f>
        <v>119.4375</v>
      </c>
      <c r="T72" s="69">
        <f>T68*(1-14*(Assumptions!$D$85/4))</f>
        <v>127.75</v>
      </c>
      <c r="U72" s="69">
        <f>U68*(1-15*(Assumptions!$D$85/4))</f>
        <v>135.9375</v>
      </c>
      <c r="V72" s="92">
        <f>V68*(1-16*(Assumptions!$D$85/4))</f>
        <v>144</v>
      </c>
      <c r="W72" s="57">
        <f t="shared" si="133"/>
        <v>144</v>
      </c>
      <c r="X72" s="68">
        <f>X68*(1-17*(Assumptions!$D$85/4))</f>
        <v>151.9375</v>
      </c>
      <c r="Y72" s="69">
        <f>Y68*(1-18*(Assumptions!$D$85/4))</f>
        <v>159.75</v>
      </c>
      <c r="Z72" s="69">
        <f>Z68*(1-19*(Assumptions!$D$85/4))</f>
        <v>167.4375</v>
      </c>
      <c r="AA72" s="92">
        <f>AA68*(1-20*(Assumptions!$D$85/4))</f>
        <v>175</v>
      </c>
      <c r="AB72" s="57">
        <f>AA72</f>
        <v>175</v>
      </c>
      <c r="AC72" s="68">
        <f>AC68*(1-21*(Assumptions!$D$85/4))</f>
        <v>173.75</v>
      </c>
      <c r="AD72" s="69">
        <f>AD68*(1-22*(Assumptions!$D$85/4))</f>
        <v>172.5</v>
      </c>
      <c r="AE72" s="69">
        <f>AE68*(1-23*(Assumptions!$D$85/4))</f>
        <v>171.25</v>
      </c>
      <c r="AF72" s="92">
        <f>AF68*(1-24*(Assumptions!$D$85/4))</f>
        <v>170</v>
      </c>
      <c r="AG72" s="57">
        <f>AF72</f>
        <v>170</v>
      </c>
      <c r="AH72" s="68">
        <f>AH68*(1-25*(Assumptions!$D$85/4))</f>
        <v>168.75</v>
      </c>
      <c r="AI72" s="69">
        <f>AI68*(1-26*(Assumptions!$D$85/4))</f>
        <v>167.5</v>
      </c>
      <c r="AJ72" s="69">
        <f>AJ68*(1-27*(Assumptions!$D$85/4))</f>
        <v>166.25</v>
      </c>
      <c r="AK72" s="92">
        <f>AK68*(1-28*(Assumptions!$D$85/4))</f>
        <v>165</v>
      </c>
      <c r="AL72" s="91">
        <f>AK72</f>
        <v>165</v>
      </c>
    </row>
    <row r="73" spans="1:38" s="56" customFormat="1" ht="15.95">
      <c r="A73" s="55"/>
      <c r="C73" s="189" t="s">
        <v>309</v>
      </c>
      <c r="D73" s="68">
        <f>D69*(1-(Assumptions!$D$85/4))</f>
        <v>49.6875</v>
      </c>
      <c r="E73" s="69">
        <f>E69*(1-2*(Assumptions!$D$85/4))</f>
        <v>98.75</v>
      </c>
      <c r="F73" s="69">
        <f>F69*(1-3*(Assumptions!$D$85/4))</f>
        <v>147.1875</v>
      </c>
      <c r="G73" s="92">
        <f>G69*(1-4*(Assumptions!$D$85/4))</f>
        <v>195</v>
      </c>
      <c r="H73" s="91">
        <f t="shared" ref="H73:H75" si="144">G73</f>
        <v>195</v>
      </c>
      <c r="I73" s="68">
        <f>I69*(1-5*(Assumptions!$D$85/4))</f>
        <v>242.1875</v>
      </c>
      <c r="J73" s="69">
        <f>J69*(1-6*(Assumptions!$D$85/4))</f>
        <v>288.75</v>
      </c>
      <c r="K73" s="69">
        <f>K69*(1-7*(Assumptions!$D$85/4))</f>
        <v>334.6875</v>
      </c>
      <c r="L73" s="92">
        <f>L69*(1-8*(Assumptions!$D$85/4))</f>
        <v>380</v>
      </c>
      <c r="M73" s="57">
        <f t="shared" ref="M73:M75" si="145">L73</f>
        <v>380</v>
      </c>
      <c r="N73" s="68">
        <f>N69*(1-9*(Assumptions!$D$85/4))</f>
        <v>424.6875</v>
      </c>
      <c r="O73" s="69">
        <f>O69*(1-10*(Assumptions!$D$85/4))</f>
        <v>468.75</v>
      </c>
      <c r="P73" s="69">
        <f>P69*(1-11*(Assumptions!$D$85/4))</f>
        <v>512.1875</v>
      </c>
      <c r="Q73" s="92">
        <f>Q69*(1-12*(Assumptions!$D$85/4))</f>
        <v>555</v>
      </c>
      <c r="R73" s="57">
        <f t="shared" ref="R73:R75" si="146">Q73</f>
        <v>555</v>
      </c>
      <c r="S73" s="68">
        <f>S69*(1-13*(Assumptions!$D$85/4))</f>
        <v>597.1875</v>
      </c>
      <c r="T73" s="69">
        <f>T69*(1-14*(Assumptions!$D$85/4))</f>
        <v>638.75</v>
      </c>
      <c r="U73" s="69">
        <f>U69*(1-15*(Assumptions!$D$85/4))</f>
        <v>679.6875</v>
      </c>
      <c r="V73" s="92">
        <f>V69*(1-16*(Assumptions!$D$85/4))</f>
        <v>720</v>
      </c>
      <c r="W73" s="57">
        <f t="shared" ref="W73:W75" si="147">V73</f>
        <v>720</v>
      </c>
      <c r="X73" s="68">
        <f>X69*(1-17*(Assumptions!$D$85/4))</f>
        <v>759.6875</v>
      </c>
      <c r="Y73" s="69">
        <f>Y69*(1-18*(Assumptions!$D$85/4))</f>
        <v>798.75</v>
      </c>
      <c r="Z73" s="69">
        <f>Z69*(1-19*(Assumptions!$D$85/4))</f>
        <v>837.1875</v>
      </c>
      <c r="AA73" s="92">
        <f>AA69*(1-20*(Assumptions!$D$85/4))</f>
        <v>875</v>
      </c>
      <c r="AB73" s="57">
        <f t="shared" ref="AB73:AB75" si="148">AA73</f>
        <v>875</v>
      </c>
      <c r="AC73" s="68">
        <f>AC69*(1-21*(Assumptions!$D$85/4))</f>
        <v>868.75</v>
      </c>
      <c r="AD73" s="69">
        <f>AD69*(1-22*(Assumptions!$D$85/4))</f>
        <v>862.5</v>
      </c>
      <c r="AE73" s="69">
        <f>AE69*(1-23*(Assumptions!$D$85/4))</f>
        <v>856.25</v>
      </c>
      <c r="AF73" s="92">
        <f>AF69*(1-24*(Assumptions!$D$85/4))</f>
        <v>850</v>
      </c>
      <c r="AG73" s="57">
        <f t="shared" ref="AG73:AG75" si="149">AF73</f>
        <v>850</v>
      </c>
      <c r="AH73" s="68">
        <f>AH69*(1-25*(Assumptions!$D$85/4))</f>
        <v>843.75</v>
      </c>
      <c r="AI73" s="69">
        <f>AI69*(1-26*(Assumptions!$D$85/4))</f>
        <v>837.5</v>
      </c>
      <c r="AJ73" s="69">
        <f>AJ69*(1-27*(Assumptions!$D$85/4))</f>
        <v>831.25</v>
      </c>
      <c r="AK73" s="92">
        <f>AK69*(1-28*(Assumptions!$D$85/4))</f>
        <v>825</v>
      </c>
      <c r="AL73" s="91">
        <f t="shared" ref="AL73:AL75" si="150">AK73</f>
        <v>825</v>
      </c>
    </row>
    <row r="74" spans="1:38" s="56" customFormat="1" ht="15.95">
      <c r="A74" s="55"/>
      <c r="C74" s="189" t="s">
        <v>310</v>
      </c>
      <c r="D74" s="68">
        <f>D70*(1-(Assumptions!$D$85/4))</f>
        <v>248.4375</v>
      </c>
      <c r="E74" s="69">
        <f>E70*(1-2*(Assumptions!$D$85/4))</f>
        <v>493.75</v>
      </c>
      <c r="F74" s="69">
        <f>F70*(1-3*(Assumptions!$D$85/4))</f>
        <v>735.9375</v>
      </c>
      <c r="G74" s="92">
        <f>G70*(1-4*(Assumptions!$D$85/4))</f>
        <v>975</v>
      </c>
      <c r="H74" s="91">
        <f t="shared" si="144"/>
        <v>975</v>
      </c>
      <c r="I74" s="68">
        <f>I70*(1-5*(Assumptions!$D$85/4))</f>
        <v>1210.9375</v>
      </c>
      <c r="J74" s="69">
        <f>J70*(1-6*(Assumptions!$D$85/4))</f>
        <v>1443.75</v>
      </c>
      <c r="K74" s="69">
        <f>K70*(1-7*(Assumptions!$D$85/4))</f>
        <v>1673.4375</v>
      </c>
      <c r="L74" s="92">
        <f>L70*(1-8*(Assumptions!$D$85/4))</f>
        <v>1900</v>
      </c>
      <c r="M74" s="57">
        <f t="shared" si="145"/>
        <v>1900</v>
      </c>
      <c r="N74" s="68">
        <f>N70*(1-9*(Assumptions!$D$85/4))</f>
        <v>2123.4375</v>
      </c>
      <c r="O74" s="69">
        <f>O70*(1-10*(Assumptions!$D$85/4))</f>
        <v>2343.75</v>
      </c>
      <c r="P74" s="69">
        <f>P70*(1-11*(Assumptions!$D$85/4))</f>
        <v>2560.9375</v>
      </c>
      <c r="Q74" s="92">
        <f>Q70*(1-12*(Assumptions!$D$85/4))</f>
        <v>2775</v>
      </c>
      <c r="R74" s="57">
        <f t="shared" si="146"/>
        <v>2775</v>
      </c>
      <c r="S74" s="68">
        <f>S70*(1-13*(Assumptions!$D$85/4))</f>
        <v>2985.9375</v>
      </c>
      <c r="T74" s="69">
        <f>T70*(1-14*(Assumptions!$D$85/4))</f>
        <v>3193.75</v>
      </c>
      <c r="U74" s="69">
        <f>U70*(1-15*(Assumptions!$D$85/4))</f>
        <v>3398.4375</v>
      </c>
      <c r="V74" s="92">
        <f>V70*(1-16*(Assumptions!$D$85/4))</f>
        <v>3600</v>
      </c>
      <c r="W74" s="57">
        <f t="shared" si="147"/>
        <v>3600</v>
      </c>
      <c r="X74" s="68">
        <f>X70*(1-17*(Assumptions!$D$85/4))</f>
        <v>3798.4375</v>
      </c>
      <c r="Y74" s="69">
        <f>Y70*(1-18*(Assumptions!$D$85/4))</f>
        <v>3993.75</v>
      </c>
      <c r="Z74" s="69">
        <f>Z70*(1-19*(Assumptions!$D$85/4))</f>
        <v>4185.9375</v>
      </c>
      <c r="AA74" s="92">
        <f>AA70*(1-20*(Assumptions!$D$85/4))</f>
        <v>4375</v>
      </c>
      <c r="AB74" s="57">
        <f t="shared" si="148"/>
        <v>4375</v>
      </c>
      <c r="AC74" s="68">
        <f>AC70*(1-21*(Assumptions!$D$85/4))</f>
        <v>4343.75</v>
      </c>
      <c r="AD74" s="69">
        <f>AD70*(1-22*(Assumptions!$D$85/4))</f>
        <v>4312.5</v>
      </c>
      <c r="AE74" s="69">
        <f>AE70*(1-23*(Assumptions!$D$85/4))</f>
        <v>4281.25</v>
      </c>
      <c r="AF74" s="92">
        <f>AF70*(1-24*(Assumptions!$D$85/4))</f>
        <v>4250</v>
      </c>
      <c r="AG74" s="57">
        <f t="shared" si="149"/>
        <v>4250</v>
      </c>
      <c r="AH74" s="68">
        <f>AH70*(1-25*(Assumptions!$D$85/4))</f>
        <v>4218.75</v>
      </c>
      <c r="AI74" s="69">
        <f>AI70*(1-26*(Assumptions!$D$85/4))</f>
        <v>4187.5</v>
      </c>
      <c r="AJ74" s="69">
        <f>AJ70*(1-27*(Assumptions!$D$85/4))</f>
        <v>4156.25</v>
      </c>
      <c r="AK74" s="92">
        <f>AK70*(1-28*(Assumptions!$D$85/4))</f>
        <v>4125</v>
      </c>
      <c r="AL74" s="91">
        <f t="shared" si="150"/>
        <v>4125</v>
      </c>
    </row>
    <row r="75" spans="1:38" s="56" customFormat="1" ht="15.95">
      <c r="A75" s="55"/>
      <c r="C75" s="189" t="s">
        <v>311</v>
      </c>
      <c r="D75" s="68">
        <f>D71*(1-(Assumptions!$D$85/4))</f>
        <v>1987.5</v>
      </c>
      <c r="E75" s="69">
        <f>E71*(1-2*(Assumptions!$D$85/4))</f>
        <v>3950</v>
      </c>
      <c r="F75" s="69">
        <f>F71*(1-3*(Assumptions!$D$85/4))</f>
        <v>5887.5</v>
      </c>
      <c r="G75" s="92">
        <f>G71*(1-4*(Assumptions!$D$85/4))</f>
        <v>7800</v>
      </c>
      <c r="H75" s="91">
        <f t="shared" si="144"/>
        <v>7800</v>
      </c>
      <c r="I75" s="68">
        <f>I71*(1-5*(Assumptions!$D$85/4))</f>
        <v>9687.5</v>
      </c>
      <c r="J75" s="69">
        <f>J71*(1-6*(Assumptions!$D$85/4))</f>
        <v>11550</v>
      </c>
      <c r="K75" s="69">
        <f>K71*(1-7*(Assumptions!$D$85/4))</f>
        <v>13387.5</v>
      </c>
      <c r="L75" s="92">
        <f>L71*(1-8*(Assumptions!$D$85/4))</f>
        <v>15200</v>
      </c>
      <c r="M75" s="57">
        <f t="shared" si="145"/>
        <v>15200</v>
      </c>
      <c r="N75" s="68">
        <f>N71*(1-9*(Assumptions!$D$85/4))</f>
        <v>16987.5</v>
      </c>
      <c r="O75" s="69">
        <f>O71*(1-10*(Assumptions!$D$85/4))</f>
        <v>18750</v>
      </c>
      <c r="P75" s="69">
        <f>P71*(1-11*(Assumptions!$D$85/4))</f>
        <v>20487.5</v>
      </c>
      <c r="Q75" s="92">
        <f>Q71*(1-12*(Assumptions!$D$85/4))</f>
        <v>22200</v>
      </c>
      <c r="R75" s="57">
        <f t="shared" si="146"/>
        <v>22200</v>
      </c>
      <c r="S75" s="68">
        <f>S71*(1-13*(Assumptions!$D$85/4))</f>
        <v>23887.5</v>
      </c>
      <c r="T75" s="69">
        <f>T71*(1-14*(Assumptions!$D$85/4))</f>
        <v>25550</v>
      </c>
      <c r="U75" s="69">
        <f>U71*(1-15*(Assumptions!$D$85/4))</f>
        <v>27187.5</v>
      </c>
      <c r="V75" s="92">
        <f>V71*(1-16*(Assumptions!$D$85/4))</f>
        <v>28800</v>
      </c>
      <c r="W75" s="57">
        <f t="shared" si="147"/>
        <v>28800</v>
      </c>
      <c r="X75" s="68">
        <f>X71*(1-17*(Assumptions!$D$85/4))</f>
        <v>30387.5</v>
      </c>
      <c r="Y75" s="69">
        <f>Y71*(1-18*(Assumptions!$D$85/4))</f>
        <v>31950</v>
      </c>
      <c r="Z75" s="69">
        <f>Z71*(1-19*(Assumptions!$D$85/4))</f>
        <v>33487.5</v>
      </c>
      <c r="AA75" s="92">
        <f>AA71*(1-20*(Assumptions!$D$85/4))</f>
        <v>35000</v>
      </c>
      <c r="AB75" s="57">
        <f t="shared" si="148"/>
        <v>35000</v>
      </c>
      <c r="AC75" s="68">
        <f>AC71*(1-21*(Assumptions!$D$85/4))</f>
        <v>34750</v>
      </c>
      <c r="AD75" s="69">
        <f>AD71*(1-22*(Assumptions!$D$85/4))</f>
        <v>34500</v>
      </c>
      <c r="AE75" s="69">
        <f>AE71*(1-23*(Assumptions!$D$85/4))</f>
        <v>34250</v>
      </c>
      <c r="AF75" s="92">
        <f>AF71*(1-24*(Assumptions!$D$85/4))</f>
        <v>34000</v>
      </c>
      <c r="AG75" s="57">
        <f t="shared" si="149"/>
        <v>34000</v>
      </c>
      <c r="AH75" s="68">
        <f>AH71*(1-25*(Assumptions!$D$85/4))</f>
        <v>33750</v>
      </c>
      <c r="AI75" s="69">
        <f>AI71*(1-26*(Assumptions!$D$85/4))</f>
        <v>33500</v>
      </c>
      <c r="AJ75" s="69">
        <f>AJ71*(1-27*(Assumptions!$D$85/4))</f>
        <v>33250</v>
      </c>
      <c r="AK75" s="92">
        <f>AK71*(1-28*(Assumptions!$D$85/4))</f>
        <v>33000</v>
      </c>
      <c r="AL75" s="91">
        <f t="shared" si="150"/>
        <v>33000</v>
      </c>
    </row>
    <row r="76" spans="1:38" s="56" customFormat="1" ht="15.95">
      <c r="A76" s="55"/>
      <c r="C76" s="189" t="s">
        <v>312</v>
      </c>
      <c r="D76" s="68">
        <f>(D72*Assumptions!$D$37*Assumptions!$D$41+D73*Assumptions!$D$38*Assumptions!$D$42+D74*Assumptions!$D$39*Assumptions!$D$43+D75*Assumptions!$D$40*Assumptions!$D$44)/VLOOKUP(Assumptions!$D$7, Lists!$B$7:$C$10, 2, FALSE)</f>
        <v>1242187500</v>
      </c>
      <c r="E76" s="69">
        <f>(E72*Assumptions!$D$37*Assumptions!$D$41+E73*Assumptions!$D$38*Assumptions!$D$42+E74*Assumptions!$D$39*Assumptions!$D$43+E75*Assumptions!$D$40*Assumptions!$D$44)/VLOOKUP(Assumptions!$D$7, Lists!$B$7:$C$10, 2, FALSE)</f>
        <v>2468750000</v>
      </c>
      <c r="F76" s="69">
        <f>(F72*Assumptions!$D$37*Assumptions!$D$41+F73*Assumptions!$D$38*Assumptions!$D$42+F74*Assumptions!$D$39*Assumptions!$D$43+F75*Assumptions!$D$40*Assumptions!$D$44)/VLOOKUP(Assumptions!$D$7, Lists!$B$7:$C$10, 2, FALSE)</f>
        <v>3679687500</v>
      </c>
      <c r="G76" s="92">
        <f>(G72*Assumptions!$D$37*Assumptions!$D$41+G73*Assumptions!$D$38*Assumptions!$D$42+G74*Assumptions!$D$39*Assumptions!$D$43+G75*Assumptions!$D$40*Assumptions!$D$44)/VLOOKUP(Assumptions!$D$7, Lists!$B$7:$C$10, 2, FALSE)</f>
        <v>4875000000</v>
      </c>
      <c r="H76" s="91">
        <f t="shared" ref="H76:H81" si="151">G76</f>
        <v>4875000000</v>
      </c>
      <c r="I76" s="68">
        <f>(I72*Assumptions!$D$37*Assumptions!$D$41+I73*Assumptions!$D$38*Assumptions!$D$42+I74*Assumptions!$D$39*Assumptions!$D$43+I75*Assumptions!$D$40*Assumptions!$D$44)/VLOOKUP(Assumptions!$D$7, Lists!$B$7:$C$10, 2, FALSE)</f>
        <v>6054687500</v>
      </c>
      <c r="J76" s="69">
        <f>(J72*Assumptions!$D$37*Assumptions!$D$41+J73*Assumptions!$D$38*Assumptions!$D$42+J74*Assumptions!$D$39*Assumptions!$D$43+J75*Assumptions!$D$40*Assumptions!$D$44)/VLOOKUP(Assumptions!$D$7, Lists!$B$7:$C$10, 2, FALSE)</f>
        <v>7218750000</v>
      </c>
      <c r="K76" s="69">
        <f>(K72*Assumptions!$D$37*Assumptions!$D$41+K73*Assumptions!$D$38*Assumptions!$D$42+K74*Assumptions!$D$39*Assumptions!$D$43+K75*Assumptions!$D$40*Assumptions!$D$44)/VLOOKUP(Assumptions!$D$7, Lists!$B$7:$C$10, 2, FALSE)</f>
        <v>8367187500</v>
      </c>
      <c r="L76" s="92">
        <f>(L72*Assumptions!$D$37*Assumptions!$D$41+L73*Assumptions!$D$38*Assumptions!$D$42+L74*Assumptions!$D$39*Assumptions!$D$43+L75*Assumptions!$D$40*Assumptions!$D$44)/VLOOKUP(Assumptions!$D$7, Lists!$B$7:$C$10, 2, FALSE)</f>
        <v>9500000000</v>
      </c>
      <c r="M76" s="48">
        <f t="shared" ref="M76:M81" si="152">L76</f>
        <v>9500000000</v>
      </c>
      <c r="N76" s="68">
        <f>(N72*Assumptions!$D$37*Assumptions!$D$41+N73*Assumptions!$D$38*Assumptions!$D$42+N74*Assumptions!$D$39*Assumptions!$D$43+N75*Assumptions!$D$40*Assumptions!$D$44)/VLOOKUP(Assumptions!$D$7, Lists!$B$7:$C$10, 2, FALSE)</f>
        <v>10617187500</v>
      </c>
      <c r="O76" s="69">
        <f>(O72*Assumptions!$D$37*Assumptions!$D$41+O73*Assumptions!$D$38*Assumptions!$D$42+O74*Assumptions!$D$39*Assumptions!$D$43+O75*Assumptions!$D$40*Assumptions!$D$44)/VLOOKUP(Assumptions!$D$7, Lists!$B$7:$C$10, 2, FALSE)</f>
        <v>11718750000</v>
      </c>
      <c r="P76" s="69">
        <f>(P72*Assumptions!$D$37*Assumptions!$D$41+P73*Assumptions!$D$38*Assumptions!$D$42+P74*Assumptions!$D$39*Assumptions!$D$43+P75*Assumptions!$D$40*Assumptions!$D$44)/VLOOKUP(Assumptions!$D$7, Lists!$B$7:$C$10, 2, FALSE)</f>
        <v>12804687500</v>
      </c>
      <c r="Q76" s="92">
        <f>(Q72*Assumptions!$D$37*Assumptions!$D$41+Q73*Assumptions!$D$38*Assumptions!$D$42+Q74*Assumptions!$D$39*Assumptions!$D$43+Q75*Assumptions!$D$40*Assumptions!$D$44)/VLOOKUP(Assumptions!$D$7, Lists!$B$7:$C$10, 2, FALSE)</f>
        <v>13875000000</v>
      </c>
      <c r="R76" s="48">
        <f t="shared" ref="R76:R81" si="153">Q76</f>
        <v>13875000000</v>
      </c>
      <c r="S76" s="68">
        <f>(S72*Assumptions!$D$37*Assumptions!$D$41+S73*Assumptions!$D$38*Assumptions!$D$42+S74*Assumptions!$D$39*Assumptions!$D$43+S75*Assumptions!$D$40*Assumptions!$D$44)/VLOOKUP(Assumptions!$D$7, Lists!$B$7:$C$10, 2, FALSE)</f>
        <v>14929687500</v>
      </c>
      <c r="T76" s="69">
        <f>(T72*Assumptions!$D$37*Assumptions!$D$41+T73*Assumptions!$D$38*Assumptions!$D$42+T74*Assumptions!$D$39*Assumptions!$D$43+T75*Assumptions!$D$40*Assumptions!$D$44)/VLOOKUP(Assumptions!$D$7, Lists!$B$7:$C$10, 2, FALSE)</f>
        <v>15968750000</v>
      </c>
      <c r="U76" s="69">
        <f>(U72*Assumptions!$D$37*Assumptions!$D$41+U73*Assumptions!$D$38*Assumptions!$D$42+U74*Assumptions!$D$39*Assumptions!$D$43+U75*Assumptions!$D$40*Assumptions!$D$44)/VLOOKUP(Assumptions!$D$7, Lists!$B$7:$C$10, 2, FALSE)</f>
        <v>16992187500</v>
      </c>
      <c r="V76" s="92">
        <f>(V72*Assumptions!$D$37*Assumptions!$D$41+V73*Assumptions!$D$38*Assumptions!$D$42+V74*Assumptions!$D$39*Assumptions!$D$43+V75*Assumptions!$D$40*Assumptions!$D$44)/VLOOKUP(Assumptions!$D$7, Lists!$B$7:$C$10, 2, FALSE)</f>
        <v>18000000000</v>
      </c>
      <c r="W76" s="48">
        <f t="shared" ref="W76:W81" si="154">V76</f>
        <v>18000000000</v>
      </c>
      <c r="X76" s="68">
        <f>(X72*Assumptions!$D$37*Assumptions!$D$41+X73*Assumptions!$D$38*Assumptions!$D$42+X74*Assumptions!$D$39*Assumptions!$D$43+X75*Assumptions!$D$40*Assumptions!$D$44)/VLOOKUP(Assumptions!$D$7, Lists!$B$7:$C$10, 2, FALSE)</f>
        <v>18992187500</v>
      </c>
      <c r="Y76" s="69">
        <f>(Y72*Assumptions!$D$37*Assumptions!$D$41+Y73*Assumptions!$D$38*Assumptions!$D$42+Y74*Assumptions!$D$39*Assumptions!$D$43+Y75*Assumptions!$D$40*Assumptions!$D$44)/VLOOKUP(Assumptions!$D$7, Lists!$B$7:$C$10, 2, FALSE)</f>
        <v>19968750000</v>
      </c>
      <c r="Z76" s="69">
        <f>(Z72*Assumptions!$D$37*Assumptions!$D$41+Z73*Assumptions!$D$38*Assumptions!$D$42+Z74*Assumptions!$D$39*Assumptions!$D$43+Z75*Assumptions!$D$40*Assumptions!$D$44)/VLOOKUP(Assumptions!$D$7, Lists!$B$7:$C$10, 2, FALSE)</f>
        <v>20929687500</v>
      </c>
      <c r="AA76" s="92">
        <f>(AA72*Assumptions!$D$37*Assumptions!$D$41+AA73*Assumptions!$D$38*Assumptions!$D$42+AA74*Assumptions!$D$39*Assumptions!$D$43+AA75*Assumptions!$D$40*Assumptions!$D$44)/VLOOKUP(Assumptions!$D$7, Lists!$B$7:$C$10, 2, FALSE)</f>
        <v>21875000000</v>
      </c>
      <c r="AB76" s="48">
        <f t="shared" ref="AB76:AB81" si="155">AA76</f>
        <v>21875000000</v>
      </c>
      <c r="AC76" s="68">
        <f>(AC72*Assumptions!$D$37*Assumptions!$D$41+AC73*Assumptions!$D$38*Assumptions!$D$42+AC74*Assumptions!$D$39*Assumptions!$D$43+AC75*Assumptions!$D$40*Assumptions!$D$44)/VLOOKUP(Assumptions!$D$7, Lists!$B$7:$C$10, 2, FALSE)</f>
        <v>21718750000</v>
      </c>
      <c r="AD76" s="69">
        <f>(AD72*Assumptions!$D$37*Assumptions!$D$41+AD73*Assumptions!$D$38*Assumptions!$D$42+AD74*Assumptions!$D$39*Assumptions!$D$43+AD75*Assumptions!$D$40*Assumptions!$D$44)/VLOOKUP(Assumptions!$D$7, Lists!$B$7:$C$10, 2, FALSE)</f>
        <v>21562500000</v>
      </c>
      <c r="AE76" s="69">
        <f>(AE72*Assumptions!$D$37*Assumptions!$D$41+AE73*Assumptions!$D$38*Assumptions!$D$42+AE74*Assumptions!$D$39*Assumptions!$D$43+AE75*Assumptions!$D$40*Assumptions!$D$44)/VLOOKUP(Assumptions!$D$7, Lists!$B$7:$C$10, 2, FALSE)</f>
        <v>21406250000</v>
      </c>
      <c r="AF76" s="92">
        <f>(AF72*Assumptions!$D$37*Assumptions!$D$41+AF73*Assumptions!$D$38*Assumptions!$D$42+AF74*Assumptions!$D$39*Assumptions!$D$43+AF75*Assumptions!$D$40*Assumptions!$D$44)/VLOOKUP(Assumptions!$D$7, Lists!$B$7:$C$10, 2, FALSE)</f>
        <v>21250000000</v>
      </c>
      <c r="AG76" s="48">
        <f t="shared" ref="AG76:AG81" si="156">AF76</f>
        <v>21250000000</v>
      </c>
      <c r="AH76" s="68">
        <f>(AH72*Assumptions!$D$37*Assumptions!$D$41+AH73*Assumptions!$D$38*Assumptions!$D$42+AH74*Assumptions!$D$39*Assumptions!$D$43+AH75*Assumptions!$D$40*Assumptions!$D$44)/VLOOKUP(Assumptions!$D$7, Lists!$B$7:$C$10, 2, FALSE)</f>
        <v>21093750000</v>
      </c>
      <c r="AI76" s="69">
        <f>(AI72*Assumptions!$D$37*Assumptions!$D$41+AI73*Assumptions!$D$38*Assumptions!$D$42+AI74*Assumptions!$D$39*Assumptions!$D$43+AI75*Assumptions!$D$40*Assumptions!$D$44)/VLOOKUP(Assumptions!$D$7, Lists!$B$7:$C$10, 2, FALSE)</f>
        <v>20937500000</v>
      </c>
      <c r="AJ76" s="69">
        <f>(AJ72*Assumptions!$D$37*Assumptions!$D$41+AJ73*Assumptions!$D$38*Assumptions!$D$42+AJ74*Assumptions!$D$39*Assumptions!$D$43+AJ75*Assumptions!$D$40*Assumptions!$D$44)/VLOOKUP(Assumptions!$D$7, Lists!$B$7:$C$10, 2, FALSE)</f>
        <v>20781250000</v>
      </c>
      <c r="AK76" s="92">
        <f>(AK72*Assumptions!$D$37*Assumptions!$D$41+AK73*Assumptions!$D$38*Assumptions!$D$42+AK74*Assumptions!$D$39*Assumptions!$D$43+AK75*Assumptions!$D$40*Assumptions!$D$44)/VLOOKUP(Assumptions!$D$7, Lists!$B$7:$C$10, 2, FALSE)</f>
        <v>20625000000</v>
      </c>
      <c r="AL76" s="60">
        <f t="shared" ref="AL76:AL81" si="157">AK76</f>
        <v>20625000000</v>
      </c>
    </row>
    <row r="77" spans="1:38" ht="15.95">
      <c r="A77" s="55"/>
      <c r="C77" s="189" t="s">
        <v>313</v>
      </c>
      <c r="D77" s="68">
        <f>SUM(D72:D75)*Assumptions!$D$45*Assumptions!$D$46/VLOOKUP(Assumptions!$D$7, Lists!$B$7:$C$10, 2, FALSE)</f>
        <v>1147781250</v>
      </c>
      <c r="E77" s="69">
        <f>SUM(E72:E75)*Assumptions!$D$45*Assumptions!$D$46/VLOOKUP(Assumptions!$D$7, Lists!$B$7:$C$10, 2, FALSE)</f>
        <v>2281125000</v>
      </c>
      <c r="F77" s="69">
        <f>SUM(F72:F75)*Assumptions!$D$45*Assumptions!$D$46/VLOOKUP(Assumptions!$D$7, Lists!$B$7:$C$10, 2, FALSE)</f>
        <v>3400031250</v>
      </c>
      <c r="G77" s="92">
        <f>SUM(G72:G75)*Assumptions!$D$45*Assumptions!$D$46/VLOOKUP(Assumptions!$D$7, Lists!$B$7:$C$10, 2, FALSE)</f>
        <v>4504500000</v>
      </c>
      <c r="H77" s="91">
        <f t="shared" si="151"/>
        <v>4504500000</v>
      </c>
      <c r="I77" s="68">
        <f>SUM(I72:I75)*Assumptions!$D$45*Assumptions!$D$46/VLOOKUP(Assumptions!$D$7, Lists!$B$7:$C$10, 2, FALSE)</f>
        <v>5594531250</v>
      </c>
      <c r="J77" s="69">
        <f>SUM(J72:J75)*Assumptions!$D$45*Assumptions!$D$46/VLOOKUP(Assumptions!$D$7, Lists!$B$7:$C$10, 2, FALSE)</f>
        <v>6670125000</v>
      </c>
      <c r="K77" s="69">
        <f>SUM(K72:K75)*Assumptions!$D$45*Assumptions!$D$46/VLOOKUP(Assumptions!$D$7, Lists!$B$7:$C$10, 2, FALSE)</f>
        <v>7731281250</v>
      </c>
      <c r="L77" s="92">
        <f>SUM(L72:L75)*Assumptions!$D$45*Assumptions!$D$46/VLOOKUP(Assumptions!$D$7, Lists!$B$7:$C$10, 2, FALSE)</f>
        <v>8778000000</v>
      </c>
      <c r="M77" s="57">
        <f t="shared" si="152"/>
        <v>8778000000</v>
      </c>
      <c r="N77" s="68">
        <f>SUM(N72:N75)*Assumptions!$D$45*Assumptions!$D$46/VLOOKUP(Assumptions!$D$7, Lists!$B$7:$C$10, 2, FALSE)</f>
        <v>9810281250</v>
      </c>
      <c r="O77" s="69">
        <f>SUM(O72:O75)*Assumptions!$D$45*Assumptions!$D$46/VLOOKUP(Assumptions!$D$7, Lists!$B$7:$C$10, 2, FALSE)</f>
        <v>10828125000</v>
      </c>
      <c r="P77" s="69">
        <f>SUM(P72:P75)*Assumptions!$D$45*Assumptions!$D$46/VLOOKUP(Assumptions!$D$7, Lists!$B$7:$C$10, 2, FALSE)</f>
        <v>11831531250</v>
      </c>
      <c r="Q77" s="92">
        <f>SUM(Q72:Q75)*Assumptions!$D$45*Assumptions!$D$46/VLOOKUP(Assumptions!$D$7, Lists!$B$7:$C$10, 2, FALSE)</f>
        <v>12820500000</v>
      </c>
      <c r="R77" s="57">
        <f t="shared" si="153"/>
        <v>12820500000</v>
      </c>
      <c r="S77" s="68">
        <f>SUM(S72:S75)*Assumptions!$D$45*Assumptions!$D$46/VLOOKUP(Assumptions!$D$7, Lists!$B$7:$C$10, 2, FALSE)</f>
        <v>13795031250</v>
      </c>
      <c r="T77" s="69">
        <f>SUM(T72:T75)*Assumptions!$D$45*Assumptions!$D$46/VLOOKUP(Assumptions!$D$7, Lists!$B$7:$C$10, 2, FALSE)</f>
        <v>14755125000</v>
      </c>
      <c r="U77" s="69">
        <f>SUM(U72:U75)*Assumptions!$D$45*Assumptions!$D$46/VLOOKUP(Assumptions!$D$7, Lists!$B$7:$C$10, 2, FALSE)</f>
        <v>15700781250</v>
      </c>
      <c r="V77" s="92">
        <f>SUM(V72:V75)*Assumptions!$D$45*Assumptions!$D$46/VLOOKUP(Assumptions!$D$7, Lists!$B$7:$C$10, 2, FALSE)</f>
        <v>16632000000</v>
      </c>
      <c r="W77" s="57">
        <f t="shared" si="154"/>
        <v>16632000000</v>
      </c>
      <c r="X77" s="68">
        <f>SUM(X72:X75)*Assumptions!$D$45*Assumptions!$D$46/VLOOKUP(Assumptions!$D$7, Lists!$B$7:$C$10, 2, FALSE)</f>
        <v>17548781250</v>
      </c>
      <c r="Y77" s="69">
        <f>SUM(Y72:Y75)*Assumptions!$D$45*Assumptions!$D$46/VLOOKUP(Assumptions!$D$7, Lists!$B$7:$C$10, 2, FALSE)</f>
        <v>18451125000</v>
      </c>
      <c r="Z77" s="69">
        <f>SUM(Z72:Z75)*Assumptions!$D$45*Assumptions!$D$46/VLOOKUP(Assumptions!$D$7, Lists!$B$7:$C$10, 2, FALSE)</f>
        <v>19339031250</v>
      </c>
      <c r="AA77" s="92">
        <f>SUM(AA72:AA75)*Assumptions!$D$45*Assumptions!$D$46/VLOOKUP(Assumptions!$D$7, Lists!$B$7:$C$10, 2, FALSE)</f>
        <v>20212500000</v>
      </c>
      <c r="AB77" s="57">
        <f t="shared" si="155"/>
        <v>20212500000</v>
      </c>
      <c r="AC77" s="68">
        <f>SUM(AC72:AC75)*Assumptions!$D$45*Assumptions!$D$46/VLOOKUP(Assumptions!$D$7, Lists!$B$7:$C$10, 2, FALSE)</f>
        <v>20068125000</v>
      </c>
      <c r="AD77" s="69">
        <f>SUM(AD72:AD75)*Assumptions!$D$45*Assumptions!$D$46/VLOOKUP(Assumptions!$D$7, Lists!$B$7:$C$10, 2, FALSE)</f>
        <v>19923750000</v>
      </c>
      <c r="AE77" s="69">
        <f>SUM(AE72:AE75)*Assumptions!$D$45*Assumptions!$D$46/VLOOKUP(Assumptions!$D$7, Lists!$B$7:$C$10, 2, FALSE)</f>
        <v>19779375000</v>
      </c>
      <c r="AF77" s="92">
        <f>SUM(AF72:AF75)*Assumptions!$D$45*Assumptions!$D$46/VLOOKUP(Assumptions!$D$7, Lists!$B$7:$C$10, 2, FALSE)</f>
        <v>19635000000</v>
      </c>
      <c r="AG77" s="57">
        <f t="shared" si="156"/>
        <v>19635000000</v>
      </c>
      <c r="AH77" s="68">
        <f>SUM(AH72:AH75)*Assumptions!$D$45*Assumptions!$D$46/VLOOKUP(Assumptions!$D$7, Lists!$B$7:$C$10, 2, FALSE)</f>
        <v>19490625000</v>
      </c>
      <c r="AI77" s="69">
        <f>SUM(AI72:AI75)*Assumptions!$D$45*Assumptions!$D$46/VLOOKUP(Assumptions!$D$7, Lists!$B$7:$C$10, 2, FALSE)</f>
        <v>19346250000</v>
      </c>
      <c r="AJ77" s="69">
        <f>SUM(AJ72:AJ75)*Assumptions!$D$45*Assumptions!$D$46/VLOOKUP(Assumptions!$D$7, Lists!$B$7:$C$10, 2, FALSE)</f>
        <v>19201875000</v>
      </c>
      <c r="AK77" s="92">
        <f>SUM(AK72:AK75)*Assumptions!$D$45*Assumptions!$D$46/VLOOKUP(Assumptions!$D$7, Lists!$B$7:$C$10, 2, FALSE)</f>
        <v>19057500000</v>
      </c>
      <c r="AL77" s="91">
        <f t="shared" si="157"/>
        <v>19057500000</v>
      </c>
    </row>
    <row r="78" spans="1:38" s="56" customFormat="1" ht="15.95">
      <c r="A78" s="55"/>
      <c r="C78" s="189" t="s">
        <v>314</v>
      </c>
      <c r="D78" s="68">
        <f>SUM(D72:D75)*Assumptions!$D$47*Assumptions!$D$48/VLOOKUP(Assumptions!$D$7, Lists!$B$7:$C$10, 2, FALSE)</f>
        <v>114778125</v>
      </c>
      <c r="E78" s="69">
        <f>SUM(E72:E75)*Assumptions!$D$47*Assumptions!$D$48/VLOOKUP(Assumptions!$D$7, Lists!$B$7:$C$10, 2, FALSE)</f>
        <v>228112500</v>
      </c>
      <c r="F78" s="69">
        <f>SUM(F72:F75)*Assumptions!$D$47*Assumptions!$D$48/VLOOKUP(Assumptions!$D$7, Lists!$B$7:$C$10, 2, FALSE)</f>
        <v>340003125</v>
      </c>
      <c r="G78" s="92">
        <f>SUM(G72:G75)*Assumptions!$D$47*Assumptions!$D$48/VLOOKUP(Assumptions!$D$7, Lists!$B$7:$C$10, 2, FALSE)</f>
        <v>450450000</v>
      </c>
      <c r="H78" s="91">
        <f t="shared" si="151"/>
        <v>450450000</v>
      </c>
      <c r="I78" s="68">
        <f>SUM(I72:I75)*Assumptions!$D$47*Assumptions!$D$48/VLOOKUP(Assumptions!$D$7, Lists!$B$7:$C$10, 2, FALSE)</f>
        <v>559453125</v>
      </c>
      <c r="J78" s="69">
        <f>SUM(J72:J75)*Assumptions!$D$47*Assumptions!$D$48/VLOOKUP(Assumptions!$D$7, Lists!$B$7:$C$10, 2, FALSE)</f>
        <v>667012500</v>
      </c>
      <c r="K78" s="69">
        <f>SUM(K72:K75)*Assumptions!$D$47*Assumptions!$D$48/VLOOKUP(Assumptions!$D$7, Lists!$B$7:$C$10, 2, FALSE)</f>
        <v>773128125</v>
      </c>
      <c r="L78" s="92">
        <f>SUM(L72:L75)*Assumptions!$D$47*Assumptions!$D$48/VLOOKUP(Assumptions!$D$7, Lists!$B$7:$C$10, 2, FALSE)</f>
        <v>877800000</v>
      </c>
      <c r="M78" s="48">
        <f t="shared" si="152"/>
        <v>877800000</v>
      </c>
      <c r="N78" s="68">
        <f>SUM(N72:N75)*Assumptions!$D$47*Assumptions!$D$48/VLOOKUP(Assumptions!$D$7, Lists!$B$7:$C$10, 2, FALSE)</f>
        <v>981028125</v>
      </c>
      <c r="O78" s="69">
        <f>SUM(O72:O75)*Assumptions!$D$47*Assumptions!$D$48/VLOOKUP(Assumptions!$D$7, Lists!$B$7:$C$10, 2, FALSE)</f>
        <v>1082812500</v>
      </c>
      <c r="P78" s="69">
        <f>SUM(P72:P75)*Assumptions!$D$47*Assumptions!$D$48/VLOOKUP(Assumptions!$D$7, Lists!$B$7:$C$10, 2, FALSE)</f>
        <v>1183153125</v>
      </c>
      <c r="Q78" s="92">
        <f>SUM(Q72:Q75)*Assumptions!$D$47*Assumptions!$D$48/VLOOKUP(Assumptions!$D$7, Lists!$B$7:$C$10, 2, FALSE)</f>
        <v>1282050000</v>
      </c>
      <c r="R78" s="48">
        <f t="shared" si="153"/>
        <v>1282050000</v>
      </c>
      <c r="S78" s="68">
        <f>SUM(S72:S75)*Assumptions!$D$47*Assumptions!$D$48/VLOOKUP(Assumptions!$D$7, Lists!$B$7:$C$10, 2, FALSE)</f>
        <v>1379503125</v>
      </c>
      <c r="T78" s="69">
        <f>SUM(T72:T75)*Assumptions!$D$47*Assumptions!$D$48/VLOOKUP(Assumptions!$D$7, Lists!$B$7:$C$10, 2, FALSE)</f>
        <v>1475512500</v>
      </c>
      <c r="U78" s="69">
        <f>SUM(U72:U75)*Assumptions!$D$47*Assumptions!$D$48/VLOOKUP(Assumptions!$D$7, Lists!$B$7:$C$10, 2, FALSE)</f>
        <v>1570078125</v>
      </c>
      <c r="V78" s="92">
        <f>SUM(V72:V75)*Assumptions!$D$47*Assumptions!$D$48/VLOOKUP(Assumptions!$D$7, Lists!$B$7:$C$10, 2, FALSE)</f>
        <v>1663200000</v>
      </c>
      <c r="W78" s="48">
        <f t="shared" si="154"/>
        <v>1663200000</v>
      </c>
      <c r="X78" s="68">
        <f>SUM(X72:X75)*Assumptions!$D$47*Assumptions!$D$48/VLOOKUP(Assumptions!$D$7, Lists!$B$7:$C$10, 2, FALSE)</f>
        <v>1754878125</v>
      </c>
      <c r="Y78" s="69">
        <f>SUM(Y72:Y75)*Assumptions!$D$47*Assumptions!$D$48/VLOOKUP(Assumptions!$D$7, Lists!$B$7:$C$10, 2, FALSE)</f>
        <v>1845112500</v>
      </c>
      <c r="Z78" s="69">
        <f>SUM(Z72:Z75)*Assumptions!$D$47*Assumptions!$D$48/VLOOKUP(Assumptions!$D$7, Lists!$B$7:$C$10, 2, FALSE)</f>
        <v>1933903125</v>
      </c>
      <c r="AA78" s="92">
        <f>SUM(AA72:AA75)*Assumptions!$D$47*Assumptions!$D$48/VLOOKUP(Assumptions!$D$7, Lists!$B$7:$C$10, 2, FALSE)</f>
        <v>2021250000</v>
      </c>
      <c r="AB78" s="48">
        <f t="shared" si="155"/>
        <v>2021250000</v>
      </c>
      <c r="AC78" s="68">
        <f>SUM(AC72:AC75)*Assumptions!$D$47*Assumptions!$D$48/VLOOKUP(Assumptions!$D$7, Lists!$B$7:$C$10, 2, FALSE)</f>
        <v>2006812500</v>
      </c>
      <c r="AD78" s="69">
        <f>SUM(AD72:AD75)*Assumptions!$D$47*Assumptions!$D$48/VLOOKUP(Assumptions!$D$7, Lists!$B$7:$C$10, 2, FALSE)</f>
        <v>1992375000</v>
      </c>
      <c r="AE78" s="69">
        <f>SUM(AE72:AE75)*Assumptions!$D$47*Assumptions!$D$48/VLOOKUP(Assumptions!$D$7, Lists!$B$7:$C$10, 2, FALSE)</f>
        <v>1977937500</v>
      </c>
      <c r="AF78" s="92">
        <f>SUM(AF72:AF75)*Assumptions!$D$47*Assumptions!$D$48/VLOOKUP(Assumptions!$D$7, Lists!$B$7:$C$10, 2, FALSE)</f>
        <v>1963500000</v>
      </c>
      <c r="AG78" s="48">
        <f t="shared" si="156"/>
        <v>1963500000</v>
      </c>
      <c r="AH78" s="68">
        <f>SUM(AH72:AH75)*Assumptions!$D$47*Assumptions!$D$48/VLOOKUP(Assumptions!$D$7, Lists!$B$7:$C$10, 2, FALSE)</f>
        <v>1949062500</v>
      </c>
      <c r="AI78" s="69">
        <f>SUM(AI72:AI75)*Assumptions!$D$47*Assumptions!$D$48/VLOOKUP(Assumptions!$D$7, Lists!$B$7:$C$10, 2, FALSE)</f>
        <v>1934625000</v>
      </c>
      <c r="AJ78" s="69">
        <f>SUM(AJ72:AJ75)*Assumptions!$D$47*Assumptions!$D$48/VLOOKUP(Assumptions!$D$7, Lists!$B$7:$C$10, 2, FALSE)</f>
        <v>1920187500</v>
      </c>
      <c r="AK78" s="92">
        <f>SUM(AK72:AK75)*Assumptions!$D$47*Assumptions!$D$48/VLOOKUP(Assumptions!$D$7, Lists!$B$7:$C$10, 2, FALSE)</f>
        <v>1905750000</v>
      </c>
      <c r="AL78" s="60">
        <f t="shared" si="157"/>
        <v>1905750000</v>
      </c>
    </row>
    <row r="79" spans="1:38" s="56" customFormat="1" ht="15.95">
      <c r="A79" s="55"/>
      <c r="C79" s="189" t="s">
        <v>315</v>
      </c>
      <c r="D79" s="68">
        <f>SUM(D72:D75)*Assumptions!$D$49*Assumptions!$D$50/VLOOKUP(Assumptions!$D$7, Lists!$B$7:$C$10, 2, FALSE)</f>
        <v>114778125</v>
      </c>
      <c r="E79" s="69">
        <f>SUM(E72:E75)*Assumptions!$D$49*Assumptions!$D$50/VLOOKUP(Assumptions!$D$7, Lists!$B$7:$C$10, 2, FALSE)</f>
        <v>228112500</v>
      </c>
      <c r="F79" s="69">
        <f>SUM(F72:F75)*Assumptions!$D$49*Assumptions!$D$50/VLOOKUP(Assumptions!$D$7, Lists!$B$7:$C$10, 2, FALSE)</f>
        <v>340003125</v>
      </c>
      <c r="G79" s="92">
        <f>SUM(G72:G75)*Assumptions!$D$49*Assumptions!$D$50/VLOOKUP(Assumptions!$D$7, Lists!$B$7:$C$10, 2, FALSE)</f>
        <v>450450000</v>
      </c>
      <c r="H79" s="91">
        <f t="shared" si="151"/>
        <v>450450000</v>
      </c>
      <c r="I79" s="68">
        <f>SUM(I72:I75)*Assumptions!$D$49*Assumptions!$D$50/VLOOKUP(Assumptions!$D$7, Lists!$B$7:$C$10, 2, FALSE)</f>
        <v>559453125</v>
      </c>
      <c r="J79" s="69">
        <f>SUM(J72:J75)*Assumptions!$D$49*Assumptions!$D$50/VLOOKUP(Assumptions!$D$7, Lists!$B$7:$C$10, 2, FALSE)</f>
        <v>667012500</v>
      </c>
      <c r="K79" s="69">
        <f>SUM(K72:K75)*Assumptions!$D$49*Assumptions!$D$50/VLOOKUP(Assumptions!$D$7, Lists!$B$7:$C$10, 2, FALSE)</f>
        <v>773128125</v>
      </c>
      <c r="L79" s="92">
        <f>SUM(L72:L75)*Assumptions!$D$49*Assumptions!$D$50/VLOOKUP(Assumptions!$D$7, Lists!$B$7:$C$10, 2, FALSE)</f>
        <v>877800000</v>
      </c>
      <c r="M79" s="48">
        <f t="shared" si="152"/>
        <v>877800000</v>
      </c>
      <c r="N79" s="68">
        <f>SUM(N72:N75)*Assumptions!$D$49*Assumptions!$D$50/VLOOKUP(Assumptions!$D$7, Lists!$B$7:$C$10, 2, FALSE)</f>
        <v>981028125</v>
      </c>
      <c r="O79" s="69">
        <f>SUM(O72:O75)*Assumptions!$D$49*Assumptions!$D$50/VLOOKUP(Assumptions!$D$7, Lists!$B$7:$C$10, 2, FALSE)</f>
        <v>1082812500</v>
      </c>
      <c r="P79" s="69">
        <f>SUM(P72:P75)*Assumptions!$D$49*Assumptions!$D$50/VLOOKUP(Assumptions!$D$7, Lists!$B$7:$C$10, 2, FALSE)</f>
        <v>1183153125</v>
      </c>
      <c r="Q79" s="92">
        <f>SUM(Q72:Q75)*Assumptions!$D$49*Assumptions!$D$50/VLOOKUP(Assumptions!$D$7, Lists!$B$7:$C$10, 2, FALSE)</f>
        <v>1282050000</v>
      </c>
      <c r="R79" s="48">
        <f t="shared" si="153"/>
        <v>1282050000</v>
      </c>
      <c r="S79" s="68">
        <f>SUM(S72:S75)*Assumptions!$D$49*Assumptions!$D$50/VLOOKUP(Assumptions!$D$7, Lists!$B$7:$C$10, 2, FALSE)</f>
        <v>1379503125</v>
      </c>
      <c r="T79" s="69">
        <f>SUM(T72:T75)*Assumptions!$D$49*Assumptions!$D$50/VLOOKUP(Assumptions!$D$7, Lists!$B$7:$C$10, 2, FALSE)</f>
        <v>1475512500</v>
      </c>
      <c r="U79" s="69">
        <f>SUM(U72:U75)*Assumptions!$D$49*Assumptions!$D$50/VLOOKUP(Assumptions!$D$7, Lists!$B$7:$C$10, 2, FALSE)</f>
        <v>1570078125</v>
      </c>
      <c r="V79" s="92">
        <f>SUM(V72:V75)*Assumptions!$D$49*Assumptions!$D$50/VLOOKUP(Assumptions!$D$7, Lists!$B$7:$C$10, 2, FALSE)</f>
        <v>1663200000</v>
      </c>
      <c r="W79" s="48">
        <f t="shared" si="154"/>
        <v>1663200000</v>
      </c>
      <c r="X79" s="68">
        <f>SUM(X72:X75)*Assumptions!$D$49*Assumptions!$D$50/VLOOKUP(Assumptions!$D$7, Lists!$B$7:$C$10, 2, FALSE)</f>
        <v>1754878125</v>
      </c>
      <c r="Y79" s="69">
        <f>SUM(Y72:Y75)*Assumptions!$D$49*Assumptions!$D$50/VLOOKUP(Assumptions!$D$7, Lists!$B$7:$C$10, 2, FALSE)</f>
        <v>1845112500</v>
      </c>
      <c r="Z79" s="69">
        <f>SUM(Z72:Z75)*Assumptions!$D$49*Assumptions!$D$50/VLOOKUP(Assumptions!$D$7, Lists!$B$7:$C$10, 2, FALSE)</f>
        <v>1933903125</v>
      </c>
      <c r="AA79" s="92">
        <f>SUM(AA72:AA75)*Assumptions!$D$49*Assumptions!$D$50/VLOOKUP(Assumptions!$D$7, Lists!$B$7:$C$10, 2, FALSE)</f>
        <v>2021250000</v>
      </c>
      <c r="AB79" s="48">
        <f t="shared" si="155"/>
        <v>2021250000</v>
      </c>
      <c r="AC79" s="68">
        <f>SUM(AC72:AC75)*Assumptions!$D$49*Assumptions!$D$50/VLOOKUP(Assumptions!$D$7, Lists!$B$7:$C$10, 2, FALSE)</f>
        <v>2006812500</v>
      </c>
      <c r="AD79" s="69">
        <f>SUM(AD72:AD75)*Assumptions!$D$49*Assumptions!$D$50/VLOOKUP(Assumptions!$D$7, Lists!$B$7:$C$10, 2, FALSE)</f>
        <v>1992375000</v>
      </c>
      <c r="AE79" s="69">
        <f>SUM(AE72:AE75)*Assumptions!$D$49*Assumptions!$D$50/VLOOKUP(Assumptions!$D$7, Lists!$B$7:$C$10, 2, FALSE)</f>
        <v>1977937500</v>
      </c>
      <c r="AF79" s="92">
        <f>SUM(AF72:AF75)*Assumptions!$D$49*Assumptions!$D$50/VLOOKUP(Assumptions!$D$7, Lists!$B$7:$C$10, 2, FALSE)</f>
        <v>1963500000</v>
      </c>
      <c r="AG79" s="48">
        <f t="shared" si="156"/>
        <v>1963500000</v>
      </c>
      <c r="AH79" s="68">
        <f>SUM(AH72:AH75)*Assumptions!$D$49*Assumptions!$D$50/VLOOKUP(Assumptions!$D$7, Lists!$B$7:$C$10, 2, FALSE)</f>
        <v>1949062500</v>
      </c>
      <c r="AI79" s="69">
        <f>SUM(AI72:AI75)*Assumptions!$D$49*Assumptions!$D$50/VLOOKUP(Assumptions!$D$7, Lists!$B$7:$C$10, 2, FALSE)</f>
        <v>1934625000</v>
      </c>
      <c r="AJ79" s="69">
        <f>SUM(AJ72:AJ75)*Assumptions!$D$49*Assumptions!$D$50/VLOOKUP(Assumptions!$D$7, Lists!$B$7:$C$10, 2, FALSE)</f>
        <v>1920187500</v>
      </c>
      <c r="AK79" s="92">
        <f>SUM(AK72:AK75)*Assumptions!$D$49*Assumptions!$D$50/VLOOKUP(Assumptions!$D$7, Lists!$B$7:$C$10, 2, FALSE)</f>
        <v>1905750000</v>
      </c>
      <c r="AL79" s="60">
        <f t="shared" si="157"/>
        <v>1905750000</v>
      </c>
    </row>
    <row r="80" spans="1:38" ht="15.95">
      <c r="A80" s="55"/>
      <c r="C80" s="189" t="s">
        <v>316</v>
      </c>
      <c r="D80" s="68">
        <f>SUM(D72:D75)*Assumptions!$D$51/VLOOKUP(Assumptions!$D$7, Lists!$B$7:$C$10, 2, FALSE)</f>
        <v>114778125</v>
      </c>
      <c r="E80" s="69">
        <f>SUM(E72:E75)*Assumptions!$D$51/VLOOKUP(Assumptions!$D$7, Lists!$B$7:$C$10, 2, FALSE)</f>
        <v>228112500</v>
      </c>
      <c r="F80" s="69">
        <f>SUM(F72:F75)*Assumptions!$D$51/VLOOKUP(Assumptions!$D$7, Lists!$B$7:$C$10, 2, FALSE)</f>
        <v>340003125</v>
      </c>
      <c r="G80" s="92">
        <f>SUM(G72:G75)*Assumptions!$D$51/VLOOKUP(Assumptions!$D$7, Lists!$B$7:$C$10, 2, FALSE)</f>
        <v>450450000</v>
      </c>
      <c r="H80" s="91">
        <f t="shared" si="151"/>
        <v>450450000</v>
      </c>
      <c r="I80" s="68">
        <f>SUM(I72:I75)*Assumptions!$D$51/VLOOKUP(Assumptions!$D$7, Lists!$B$7:$C$10, 2, FALSE)</f>
        <v>559453125</v>
      </c>
      <c r="J80" s="69">
        <f>SUM(J72:J75)*Assumptions!$D$51/VLOOKUP(Assumptions!$D$7, Lists!$B$7:$C$10, 2, FALSE)</f>
        <v>667012500</v>
      </c>
      <c r="K80" s="69">
        <f>SUM(K72:K75)*Assumptions!$D$51/VLOOKUP(Assumptions!$D$7, Lists!$B$7:$C$10, 2, FALSE)</f>
        <v>773128125</v>
      </c>
      <c r="L80" s="92">
        <f>SUM(L72:L75)*Assumptions!$D$51/VLOOKUP(Assumptions!$D$7, Lists!$B$7:$C$10, 2, FALSE)</f>
        <v>877800000</v>
      </c>
      <c r="M80" s="57">
        <f t="shared" si="152"/>
        <v>877800000</v>
      </c>
      <c r="N80" s="68">
        <f>SUM(N72:N75)*Assumptions!$D$51/VLOOKUP(Assumptions!$D$7, Lists!$B$7:$C$10, 2, FALSE)</f>
        <v>981028125</v>
      </c>
      <c r="O80" s="69">
        <f>SUM(O72:O75)*Assumptions!$D$51/VLOOKUP(Assumptions!$D$7, Lists!$B$7:$C$10, 2, FALSE)</f>
        <v>1082812500</v>
      </c>
      <c r="P80" s="69">
        <f>SUM(P72:P75)*Assumptions!$D$51/VLOOKUP(Assumptions!$D$7, Lists!$B$7:$C$10, 2, FALSE)</f>
        <v>1183153125</v>
      </c>
      <c r="Q80" s="92">
        <f>SUM(Q72:Q75)*Assumptions!$D$51/VLOOKUP(Assumptions!$D$7, Lists!$B$7:$C$10, 2, FALSE)</f>
        <v>1282050000</v>
      </c>
      <c r="R80" s="57">
        <f t="shared" si="153"/>
        <v>1282050000</v>
      </c>
      <c r="S80" s="68">
        <f>SUM(S72:S75)*Assumptions!$D$51/VLOOKUP(Assumptions!$D$7, Lists!$B$7:$C$10, 2, FALSE)</f>
        <v>1379503125</v>
      </c>
      <c r="T80" s="69">
        <f>SUM(T72:T75)*Assumptions!$D$51/VLOOKUP(Assumptions!$D$7, Lists!$B$7:$C$10, 2, FALSE)</f>
        <v>1475512500</v>
      </c>
      <c r="U80" s="69">
        <f>SUM(U72:U75)*Assumptions!$D$51/VLOOKUP(Assumptions!$D$7, Lists!$B$7:$C$10, 2, FALSE)</f>
        <v>1570078125</v>
      </c>
      <c r="V80" s="92">
        <f>SUM(V72:V75)*Assumptions!$D$51/VLOOKUP(Assumptions!$D$7, Lists!$B$7:$C$10, 2, FALSE)</f>
        <v>1663200000</v>
      </c>
      <c r="W80" s="57">
        <f t="shared" si="154"/>
        <v>1663200000</v>
      </c>
      <c r="X80" s="68">
        <f>SUM(X72:X75)*Assumptions!$D$51/VLOOKUP(Assumptions!$D$7, Lists!$B$7:$C$10, 2, FALSE)</f>
        <v>1754878125</v>
      </c>
      <c r="Y80" s="69">
        <f>SUM(Y72:Y75)*Assumptions!$D$51/VLOOKUP(Assumptions!$D$7, Lists!$B$7:$C$10, 2, FALSE)</f>
        <v>1845112500</v>
      </c>
      <c r="Z80" s="69">
        <f>SUM(Z72:Z75)*Assumptions!$D$51/VLOOKUP(Assumptions!$D$7, Lists!$B$7:$C$10, 2, FALSE)</f>
        <v>1933903125</v>
      </c>
      <c r="AA80" s="92">
        <f>SUM(AA72:AA75)*Assumptions!$D$51/VLOOKUP(Assumptions!$D$7, Lists!$B$7:$C$10, 2, FALSE)</f>
        <v>2021250000</v>
      </c>
      <c r="AB80" s="57">
        <f t="shared" si="155"/>
        <v>2021250000</v>
      </c>
      <c r="AC80" s="68">
        <f>SUM(AC72:AC75)*Assumptions!$D$51/VLOOKUP(Assumptions!$D$7, Lists!$B$7:$C$10, 2, FALSE)</f>
        <v>2006812500</v>
      </c>
      <c r="AD80" s="69">
        <f>SUM(AD72:AD75)*Assumptions!$D$51/VLOOKUP(Assumptions!$D$7, Lists!$B$7:$C$10, 2, FALSE)</f>
        <v>1992375000</v>
      </c>
      <c r="AE80" s="69">
        <f>SUM(AE72:AE75)*Assumptions!$D$51/VLOOKUP(Assumptions!$D$7, Lists!$B$7:$C$10, 2, FALSE)</f>
        <v>1977937500</v>
      </c>
      <c r="AF80" s="92">
        <f>SUM(AF72:AF75)*Assumptions!$D$51/VLOOKUP(Assumptions!$D$7, Lists!$B$7:$C$10, 2, FALSE)</f>
        <v>1963500000</v>
      </c>
      <c r="AG80" s="57">
        <f t="shared" si="156"/>
        <v>1963500000</v>
      </c>
      <c r="AH80" s="68">
        <f>SUM(AH72:AH75)*Assumptions!$D$51/VLOOKUP(Assumptions!$D$7, Lists!$B$7:$C$10, 2, FALSE)</f>
        <v>1949062500</v>
      </c>
      <c r="AI80" s="69">
        <f>SUM(AI72:AI75)*Assumptions!$D$51/VLOOKUP(Assumptions!$D$7, Lists!$B$7:$C$10, 2, FALSE)</f>
        <v>1934625000</v>
      </c>
      <c r="AJ80" s="69">
        <f>SUM(AJ72:AJ75)*Assumptions!$D$51/VLOOKUP(Assumptions!$D$7, Lists!$B$7:$C$10, 2, FALSE)</f>
        <v>1920187500</v>
      </c>
      <c r="AK80" s="92">
        <f>SUM(AK72:AK75)*Assumptions!$D$51/VLOOKUP(Assumptions!$D$7, Lists!$B$7:$C$10, 2, FALSE)</f>
        <v>1905750000</v>
      </c>
      <c r="AL80" s="91">
        <f t="shared" si="157"/>
        <v>1905750000</v>
      </c>
    </row>
    <row r="81" spans="1:38" ht="15.95">
      <c r="A81" s="55"/>
      <c r="C81" s="189" t="s">
        <v>317</v>
      </c>
      <c r="D81" s="68">
        <f>SUM(D72:D75)*Assumptions!$D$52*3/VLOOKUP(Assumptions!$D$7, Lists!$B$7:$C$10, 2, FALSE)</f>
        <v>688668750</v>
      </c>
      <c r="E81" s="69">
        <f>SUM(E72:E75)*Assumptions!$D$52*3/VLOOKUP(Assumptions!$D$7, Lists!$B$7:$C$10, 2, FALSE)</f>
        <v>1368675000</v>
      </c>
      <c r="F81" s="69">
        <f>SUM(F72:F75)*Assumptions!$D$52*3/VLOOKUP(Assumptions!$D$7, Lists!$B$7:$C$10, 2, FALSE)</f>
        <v>2040018750</v>
      </c>
      <c r="G81" s="92">
        <f>SUM(G72:G75)*Assumptions!$D$52*3/VLOOKUP(Assumptions!$D$7, Lists!$B$7:$C$10, 2, FALSE)</f>
        <v>2702700000</v>
      </c>
      <c r="H81" s="91">
        <f t="shared" si="151"/>
        <v>2702700000</v>
      </c>
      <c r="I81" s="68">
        <f>SUM(I72:I75)*Assumptions!$D$52*3/VLOOKUP(Assumptions!$D$7, Lists!$B$7:$C$10, 2, FALSE)</f>
        <v>3356718750</v>
      </c>
      <c r="J81" s="69">
        <f>SUM(J72:J75)*Assumptions!$D$52*3/VLOOKUP(Assumptions!$D$7, Lists!$B$7:$C$10, 2, FALSE)</f>
        <v>4002075000</v>
      </c>
      <c r="K81" s="69">
        <f>SUM(K72:K75)*Assumptions!$D$52*3/VLOOKUP(Assumptions!$D$7, Lists!$B$7:$C$10, 2, FALSE)</f>
        <v>4638768750</v>
      </c>
      <c r="L81" s="92">
        <f>SUM(L72:L75)*Assumptions!$D$52*3/VLOOKUP(Assumptions!$D$7, Lists!$B$7:$C$10, 2, FALSE)</f>
        <v>5266800000</v>
      </c>
      <c r="M81" s="57">
        <f t="shared" si="152"/>
        <v>5266800000</v>
      </c>
      <c r="N81" s="68">
        <f>SUM(N72:N75)*Assumptions!$D$52*3/VLOOKUP(Assumptions!$D$7, Lists!$B$7:$C$10, 2, FALSE)</f>
        <v>5886168750</v>
      </c>
      <c r="O81" s="69">
        <f>SUM(O72:O75)*Assumptions!$D$52*3/VLOOKUP(Assumptions!$D$7, Lists!$B$7:$C$10, 2, FALSE)</f>
        <v>6496875000</v>
      </c>
      <c r="P81" s="69">
        <f>SUM(P72:P75)*Assumptions!$D$52*3/VLOOKUP(Assumptions!$D$7, Lists!$B$7:$C$10, 2, FALSE)</f>
        <v>7098918750</v>
      </c>
      <c r="Q81" s="92">
        <f>SUM(Q72:Q75)*Assumptions!$D$52*3/VLOOKUP(Assumptions!$D$7, Lists!$B$7:$C$10, 2, FALSE)</f>
        <v>7692300000</v>
      </c>
      <c r="R81" s="57">
        <f t="shared" si="153"/>
        <v>7692300000</v>
      </c>
      <c r="S81" s="68">
        <f>SUM(S72:S75)*Assumptions!$D$52*3/VLOOKUP(Assumptions!$D$7, Lists!$B$7:$C$10, 2, FALSE)</f>
        <v>8277018750</v>
      </c>
      <c r="T81" s="69">
        <f>SUM(T72:T75)*Assumptions!$D$52*3/VLOOKUP(Assumptions!$D$7, Lists!$B$7:$C$10, 2, FALSE)</f>
        <v>8853075000</v>
      </c>
      <c r="U81" s="69">
        <f>SUM(U72:U75)*Assumptions!$D$52*3/VLOOKUP(Assumptions!$D$7, Lists!$B$7:$C$10, 2, FALSE)</f>
        <v>9420468750</v>
      </c>
      <c r="V81" s="92">
        <f>SUM(V72:V75)*Assumptions!$D$52*3/VLOOKUP(Assumptions!$D$7, Lists!$B$7:$C$10, 2, FALSE)</f>
        <v>9979200000</v>
      </c>
      <c r="W81" s="57">
        <f t="shared" si="154"/>
        <v>9979200000</v>
      </c>
      <c r="X81" s="68">
        <f>SUM(X72:X75)*Assumptions!$D$52*3/VLOOKUP(Assumptions!$D$7, Lists!$B$7:$C$10, 2, FALSE)</f>
        <v>10529268750</v>
      </c>
      <c r="Y81" s="69">
        <f>SUM(Y72:Y75)*Assumptions!$D$52*3/VLOOKUP(Assumptions!$D$7, Lists!$B$7:$C$10, 2, FALSE)</f>
        <v>11070675000</v>
      </c>
      <c r="Z81" s="69">
        <f>SUM(Z72:Z75)*Assumptions!$D$52*3/VLOOKUP(Assumptions!$D$7, Lists!$B$7:$C$10, 2, FALSE)</f>
        <v>11603418750</v>
      </c>
      <c r="AA81" s="92">
        <f>SUM(AA72:AA75)*Assumptions!$D$52*3/VLOOKUP(Assumptions!$D$7, Lists!$B$7:$C$10, 2, FALSE)</f>
        <v>12127500000</v>
      </c>
      <c r="AB81" s="57">
        <f t="shared" si="155"/>
        <v>12127500000</v>
      </c>
      <c r="AC81" s="68">
        <f>SUM(AC72:AC75)*Assumptions!$D$52*3/VLOOKUP(Assumptions!$D$7, Lists!$B$7:$C$10, 2, FALSE)</f>
        <v>12040875000</v>
      </c>
      <c r="AD81" s="69">
        <f>SUM(AD72:AD75)*Assumptions!$D$52*3/VLOOKUP(Assumptions!$D$7, Lists!$B$7:$C$10, 2, FALSE)</f>
        <v>11954250000</v>
      </c>
      <c r="AE81" s="69">
        <f>SUM(AE72:AE75)*Assumptions!$D$52*3/VLOOKUP(Assumptions!$D$7, Lists!$B$7:$C$10, 2, FALSE)</f>
        <v>11867625000</v>
      </c>
      <c r="AF81" s="92">
        <f>SUM(AF72:AF75)*Assumptions!$D$52*3/VLOOKUP(Assumptions!$D$7, Lists!$B$7:$C$10, 2, FALSE)</f>
        <v>11781000000</v>
      </c>
      <c r="AG81" s="57">
        <f t="shared" si="156"/>
        <v>11781000000</v>
      </c>
      <c r="AH81" s="68">
        <f>SUM(AH72:AH75)*Assumptions!$D$52*3/VLOOKUP(Assumptions!$D$7, Lists!$B$7:$C$10, 2, FALSE)</f>
        <v>11694375000</v>
      </c>
      <c r="AI81" s="69">
        <f>SUM(AI72:AI75)*Assumptions!$D$52*3/VLOOKUP(Assumptions!$D$7, Lists!$B$7:$C$10, 2, FALSE)</f>
        <v>11607750000</v>
      </c>
      <c r="AJ81" s="69">
        <f>SUM(AJ72:AJ75)*Assumptions!$D$52*3/VLOOKUP(Assumptions!$D$7, Lists!$B$7:$C$10, 2, FALSE)</f>
        <v>11521125000</v>
      </c>
      <c r="AK81" s="92">
        <f>SUM(AK72:AK75)*Assumptions!$D$52*3/VLOOKUP(Assumptions!$D$7, Lists!$B$7:$C$10, 2, FALSE)</f>
        <v>11434500000</v>
      </c>
      <c r="AL81" s="91">
        <f t="shared" si="157"/>
        <v>11434500000</v>
      </c>
    </row>
    <row r="82" spans="1:38" s="56" customFormat="1" ht="15.95">
      <c r="A82" s="55"/>
      <c r="C82" s="189" t="s">
        <v>318</v>
      </c>
      <c r="D82" s="68">
        <f>SUM(D72:D75)*Assumptions!$D$53*3/VLOOKUP(Assumptions!$D$7, Lists!$B$7:$C$10, 2, FALSE)</f>
        <v>688668750</v>
      </c>
      <c r="E82" s="69">
        <f>SUM(E72:E75)*Assumptions!$D$53*3/VLOOKUP(Assumptions!$D$7, Lists!$B$7:$C$10, 2, FALSE)</f>
        <v>1368675000</v>
      </c>
      <c r="F82" s="69">
        <f>SUM(F72:F75)*Assumptions!$D$53*3/VLOOKUP(Assumptions!$D$7, Lists!$B$7:$C$10, 2, FALSE)</f>
        <v>2040018750</v>
      </c>
      <c r="G82" s="92">
        <f>SUM(G72:G75)*Assumptions!$D$53*3/VLOOKUP(Assumptions!$D$7, Lists!$B$7:$C$10, 2, FALSE)</f>
        <v>2702700000</v>
      </c>
      <c r="H82" s="91">
        <f>SUM(D82:G82)</f>
        <v>6800062500</v>
      </c>
      <c r="I82" s="68">
        <f>SUM(I72:I75)*Assumptions!$D$53*3/VLOOKUP(Assumptions!$D$7, Lists!$B$7:$C$10, 2, FALSE)</f>
        <v>3356718750</v>
      </c>
      <c r="J82" s="69">
        <f>SUM(J72:J75)*Assumptions!$D$53*3/VLOOKUP(Assumptions!$D$7, Lists!$B$7:$C$10, 2, FALSE)</f>
        <v>4002075000</v>
      </c>
      <c r="K82" s="69">
        <f>SUM(K72:K75)*Assumptions!$D$53*3/VLOOKUP(Assumptions!$D$7, Lists!$B$7:$C$10, 2, FALSE)</f>
        <v>4638768750</v>
      </c>
      <c r="L82" s="92">
        <f>SUM(L72:L75)*Assumptions!$D$53*3/VLOOKUP(Assumptions!$D$7, Lists!$B$7:$C$10, 2, FALSE)</f>
        <v>5266800000</v>
      </c>
      <c r="M82" s="48">
        <f>SUM(I82:L82)</f>
        <v>17264362500</v>
      </c>
      <c r="N82" s="68">
        <f>SUM(N72:N75)*Assumptions!$D$53*3/VLOOKUP(Assumptions!$D$7, Lists!$B$7:$C$10, 2, FALSE)</f>
        <v>5886168750</v>
      </c>
      <c r="O82" s="69">
        <f>SUM(O72:O75)*Assumptions!$D$53*3/VLOOKUP(Assumptions!$D$7, Lists!$B$7:$C$10, 2, FALSE)</f>
        <v>6496875000</v>
      </c>
      <c r="P82" s="69">
        <f>SUM(P72:P75)*Assumptions!$D$53*3/VLOOKUP(Assumptions!$D$7, Lists!$B$7:$C$10, 2, FALSE)</f>
        <v>7098918750</v>
      </c>
      <c r="Q82" s="92">
        <f>SUM(Q72:Q75)*Assumptions!$D$53*3/VLOOKUP(Assumptions!$D$7, Lists!$B$7:$C$10, 2, FALSE)</f>
        <v>7692300000</v>
      </c>
      <c r="R82" s="48">
        <f>SUM(N82:Q82)</f>
        <v>27174262500</v>
      </c>
      <c r="S82" s="68">
        <f>SUM(S72:S75)*Assumptions!$D$53*3/VLOOKUP(Assumptions!$D$7, Lists!$B$7:$C$10, 2, FALSE)</f>
        <v>8277018750</v>
      </c>
      <c r="T82" s="69">
        <f>SUM(T72:T75)*Assumptions!$D$53*3/VLOOKUP(Assumptions!$D$7, Lists!$B$7:$C$10, 2, FALSE)</f>
        <v>8853075000</v>
      </c>
      <c r="U82" s="69">
        <f>SUM(U72:U75)*Assumptions!$D$53*3/VLOOKUP(Assumptions!$D$7, Lists!$B$7:$C$10, 2, FALSE)</f>
        <v>9420468750</v>
      </c>
      <c r="V82" s="92">
        <f>SUM(V72:V75)*Assumptions!$D$53*3/VLOOKUP(Assumptions!$D$7, Lists!$B$7:$C$10, 2, FALSE)</f>
        <v>9979200000</v>
      </c>
      <c r="W82" s="48">
        <f>SUM(S82:V82)</f>
        <v>36529762500</v>
      </c>
      <c r="X82" s="68">
        <f>SUM(X72:X75)*Assumptions!$D$53*3/VLOOKUP(Assumptions!$D$7, Lists!$B$7:$C$10, 2, FALSE)</f>
        <v>10529268750</v>
      </c>
      <c r="Y82" s="69">
        <f>SUM(Y72:Y75)*Assumptions!$D$53*3/VLOOKUP(Assumptions!$D$7, Lists!$B$7:$C$10, 2, FALSE)</f>
        <v>11070675000</v>
      </c>
      <c r="Z82" s="69">
        <f>SUM(Z72:Z75)*Assumptions!$D$53*3/VLOOKUP(Assumptions!$D$7, Lists!$B$7:$C$10, 2, FALSE)</f>
        <v>11603418750</v>
      </c>
      <c r="AA82" s="92">
        <f>SUM(AA72:AA75)*Assumptions!$D$53*3/VLOOKUP(Assumptions!$D$7, Lists!$B$7:$C$10, 2, FALSE)</f>
        <v>12127500000</v>
      </c>
      <c r="AB82" s="48">
        <f>SUM(X82:AA82)</f>
        <v>45330862500</v>
      </c>
      <c r="AC82" s="68">
        <f>SUM(AC72:AC75)*Assumptions!$D$53*3/VLOOKUP(Assumptions!$D$7, Lists!$B$7:$C$10, 2, FALSE)</f>
        <v>12040875000</v>
      </c>
      <c r="AD82" s="69">
        <f>SUM(AD72:AD75)*Assumptions!$D$53*3/VLOOKUP(Assumptions!$D$7, Lists!$B$7:$C$10, 2, FALSE)</f>
        <v>11954250000</v>
      </c>
      <c r="AE82" s="69">
        <f>SUM(AE72:AE75)*Assumptions!$D$53*3/VLOOKUP(Assumptions!$D$7, Lists!$B$7:$C$10, 2, FALSE)</f>
        <v>11867625000</v>
      </c>
      <c r="AF82" s="92">
        <f>SUM(AF72:AF75)*Assumptions!$D$53*3/VLOOKUP(Assumptions!$D$7, Lists!$B$7:$C$10, 2, FALSE)</f>
        <v>11781000000</v>
      </c>
      <c r="AG82" s="48">
        <f>SUM(AC82:AF82)</f>
        <v>47643750000</v>
      </c>
      <c r="AH82" s="68">
        <f>SUM(AH72:AH75)*Assumptions!$D$53*3/VLOOKUP(Assumptions!$D$7, Lists!$B$7:$C$10, 2, FALSE)</f>
        <v>11694375000</v>
      </c>
      <c r="AI82" s="69">
        <f>SUM(AI72:AI75)*Assumptions!$D$53*3/VLOOKUP(Assumptions!$D$7, Lists!$B$7:$C$10, 2, FALSE)</f>
        <v>11607750000</v>
      </c>
      <c r="AJ82" s="69">
        <f>SUM(AJ72:AJ75)*Assumptions!$D$53*3/VLOOKUP(Assumptions!$D$7, Lists!$B$7:$C$10, 2, FALSE)</f>
        <v>11521125000</v>
      </c>
      <c r="AK82" s="92">
        <f>SUM(AK72:AK75)*Assumptions!$D$53*3/VLOOKUP(Assumptions!$D$7, Lists!$B$7:$C$10, 2, FALSE)</f>
        <v>11434500000</v>
      </c>
      <c r="AL82" s="60">
        <f>SUM(AH82:AK82)</f>
        <v>46257750000</v>
      </c>
    </row>
    <row r="83" spans="1:38" s="56" customFormat="1" ht="15.95">
      <c r="A83" s="55"/>
      <c r="C83" s="189" t="s">
        <v>319</v>
      </c>
      <c r="D83" s="68">
        <f>SUM(D72:D75)*Assumptions!$D$54*3/VLOOKUP(Assumptions!$D$7, Lists!$B$7:$C$10, 2, FALSE)</f>
        <v>688668750</v>
      </c>
      <c r="E83" s="69">
        <f>SUM(E72:E75)*Assumptions!$D$54*3/VLOOKUP(Assumptions!$D$7, Lists!$B$7:$C$10, 2, FALSE)</f>
        <v>1368675000</v>
      </c>
      <c r="F83" s="69">
        <f>SUM(F72:F75)*Assumptions!$D$54*3/VLOOKUP(Assumptions!$D$7, Lists!$B$7:$C$10, 2, FALSE)</f>
        <v>2040018750</v>
      </c>
      <c r="G83" s="92">
        <f>SUM(G72:G75)*Assumptions!$D$54*3/VLOOKUP(Assumptions!$D$7, Lists!$B$7:$C$10, 2, FALSE)</f>
        <v>2702700000</v>
      </c>
      <c r="H83" s="91">
        <f>SUM(D83:G83)</f>
        <v>6800062500</v>
      </c>
      <c r="I83" s="68">
        <f>SUM(I72:I75)*Assumptions!$D$54*3/VLOOKUP(Assumptions!$D$7, Lists!$B$7:$C$10, 2, FALSE)</f>
        <v>3356718750</v>
      </c>
      <c r="J83" s="69">
        <f>SUM(J72:J75)*Assumptions!$D$54*3/VLOOKUP(Assumptions!$D$7, Lists!$B$7:$C$10, 2, FALSE)</f>
        <v>4002075000</v>
      </c>
      <c r="K83" s="69">
        <f>SUM(K72:K75)*Assumptions!$D$54*3/VLOOKUP(Assumptions!$D$7, Lists!$B$7:$C$10, 2, FALSE)</f>
        <v>4638768750</v>
      </c>
      <c r="L83" s="92">
        <f>SUM(L72:L75)*Assumptions!$D$54*3/VLOOKUP(Assumptions!$D$7, Lists!$B$7:$C$10, 2, FALSE)</f>
        <v>5266800000</v>
      </c>
      <c r="M83" s="48">
        <f>SUM(I83:L83)</f>
        <v>17264362500</v>
      </c>
      <c r="N83" s="68">
        <f>SUM(N72:N75)*Assumptions!$D$54*3/VLOOKUP(Assumptions!$D$7, Lists!$B$7:$C$10, 2, FALSE)</f>
        <v>5886168750</v>
      </c>
      <c r="O83" s="69">
        <f>SUM(O72:O75)*Assumptions!$D$54*3/VLOOKUP(Assumptions!$D$7, Lists!$B$7:$C$10, 2, FALSE)</f>
        <v>6496875000</v>
      </c>
      <c r="P83" s="69">
        <f>SUM(P72:P75)*Assumptions!$D$54*3/VLOOKUP(Assumptions!$D$7, Lists!$B$7:$C$10, 2, FALSE)</f>
        <v>7098918750</v>
      </c>
      <c r="Q83" s="92">
        <f>SUM(Q72:Q75)*Assumptions!$D$54*3/VLOOKUP(Assumptions!$D$7, Lists!$B$7:$C$10, 2, FALSE)</f>
        <v>7692300000</v>
      </c>
      <c r="R83" s="48">
        <f>SUM(N83:Q83)</f>
        <v>27174262500</v>
      </c>
      <c r="S83" s="68">
        <f>SUM(S72:S75)*Assumptions!$D$54*3/VLOOKUP(Assumptions!$D$7, Lists!$B$7:$C$10, 2, FALSE)</f>
        <v>8277018750</v>
      </c>
      <c r="T83" s="69">
        <f>SUM(T72:T75)*Assumptions!$D$54*3/VLOOKUP(Assumptions!$D$7, Lists!$B$7:$C$10, 2, FALSE)</f>
        <v>8853075000</v>
      </c>
      <c r="U83" s="69">
        <f>SUM(U72:U75)*Assumptions!$D$54*3/VLOOKUP(Assumptions!$D$7, Lists!$B$7:$C$10, 2, FALSE)</f>
        <v>9420468750</v>
      </c>
      <c r="V83" s="92">
        <f>SUM(V72:V75)*Assumptions!$D$54*3/VLOOKUP(Assumptions!$D$7, Lists!$B$7:$C$10, 2, FALSE)</f>
        <v>9979200000</v>
      </c>
      <c r="W83" s="48">
        <f>SUM(S83:V83)</f>
        <v>36529762500</v>
      </c>
      <c r="X83" s="68">
        <f>SUM(X72:X75)*Assumptions!$D$54*3/VLOOKUP(Assumptions!$D$7, Lists!$B$7:$C$10, 2, FALSE)</f>
        <v>10529268750</v>
      </c>
      <c r="Y83" s="69">
        <f>SUM(Y72:Y75)*Assumptions!$D$54*3/VLOOKUP(Assumptions!$D$7, Lists!$B$7:$C$10, 2, FALSE)</f>
        <v>11070675000</v>
      </c>
      <c r="Z83" s="69">
        <f>SUM(Z72:Z75)*Assumptions!$D$54*3/VLOOKUP(Assumptions!$D$7, Lists!$B$7:$C$10, 2, FALSE)</f>
        <v>11603418750</v>
      </c>
      <c r="AA83" s="92">
        <f>SUM(AA72:AA75)*Assumptions!$D$54*3/VLOOKUP(Assumptions!$D$7, Lists!$B$7:$C$10, 2, FALSE)</f>
        <v>12127500000</v>
      </c>
      <c r="AB83" s="48">
        <f>SUM(X83:AA83)</f>
        <v>45330862500</v>
      </c>
      <c r="AC83" s="68">
        <f>SUM(AC72:AC75)*Assumptions!$D$54*3/VLOOKUP(Assumptions!$D$7, Lists!$B$7:$C$10, 2, FALSE)</f>
        <v>12040875000</v>
      </c>
      <c r="AD83" s="69">
        <f>SUM(AD72:AD75)*Assumptions!$D$54*3/VLOOKUP(Assumptions!$D$7, Lists!$B$7:$C$10, 2, FALSE)</f>
        <v>11954250000</v>
      </c>
      <c r="AE83" s="69">
        <f>SUM(AE72:AE75)*Assumptions!$D$54*3/VLOOKUP(Assumptions!$D$7, Lists!$B$7:$C$10, 2, FALSE)</f>
        <v>11867625000</v>
      </c>
      <c r="AF83" s="92">
        <f>SUM(AF72:AF75)*Assumptions!$D$54*3/VLOOKUP(Assumptions!$D$7, Lists!$B$7:$C$10, 2, FALSE)</f>
        <v>11781000000</v>
      </c>
      <c r="AG83" s="48">
        <f>SUM(AC83:AF83)</f>
        <v>47643750000</v>
      </c>
      <c r="AH83" s="68">
        <f>SUM(AH72:AH75)*Assumptions!$D$54*3/VLOOKUP(Assumptions!$D$7, Lists!$B$7:$C$10, 2, FALSE)</f>
        <v>11694375000</v>
      </c>
      <c r="AI83" s="69">
        <f>SUM(AI72:AI75)*Assumptions!$D$54*3/VLOOKUP(Assumptions!$D$7, Lists!$B$7:$C$10, 2, FALSE)</f>
        <v>11607750000</v>
      </c>
      <c r="AJ83" s="69">
        <f>SUM(AJ72:AJ75)*Assumptions!$D$54*3/VLOOKUP(Assumptions!$D$7, Lists!$B$7:$C$10, 2, FALSE)</f>
        <v>11521125000</v>
      </c>
      <c r="AK83" s="92">
        <f>SUM(AK72:AK75)*Assumptions!$D$54*3/VLOOKUP(Assumptions!$D$7, Lists!$B$7:$C$10, 2, FALSE)</f>
        <v>11434500000</v>
      </c>
      <c r="AL83" s="60">
        <f>SUM(AH83:AK83)</f>
        <v>46257750000</v>
      </c>
    </row>
    <row r="84" spans="1:38" s="56" customFormat="1" ht="15.95">
      <c r="A84" s="55"/>
      <c r="C84" s="189" t="s">
        <v>109</v>
      </c>
      <c r="D84" s="68">
        <f>(D79+D80)*Assumptions!$D$35</f>
        <v>22955625</v>
      </c>
      <c r="E84" s="69">
        <f>(E79+E80)*Assumptions!$D$35</f>
        <v>45622500</v>
      </c>
      <c r="F84" s="69">
        <f>(F79+F80)*Assumptions!$D$35</f>
        <v>68000625</v>
      </c>
      <c r="G84" s="92">
        <f>(G79+G80)*Assumptions!$D$35</f>
        <v>90090000</v>
      </c>
      <c r="H84" s="91">
        <f>G84</f>
        <v>90090000</v>
      </c>
      <c r="I84" s="68">
        <f>(I79+I80)*Assumptions!$D$35</f>
        <v>111890625</v>
      </c>
      <c r="J84" s="69">
        <f>(J79+J80)*Assumptions!$D$35</f>
        <v>133402500</v>
      </c>
      <c r="K84" s="69">
        <f>(K79+K80)*Assumptions!$D$35</f>
        <v>154625625</v>
      </c>
      <c r="L84" s="92">
        <f>(L79+L80)*Assumptions!$D$35</f>
        <v>175560000</v>
      </c>
      <c r="M84" s="91">
        <f>L84</f>
        <v>175560000</v>
      </c>
      <c r="N84" s="68">
        <f>(N79+N80)*Assumptions!$D$35</f>
        <v>196205625</v>
      </c>
      <c r="O84" s="69">
        <f>(O79+O80)*Assumptions!$D$35</f>
        <v>216562500</v>
      </c>
      <c r="P84" s="69">
        <f>(P79+P80)*Assumptions!$D$35</f>
        <v>236630625</v>
      </c>
      <c r="Q84" s="92">
        <f>(Q79+Q80)*Assumptions!$D$35</f>
        <v>256410000</v>
      </c>
      <c r="R84" s="91">
        <f>Q84</f>
        <v>256410000</v>
      </c>
      <c r="S84" s="68">
        <f>(S79+S80)*Assumptions!$D$35</f>
        <v>275900625</v>
      </c>
      <c r="T84" s="69">
        <f>(T79+T80)*Assumptions!$D$35</f>
        <v>295102500</v>
      </c>
      <c r="U84" s="69">
        <f>(U79+U80)*Assumptions!$D$35</f>
        <v>314015625</v>
      </c>
      <c r="V84" s="92">
        <f>(V79+V80)*Assumptions!$D$35</f>
        <v>332640000</v>
      </c>
      <c r="W84" s="91">
        <f>V84</f>
        <v>332640000</v>
      </c>
      <c r="X84" s="68">
        <f>(X79+X80)*Assumptions!$D$35</f>
        <v>350975625</v>
      </c>
      <c r="Y84" s="69">
        <f>(Y79+Y80)*Assumptions!$D$35</f>
        <v>369022500</v>
      </c>
      <c r="Z84" s="69">
        <f>(Z79+Z80)*Assumptions!$D$35</f>
        <v>386780625</v>
      </c>
      <c r="AA84" s="92">
        <f>(AA79+AA80)*Assumptions!$D$35</f>
        <v>404250000</v>
      </c>
      <c r="AB84" s="57">
        <f>AA84</f>
        <v>404250000</v>
      </c>
      <c r="AC84" s="68">
        <f>(AC79+AC80)*Assumptions!$D$35</f>
        <v>401362500</v>
      </c>
      <c r="AD84" s="69">
        <f>(AD79+AD80)*Assumptions!$D$35</f>
        <v>398475000</v>
      </c>
      <c r="AE84" s="69">
        <f>(AE79+AE80)*Assumptions!$D$35</f>
        <v>395587500</v>
      </c>
      <c r="AF84" s="92">
        <f>(AF79+AF80)*Assumptions!$D$35</f>
        <v>392700000</v>
      </c>
      <c r="AG84" s="57">
        <f>AF84</f>
        <v>392700000</v>
      </c>
      <c r="AH84" s="68">
        <f>(AH79+AH80)*Assumptions!$D$35</f>
        <v>389812500</v>
      </c>
      <c r="AI84" s="69">
        <f>(AI79+AI80)*Assumptions!$D$35</f>
        <v>386925000</v>
      </c>
      <c r="AJ84" s="69">
        <f>(AJ79+AJ80)*Assumptions!$D$35</f>
        <v>384037500</v>
      </c>
      <c r="AK84" s="92">
        <f>(AK79+AK80)*Assumptions!$D$35</f>
        <v>381150000</v>
      </c>
      <c r="AL84" s="91">
        <f>AK84</f>
        <v>381150000</v>
      </c>
    </row>
    <row r="85" spans="1:38" s="56" customFormat="1" ht="15.95">
      <c r="A85" s="55"/>
      <c r="C85" s="189" t="s">
        <v>320</v>
      </c>
      <c r="D85" s="68">
        <f>SUM(D72:D75)*Assumptions!$D$76/Assumptions!$D$75</f>
        <v>11.477812500000001</v>
      </c>
      <c r="E85" s="69">
        <f>SUM(E72:E75)*Assumptions!$D$76/Assumptions!$D$75</f>
        <v>22.811250000000001</v>
      </c>
      <c r="F85" s="69">
        <f>SUM(F72:F75)*Assumptions!$D$76/Assumptions!$D$75</f>
        <v>34.0003125</v>
      </c>
      <c r="G85" s="92">
        <f>SUM(G72:G75)*Assumptions!$D$76/Assumptions!$D$75</f>
        <v>45.045000000000002</v>
      </c>
      <c r="H85" s="62">
        <f t="shared" ref="H85:H90" si="158">AVERAGE(D85:G85)</f>
        <v>28.333593750000002</v>
      </c>
      <c r="I85" s="68">
        <f>SUM(I72:I75)*Assumptions!$D$76/Assumptions!$D$75</f>
        <v>55.9453125</v>
      </c>
      <c r="J85" s="69">
        <f>SUM(J72:J75)*Assumptions!$D$76/Assumptions!$D$75</f>
        <v>66.701250000000002</v>
      </c>
      <c r="K85" s="69">
        <f>SUM(K72:K75)*Assumptions!$D$76/Assumptions!$D$75</f>
        <v>77.312812500000007</v>
      </c>
      <c r="L85" s="92">
        <f>SUM(L72:L75)*Assumptions!$D$76/Assumptions!$D$75</f>
        <v>87.78</v>
      </c>
      <c r="M85" s="62">
        <f t="shared" ref="M85:M90" si="159">AVERAGE(I85:L85)</f>
        <v>71.934843749999999</v>
      </c>
      <c r="N85" s="68">
        <f>SUM(N72:N75)*Assumptions!$D$76/Assumptions!$D$75</f>
        <v>98.102812499999999</v>
      </c>
      <c r="O85" s="69">
        <f>SUM(O72:O75)*Assumptions!$D$76/Assumptions!$D$75</f>
        <v>108.28125</v>
      </c>
      <c r="P85" s="69">
        <f>SUM(P72:P75)*Assumptions!$D$76/Assumptions!$D$75</f>
        <v>118.3153125</v>
      </c>
      <c r="Q85" s="92">
        <f>SUM(Q72:Q75)*Assumptions!$D$76/Assumptions!$D$75</f>
        <v>128.20500000000001</v>
      </c>
      <c r="R85" s="62">
        <f t="shared" ref="R85:R90" si="160">AVERAGE(N85:Q85)</f>
        <v>113.22609375000002</v>
      </c>
      <c r="S85" s="68">
        <f>SUM(S72:S75)*Assumptions!$D$76/Assumptions!$D$75</f>
        <v>137.9503125</v>
      </c>
      <c r="T85" s="69">
        <f>SUM(T72:T75)*Assumptions!$D$76/Assumptions!$D$75</f>
        <v>147.55125000000001</v>
      </c>
      <c r="U85" s="69">
        <f>SUM(U72:U75)*Assumptions!$D$76/Assumptions!$D$75</f>
        <v>157.0078125</v>
      </c>
      <c r="V85" s="92">
        <f>SUM(V72:V75)*Assumptions!$D$76/Assumptions!$D$75</f>
        <v>166.32</v>
      </c>
      <c r="W85" s="62">
        <f t="shared" ref="W85:W90" si="161">AVERAGE(S85:V85)</f>
        <v>152.20734375000001</v>
      </c>
      <c r="X85" s="68">
        <f>SUM(X72:X75)*Assumptions!$D$76/Assumptions!$D$75</f>
        <v>175.48781249999999</v>
      </c>
      <c r="Y85" s="69">
        <f>SUM(Y72:Y75)*Assumptions!$D$76/Assumptions!$D$75</f>
        <v>184.51124999999999</v>
      </c>
      <c r="Z85" s="69">
        <f>SUM(Z72:Z75)*Assumptions!$D$76/Assumptions!$D$75</f>
        <v>193.39031249999999</v>
      </c>
      <c r="AA85" s="92">
        <f>SUM(AA72:AA75)*Assumptions!$D$76/Assumptions!$D$75</f>
        <v>202.125</v>
      </c>
      <c r="AB85" s="59">
        <f t="shared" ref="AB85:AB90" si="162">AVERAGE(X85:AA85)</f>
        <v>188.87859374999999</v>
      </c>
      <c r="AC85" s="68">
        <f>SUM(AC72:AC75)*Assumptions!$D$76/Assumptions!$D$75</f>
        <v>200.68125000000001</v>
      </c>
      <c r="AD85" s="69">
        <f>SUM(AD72:AD75)*Assumptions!$D$76/Assumptions!$D$75</f>
        <v>199.23750000000001</v>
      </c>
      <c r="AE85" s="69">
        <f>SUM(AE72:AE75)*Assumptions!$D$76/Assumptions!$D$75</f>
        <v>197.79374999999999</v>
      </c>
      <c r="AF85" s="92">
        <f>SUM(AF72:AF75)*Assumptions!$D$76/Assumptions!$D$75</f>
        <v>196.35</v>
      </c>
      <c r="AG85" s="59">
        <f t="shared" ref="AG85:AG90" si="163">AVERAGE(AC85:AF85)</f>
        <v>198.51562500000003</v>
      </c>
      <c r="AH85" s="68">
        <f>SUM(AH72:AH75)*Assumptions!$D$76/Assumptions!$D$75</f>
        <v>194.90625</v>
      </c>
      <c r="AI85" s="69">
        <f>SUM(AI72:AI75)*Assumptions!$D$76/Assumptions!$D$75</f>
        <v>193.46250000000001</v>
      </c>
      <c r="AJ85" s="69">
        <f>SUM(AJ72:AJ75)*Assumptions!$D$76/Assumptions!$D$75</f>
        <v>192.01875000000001</v>
      </c>
      <c r="AK85" s="92">
        <f>SUM(AK72:AK75)*Assumptions!$D$76/Assumptions!$D$75</f>
        <v>190.57499999999999</v>
      </c>
      <c r="AL85" s="62">
        <f t="shared" ref="AL85:AL90" si="164">AVERAGE(AH85:AK85)</f>
        <v>192.74062500000002</v>
      </c>
    </row>
    <row r="86" spans="1:38" s="56" customFormat="1" ht="15.95">
      <c r="A86" s="55"/>
      <c r="C86" s="189" t="s">
        <v>321</v>
      </c>
      <c r="D86" s="68">
        <f>ROUNDUP((SUM(D72:D75)*(1-Assumptions!$D$17))/Assumptions!$D$74,0)</f>
        <v>2</v>
      </c>
      <c r="E86" s="69">
        <f>ROUNDUP((SUM(E72:E75)*(1-Assumptions!$D$17))/Assumptions!$D$74,0)</f>
        <v>3</v>
      </c>
      <c r="F86" s="69">
        <f>ROUNDUP((SUM(F72:F75)*(1-Assumptions!$D$17))/Assumptions!$D$74,0)</f>
        <v>4</v>
      </c>
      <c r="G86" s="92">
        <f>ROUNDUP((SUM(G72:G75)*(1-Assumptions!$D$17))/Assumptions!$D$74,0)</f>
        <v>5</v>
      </c>
      <c r="H86" s="62">
        <f t="shared" si="158"/>
        <v>3.5</v>
      </c>
      <c r="I86" s="68">
        <f>ROUNDUP((SUM(I72:I75)*(1-Assumptions!$D$17))/Assumptions!$D$74,0)</f>
        <v>6</v>
      </c>
      <c r="J86" s="69">
        <f>ROUNDUP((SUM(J72:J75)*(1-Assumptions!$D$17))/Assumptions!$D$74,0)</f>
        <v>7</v>
      </c>
      <c r="K86" s="69">
        <f>ROUNDUP((SUM(K72:K75)*(1-Assumptions!$D$17))/Assumptions!$D$74,0)</f>
        <v>8</v>
      </c>
      <c r="L86" s="92">
        <f>ROUNDUP((SUM(L72:L75)*(1-Assumptions!$D$17))/Assumptions!$D$74,0)</f>
        <v>9</v>
      </c>
      <c r="M86" s="59">
        <f t="shared" si="159"/>
        <v>7.5</v>
      </c>
      <c r="N86" s="68">
        <f>ROUNDUP((SUM(N72:N75)*(1-Assumptions!$D$17))/Assumptions!$D$74,0)</f>
        <v>10</v>
      </c>
      <c r="O86" s="69">
        <f>ROUNDUP((SUM(O72:O75)*(1-Assumptions!$D$17))/Assumptions!$D$74,0)</f>
        <v>11</v>
      </c>
      <c r="P86" s="69">
        <f>ROUNDUP((SUM(P72:P75)*(1-Assumptions!$D$17))/Assumptions!$D$74,0)</f>
        <v>12</v>
      </c>
      <c r="Q86" s="92">
        <f>ROUNDUP((SUM(Q72:Q75)*(1-Assumptions!$D$17))/Assumptions!$D$74,0)</f>
        <v>13</v>
      </c>
      <c r="R86" s="59">
        <f t="shared" si="160"/>
        <v>11.5</v>
      </c>
      <c r="S86" s="68">
        <f>ROUNDUP((SUM(S72:S75)*(1-Assumptions!$D$17))/Assumptions!$D$74,0)</f>
        <v>14</v>
      </c>
      <c r="T86" s="69">
        <f>ROUNDUP((SUM(T72:T75)*(1-Assumptions!$D$17))/Assumptions!$D$74,0)</f>
        <v>15</v>
      </c>
      <c r="U86" s="69">
        <f>ROUNDUP((SUM(U72:U75)*(1-Assumptions!$D$17))/Assumptions!$D$74,0)</f>
        <v>16</v>
      </c>
      <c r="V86" s="92">
        <f>ROUNDUP((SUM(V72:V75)*(1-Assumptions!$D$17))/Assumptions!$D$74,0)</f>
        <v>17</v>
      </c>
      <c r="W86" s="59">
        <f t="shared" si="161"/>
        <v>15.5</v>
      </c>
      <c r="X86" s="68">
        <f>ROUNDUP((SUM(X72:X75)*(1-Assumptions!$D$17))/Assumptions!$D$74,0)</f>
        <v>18</v>
      </c>
      <c r="Y86" s="69">
        <f>ROUNDUP((SUM(Y72:Y75)*(1-Assumptions!$D$17))/Assumptions!$D$74,0)</f>
        <v>19</v>
      </c>
      <c r="Z86" s="69">
        <f>ROUNDUP((SUM(Z72:Z75)*(1-Assumptions!$D$17))/Assumptions!$D$74,0)</f>
        <v>20</v>
      </c>
      <c r="AA86" s="92">
        <f>ROUNDUP((SUM(AA72:AA75)*(1-Assumptions!$D$17))/Assumptions!$D$74,0)</f>
        <v>21</v>
      </c>
      <c r="AB86" s="59">
        <f t="shared" si="162"/>
        <v>19.5</v>
      </c>
      <c r="AC86" s="68">
        <f>ROUNDUP((SUM(AC72:AC75)*(1-Assumptions!$D$17))/Assumptions!$D$74,0)</f>
        <v>21</v>
      </c>
      <c r="AD86" s="69">
        <f>ROUNDUP((SUM(AD72:AD75)*(1-Assumptions!$D$17))/Assumptions!$D$74,0)</f>
        <v>20</v>
      </c>
      <c r="AE86" s="69">
        <f>ROUNDUP((SUM(AE72:AE75)*(1-Assumptions!$D$17))/Assumptions!$D$74,0)</f>
        <v>20</v>
      </c>
      <c r="AF86" s="92">
        <f>ROUNDUP((SUM(AF72:AF75)*(1-Assumptions!$D$17))/Assumptions!$D$74,0)</f>
        <v>20</v>
      </c>
      <c r="AG86" s="59">
        <f t="shared" si="163"/>
        <v>20.25</v>
      </c>
      <c r="AH86" s="68">
        <f>ROUNDUP((SUM(AH72:AH75)*(1-Assumptions!$D$17))/Assumptions!$D$74,0)</f>
        <v>20</v>
      </c>
      <c r="AI86" s="69">
        <f>ROUNDUP((SUM(AI72:AI75)*(1-Assumptions!$D$17))/Assumptions!$D$74,0)</f>
        <v>20</v>
      </c>
      <c r="AJ86" s="69">
        <f>ROUNDUP((SUM(AJ72:AJ75)*(1-Assumptions!$D$17))/Assumptions!$D$74,0)</f>
        <v>20</v>
      </c>
      <c r="AK86" s="92">
        <f>ROUNDUP((SUM(AK72:AK75)*(1-Assumptions!$D$17))/Assumptions!$D$74,0)</f>
        <v>20</v>
      </c>
      <c r="AL86" s="59">
        <f t="shared" si="164"/>
        <v>20</v>
      </c>
    </row>
    <row r="87" spans="1:38" ht="15.95">
      <c r="A87" s="36"/>
      <c r="B87" s="37"/>
      <c r="C87" s="189" t="s">
        <v>322</v>
      </c>
      <c r="D87" s="70">
        <f>ROUNDUP(SUM(D72:D75)*(1-Assumptions!$D$17)/Assumptions!$D$64,0)</f>
        <v>6</v>
      </c>
      <c r="E87" s="71">
        <f>ROUNDUP(SUM(E72:E75)*(1-Assumptions!$D$17)/Assumptions!$D$64,0)</f>
        <v>12</v>
      </c>
      <c r="F87" s="71">
        <f>ROUNDUP(SUM(F72:F75)*(1-Assumptions!$D$17)/Assumptions!$D$64,0)</f>
        <v>18</v>
      </c>
      <c r="G87" s="93">
        <f>ROUNDUP(SUM(G72:G75)*(1-Assumptions!$D$17)/Assumptions!$D$64,0)</f>
        <v>23</v>
      </c>
      <c r="H87" s="62">
        <f t="shared" si="158"/>
        <v>14.75</v>
      </c>
      <c r="I87" s="70">
        <f>ROUNDUP(SUM(I72:I75)*(1-Assumptions!$D$17)/Assumptions!$D$64,0)</f>
        <v>28</v>
      </c>
      <c r="J87" s="71">
        <f>ROUNDUP(SUM(J72:J75)*(1-Assumptions!$D$17)/Assumptions!$D$64,0)</f>
        <v>34</v>
      </c>
      <c r="K87" s="71">
        <f>ROUNDUP(SUM(K72:K75)*(1-Assumptions!$D$17)/Assumptions!$D$64,0)</f>
        <v>39</v>
      </c>
      <c r="L87" s="93">
        <f>ROUNDUP(SUM(L72:L75)*(1-Assumptions!$D$17)/Assumptions!$D$64,0)</f>
        <v>44</v>
      </c>
      <c r="M87" s="59">
        <f t="shared" si="159"/>
        <v>36.25</v>
      </c>
      <c r="N87" s="70">
        <f>ROUNDUP(SUM(N72:N75)*(1-Assumptions!$D$17)/Assumptions!$D$64,0)</f>
        <v>50</v>
      </c>
      <c r="O87" s="71">
        <f>ROUNDUP(SUM(O72:O75)*(1-Assumptions!$D$17)/Assumptions!$D$64,0)</f>
        <v>55</v>
      </c>
      <c r="P87" s="71">
        <f>ROUNDUP(SUM(P72:P75)*(1-Assumptions!$D$17)/Assumptions!$D$64,0)</f>
        <v>60</v>
      </c>
      <c r="Q87" s="93">
        <f>ROUNDUP(SUM(Q72:Q75)*(1-Assumptions!$D$17)/Assumptions!$D$64,0)</f>
        <v>65</v>
      </c>
      <c r="R87" s="59">
        <f t="shared" si="160"/>
        <v>57.5</v>
      </c>
      <c r="S87" s="70">
        <f>ROUNDUP(SUM(S72:S75)*(1-Assumptions!$D$17)/Assumptions!$D$64,0)</f>
        <v>69</v>
      </c>
      <c r="T87" s="71">
        <f>ROUNDUP(SUM(T72:T75)*(1-Assumptions!$D$17)/Assumptions!$D$64,0)</f>
        <v>74</v>
      </c>
      <c r="U87" s="71">
        <f>ROUNDUP(SUM(U72:U75)*(1-Assumptions!$D$17)/Assumptions!$D$64,0)</f>
        <v>79</v>
      </c>
      <c r="V87" s="93">
        <f>ROUNDUP(SUM(V72:V75)*(1-Assumptions!$D$17)/Assumptions!$D$64,0)</f>
        <v>84</v>
      </c>
      <c r="W87" s="59">
        <f t="shared" si="161"/>
        <v>76.5</v>
      </c>
      <c r="X87" s="70">
        <f>ROUNDUP(SUM(X72:X75)*(1-Assumptions!$D$17)/Assumptions!$D$64,0)</f>
        <v>88</v>
      </c>
      <c r="Y87" s="71">
        <f>ROUNDUP(SUM(Y72:Y75)*(1-Assumptions!$D$17)/Assumptions!$D$64,0)</f>
        <v>93</v>
      </c>
      <c r="Z87" s="71">
        <f>ROUNDUP(SUM(Z72:Z75)*(1-Assumptions!$D$17)/Assumptions!$D$64,0)</f>
        <v>97</v>
      </c>
      <c r="AA87" s="93">
        <f>ROUNDUP(SUM(AA72:AA75)*(1-Assumptions!$D$17)/Assumptions!$D$64,0)</f>
        <v>102</v>
      </c>
      <c r="AB87" s="59">
        <f t="shared" si="162"/>
        <v>95</v>
      </c>
      <c r="AC87" s="70">
        <f>ROUNDUP(SUM(AC72:AC75)*(1-Assumptions!$D$17)/Assumptions!$D$64,0)</f>
        <v>101</v>
      </c>
      <c r="AD87" s="71">
        <f>ROUNDUP(SUM(AD72:AD75)*(1-Assumptions!$D$17)/Assumptions!$D$64,0)</f>
        <v>100</v>
      </c>
      <c r="AE87" s="71">
        <f>ROUNDUP(SUM(AE72:AE75)*(1-Assumptions!$D$17)/Assumptions!$D$64,0)</f>
        <v>99</v>
      </c>
      <c r="AF87" s="93">
        <f>ROUNDUP(SUM(AF72:AF75)*(1-Assumptions!$D$17)/Assumptions!$D$64,0)</f>
        <v>99</v>
      </c>
      <c r="AG87" s="59">
        <f t="shared" si="163"/>
        <v>99.75</v>
      </c>
      <c r="AH87" s="70">
        <f>ROUNDUP(SUM(AH72:AH75)*(1-Assumptions!$D$17)/Assumptions!$D$64,0)</f>
        <v>98</v>
      </c>
      <c r="AI87" s="71">
        <f>ROUNDUP(SUM(AI72:AI75)*(1-Assumptions!$D$17)/Assumptions!$D$64,0)</f>
        <v>97</v>
      </c>
      <c r="AJ87" s="71">
        <f>ROUNDUP(SUM(AJ72:AJ75)*(1-Assumptions!$D$17)/Assumptions!$D$64,0)</f>
        <v>97</v>
      </c>
      <c r="AK87" s="93">
        <f>ROUNDUP(SUM(AK72:AK75)*(1-Assumptions!$D$17)/Assumptions!$D$64,0)</f>
        <v>96</v>
      </c>
      <c r="AL87" s="62">
        <f t="shared" si="164"/>
        <v>97</v>
      </c>
    </row>
    <row r="88" spans="1:38" s="56" customFormat="1" ht="15.95">
      <c r="A88" s="31"/>
      <c r="B88" s="32"/>
      <c r="C88" s="189" t="s">
        <v>323</v>
      </c>
      <c r="D88" s="68">
        <f>ROUNDUP(SUM(D72:D75)*(Assumptions!$D$17)/Assumptions!$D$65,0)</f>
        <v>3</v>
      </c>
      <c r="E88" s="69">
        <f>ROUNDUP(SUM(E72:E75)*(Assumptions!$D$17)/Assumptions!$D$65,0)</f>
        <v>5</v>
      </c>
      <c r="F88" s="69">
        <f>ROUNDUP(SUM(F72:F75)*(Assumptions!$D$17)/Assumptions!$D$65,0)</f>
        <v>7</v>
      </c>
      <c r="G88" s="92">
        <f>ROUNDUP(SUM(G72:G75)*(Assumptions!$D$17)/Assumptions!$D$65,0)</f>
        <v>10</v>
      </c>
      <c r="H88" s="62">
        <f t="shared" si="158"/>
        <v>6.25</v>
      </c>
      <c r="I88" s="68">
        <f>ROUNDUP(SUM(I72:I75)*(Assumptions!$D$17)/Assumptions!$D$65,0)</f>
        <v>12</v>
      </c>
      <c r="J88" s="69">
        <f>ROUNDUP(SUM(J72:J75)*(Assumptions!$D$17)/Assumptions!$D$65,0)</f>
        <v>14</v>
      </c>
      <c r="K88" s="69">
        <f>ROUNDUP(SUM(K72:K75)*(Assumptions!$D$17)/Assumptions!$D$65,0)</f>
        <v>16</v>
      </c>
      <c r="L88" s="92">
        <f>ROUNDUP(SUM(L72:L75)*(Assumptions!$D$17)/Assumptions!$D$65,0)</f>
        <v>18</v>
      </c>
      <c r="M88" s="59">
        <f t="shared" si="159"/>
        <v>15</v>
      </c>
      <c r="N88" s="68">
        <f>ROUNDUP(SUM(N72:N75)*(Assumptions!$D$17)/Assumptions!$D$65,0)</f>
        <v>20</v>
      </c>
      <c r="O88" s="69">
        <f>ROUNDUP(SUM(O72:O75)*(Assumptions!$D$17)/Assumptions!$D$65,0)</f>
        <v>22</v>
      </c>
      <c r="P88" s="69">
        <f>ROUNDUP(SUM(P72:P75)*(Assumptions!$D$17)/Assumptions!$D$65,0)</f>
        <v>24</v>
      </c>
      <c r="Q88" s="92">
        <f>ROUNDUP(SUM(Q72:Q75)*(Assumptions!$D$17)/Assumptions!$D$65,0)</f>
        <v>26</v>
      </c>
      <c r="R88" s="59">
        <f t="shared" si="160"/>
        <v>23</v>
      </c>
      <c r="S88" s="68">
        <f>ROUNDUP(SUM(S72:S75)*(Assumptions!$D$17)/Assumptions!$D$65,0)</f>
        <v>28</v>
      </c>
      <c r="T88" s="69">
        <f>ROUNDUP(SUM(T72:T75)*(Assumptions!$D$17)/Assumptions!$D$65,0)</f>
        <v>30</v>
      </c>
      <c r="U88" s="69">
        <f>ROUNDUP(SUM(U72:U75)*(Assumptions!$D$17)/Assumptions!$D$65,0)</f>
        <v>32</v>
      </c>
      <c r="V88" s="92">
        <f>ROUNDUP(SUM(V72:V75)*(Assumptions!$D$17)/Assumptions!$D$65,0)</f>
        <v>34</v>
      </c>
      <c r="W88" s="59">
        <f t="shared" si="161"/>
        <v>31</v>
      </c>
      <c r="X88" s="68">
        <f>ROUNDUP(SUM(X72:X75)*(Assumptions!$D$17)/Assumptions!$D$65,0)</f>
        <v>36</v>
      </c>
      <c r="Y88" s="69">
        <f>ROUNDUP(SUM(Y72:Y75)*(Assumptions!$D$17)/Assumptions!$D$65,0)</f>
        <v>37</v>
      </c>
      <c r="Z88" s="69">
        <f>ROUNDUP(SUM(Z72:Z75)*(Assumptions!$D$17)/Assumptions!$D$65,0)</f>
        <v>39</v>
      </c>
      <c r="AA88" s="92">
        <f>ROUNDUP(SUM(AA72:AA75)*(Assumptions!$D$17)/Assumptions!$D$65,0)</f>
        <v>41</v>
      </c>
      <c r="AB88" s="59">
        <f t="shared" si="162"/>
        <v>38.25</v>
      </c>
      <c r="AC88" s="68">
        <f>ROUNDUP(SUM(AC72:AC75)*(Assumptions!$D$17)/Assumptions!$D$65,0)</f>
        <v>41</v>
      </c>
      <c r="AD88" s="69">
        <f>ROUNDUP(SUM(AD72:AD75)*(Assumptions!$D$17)/Assumptions!$D$65,0)</f>
        <v>40</v>
      </c>
      <c r="AE88" s="69">
        <f>ROUNDUP(SUM(AE72:AE75)*(Assumptions!$D$17)/Assumptions!$D$65,0)</f>
        <v>40</v>
      </c>
      <c r="AF88" s="92">
        <f>ROUNDUP(SUM(AF72:AF75)*(Assumptions!$D$17)/Assumptions!$D$65,0)</f>
        <v>40</v>
      </c>
      <c r="AG88" s="59">
        <f t="shared" si="163"/>
        <v>40.25</v>
      </c>
      <c r="AH88" s="68">
        <f>ROUNDUP(SUM(AH72:AH75)*(Assumptions!$D$17)/Assumptions!$D$65,0)</f>
        <v>39</v>
      </c>
      <c r="AI88" s="69">
        <f>ROUNDUP(SUM(AI72:AI75)*(Assumptions!$D$17)/Assumptions!$D$65,0)</f>
        <v>39</v>
      </c>
      <c r="AJ88" s="69">
        <f>ROUNDUP(SUM(AJ72:AJ75)*(Assumptions!$D$17)/Assumptions!$D$65,0)</f>
        <v>39</v>
      </c>
      <c r="AK88" s="92">
        <f>ROUNDUP(SUM(AK72:AK75)*(Assumptions!$D$17)/Assumptions!$D$65,0)</f>
        <v>39</v>
      </c>
      <c r="AL88" s="62">
        <f t="shared" si="164"/>
        <v>39</v>
      </c>
    </row>
    <row r="89" spans="1:38" s="56" customFormat="1" ht="15.95">
      <c r="A89" s="31"/>
      <c r="B89" s="32"/>
      <c r="C89" s="189" t="s">
        <v>324</v>
      </c>
      <c r="D89" s="68">
        <f>ROUNDUP(SUM(D72:D75)*(AVERAGE(Assumptions!$D$41:$D$44)+Assumptions!$D$46+Assumptions!$D$48)/Assumptions!$D$67,0)</f>
        <v>2</v>
      </c>
      <c r="E89" s="69">
        <f>ROUNDUP(SUM(E72:E75)*(AVERAGE(Assumptions!$D$41:$D$44)+Assumptions!$D$46+Assumptions!$D$48)/Assumptions!$D$67,0)</f>
        <v>3</v>
      </c>
      <c r="F89" s="69">
        <f>ROUNDUP(SUM(F72:F75)*(AVERAGE(Assumptions!$D$41:$D$44)+Assumptions!$D$46+Assumptions!$D$48)/Assumptions!$D$67,0)</f>
        <v>4</v>
      </c>
      <c r="G89" s="92">
        <f>ROUNDUP(SUM(G72:G75)*(AVERAGE(Assumptions!$D$41:$D$44)+Assumptions!$D$46+Assumptions!$D$48)/Assumptions!$D$67,0)</f>
        <v>5</v>
      </c>
      <c r="H89" s="62">
        <f t="shared" si="158"/>
        <v>3.5</v>
      </c>
      <c r="I89" s="68">
        <f>ROUNDUP(SUM(I72:I75)*(AVERAGE(Assumptions!$D$41:$D$44)+Assumptions!$D$46+Assumptions!$D$48)/Assumptions!$D$67,0)</f>
        <v>7</v>
      </c>
      <c r="J89" s="69">
        <f>ROUNDUP(SUM(J72:J75)*(AVERAGE(Assumptions!$D$41:$D$44)+Assumptions!$D$46+Assumptions!$D$48)/Assumptions!$D$67,0)</f>
        <v>8</v>
      </c>
      <c r="K89" s="69">
        <f>ROUNDUP(SUM(K72:K75)*(AVERAGE(Assumptions!$D$41:$D$44)+Assumptions!$D$46+Assumptions!$D$48)/Assumptions!$D$67,0)</f>
        <v>9</v>
      </c>
      <c r="L89" s="92">
        <f>ROUNDUP(SUM(L72:L75)*(AVERAGE(Assumptions!$D$41:$D$44)+Assumptions!$D$46+Assumptions!$D$48)/Assumptions!$D$67,0)</f>
        <v>10</v>
      </c>
      <c r="M89" s="59">
        <f t="shared" si="159"/>
        <v>8.5</v>
      </c>
      <c r="N89" s="68">
        <f>ROUNDUP(SUM(N72:N75)*(AVERAGE(Assumptions!$D$41:$D$44)+Assumptions!$D$46+Assumptions!$D$48)/Assumptions!$D$67,0)</f>
        <v>11</v>
      </c>
      <c r="O89" s="69">
        <f>ROUNDUP(SUM(O72:O75)*(AVERAGE(Assumptions!$D$41:$D$44)+Assumptions!$D$46+Assumptions!$D$48)/Assumptions!$D$67,0)</f>
        <v>12</v>
      </c>
      <c r="P89" s="69">
        <f>ROUNDUP(SUM(P72:P75)*(AVERAGE(Assumptions!$D$41:$D$44)+Assumptions!$D$46+Assumptions!$D$48)/Assumptions!$D$67,0)</f>
        <v>14</v>
      </c>
      <c r="Q89" s="92">
        <f>ROUNDUP(SUM(Q72:Q75)*(AVERAGE(Assumptions!$D$41:$D$44)+Assumptions!$D$46+Assumptions!$D$48)/Assumptions!$D$67,0)</f>
        <v>15</v>
      </c>
      <c r="R89" s="59">
        <f t="shared" si="160"/>
        <v>13</v>
      </c>
      <c r="S89" s="68">
        <f>ROUNDUP(SUM(S72:S75)*(AVERAGE(Assumptions!$D$41:$D$44)+Assumptions!$D$46+Assumptions!$D$48)/Assumptions!$D$67,0)</f>
        <v>16</v>
      </c>
      <c r="T89" s="69">
        <f>ROUNDUP(SUM(T72:T75)*(AVERAGE(Assumptions!$D$41:$D$44)+Assumptions!$D$46+Assumptions!$D$48)/Assumptions!$D$67,0)</f>
        <v>17</v>
      </c>
      <c r="U89" s="69">
        <f>ROUNDUP(SUM(U72:U75)*(AVERAGE(Assumptions!$D$41:$D$44)+Assumptions!$D$46+Assumptions!$D$48)/Assumptions!$D$67,0)</f>
        <v>18</v>
      </c>
      <c r="V89" s="92">
        <f>ROUNDUP(SUM(V72:V75)*(AVERAGE(Assumptions!$D$41:$D$44)+Assumptions!$D$46+Assumptions!$D$48)/Assumptions!$D$67,0)</f>
        <v>19</v>
      </c>
      <c r="W89" s="59">
        <f t="shared" si="161"/>
        <v>17.5</v>
      </c>
      <c r="X89" s="68">
        <f>ROUNDUP(SUM(X72:X75)*(AVERAGE(Assumptions!$D$41:$D$44)+Assumptions!$D$46+Assumptions!$D$48)/Assumptions!$D$67,0)</f>
        <v>20</v>
      </c>
      <c r="Y89" s="69">
        <f>ROUNDUP(SUM(Y72:Y75)*(AVERAGE(Assumptions!$D$41:$D$44)+Assumptions!$D$46+Assumptions!$D$48)/Assumptions!$D$67,0)</f>
        <v>21</v>
      </c>
      <c r="Z89" s="69">
        <f>ROUNDUP(SUM(Z72:Z75)*(AVERAGE(Assumptions!$D$41:$D$44)+Assumptions!$D$46+Assumptions!$D$48)/Assumptions!$D$67,0)</f>
        <v>22</v>
      </c>
      <c r="AA89" s="92">
        <f>ROUNDUP(SUM(AA72:AA75)*(AVERAGE(Assumptions!$D$41:$D$44)+Assumptions!$D$46+Assumptions!$D$48)/Assumptions!$D$67,0)</f>
        <v>23</v>
      </c>
      <c r="AB89" s="59">
        <f t="shared" si="162"/>
        <v>21.5</v>
      </c>
      <c r="AC89" s="68">
        <f>ROUNDUP(SUM(AC72:AC75)*(AVERAGE(Assumptions!$D$41:$D$44)+Assumptions!$D$46+Assumptions!$D$48)/Assumptions!$D$67,0)</f>
        <v>23</v>
      </c>
      <c r="AD89" s="69">
        <f>ROUNDUP(SUM(AD72:AD75)*(AVERAGE(Assumptions!$D$41:$D$44)+Assumptions!$D$46+Assumptions!$D$48)/Assumptions!$D$67,0)</f>
        <v>22</v>
      </c>
      <c r="AE89" s="69">
        <f>ROUNDUP(SUM(AE72:AE75)*(AVERAGE(Assumptions!$D$41:$D$44)+Assumptions!$D$46+Assumptions!$D$48)/Assumptions!$D$67,0)</f>
        <v>22</v>
      </c>
      <c r="AF89" s="92">
        <f>ROUNDUP(SUM(AF72:AF75)*(AVERAGE(Assumptions!$D$41:$D$44)+Assumptions!$D$46+Assumptions!$D$48)/Assumptions!$D$67,0)</f>
        <v>22</v>
      </c>
      <c r="AG89" s="59">
        <f t="shared" si="163"/>
        <v>22.25</v>
      </c>
      <c r="AH89" s="68">
        <f>ROUNDUP(SUM(AH72:AH75)*(AVERAGE(Assumptions!$D$41:$D$44)+Assumptions!$D$46+Assumptions!$D$48)/Assumptions!$D$67,0)</f>
        <v>22</v>
      </c>
      <c r="AI89" s="69">
        <f>ROUNDUP(SUM(AI72:AI75)*(AVERAGE(Assumptions!$D$41:$D$44)+Assumptions!$D$46+Assumptions!$D$48)/Assumptions!$D$67,0)</f>
        <v>22</v>
      </c>
      <c r="AJ89" s="69">
        <f>ROUNDUP(SUM(AJ72:AJ75)*(AVERAGE(Assumptions!$D$41:$D$44)+Assumptions!$D$46+Assumptions!$D$48)/Assumptions!$D$67,0)</f>
        <v>22</v>
      </c>
      <c r="AK89" s="92">
        <f>ROUNDUP(SUM(AK72:AK75)*(AVERAGE(Assumptions!$D$41:$D$44)+Assumptions!$D$46+Assumptions!$D$48)/Assumptions!$D$67,0)</f>
        <v>21</v>
      </c>
      <c r="AL89" s="62">
        <f t="shared" si="164"/>
        <v>21.75</v>
      </c>
    </row>
    <row r="90" spans="1:38" s="56" customFormat="1" ht="17.100000000000001" thickBot="1">
      <c r="A90" s="190"/>
      <c r="B90" s="191"/>
      <c r="C90" s="192" t="s">
        <v>325</v>
      </c>
      <c r="D90" s="94">
        <f>ROUNDUP(SUM(D72:D75)/Assumptions!$D$67,0)</f>
        <v>3</v>
      </c>
      <c r="E90" s="95">
        <f>ROUNDUP(SUM(E72:E75)/Assumptions!$D$67,0)</f>
        <v>5</v>
      </c>
      <c r="F90" s="95">
        <f>ROUNDUP(SUM(F72:F75)/Assumptions!$D$67,0)</f>
        <v>7</v>
      </c>
      <c r="G90" s="96">
        <f>ROUNDUP(SUM(G72:G75)/Assumptions!$D$67,0)</f>
        <v>10</v>
      </c>
      <c r="H90" s="98">
        <f t="shared" si="158"/>
        <v>6.25</v>
      </c>
      <c r="I90" s="94">
        <f>ROUNDUP(SUM(I72:I75)/Assumptions!$D$67,0)</f>
        <v>12</v>
      </c>
      <c r="J90" s="95">
        <f>ROUNDUP(SUM(J72:J75)/Assumptions!$D$67,0)</f>
        <v>14</v>
      </c>
      <c r="K90" s="95">
        <f>ROUNDUP(SUM(K72:K75)/Assumptions!$D$67,0)</f>
        <v>16</v>
      </c>
      <c r="L90" s="96">
        <f>ROUNDUP(SUM(L72:L75)/Assumptions!$D$67,0)</f>
        <v>18</v>
      </c>
      <c r="M90" s="99">
        <f t="shared" si="159"/>
        <v>15</v>
      </c>
      <c r="N90" s="94">
        <f>ROUNDUP(SUM(N72:N75)/Assumptions!$D$67,0)</f>
        <v>20</v>
      </c>
      <c r="O90" s="95">
        <f>ROUNDUP(SUM(O72:O75)/Assumptions!$D$67,0)</f>
        <v>22</v>
      </c>
      <c r="P90" s="95">
        <f>ROUNDUP(SUM(P72:P75)/Assumptions!$D$67,0)</f>
        <v>24</v>
      </c>
      <c r="Q90" s="96">
        <f>ROUNDUP(SUM(Q72:Q75)/Assumptions!$D$67,0)</f>
        <v>26</v>
      </c>
      <c r="R90" s="99">
        <f t="shared" si="160"/>
        <v>23</v>
      </c>
      <c r="S90" s="94">
        <f>ROUNDUP(SUM(S72:S75)/Assumptions!$D$67,0)</f>
        <v>28</v>
      </c>
      <c r="T90" s="95">
        <f>ROUNDUP(SUM(T72:T75)/Assumptions!$D$67,0)</f>
        <v>30</v>
      </c>
      <c r="U90" s="95">
        <f>ROUNDUP(SUM(U72:U75)/Assumptions!$D$67,0)</f>
        <v>32</v>
      </c>
      <c r="V90" s="96">
        <f>ROUNDUP(SUM(V72:V75)/Assumptions!$D$67,0)</f>
        <v>34</v>
      </c>
      <c r="W90" s="99">
        <f t="shared" si="161"/>
        <v>31</v>
      </c>
      <c r="X90" s="94">
        <f>ROUNDUP(SUM(X72:X75)/Assumptions!$D$67,0)</f>
        <v>36</v>
      </c>
      <c r="Y90" s="95">
        <f>ROUNDUP(SUM(Y72:Y75)/Assumptions!$D$67,0)</f>
        <v>37</v>
      </c>
      <c r="Z90" s="95">
        <f>ROUNDUP(SUM(Z72:Z75)/Assumptions!$D$67,0)</f>
        <v>39</v>
      </c>
      <c r="AA90" s="96">
        <f>ROUNDUP(SUM(AA72:AA75)/Assumptions!$D$67,0)</f>
        <v>41</v>
      </c>
      <c r="AB90" s="99">
        <f t="shared" si="162"/>
        <v>38.25</v>
      </c>
      <c r="AC90" s="94">
        <f>ROUNDUP(SUM(AC72:AC75)/Assumptions!$D$67,0)</f>
        <v>41</v>
      </c>
      <c r="AD90" s="95">
        <f>ROUNDUP(SUM(AD72:AD75)/Assumptions!$D$67,0)</f>
        <v>40</v>
      </c>
      <c r="AE90" s="95">
        <f>ROUNDUP(SUM(AE72:AE75)/Assumptions!$D$67,0)</f>
        <v>40</v>
      </c>
      <c r="AF90" s="96">
        <f>ROUNDUP(SUM(AF72:AF75)/Assumptions!$D$67,0)</f>
        <v>40</v>
      </c>
      <c r="AG90" s="99">
        <f t="shared" si="163"/>
        <v>40.25</v>
      </c>
      <c r="AH90" s="94">
        <f>ROUNDUP(SUM(AH72:AH75)/Assumptions!$D$67,0)</f>
        <v>39</v>
      </c>
      <c r="AI90" s="95">
        <f>ROUNDUP(SUM(AI72:AI75)/Assumptions!$D$67,0)</f>
        <v>39</v>
      </c>
      <c r="AJ90" s="95">
        <f>ROUNDUP(SUM(AJ72:AJ75)/Assumptions!$D$67,0)</f>
        <v>39</v>
      </c>
      <c r="AK90" s="96">
        <f>ROUNDUP(SUM(AK72:AK75)/Assumptions!$D$67,0)</f>
        <v>39</v>
      </c>
      <c r="AL90" s="98">
        <f t="shared" si="164"/>
        <v>39</v>
      </c>
    </row>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EAC2-19CF-4E86-8EA3-A07568305C81}">
  <sheetPr>
    <tabColor rgb="FFFFD15D"/>
  </sheetPr>
  <dimension ref="A1:AL91"/>
  <sheetViews>
    <sheetView workbookViewId="0">
      <selection activeCell="A4" sqref="A4"/>
    </sheetView>
  </sheetViews>
  <sheetFormatPr defaultColWidth="9" defaultRowHeight="15" outlineLevelRow="2" outlineLevelCol="1"/>
  <cols>
    <col min="1" max="2" width="2.7109375" style="32" customWidth="1"/>
    <col min="3" max="3" width="51.85546875" style="32" customWidth="1"/>
    <col min="4" max="7" width="16.7109375" style="32" customWidth="1" outlineLevel="1"/>
    <col min="8" max="8" width="16.7109375" style="32" customWidth="1"/>
    <col min="9" max="12" width="16.7109375" style="32" customWidth="1" outlineLevel="1"/>
    <col min="13" max="13" width="16.7109375" style="32" customWidth="1"/>
    <col min="14" max="17" width="16.7109375" style="32" customWidth="1" outlineLevel="1"/>
    <col min="18" max="18" width="16.7109375" style="32" customWidth="1"/>
    <col min="19" max="22" width="16.7109375" style="32" customWidth="1" outlineLevel="1"/>
    <col min="23" max="23" width="16.7109375" style="32" customWidth="1"/>
    <col min="24" max="27" width="16.7109375" style="32" customWidth="1" outlineLevel="1"/>
    <col min="28" max="28" width="16.7109375" style="32" customWidth="1"/>
    <col min="29" max="32" width="16.7109375" style="32" customWidth="1" outlineLevel="1"/>
    <col min="33" max="33" width="16.7109375" style="32" customWidth="1"/>
    <col min="34" max="37" width="16.7109375" style="32" customWidth="1" outlineLevel="1"/>
    <col min="38" max="38" width="16.7109375" style="32" customWidth="1"/>
    <col min="39" max="45" width="9" style="32"/>
    <col min="46" max="46" width="11.28515625" style="32" bestFit="1" customWidth="1"/>
    <col min="47" max="48" width="10.7109375" style="32" bestFit="1" customWidth="1"/>
    <col min="49" max="52" width="12.140625" style="32" bestFit="1" customWidth="1"/>
    <col min="53" max="16384" width="9" style="32"/>
  </cols>
  <sheetData>
    <row r="1" spans="1:38" s="3" customFormat="1" ht="86.1" customHeight="1">
      <c r="B1" s="4"/>
    </row>
    <row r="2" spans="1:38" s="3" customFormat="1" ht="15.95">
      <c r="B2" s="4"/>
      <c r="C2" s="3" t="s">
        <v>0</v>
      </c>
    </row>
    <row r="3" spans="1:38" s="5" customFormat="1" ht="15.95">
      <c r="B3" s="6"/>
      <c r="C3" s="5" t="str">
        <f>IF(Assumptions!D7&lt;&gt;Lists!B2,CONCATENATE("Modelled outputs- ",Assumptions!D7," of ",Assumptions!D6),CONCATENATE("Modelled outputs- in ",Assumptions!D6))</f>
        <v>Modelled outputs- in ALL</v>
      </c>
    </row>
    <row r="4" spans="1:38" ht="15.95" thickBot="1"/>
    <row r="5" spans="1:38" ht="17.100000000000001" thickBot="1">
      <c r="A5" s="88" t="s">
        <v>213</v>
      </c>
      <c r="B5" s="29"/>
      <c r="C5" s="30"/>
      <c r="D5" s="187" t="s">
        <v>214</v>
      </c>
      <c r="E5" s="187" t="s">
        <v>215</v>
      </c>
      <c r="F5" s="187" t="s">
        <v>216</v>
      </c>
      <c r="G5" s="187" t="s">
        <v>217</v>
      </c>
      <c r="H5" s="43" t="s">
        <v>218</v>
      </c>
      <c r="I5" s="187" t="s">
        <v>219</v>
      </c>
      <c r="J5" s="187" t="s">
        <v>220</v>
      </c>
      <c r="K5" s="187" t="s">
        <v>221</v>
      </c>
      <c r="L5" s="187" t="s">
        <v>222</v>
      </c>
      <c r="M5" s="43" t="s">
        <v>223</v>
      </c>
      <c r="N5" s="187" t="s">
        <v>224</v>
      </c>
      <c r="O5" s="187" t="s">
        <v>225</v>
      </c>
      <c r="P5" s="187" t="s">
        <v>226</v>
      </c>
      <c r="Q5" s="187" t="s">
        <v>227</v>
      </c>
      <c r="R5" s="43" t="s">
        <v>228</v>
      </c>
      <c r="S5" s="187" t="s">
        <v>229</v>
      </c>
      <c r="T5" s="187" t="s">
        <v>230</v>
      </c>
      <c r="U5" s="187" t="s">
        <v>231</v>
      </c>
      <c r="V5" s="187" t="s">
        <v>232</v>
      </c>
      <c r="W5" s="43" t="s">
        <v>233</v>
      </c>
      <c r="X5" s="187" t="s">
        <v>234</v>
      </c>
      <c r="Y5" s="187" t="s">
        <v>235</v>
      </c>
      <c r="Z5" s="187" t="s">
        <v>236</v>
      </c>
      <c r="AA5" s="187" t="s">
        <v>237</v>
      </c>
      <c r="AB5" s="43" t="s">
        <v>238</v>
      </c>
      <c r="AC5" s="187" t="s">
        <v>239</v>
      </c>
      <c r="AD5" s="187" t="s">
        <v>240</v>
      </c>
      <c r="AE5" s="187" t="s">
        <v>241</v>
      </c>
      <c r="AF5" s="187" t="s">
        <v>242</v>
      </c>
      <c r="AG5" s="43" t="s">
        <v>243</v>
      </c>
      <c r="AH5" s="187" t="s">
        <v>244</v>
      </c>
      <c r="AI5" s="187" t="s">
        <v>245</v>
      </c>
      <c r="AJ5" s="187" t="s">
        <v>246</v>
      </c>
      <c r="AK5" s="187" t="s">
        <v>247</v>
      </c>
      <c r="AL5" s="43" t="s">
        <v>248</v>
      </c>
    </row>
    <row r="6" spans="1:38" ht="15.95" outlineLevel="2">
      <c r="A6" s="31"/>
      <c r="C6" s="32" t="s">
        <v>249</v>
      </c>
      <c r="D6" s="183">
        <f>D76*(Assumptions!$G$19-Assumptions!$G$23)/4</f>
        <v>9316406.25</v>
      </c>
      <c r="E6" s="183">
        <f>E76*(Assumptions!$G$19-Assumptions!$G$23)/4</f>
        <v>18515625</v>
      </c>
      <c r="F6" s="183">
        <f>F76*(Assumptions!$G$19-Assumptions!$G$23)/4</f>
        <v>27597656.250000004</v>
      </c>
      <c r="G6" s="183">
        <f>G76*(Assumptions!$G$19-Assumptions!$G$23)/4</f>
        <v>36562500</v>
      </c>
      <c r="H6" s="60">
        <f t="shared" ref="H6:H12" si="0">SUM(D6:G6)</f>
        <v>91992187.5</v>
      </c>
      <c r="I6" s="183">
        <f>I76*(Assumptions!$G$19-Assumptions!$G$23)/4</f>
        <v>45410156.25</v>
      </c>
      <c r="J6" s="183">
        <f>J76*(Assumptions!$G$19-Assumptions!$G$23)/4</f>
        <v>54140625.000000007</v>
      </c>
      <c r="K6" s="183">
        <f>K76*(Assumptions!$G$19-Assumptions!$G$23)/4</f>
        <v>62753906.250000007</v>
      </c>
      <c r="L6" s="183">
        <f>L76*(Assumptions!$G$19-Assumptions!$G$23)/4</f>
        <v>71250000</v>
      </c>
      <c r="M6" s="48">
        <f t="shared" ref="M6:M12" si="1">SUM(I6:L6)</f>
        <v>233554687.5</v>
      </c>
      <c r="N6" s="183">
        <f>N76*(Assumptions!$G$19-Assumptions!$G$23)/4</f>
        <v>79628906.25</v>
      </c>
      <c r="O6" s="183">
        <f>O76*(Assumptions!$G$19-Assumptions!$G$23)/4</f>
        <v>87890625</v>
      </c>
      <c r="P6" s="183">
        <f>P76*(Assumptions!$G$19-Assumptions!$G$23)/4</f>
        <v>96035156.250000015</v>
      </c>
      <c r="Q6" s="183">
        <f>Q76*(Assumptions!$G$19-Assumptions!$G$23)/4</f>
        <v>104062500.00000001</v>
      </c>
      <c r="R6" s="48">
        <f t="shared" ref="R6:R12" si="2">SUM(N6:Q6)</f>
        <v>367617187.5</v>
      </c>
      <c r="S6" s="183">
        <f>S76*(Assumptions!$G$19-Assumptions!$G$23)/4</f>
        <v>111972656.25000001</v>
      </c>
      <c r="T6" s="183">
        <f>T76*(Assumptions!$G$19-Assumptions!$G$23)/4</f>
        <v>119765625.00000001</v>
      </c>
      <c r="U6" s="183">
        <f>U76*(Assumptions!$G$19-Assumptions!$G$23)/4</f>
        <v>127441406.25000001</v>
      </c>
      <c r="V6" s="183">
        <f>V76*(Assumptions!$G$19-Assumptions!$G$23)/4</f>
        <v>135000000</v>
      </c>
      <c r="W6" s="48">
        <f t="shared" ref="W6:W12" si="3">SUM(S6:V6)</f>
        <v>494179687.50000006</v>
      </c>
      <c r="X6" s="183">
        <f>X76*(Assumptions!$G$19-Assumptions!$G$23)/4</f>
        <v>142441406.25</v>
      </c>
      <c r="Y6" s="183">
        <f>Y76*(Assumptions!$G$19-Assumptions!$G$23)/4</f>
        <v>149765625</v>
      </c>
      <c r="Z6" s="183">
        <f>Z76*(Assumptions!$G$19-Assumptions!$G$23)/4</f>
        <v>156972656.25</v>
      </c>
      <c r="AA6" s="183">
        <f>AA76*(Assumptions!$G$19-Assumptions!$G$23)/4</f>
        <v>164062500</v>
      </c>
      <c r="AB6" s="48">
        <f t="shared" ref="AB6:AB12" si="4">SUM(X6:AA6)</f>
        <v>613242187.5</v>
      </c>
      <c r="AC6" s="183">
        <f>AC76*(Assumptions!$G$19-Assumptions!$G$23)/4</f>
        <v>162890625</v>
      </c>
      <c r="AD6" s="183">
        <f>AD76*(Assumptions!$G$19-Assumptions!$G$23)/4</f>
        <v>161718750</v>
      </c>
      <c r="AE6" s="183">
        <f>AE76*(Assumptions!$G$19-Assumptions!$G$23)/4</f>
        <v>160546875</v>
      </c>
      <c r="AF6" s="183">
        <f>AF76*(Assumptions!$G$19-Assumptions!$G$23)/4</f>
        <v>159375000</v>
      </c>
      <c r="AG6" s="48">
        <f t="shared" ref="AG6:AG12" si="5">SUM(AC6:AF6)</f>
        <v>644531250</v>
      </c>
      <c r="AH6" s="183">
        <f>AH76*(Assumptions!$G$19-Assumptions!$G$23)/4</f>
        <v>158203125</v>
      </c>
      <c r="AI6" s="183">
        <f>AI76*(Assumptions!$G$19-Assumptions!$G$23)/4</f>
        <v>157031250</v>
      </c>
      <c r="AJ6" s="183">
        <f>AJ76*(Assumptions!$G$19-Assumptions!$G$23)/4</f>
        <v>155859375</v>
      </c>
      <c r="AK6" s="183">
        <f>AK76*(Assumptions!$G$19-Assumptions!$G$23)/4</f>
        <v>154687500</v>
      </c>
      <c r="AL6" s="48">
        <f t="shared" ref="AL6:AL12" si="6">SUM(AH6:AK6)</f>
        <v>625781250</v>
      </c>
    </row>
    <row r="7" spans="1:38" ht="15.95" outlineLevel="2">
      <c r="A7" s="31"/>
      <c r="C7" s="32" t="s">
        <v>250</v>
      </c>
      <c r="D7" s="185">
        <f>D77*(Assumptions!$G$20-Assumptions!$G$23)/4</f>
        <v>4304179.6875000009</v>
      </c>
      <c r="E7" s="185">
        <f>E77*(Assumptions!$G$20-Assumptions!$G$23)/4</f>
        <v>8554218.7500000019</v>
      </c>
      <c r="F7" s="185">
        <f>F77*(Assumptions!$G$20-Assumptions!$G$23)/4</f>
        <v>12750117.187500002</v>
      </c>
      <c r="G7" s="185">
        <f>G77*(Assumptions!$G$20-Assumptions!$G$23)/4</f>
        <v>16891875.000000004</v>
      </c>
      <c r="H7" s="60">
        <f t="shared" si="0"/>
        <v>42500390.625000015</v>
      </c>
      <c r="I7" s="185">
        <f>I77*(Assumptions!$G$20-Assumptions!$G$23)/4</f>
        <v>20979492.187500004</v>
      </c>
      <c r="J7" s="185">
        <f>J77*(Assumptions!$G$20-Assumptions!$G$23)/4</f>
        <v>25012968.750000004</v>
      </c>
      <c r="K7" s="185">
        <f>K77*(Assumptions!$G$20-Assumptions!$G$23)/4</f>
        <v>28992304.687500007</v>
      </c>
      <c r="L7" s="185">
        <f>L77*(Assumptions!$G$20-Assumptions!$G$23)/4</f>
        <v>32917500.000000007</v>
      </c>
      <c r="M7" s="48">
        <f t="shared" si="1"/>
        <v>107902265.62500003</v>
      </c>
      <c r="N7" s="185">
        <f>N77*(Assumptions!$G$20-Assumptions!$G$23)/4</f>
        <v>36788554.687500007</v>
      </c>
      <c r="O7" s="185">
        <f>O77*(Assumptions!$G$20-Assumptions!$G$23)/4</f>
        <v>40605468.750000007</v>
      </c>
      <c r="P7" s="185">
        <f>P77*(Assumptions!$G$20-Assumptions!$G$23)/4</f>
        <v>44368242.187500007</v>
      </c>
      <c r="Q7" s="185">
        <f>Q77*(Assumptions!$G$20-Assumptions!$G$23)/4</f>
        <v>48076875.000000007</v>
      </c>
      <c r="R7" s="48">
        <f t="shared" si="2"/>
        <v>169839140.62500003</v>
      </c>
      <c r="S7" s="185">
        <f>S77*(Assumptions!$G$20-Assumptions!$G$23)/4</f>
        <v>51731367.187500007</v>
      </c>
      <c r="T7" s="185">
        <f>T77*(Assumptions!$G$20-Assumptions!$G$23)/4</f>
        <v>55331718.750000007</v>
      </c>
      <c r="U7" s="185">
        <f>U77*(Assumptions!$G$20-Assumptions!$G$23)/4</f>
        <v>58877929.687500015</v>
      </c>
      <c r="V7" s="185">
        <f>V77*(Assumptions!$G$20-Assumptions!$G$23)/4</f>
        <v>62370000.000000015</v>
      </c>
      <c r="W7" s="48">
        <f t="shared" si="3"/>
        <v>228311015.62500006</v>
      </c>
      <c r="X7" s="185">
        <f>X77*(Assumptions!$G$20-Assumptions!$G$23)/4</f>
        <v>65807929.687500015</v>
      </c>
      <c r="Y7" s="185">
        <f>Y77*(Assumptions!$G$20-Assumptions!$G$23)/4</f>
        <v>69191718.750000015</v>
      </c>
      <c r="Z7" s="185">
        <f>Z77*(Assumptions!$G$20-Assumptions!$G$23)/4</f>
        <v>72521367.187500015</v>
      </c>
      <c r="AA7" s="185">
        <f>AA77*(Assumptions!$G$20-Assumptions!$G$23)/4</f>
        <v>75796875.000000015</v>
      </c>
      <c r="AB7" s="48">
        <f t="shared" si="4"/>
        <v>283317890.62500006</v>
      </c>
      <c r="AC7" s="185">
        <f>AC77*(Assumptions!$G$20-Assumptions!$G$23)/4</f>
        <v>75255468.750000015</v>
      </c>
      <c r="AD7" s="185">
        <f>AD77*(Assumptions!$G$20-Assumptions!$G$23)/4</f>
        <v>74714062.500000015</v>
      </c>
      <c r="AE7" s="185">
        <f>AE77*(Assumptions!$G$20-Assumptions!$G$23)/4</f>
        <v>74172656.250000015</v>
      </c>
      <c r="AF7" s="185">
        <f>AF77*(Assumptions!$G$20-Assumptions!$G$23)/4</f>
        <v>73631250.000000015</v>
      </c>
      <c r="AG7" s="48">
        <f t="shared" si="5"/>
        <v>297773437.50000006</v>
      </c>
      <c r="AH7" s="185">
        <f>AH77*(Assumptions!$G$20-Assumptions!$G$23)/4</f>
        <v>73089843.750000015</v>
      </c>
      <c r="AI7" s="185">
        <f>AI77*(Assumptions!$G$20-Assumptions!$G$23)/4</f>
        <v>72548437.500000015</v>
      </c>
      <c r="AJ7" s="185">
        <f>AJ77*(Assumptions!$G$20-Assumptions!$G$23)/4</f>
        <v>72007031.250000015</v>
      </c>
      <c r="AK7" s="185">
        <f>AK77*(Assumptions!$G$20-Assumptions!$G$23)/4</f>
        <v>71465625.000000015</v>
      </c>
      <c r="AL7" s="48">
        <f t="shared" si="6"/>
        <v>289110937.50000006</v>
      </c>
    </row>
    <row r="8" spans="1:38" ht="15.95" outlineLevel="2">
      <c r="A8" s="31"/>
      <c r="C8" s="32" t="s">
        <v>251</v>
      </c>
      <c r="D8" s="185">
        <f>D78*(Assumptions!$G$21-Assumptions!$G$23)/4</f>
        <v>1721671.875</v>
      </c>
      <c r="E8" s="185">
        <f>E78*(Assumptions!$G$21-Assumptions!$G$23)/4</f>
        <v>3421687.5</v>
      </c>
      <c r="F8" s="185">
        <f>F78*(Assumptions!$G$21-Assumptions!$G$23)/4</f>
        <v>5100046.875</v>
      </c>
      <c r="G8" s="185">
        <f>G78*(Assumptions!$G$21-Assumptions!$G$23)/4</f>
        <v>6756750</v>
      </c>
      <c r="H8" s="60">
        <f t="shared" si="0"/>
        <v>17000156.25</v>
      </c>
      <c r="I8" s="185">
        <f>I78*(Assumptions!$G$21-Assumptions!$G$23)/4</f>
        <v>8391796.875</v>
      </c>
      <c r="J8" s="185">
        <f>J78*(Assumptions!$G$21-Assumptions!$G$23)/4</f>
        <v>10005187.5</v>
      </c>
      <c r="K8" s="185">
        <f>K78*(Assumptions!$G$21-Assumptions!$G$23)/4</f>
        <v>11596921.875</v>
      </c>
      <c r="L8" s="185">
        <f>L78*(Assumptions!$G$21-Assumptions!$G$23)/4</f>
        <v>13167000</v>
      </c>
      <c r="M8" s="48">
        <f t="shared" si="1"/>
        <v>43160906.25</v>
      </c>
      <c r="N8" s="185">
        <f>N78*(Assumptions!$G$21-Assumptions!$G$23)/4</f>
        <v>14715421.875</v>
      </c>
      <c r="O8" s="185">
        <f>O78*(Assumptions!$G$21-Assumptions!$G$23)/4</f>
        <v>16242187.5</v>
      </c>
      <c r="P8" s="185">
        <f>P78*(Assumptions!$G$21-Assumptions!$G$23)/4</f>
        <v>17747296.875</v>
      </c>
      <c r="Q8" s="185">
        <f>Q78*(Assumptions!$G$21-Assumptions!$G$23)/4</f>
        <v>19230750</v>
      </c>
      <c r="R8" s="48">
        <f t="shared" si="2"/>
        <v>67935656.25</v>
      </c>
      <c r="S8" s="185">
        <f>S78*(Assumptions!$G$21-Assumptions!$G$23)/4</f>
        <v>20692546.875</v>
      </c>
      <c r="T8" s="185">
        <f>T78*(Assumptions!$G$21-Assumptions!$G$23)/4</f>
        <v>22132687.5</v>
      </c>
      <c r="U8" s="185">
        <f>U78*(Assumptions!$G$21-Assumptions!$G$23)/4</f>
        <v>23551171.875</v>
      </c>
      <c r="V8" s="185">
        <f>V78*(Assumptions!$G$21-Assumptions!$G$23)/4</f>
        <v>24948000</v>
      </c>
      <c r="W8" s="48">
        <f t="shared" si="3"/>
        <v>91324406.25</v>
      </c>
      <c r="X8" s="185">
        <f>X78*(Assumptions!$G$21-Assumptions!$G$23)/4</f>
        <v>26323171.875</v>
      </c>
      <c r="Y8" s="185">
        <f>Y78*(Assumptions!$G$21-Assumptions!$G$23)/4</f>
        <v>27676687.5</v>
      </c>
      <c r="Z8" s="185">
        <f>Z78*(Assumptions!$G$21-Assumptions!$G$23)/4</f>
        <v>29008546.875</v>
      </c>
      <c r="AA8" s="185">
        <f>AA78*(Assumptions!$G$21-Assumptions!$G$23)/4</f>
        <v>30318750</v>
      </c>
      <c r="AB8" s="48">
        <f t="shared" si="4"/>
        <v>113327156.25</v>
      </c>
      <c r="AC8" s="185">
        <f>AC78*(Assumptions!$G$21-Assumptions!$G$23)/4</f>
        <v>30102187.5</v>
      </c>
      <c r="AD8" s="185">
        <f>AD78*(Assumptions!$G$21-Assumptions!$G$23)/4</f>
        <v>29885625</v>
      </c>
      <c r="AE8" s="185">
        <f>AE78*(Assumptions!$G$21-Assumptions!$G$23)/4</f>
        <v>29669062.5</v>
      </c>
      <c r="AF8" s="185">
        <f>AF78*(Assumptions!$G$21-Assumptions!$G$23)/4</f>
        <v>29452500</v>
      </c>
      <c r="AG8" s="48">
        <f t="shared" si="5"/>
        <v>119109375</v>
      </c>
      <c r="AH8" s="185">
        <f>AH78*(Assumptions!$G$21-Assumptions!$G$23)/4</f>
        <v>29235937.5</v>
      </c>
      <c r="AI8" s="185">
        <f>AI78*(Assumptions!$G$21-Assumptions!$G$23)/4</f>
        <v>29019375</v>
      </c>
      <c r="AJ8" s="185">
        <f>AJ78*(Assumptions!$G$21-Assumptions!$G$23)/4</f>
        <v>28802812.5</v>
      </c>
      <c r="AK8" s="185">
        <f>AK78*(Assumptions!$G$21-Assumptions!$G$23)/4</f>
        <v>28586250</v>
      </c>
      <c r="AL8" s="48">
        <f t="shared" si="6"/>
        <v>115644375</v>
      </c>
    </row>
    <row r="9" spans="1:38" ht="15.95" outlineLevel="2">
      <c r="A9" s="31"/>
      <c r="C9" s="32" t="s">
        <v>252</v>
      </c>
      <c r="D9" s="185">
        <f>D79*(Assumptions!$G$23-Assumptions!$G$22)/4</f>
        <v>143472.65625000003</v>
      </c>
      <c r="E9" s="185">
        <f>E79*(Assumptions!$G$23-Assumptions!$G$22)/4</f>
        <v>285140.62500000006</v>
      </c>
      <c r="F9" s="185">
        <f>F79*(Assumptions!$G$23-Assumptions!$G$22)/4</f>
        <v>425003.90625000006</v>
      </c>
      <c r="G9" s="185">
        <f>G79*(Assumptions!$G$23-Assumptions!$G$22)/4</f>
        <v>563062.50000000012</v>
      </c>
      <c r="H9" s="60">
        <f t="shared" si="0"/>
        <v>1416679.6875000005</v>
      </c>
      <c r="I9" s="185">
        <f>I79*(Assumptions!$G$23-Assumptions!$G$22)/4</f>
        <v>699316.40625000012</v>
      </c>
      <c r="J9" s="185">
        <f>J79*(Assumptions!$G$23-Assumptions!$G$22)/4</f>
        <v>833765.62500000012</v>
      </c>
      <c r="K9" s="185">
        <f>K79*(Assumptions!$G$23-Assumptions!$G$22)/4</f>
        <v>966410.15625000023</v>
      </c>
      <c r="L9" s="185">
        <f>L79*(Assumptions!$G$23-Assumptions!$G$22)/4</f>
        <v>1097250.0000000002</v>
      </c>
      <c r="M9" s="48">
        <f t="shared" si="1"/>
        <v>3596742.1875000009</v>
      </c>
      <c r="N9" s="185">
        <f>N79*(Assumptions!$G$23-Assumptions!$G$22)/4</f>
        <v>1226285.1562500002</v>
      </c>
      <c r="O9" s="185">
        <f>O79*(Assumptions!$G$23-Assumptions!$G$22)/4</f>
        <v>1353515.6250000002</v>
      </c>
      <c r="P9" s="185">
        <f>P79*(Assumptions!$G$23-Assumptions!$G$22)/4</f>
        <v>1478941.4062500002</v>
      </c>
      <c r="Q9" s="185">
        <f>Q79*(Assumptions!$G$23-Assumptions!$G$22)/4</f>
        <v>1602562.5000000002</v>
      </c>
      <c r="R9" s="48">
        <f t="shared" si="2"/>
        <v>5661304.6875000009</v>
      </c>
      <c r="S9" s="185">
        <f>S79*(Assumptions!$G$23-Assumptions!$G$22)/4</f>
        <v>1724378.9062500002</v>
      </c>
      <c r="T9" s="185">
        <f>T79*(Assumptions!$G$23-Assumptions!$G$22)/4</f>
        <v>1844390.6250000005</v>
      </c>
      <c r="U9" s="185">
        <f>U79*(Assumptions!$G$23-Assumptions!$G$22)/4</f>
        <v>1962597.6562500005</v>
      </c>
      <c r="V9" s="185">
        <f>V79*(Assumptions!$G$23-Assumptions!$G$22)/4</f>
        <v>2079000.0000000005</v>
      </c>
      <c r="W9" s="48">
        <f t="shared" si="3"/>
        <v>7610367.1875000019</v>
      </c>
      <c r="X9" s="185">
        <f>X79*(Assumptions!$G$23-Assumptions!$G$22)/4</f>
        <v>2193597.6562500005</v>
      </c>
      <c r="Y9" s="185">
        <f>Y79*(Assumptions!$G$23-Assumptions!$G$22)/4</f>
        <v>2306390.6250000005</v>
      </c>
      <c r="Z9" s="185">
        <f>Z79*(Assumptions!$G$23-Assumptions!$G$22)/4</f>
        <v>2417378.9062500005</v>
      </c>
      <c r="AA9" s="185">
        <f>AA79*(Assumptions!$G$23-Assumptions!$G$22)/4</f>
        <v>2526562.5000000005</v>
      </c>
      <c r="AB9" s="48">
        <f t="shared" si="4"/>
        <v>9443929.6875000019</v>
      </c>
      <c r="AC9" s="185">
        <f>AC79*(Assumptions!$G$23-Assumptions!$G$22)/4</f>
        <v>2508515.6250000005</v>
      </c>
      <c r="AD9" s="185">
        <f>AD79*(Assumptions!$G$23-Assumptions!$G$22)/4</f>
        <v>2490468.7500000005</v>
      </c>
      <c r="AE9" s="185">
        <f>AE79*(Assumptions!$G$23-Assumptions!$G$22)/4</f>
        <v>2472421.8750000005</v>
      </c>
      <c r="AF9" s="185">
        <f>AF79*(Assumptions!$G$23-Assumptions!$G$22)/4</f>
        <v>2454375.0000000005</v>
      </c>
      <c r="AG9" s="48">
        <f t="shared" si="5"/>
        <v>9925781.2500000019</v>
      </c>
      <c r="AH9" s="185">
        <f>AH79*(Assumptions!$G$23-Assumptions!$G$22)/4</f>
        <v>2436328.1250000005</v>
      </c>
      <c r="AI9" s="185">
        <f>AI79*(Assumptions!$G$23-Assumptions!$G$22)/4</f>
        <v>2418281.2500000005</v>
      </c>
      <c r="AJ9" s="185">
        <f>AJ79*(Assumptions!$G$23-Assumptions!$G$22)/4</f>
        <v>2400234.3750000005</v>
      </c>
      <c r="AK9" s="185">
        <f>AK79*(Assumptions!$G$23-Assumptions!$G$22)/4</f>
        <v>2382187.5000000005</v>
      </c>
      <c r="AL9" s="48">
        <f t="shared" si="6"/>
        <v>9637031.2500000019</v>
      </c>
    </row>
    <row r="10" spans="1:38" ht="15.95" outlineLevel="2">
      <c r="A10" s="31"/>
      <c r="C10" s="32" t="s">
        <v>253</v>
      </c>
      <c r="D10" s="185">
        <f>D80*(Assumptions!$G$23-Assumptions!$G$25)/4</f>
        <v>430417.96875</v>
      </c>
      <c r="E10" s="185">
        <f>E80*(Assumptions!$G$23-Assumptions!$G$25)/4</f>
        <v>855421.875</v>
      </c>
      <c r="F10" s="185">
        <f>F80*(Assumptions!$G$23-Assumptions!$G$25)/4</f>
        <v>1275011.71875</v>
      </c>
      <c r="G10" s="185">
        <f>G80*(Assumptions!$G$23-Assumptions!$G$25)/4</f>
        <v>1689187.5</v>
      </c>
      <c r="H10" s="60">
        <f t="shared" si="0"/>
        <v>4250039.0625</v>
      </c>
      <c r="I10" s="185">
        <f>I80*(Assumptions!$G$23-Assumptions!$G$25)/4</f>
        <v>2097949.21875</v>
      </c>
      <c r="J10" s="185">
        <f>J80*(Assumptions!$G$23-Assumptions!$G$25)/4</f>
        <v>2501296.875</v>
      </c>
      <c r="K10" s="185">
        <f>K80*(Assumptions!$G$23-Assumptions!$G$25)/4</f>
        <v>2899230.46875</v>
      </c>
      <c r="L10" s="185">
        <f>L80*(Assumptions!$G$23-Assumptions!$G$25)/4</f>
        <v>3291750</v>
      </c>
      <c r="M10" s="48">
        <f t="shared" si="1"/>
        <v>10790226.5625</v>
      </c>
      <c r="N10" s="185">
        <f>N80*(Assumptions!$G$23-Assumptions!$G$25)/4</f>
        <v>3678855.46875</v>
      </c>
      <c r="O10" s="185">
        <f>O80*(Assumptions!$G$23-Assumptions!$G$25)/4</f>
        <v>4060546.875</v>
      </c>
      <c r="P10" s="185">
        <f>P80*(Assumptions!$G$23-Assumptions!$G$25)/4</f>
        <v>4436824.21875</v>
      </c>
      <c r="Q10" s="185">
        <f>Q80*(Assumptions!$G$23-Assumptions!$G$25)/4</f>
        <v>4807687.5</v>
      </c>
      <c r="R10" s="48">
        <f t="shared" si="2"/>
        <v>16983914.0625</v>
      </c>
      <c r="S10" s="185">
        <f>S80*(Assumptions!$G$23-Assumptions!$G$25)/4</f>
        <v>5173136.71875</v>
      </c>
      <c r="T10" s="185">
        <f>T80*(Assumptions!$G$23-Assumptions!$G$25)/4</f>
        <v>5533171.875</v>
      </c>
      <c r="U10" s="185">
        <f>U80*(Assumptions!$G$23-Assumptions!$G$25)/4</f>
        <v>5887792.96875</v>
      </c>
      <c r="V10" s="185">
        <f>V80*(Assumptions!$G$23-Assumptions!$G$25)/4</f>
        <v>6237000</v>
      </c>
      <c r="W10" s="48">
        <f t="shared" si="3"/>
        <v>22831101.5625</v>
      </c>
      <c r="X10" s="185">
        <f>X80*(Assumptions!$G$23-Assumptions!$G$25)/4</f>
        <v>6580792.96875</v>
      </c>
      <c r="Y10" s="185">
        <f>Y80*(Assumptions!$G$23-Assumptions!$G$25)/4</f>
        <v>6919171.875</v>
      </c>
      <c r="Z10" s="185">
        <f>Z80*(Assumptions!$G$23-Assumptions!$G$25)/4</f>
        <v>7252136.71875</v>
      </c>
      <c r="AA10" s="185">
        <f>AA80*(Assumptions!$G$23-Assumptions!$G$25)/4</f>
        <v>7579687.5</v>
      </c>
      <c r="AB10" s="48">
        <f t="shared" si="4"/>
        <v>28331789.0625</v>
      </c>
      <c r="AC10" s="185">
        <f>AC80*(Assumptions!$G$23-Assumptions!$G$25)/4</f>
        <v>7525546.875</v>
      </c>
      <c r="AD10" s="185">
        <f>AD80*(Assumptions!$G$23-Assumptions!$G$25)/4</f>
        <v>7471406.25</v>
      </c>
      <c r="AE10" s="185">
        <f>AE80*(Assumptions!$G$23-Assumptions!$G$25)/4</f>
        <v>7417265.625</v>
      </c>
      <c r="AF10" s="185">
        <f>AF80*(Assumptions!$G$23-Assumptions!$G$25)/4</f>
        <v>7363125</v>
      </c>
      <c r="AG10" s="48">
        <f t="shared" si="5"/>
        <v>29777343.75</v>
      </c>
      <c r="AH10" s="185">
        <f>AH80*(Assumptions!$G$23-Assumptions!$G$25)/4</f>
        <v>7308984.375</v>
      </c>
      <c r="AI10" s="185">
        <f>AI80*(Assumptions!$G$23-Assumptions!$G$25)/4</f>
        <v>7254843.75</v>
      </c>
      <c r="AJ10" s="185">
        <f>AJ80*(Assumptions!$G$23-Assumptions!$G$25)/4</f>
        <v>7200703.125</v>
      </c>
      <c r="AK10" s="185">
        <f>AK80*(Assumptions!$G$23-Assumptions!$G$25)/4</f>
        <v>7146562.5</v>
      </c>
      <c r="AL10" s="48">
        <f t="shared" si="6"/>
        <v>28911093.75</v>
      </c>
    </row>
    <row r="11" spans="1:38" ht="17.100000000000001" outlineLevel="1" thickBot="1">
      <c r="A11" s="31"/>
      <c r="B11" s="34" t="s">
        <v>254</v>
      </c>
      <c r="C11" s="34"/>
      <c r="D11" s="184">
        <f>SUM(D6:D10)</f>
        <v>15916148.4375</v>
      </c>
      <c r="E11" s="184">
        <f t="shared" ref="E11:G11" si="7">SUM(E6:E10)</f>
        <v>31632093.75</v>
      </c>
      <c r="F11" s="184">
        <f t="shared" si="7"/>
        <v>47147835.937500007</v>
      </c>
      <c r="G11" s="184">
        <f t="shared" si="7"/>
        <v>62463375</v>
      </c>
      <c r="H11" s="61">
        <f t="shared" si="0"/>
        <v>157159453.125</v>
      </c>
      <c r="I11" s="184">
        <f>SUM(I6:I10)</f>
        <v>77578710.9375</v>
      </c>
      <c r="J11" s="184">
        <f t="shared" ref="J11:L11" si="8">SUM(J6:J10)</f>
        <v>92493843.750000015</v>
      </c>
      <c r="K11" s="184">
        <f t="shared" si="8"/>
        <v>107208773.43750001</v>
      </c>
      <c r="L11" s="184">
        <f t="shared" si="8"/>
        <v>121723500</v>
      </c>
      <c r="M11" s="51">
        <f t="shared" si="1"/>
        <v>399004828.125</v>
      </c>
      <c r="N11" s="184">
        <f>SUM(N6:N10)</f>
        <v>136038023.4375</v>
      </c>
      <c r="O11" s="184">
        <f t="shared" ref="O11:Q11" si="9">SUM(O6:O10)</f>
        <v>150152343.75</v>
      </c>
      <c r="P11" s="184">
        <f t="shared" si="9"/>
        <v>164066460.93750003</v>
      </c>
      <c r="Q11" s="184">
        <f t="shared" si="9"/>
        <v>177780375.00000003</v>
      </c>
      <c r="R11" s="51">
        <f t="shared" si="2"/>
        <v>628037203.125</v>
      </c>
      <c r="S11" s="184">
        <f>SUM(S6:S10)</f>
        <v>191294085.93750003</v>
      </c>
      <c r="T11" s="184">
        <f t="shared" ref="T11:V11" si="10">SUM(T6:T10)</f>
        <v>204607593.75000003</v>
      </c>
      <c r="U11" s="184">
        <f t="shared" si="10"/>
        <v>217720898.43750003</v>
      </c>
      <c r="V11" s="184">
        <f t="shared" si="10"/>
        <v>230634000</v>
      </c>
      <c r="W11" s="51">
        <f t="shared" si="3"/>
        <v>844256578.12500012</v>
      </c>
      <c r="X11" s="184">
        <f>SUM(X6:X10)</f>
        <v>243346898.4375</v>
      </c>
      <c r="Y11" s="184">
        <f t="shared" ref="Y11:AA11" si="11">SUM(Y6:Y10)</f>
        <v>255859593.75</v>
      </c>
      <c r="Z11" s="184">
        <f t="shared" si="11"/>
        <v>268172085.9375</v>
      </c>
      <c r="AA11" s="184">
        <f t="shared" si="11"/>
        <v>280284375</v>
      </c>
      <c r="AB11" s="51">
        <f t="shared" si="4"/>
        <v>1047662953.125</v>
      </c>
      <c r="AC11" s="184">
        <f>SUM(AC6:AC10)</f>
        <v>278282343.75</v>
      </c>
      <c r="AD11" s="184">
        <f t="shared" ref="AD11:AF11" si="12">SUM(AD6:AD10)</f>
        <v>276280312.5</v>
      </c>
      <c r="AE11" s="184">
        <f t="shared" si="12"/>
        <v>274278281.25</v>
      </c>
      <c r="AF11" s="184">
        <f t="shared" si="12"/>
        <v>272276250</v>
      </c>
      <c r="AG11" s="51">
        <f t="shared" si="5"/>
        <v>1101117187.5</v>
      </c>
      <c r="AH11" s="184">
        <f>SUM(AH6:AH10)</f>
        <v>270274218.75</v>
      </c>
      <c r="AI11" s="184">
        <f t="shared" ref="AI11:AK11" si="13">SUM(AI6:AI10)</f>
        <v>268272187.5</v>
      </c>
      <c r="AJ11" s="184">
        <f t="shared" si="13"/>
        <v>266270156.25</v>
      </c>
      <c r="AK11" s="184">
        <f t="shared" si="13"/>
        <v>264268125</v>
      </c>
      <c r="AL11" s="51">
        <f t="shared" si="6"/>
        <v>1069084687.5</v>
      </c>
    </row>
    <row r="12" spans="1:38" ht="17.100000000000001" thickBot="1">
      <c r="A12" s="36" t="s">
        <v>255</v>
      </c>
      <c r="B12" s="37"/>
      <c r="C12" s="38"/>
      <c r="D12" s="51">
        <f>D11</f>
        <v>15916148.4375</v>
      </c>
      <c r="E12" s="51">
        <f t="shared" ref="E12:G12" si="14">E11</f>
        <v>31632093.75</v>
      </c>
      <c r="F12" s="51">
        <f t="shared" si="14"/>
        <v>47147835.937500007</v>
      </c>
      <c r="G12" s="51">
        <f t="shared" si="14"/>
        <v>62463375</v>
      </c>
      <c r="H12" s="44">
        <f t="shared" si="0"/>
        <v>157159453.125</v>
      </c>
      <c r="I12" s="51">
        <f>I11</f>
        <v>77578710.9375</v>
      </c>
      <c r="J12" s="51">
        <f t="shared" ref="J12:L12" si="15">J11</f>
        <v>92493843.750000015</v>
      </c>
      <c r="K12" s="51">
        <f t="shared" si="15"/>
        <v>107208773.43750001</v>
      </c>
      <c r="L12" s="51">
        <f t="shared" si="15"/>
        <v>121723500</v>
      </c>
      <c r="M12" s="44">
        <f t="shared" si="1"/>
        <v>399004828.125</v>
      </c>
      <c r="N12" s="51">
        <f>N11</f>
        <v>136038023.4375</v>
      </c>
      <c r="O12" s="51">
        <f t="shared" ref="O12:Q12" si="16">O11</f>
        <v>150152343.75</v>
      </c>
      <c r="P12" s="51">
        <f t="shared" si="16"/>
        <v>164066460.93750003</v>
      </c>
      <c r="Q12" s="51">
        <f t="shared" si="16"/>
        <v>177780375.00000003</v>
      </c>
      <c r="R12" s="44">
        <f t="shared" si="2"/>
        <v>628037203.125</v>
      </c>
      <c r="S12" s="51">
        <f>S11</f>
        <v>191294085.93750003</v>
      </c>
      <c r="T12" s="51">
        <f t="shared" ref="T12:V12" si="17">T11</f>
        <v>204607593.75000003</v>
      </c>
      <c r="U12" s="51">
        <f t="shared" si="17"/>
        <v>217720898.43750003</v>
      </c>
      <c r="V12" s="51">
        <f t="shared" si="17"/>
        <v>230634000</v>
      </c>
      <c r="W12" s="44">
        <f t="shared" si="3"/>
        <v>844256578.12500012</v>
      </c>
      <c r="X12" s="51">
        <f>X11</f>
        <v>243346898.4375</v>
      </c>
      <c r="Y12" s="51">
        <f t="shared" ref="Y12:AA12" si="18">Y11</f>
        <v>255859593.75</v>
      </c>
      <c r="Z12" s="51">
        <f t="shared" si="18"/>
        <v>268172085.9375</v>
      </c>
      <c r="AA12" s="51">
        <f t="shared" si="18"/>
        <v>280284375</v>
      </c>
      <c r="AB12" s="44">
        <f t="shared" si="4"/>
        <v>1047662953.125</v>
      </c>
      <c r="AC12" s="51">
        <f>AC11</f>
        <v>278282343.75</v>
      </c>
      <c r="AD12" s="51">
        <f t="shared" ref="AD12:AF12" si="19">AD11</f>
        <v>276280312.5</v>
      </c>
      <c r="AE12" s="51">
        <f t="shared" si="19"/>
        <v>274278281.25</v>
      </c>
      <c r="AF12" s="51">
        <f t="shared" si="19"/>
        <v>272276250</v>
      </c>
      <c r="AG12" s="44">
        <f t="shared" si="5"/>
        <v>1101117187.5</v>
      </c>
      <c r="AH12" s="51">
        <f>AH11</f>
        <v>270274218.75</v>
      </c>
      <c r="AI12" s="51">
        <f t="shared" ref="AI12:AK12" si="20">AI11</f>
        <v>268272187.5</v>
      </c>
      <c r="AJ12" s="51">
        <f t="shared" si="20"/>
        <v>266270156.25</v>
      </c>
      <c r="AK12" s="51">
        <f t="shared" si="20"/>
        <v>264268125</v>
      </c>
      <c r="AL12" s="44">
        <f t="shared" si="6"/>
        <v>1069084687.5</v>
      </c>
    </row>
    <row r="13" spans="1:38" ht="15.95" outlineLevel="2">
      <c r="A13" s="31"/>
      <c r="C13" s="32" t="s">
        <v>256</v>
      </c>
      <c r="D13" s="183">
        <f>(D81*(1-Assumptions!$G$17)*Assumptions!$G$26+D81*(Assumptions!$G$17)*Assumptions!$G$27)</f>
        <v>1033003.125</v>
      </c>
      <c r="E13" s="183">
        <f>(E81*(1-Assumptions!$G$17)*Assumptions!$G$26+E81*(Assumptions!$G$17)*Assumptions!$G$27)</f>
        <v>2053012.5</v>
      </c>
      <c r="F13" s="183">
        <f>(F81*(1-Assumptions!$G$17)*Assumptions!$G$26+F81*(Assumptions!$G$17)*Assumptions!$G$27)</f>
        <v>3060028.125</v>
      </c>
      <c r="G13" s="183">
        <f>(G81*(1-Assumptions!$G$17)*Assumptions!$G$26+G81*(Assumptions!$G$17)*Assumptions!$G$27)</f>
        <v>4054050</v>
      </c>
      <c r="H13" s="60">
        <f t="shared" ref="H13:H22" si="21">SUM(D13:G13)</f>
        <v>10200093.75</v>
      </c>
      <c r="I13" s="183">
        <f>(I81*(1-Assumptions!$G$17)*Assumptions!$G$26+I81*(Assumptions!$G$17)*Assumptions!$G$27)</f>
        <v>5035078.125</v>
      </c>
      <c r="J13" s="183">
        <f>(J81*(1-Assumptions!$G$17)*Assumptions!$G$26+J81*(Assumptions!$G$17)*Assumptions!$G$27)</f>
        <v>6003112.5</v>
      </c>
      <c r="K13" s="183">
        <f>(K81*(1-Assumptions!$G$17)*Assumptions!$G$26+K81*(Assumptions!$G$17)*Assumptions!$G$27)</f>
        <v>6958153.125</v>
      </c>
      <c r="L13" s="183">
        <f>(L81*(1-Assumptions!$G$17)*Assumptions!$G$26+L81*(Assumptions!$G$17)*Assumptions!$G$27)</f>
        <v>7900200</v>
      </c>
      <c r="M13" s="48">
        <f t="shared" ref="M13:M22" si="22">SUM(I13:L13)</f>
        <v>25896543.75</v>
      </c>
      <c r="N13" s="183">
        <f>(N81*(1-Assumptions!$G$17)*Assumptions!$G$26+N81*(Assumptions!$G$17)*Assumptions!$G$27)</f>
        <v>8829253.125</v>
      </c>
      <c r="O13" s="183">
        <f>(O81*(1-Assumptions!$G$17)*Assumptions!$G$26+O81*(Assumptions!$G$17)*Assumptions!$G$27)</f>
        <v>9745312.5</v>
      </c>
      <c r="P13" s="183">
        <f>(P81*(1-Assumptions!$G$17)*Assumptions!$G$26+P81*(Assumptions!$G$17)*Assumptions!$G$27)</f>
        <v>10648378.125</v>
      </c>
      <c r="Q13" s="183">
        <f>(Q81*(1-Assumptions!$G$17)*Assumptions!$G$26+Q81*(Assumptions!$G$17)*Assumptions!$G$27)</f>
        <v>11538450</v>
      </c>
      <c r="R13" s="48">
        <f t="shared" ref="R13:R22" si="23">SUM(N13:Q13)</f>
        <v>40761393.75</v>
      </c>
      <c r="S13" s="183">
        <f>(S81*(1-Assumptions!$G$17)*Assumptions!$G$26+S81*(Assumptions!$G$17)*Assumptions!$G$27)</f>
        <v>12415528.125</v>
      </c>
      <c r="T13" s="183">
        <f>(T81*(1-Assumptions!$G$17)*Assumptions!$G$26+T81*(Assumptions!$G$17)*Assumptions!$G$27)</f>
        <v>13279612.5</v>
      </c>
      <c r="U13" s="183">
        <f>(U81*(1-Assumptions!$G$17)*Assumptions!$G$26+U81*(Assumptions!$G$17)*Assumptions!$G$27)</f>
        <v>14130703.125</v>
      </c>
      <c r="V13" s="183">
        <f>(V81*(1-Assumptions!$G$17)*Assumptions!$G$26+V81*(Assumptions!$G$17)*Assumptions!$G$27)</f>
        <v>14968800</v>
      </c>
      <c r="W13" s="48">
        <f t="shared" ref="W13:W22" si="24">SUM(S13:V13)</f>
        <v>54794643.75</v>
      </c>
      <c r="X13" s="183">
        <f>(X81*(1-Assumptions!$G$17)*Assumptions!$G$26+X81*(Assumptions!$G$17)*Assumptions!$G$27)</f>
        <v>15793903.125</v>
      </c>
      <c r="Y13" s="183">
        <f>(Y81*(1-Assumptions!$G$17)*Assumptions!$G$26+Y81*(Assumptions!$G$17)*Assumptions!$G$27)</f>
        <v>16606012.5</v>
      </c>
      <c r="Z13" s="183">
        <f>(Z81*(1-Assumptions!$G$17)*Assumptions!$G$26+Z81*(Assumptions!$G$17)*Assumptions!$G$27)</f>
        <v>17405128.125</v>
      </c>
      <c r="AA13" s="183">
        <f>(AA81*(1-Assumptions!$G$17)*Assumptions!$G$26+AA81*(Assumptions!$G$17)*Assumptions!$G$27)</f>
        <v>18191250</v>
      </c>
      <c r="AB13" s="48">
        <f t="shared" ref="AB13:AB22" si="25">SUM(X13:AA13)</f>
        <v>67996293.75</v>
      </c>
      <c r="AC13" s="183">
        <f>(AC81*(1-Assumptions!$G$17)*Assumptions!$G$26+AC81*(Assumptions!$G$17)*Assumptions!$G$27)</f>
        <v>18061312.5</v>
      </c>
      <c r="AD13" s="183">
        <f>(AD81*(1-Assumptions!$G$17)*Assumptions!$G$26+AD81*(Assumptions!$G$17)*Assumptions!$G$27)</f>
        <v>17931375</v>
      </c>
      <c r="AE13" s="183">
        <f>(AE81*(1-Assumptions!$G$17)*Assumptions!$G$26+AE81*(Assumptions!$G$17)*Assumptions!$G$27)</f>
        <v>17801437.5</v>
      </c>
      <c r="AF13" s="183">
        <f>(AF81*(1-Assumptions!$G$17)*Assumptions!$G$26+AF81*(Assumptions!$G$17)*Assumptions!$G$27)</f>
        <v>17671500</v>
      </c>
      <c r="AG13" s="48">
        <f t="shared" ref="AG13:AG22" si="26">SUM(AC13:AF13)</f>
        <v>71465625</v>
      </c>
      <c r="AH13" s="183">
        <f>(AH81*(1-Assumptions!$G$17)*Assumptions!$G$26+AH81*(Assumptions!$G$17)*Assumptions!$G$27)</f>
        <v>17541562.5</v>
      </c>
      <c r="AI13" s="183">
        <f>(AI81*(1-Assumptions!$G$17)*Assumptions!$G$26+AI81*(Assumptions!$G$17)*Assumptions!$G$27)</f>
        <v>17411625</v>
      </c>
      <c r="AJ13" s="183">
        <f>(AJ81*(1-Assumptions!$G$17)*Assumptions!$G$26+AJ81*(Assumptions!$G$17)*Assumptions!$G$27)</f>
        <v>17281687.5</v>
      </c>
      <c r="AK13" s="183">
        <f>(AK81*(1-Assumptions!$G$17)*Assumptions!$G$26+AK81*(Assumptions!$G$17)*Assumptions!$G$27)</f>
        <v>17151750</v>
      </c>
      <c r="AL13" s="48">
        <f t="shared" ref="AL13:AL22" si="27">SUM(AH13:AK13)</f>
        <v>69386625</v>
      </c>
    </row>
    <row r="14" spans="1:38" ht="15.95" outlineLevel="2">
      <c r="A14" s="31"/>
      <c r="C14" s="32" t="s">
        <v>257</v>
      </c>
      <c r="D14" s="185">
        <f>(D82*(1-Assumptions!$G$17)*Assumptions!$G$28+D82*(Assumptions!$G$17)*Assumptions!$G$29)</f>
        <v>2582507.8125</v>
      </c>
      <c r="E14" s="185">
        <f>(E82*(1-Assumptions!$G$17)*Assumptions!$G$28+E82*(Assumptions!$G$17)*Assumptions!$G$29)</f>
        <v>5132531.25</v>
      </c>
      <c r="F14" s="185">
        <f>(F82*(1-Assumptions!$G$17)*Assumptions!$G$28+F82*(Assumptions!$G$17)*Assumptions!$G$29)</f>
        <v>7650070.3125</v>
      </c>
      <c r="G14" s="185">
        <f>(G82*(1-Assumptions!$G$17)*Assumptions!$G$28+G82*(Assumptions!$G$17)*Assumptions!$G$29)</f>
        <v>10135125</v>
      </c>
      <c r="H14" s="60">
        <f t="shared" si="21"/>
        <v>25500234.375</v>
      </c>
      <c r="I14" s="185">
        <f>(I82*(1-Assumptions!$G$17)*Assumptions!$G$28+I82*(Assumptions!$G$17)*Assumptions!$G$29)</f>
        <v>12587695.3125</v>
      </c>
      <c r="J14" s="185">
        <f>(J82*(1-Assumptions!$G$17)*Assumptions!$G$28+J82*(Assumptions!$G$17)*Assumptions!$G$29)</f>
        <v>15007781.25</v>
      </c>
      <c r="K14" s="185">
        <f>(K82*(1-Assumptions!$G$17)*Assumptions!$G$28+K82*(Assumptions!$G$17)*Assumptions!$G$29)</f>
        <v>17395382.8125</v>
      </c>
      <c r="L14" s="185">
        <f>(L82*(1-Assumptions!$G$17)*Assumptions!$G$28+L82*(Assumptions!$G$17)*Assumptions!$G$29)</f>
        <v>19750500</v>
      </c>
      <c r="M14" s="48">
        <f t="shared" si="22"/>
        <v>64741359.375</v>
      </c>
      <c r="N14" s="185">
        <f>(N82*(1-Assumptions!$G$17)*Assumptions!$G$28+N82*(Assumptions!$G$17)*Assumptions!$G$29)</f>
        <v>22073132.8125</v>
      </c>
      <c r="O14" s="185">
        <f>(O82*(1-Assumptions!$G$17)*Assumptions!$G$28+O82*(Assumptions!$G$17)*Assumptions!$G$29)</f>
        <v>24363281.25</v>
      </c>
      <c r="P14" s="185">
        <f>(P82*(1-Assumptions!$G$17)*Assumptions!$G$28+P82*(Assumptions!$G$17)*Assumptions!$G$29)</f>
        <v>26620945.3125</v>
      </c>
      <c r="Q14" s="185">
        <f>(Q82*(1-Assumptions!$G$17)*Assumptions!$G$28+Q82*(Assumptions!$G$17)*Assumptions!$G$29)</f>
        <v>28846125</v>
      </c>
      <c r="R14" s="48">
        <f t="shared" si="23"/>
        <v>101903484.375</v>
      </c>
      <c r="S14" s="185">
        <f>(S82*(1-Assumptions!$G$17)*Assumptions!$G$28+S82*(Assumptions!$G$17)*Assumptions!$G$29)</f>
        <v>31038820.3125</v>
      </c>
      <c r="T14" s="185">
        <f>(T82*(1-Assumptions!$G$17)*Assumptions!$G$28+T82*(Assumptions!$G$17)*Assumptions!$G$29)</f>
        <v>33199031.25</v>
      </c>
      <c r="U14" s="185">
        <f>(U82*(1-Assumptions!$G$17)*Assumptions!$G$28+U82*(Assumptions!$G$17)*Assumptions!$G$29)</f>
        <v>35326757.8125</v>
      </c>
      <c r="V14" s="185">
        <f>(V82*(1-Assumptions!$G$17)*Assumptions!$G$28+V82*(Assumptions!$G$17)*Assumptions!$G$29)</f>
        <v>37422000</v>
      </c>
      <c r="W14" s="48">
        <f t="shared" si="24"/>
        <v>136986609.375</v>
      </c>
      <c r="X14" s="185">
        <f>(X82*(1-Assumptions!$G$17)*Assumptions!$G$28+X82*(Assumptions!$G$17)*Assumptions!$G$29)</f>
        <v>39484757.8125</v>
      </c>
      <c r="Y14" s="185">
        <f>(Y82*(1-Assumptions!$G$17)*Assumptions!$G$28+Y82*(Assumptions!$G$17)*Assumptions!$G$29)</f>
        <v>41515031.25</v>
      </c>
      <c r="Z14" s="185">
        <f>(Z82*(1-Assumptions!$G$17)*Assumptions!$G$28+Z82*(Assumptions!$G$17)*Assumptions!$G$29)</f>
        <v>43512820.3125</v>
      </c>
      <c r="AA14" s="185">
        <f>(AA82*(1-Assumptions!$G$17)*Assumptions!$G$28+AA82*(Assumptions!$G$17)*Assumptions!$G$29)</f>
        <v>45478125</v>
      </c>
      <c r="AB14" s="48">
        <f t="shared" si="25"/>
        <v>169990734.375</v>
      </c>
      <c r="AC14" s="185">
        <f>(AC82*(1-Assumptions!$G$17)*Assumptions!$G$28+AC82*(Assumptions!$G$17)*Assumptions!$G$29)</f>
        <v>45153281.25</v>
      </c>
      <c r="AD14" s="185">
        <f>(AD82*(1-Assumptions!$G$17)*Assumptions!$G$28+AD82*(Assumptions!$G$17)*Assumptions!$G$29)</f>
        <v>44828437.5</v>
      </c>
      <c r="AE14" s="185">
        <f>(AE82*(1-Assumptions!$G$17)*Assumptions!$G$28+AE82*(Assumptions!$G$17)*Assumptions!$G$29)</f>
        <v>44503593.75</v>
      </c>
      <c r="AF14" s="185">
        <f>(AF82*(1-Assumptions!$G$17)*Assumptions!$G$28+AF82*(Assumptions!$G$17)*Assumptions!$G$29)</f>
        <v>44178750</v>
      </c>
      <c r="AG14" s="48">
        <f t="shared" si="26"/>
        <v>178664062.5</v>
      </c>
      <c r="AH14" s="185">
        <f>(AH82*(1-Assumptions!$G$17)*Assumptions!$G$28+AH82*(Assumptions!$G$17)*Assumptions!$G$29)</f>
        <v>43853906.25</v>
      </c>
      <c r="AI14" s="185">
        <f>(AI82*(1-Assumptions!$G$17)*Assumptions!$G$28+AI82*(Assumptions!$G$17)*Assumptions!$G$29)</f>
        <v>43529062.5</v>
      </c>
      <c r="AJ14" s="185">
        <f>(AJ82*(1-Assumptions!$G$17)*Assumptions!$G$28+AJ82*(Assumptions!$G$17)*Assumptions!$G$29)</f>
        <v>43204218.75</v>
      </c>
      <c r="AK14" s="185">
        <f>(AK82*(1-Assumptions!$G$17)*Assumptions!$G$28+AK82*(Assumptions!$G$17)*Assumptions!$G$29)</f>
        <v>42879375</v>
      </c>
      <c r="AL14" s="48">
        <f t="shared" si="27"/>
        <v>173466562.5</v>
      </c>
    </row>
    <row r="15" spans="1:38" ht="15.95" outlineLevel="2">
      <c r="A15" s="31"/>
      <c r="C15" s="32" t="s">
        <v>258</v>
      </c>
      <c r="D15" s="185">
        <f>(D82*(1-Assumptions!$G$17)*Assumptions!$G$30+D82*(Assumptions!$G$17)*Assumptions!$G$31)</f>
        <v>5165015.625</v>
      </c>
      <c r="E15" s="185">
        <f>(E82*(1-Assumptions!$G$17)*Assumptions!$G$30+E82*(Assumptions!$G$17)*Assumptions!$G$31)</f>
        <v>10265062.5</v>
      </c>
      <c r="F15" s="185">
        <f>(F82*(1-Assumptions!$G$17)*Assumptions!$G$30+F82*(Assumptions!$G$17)*Assumptions!$G$31)</f>
        <v>15300140.625</v>
      </c>
      <c r="G15" s="185">
        <f>(G82*(1-Assumptions!$G$17)*Assumptions!$G$30+G82*(Assumptions!$G$17)*Assumptions!$G$31)</f>
        <v>20270250</v>
      </c>
      <c r="H15" s="60">
        <f t="shared" si="21"/>
        <v>51000468.75</v>
      </c>
      <c r="I15" s="185">
        <f>(I82*(1-Assumptions!$G$17)*Assumptions!$G$30+I82*(Assumptions!$G$17)*Assumptions!$G$31)</f>
        <v>25175390.625</v>
      </c>
      <c r="J15" s="185">
        <f>(J82*(1-Assumptions!$G$17)*Assumptions!$G$30+J82*(Assumptions!$G$17)*Assumptions!$G$31)</f>
        <v>30015562.5</v>
      </c>
      <c r="K15" s="185">
        <f>(K82*(1-Assumptions!$G$17)*Assumptions!$G$30+K82*(Assumptions!$G$17)*Assumptions!$G$31)</f>
        <v>34790765.625</v>
      </c>
      <c r="L15" s="185">
        <f>(L82*(1-Assumptions!$G$17)*Assumptions!$G$30+L82*(Assumptions!$G$17)*Assumptions!$G$31)</f>
        <v>39501000</v>
      </c>
      <c r="M15" s="48">
        <f t="shared" si="22"/>
        <v>129482718.75</v>
      </c>
      <c r="N15" s="185">
        <f>(N82*(1-Assumptions!$G$17)*Assumptions!$G$30+N82*(Assumptions!$G$17)*Assumptions!$G$31)</f>
        <v>44146265.625</v>
      </c>
      <c r="O15" s="185">
        <f>(O82*(1-Assumptions!$G$17)*Assumptions!$G$30+O82*(Assumptions!$G$17)*Assumptions!$G$31)</f>
        <v>48726562.5</v>
      </c>
      <c r="P15" s="185">
        <f>(P82*(1-Assumptions!$G$17)*Assumptions!$G$30+P82*(Assumptions!$G$17)*Assumptions!$G$31)</f>
        <v>53241890.625</v>
      </c>
      <c r="Q15" s="185">
        <f>(Q82*(1-Assumptions!$G$17)*Assumptions!$G$30+Q82*(Assumptions!$G$17)*Assumptions!$G$31)</f>
        <v>57692250</v>
      </c>
      <c r="R15" s="48">
        <f t="shared" si="23"/>
        <v>203806968.75</v>
      </c>
      <c r="S15" s="185">
        <f>(S82*(1-Assumptions!$G$17)*Assumptions!$G$30+S82*(Assumptions!$G$17)*Assumptions!$G$31)</f>
        <v>62077640.625</v>
      </c>
      <c r="T15" s="185">
        <f>(T82*(1-Assumptions!$G$17)*Assumptions!$G$30+T82*(Assumptions!$G$17)*Assumptions!$G$31)</f>
        <v>66398062.5</v>
      </c>
      <c r="U15" s="185">
        <f>(U82*(1-Assumptions!$G$17)*Assumptions!$G$30+U82*(Assumptions!$G$17)*Assumptions!$G$31)</f>
        <v>70653515.625</v>
      </c>
      <c r="V15" s="185">
        <f>(V82*(1-Assumptions!$G$17)*Assumptions!$G$30+V82*(Assumptions!$G$17)*Assumptions!$G$31)</f>
        <v>74844000</v>
      </c>
      <c r="W15" s="48">
        <f t="shared" si="24"/>
        <v>273973218.75</v>
      </c>
      <c r="X15" s="185">
        <f>(X82*(1-Assumptions!$G$17)*Assumptions!$G$30+X82*(Assumptions!$G$17)*Assumptions!$G$31)</f>
        <v>78969515.625</v>
      </c>
      <c r="Y15" s="185">
        <f>(Y82*(1-Assumptions!$G$17)*Assumptions!$G$30+Y82*(Assumptions!$G$17)*Assumptions!$G$31)</f>
        <v>83030062.5</v>
      </c>
      <c r="Z15" s="185">
        <f>(Z82*(1-Assumptions!$G$17)*Assumptions!$G$30+Z82*(Assumptions!$G$17)*Assumptions!$G$31)</f>
        <v>87025640.625</v>
      </c>
      <c r="AA15" s="185">
        <f>(AA82*(1-Assumptions!$G$17)*Assumptions!$G$30+AA82*(Assumptions!$G$17)*Assumptions!$G$31)</f>
        <v>90956250</v>
      </c>
      <c r="AB15" s="48">
        <f t="shared" si="25"/>
        <v>339981468.75</v>
      </c>
      <c r="AC15" s="185">
        <f>(AC82*(1-Assumptions!$G$17)*Assumptions!$G$30+AC82*(Assumptions!$G$17)*Assumptions!$G$31)</f>
        <v>90306562.5</v>
      </c>
      <c r="AD15" s="185">
        <f>(AD82*(1-Assumptions!$G$17)*Assumptions!$G$30+AD82*(Assumptions!$G$17)*Assumptions!$G$31)</f>
        <v>89656875</v>
      </c>
      <c r="AE15" s="185">
        <f>(AE82*(1-Assumptions!$G$17)*Assumptions!$G$30+AE82*(Assumptions!$G$17)*Assumptions!$G$31)</f>
        <v>89007187.5</v>
      </c>
      <c r="AF15" s="185">
        <f>(AF82*(1-Assumptions!$G$17)*Assumptions!$G$30+AF82*(Assumptions!$G$17)*Assumptions!$G$31)</f>
        <v>88357500</v>
      </c>
      <c r="AG15" s="48">
        <f t="shared" si="26"/>
        <v>357328125</v>
      </c>
      <c r="AH15" s="185">
        <f>(AH82*(1-Assumptions!$G$17)*Assumptions!$G$30+AH82*(Assumptions!$G$17)*Assumptions!$G$31)</f>
        <v>87707812.5</v>
      </c>
      <c r="AI15" s="185">
        <f>(AI82*(1-Assumptions!$G$17)*Assumptions!$G$30+AI82*(Assumptions!$G$17)*Assumptions!$G$31)</f>
        <v>87058125</v>
      </c>
      <c r="AJ15" s="185">
        <f>(AJ82*(1-Assumptions!$G$17)*Assumptions!$G$30+AJ82*(Assumptions!$G$17)*Assumptions!$G$31)</f>
        <v>86408437.5</v>
      </c>
      <c r="AK15" s="185">
        <f>(AK82*(1-Assumptions!$G$17)*Assumptions!$G$30+AK82*(Assumptions!$G$17)*Assumptions!$G$31)</f>
        <v>85758750</v>
      </c>
      <c r="AL15" s="48">
        <f t="shared" si="27"/>
        <v>346933125</v>
      </c>
    </row>
    <row r="16" spans="1:38" ht="15.95" outlineLevel="2">
      <c r="A16" s="31"/>
      <c r="C16" s="32" t="s">
        <v>259</v>
      </c>
      <c r="D16" s="185">
        <f>(D76+D77+D78)*Assumptions!$G$32</f>
        <v>25047468.75</v>
      </c>
      <c r="E16" s="185">
        <f>(E76+E77+E78-D76-D77-D78)*Assumptions!$G$34</f>
        <v>24732406.25</v>
      </c>
      <c r="F16" s="185">
        <f>(F76+F77+F78-E76-E77-E78)*Assumptions!$G$34</f>
        <v>24417343.75</v>
      </c>
      <c r="G16" s="185">
        <f>(G76+G77+G78-F76-F77-F78)*Assumptions!$G$34</f>
        <v>24102281.25</v>
      </c>
      <c r="H16" s="60">
        <f t="shared" si="21"/>
        <v>98299500</v>
      </c>
      <c r="I16" s="185">
        <f>(I76+I77+I78-H76-H77-H78)*Assumptions!$G$34</f>
        <v>23787218.75</v>
      </c>
      <c r="J16" s="185">
        <f>(J76+J77+J78-I76-I77-I78)*Assumptions!$G$34</f>
        <v>23472156.25</v>
      </c>
      <c r="K16" s="185">
        <f>(K76+K77+K78-J76-J77-J78)*Assumptions!$G$34</f>
        <v>23157093.75</v>
      </c>
      <c r="L16" s="185">
        <f>(L76+L77+L78-K76-K77-K78)*Assumptions!$G$34</f>
        <v>22842031.25</v>
      </c>
      <c r="M16" s="48">
        <f t="shared" si="22"/>
        <v>93258500</v>
      </c>
      <c r="N16" s="185">
        <f>(N76+N77+N78-M76-M77-M78)*Assumptions!$G$34</f>
        <v>22526968.75</v>
      </c>
      <c r="O16" s="185">
        <f>(O76+O77+O78-N76-N77-N78)*Assumptions!$G$34</f>
        <v>22211906.25</v>
      </c>
      <c r="P16" s="185">
        <f>(P76+P77+P78-O76-O77-O78)*Assumptions!$G$34</f>
        <v>21896843.75</v>
      </c>
      <c r="Q16" s="185">
        <f>(Q76+Q77+Q78-P76-P77-P78)*Assumptions!$G$34</f>
        <v>21581781.25</v>
      </c>
      <c r="R16" s="48">
        <f t="shared" si="23"/>
        <v>88217500</v>
      </c>
      <c r="S16" s="185">
        <f>(S76+S77+S78-R76-R77-R78)*Assumptions!$G$34</f>
        <v>21266718.75</v>
      </c>
      <c r="T16" s="185">
        <f>(T76+T77+T78-S76-S77-S78)*Assumptions!$G$34</f>
        <v>20951656.25</v>
      </c>
      <c r="U16" s="185">
        <f>(U76+U77+U78-T76-T77-T78)*Assumptions!$G$34</f>
        <v>20636593.75</v>
      </c>
      <c r="V16" s="185">
        <f>(V76+V77+V78-U76-U77-U78)*Assumptions!$G$34</f>
        <v>20321531.25</v>
      </c>
      <c r="W16" s="48">
        <f t="shared" si="24"/>
        <v>83176500</v>
      </c>
      <c r="X16" s="185">
        <f>(X76+X77+X78-W76-W77-W78)*Assumptions!$G$34</f>
        <v>20006468.75</v>
      </c>
      <c r="Y16" s="185">
        <f>(Y76+Y77+Y78-X76-X77-X78)*Assumptions!$G$34</f>
        <v>19691406.25</v>
      </c>
      <c r="Z16" s="185">
        <f>(Z76+Z77+Z78-Y76-Y77-Y78)*Assumptions!$G$34</f>
        <v>19376343.75</v>
      </c>
      <c r="AA16" s="185">
        <f>(AA76+AA77+AA78-Z76-Z77-Z78)*Assumptions!$G$34</f>
        <v>19061281.25</v>
      </c>
      <c r="AB16" s="48">
        <f t="shared" si="25"/>
        <v>78135500</v>
      </c>
      <c r="AC16" s="185">
        <f>(AC76+AC77+AC78-AB76-AB77-AB78)*Assumptions!$G$34</f>
        <v>-3150625</v>
      </c>
      <c r="AD16" s="185">
        <f>(AD76+AD77+AD78-AC76-AC77-AC78)*Assumptions!$G$34</f>
        <v>-3150625</v>
      </c>
      <c r="AE16" s="185">
        <f>(AE76+AE77+AE78-AD76-AD77-AD78)*Assumptions!$G$34</f>
        <v>-3150625</v>
      </c>
      <c r="AF16" s="185">
        <f>(AF76+AF77+AF78-AE76-AE77-AE78)*Assumptions!$G$34</f>
        <v>-3150625</v>
      </c>
      <c r="AG16" s="48">
        <f t="shared" si="26"/>
        <v>-12602500</v>
      </c>
      <c r="AH16" s="185">
        <f>(AH76+AH77+AH78-AG76-AG77-AG78)*Assumptions!$G$34</f>
        <v>-3150625</v>
      </c>
      <c r="AI16" s="185">
        <f>(AI76+AI77+AI78-AH76-AH77-AH78)*Assumptions!$G$34</f>
        <v>-3150625</v>
      </c>
      <c r="AJ16" s="185">
        <f>(AJ76+AJ77+AJ78-AI76-AI77-AI78)*Assumptions!$G$34</f>
        <v>-3150625</v>
      </c>
      <c r="AK16" s="185">
        <f>(AK76+AK77+AK78-AJ76-AJ77-AJ78)*Assumptions!$G$34</f>
        <v>-3150625</v>
      </c>
      <c r="AL16" s="48">
        <f t="shared" si="27"/>
        <v>-12602500</v>
      </c>
    </row>
    <row r="17" spans="1:38" ht="17.100000000000001" outlineLevel="1" thickBot="1">
      <c r="A17" s="31"/>
      <c r="B17" s="34" t="s">
        <v>260</v>
      </c>
      <c r="C17" s="34"/>
      <c r="D17" s="184">
        <f>SUM(D13:D16)</f>
        <v>33827995.3125</v>
      </c>
      <c r="E17" s="184">
        <f t="shared" ref="E17:G17" si="28">SUM(E13:E16)</f>
        <v>42183012.5</v>
      </c>
      <c r="F17" s="184">
        <f t="shared" si="28"/>
        <v>50427582.8125</v>
      </c>
      <c r="G17" s="184">
        <f t="shared" si="28"/>
        <v>58561706.25</v>
      </c>
      <c r="H17" s="61">
        <f t="shared" si="21"/>
        <v>185000296.875</v>
      </c>
      <c r="I17" s="184">
        <f>SUM(I13:I16)</f>
        <v>66585382.8125</v>
      </c>
      <c r="J17" s="184">
        <f t="shared" ref="J17:L17" si="29">SUM(J13:J16)</f>
        <v>74498612.5</v>
      </c>
      <c r="K17" s="184">
        <f t="shared" si="29"/>
        <v>82301395.3125</v>
      </c>
      <c r="L17" s="184">
        <f t="shared" si="29"/>
        <v>89993731.25</v>
      </c>
      <c r="M17" s="51">
        <f t="shared" si="22"/>
        <v>313379121.875</v>
      </c>
      <c r="N17" s="184">
        <f>SUM(N13:N16)</f>
        <v>97575620.3125</v>
      </c>
      <c r="O17" s="184">
        <f t="shared" ref="O17:Q17" si="30">SUM(O13:O16)</f>
        <v>105047062.5</v>
      </c>
      <c r="P17" s="184">
        <f t="shared" si="30"/>
        <v>112408057.8125</v>
      </c>
      <c r="Q17" s="184">
        <f t="shared" si="30"/>
        <v>119658606.25</v>
      </c>
      <c r="R17" s="51">
        <f t="shared" si="23"/>
        <v>434689346.875</v>
      </c>
      <c r="S17" s="184">
        <f>SUM(S13:S16)</f>
        <v>126798707.8125</v>
      </c>
      <c r="T17" s="184">
        <f t="shared" ref="T17:V17" si="31">SUM(T13:T16)</f>
        <v>133828362.5</v>
      </c>
      <c r="U17" s="184">
        <f t="shared" si="31"/>
        <v>140747570.3125</v>
      </c>
      <c r="V17" s="184">
        <f t="shared" si="31"/>
        <v>147556331.25</v>
      </c>
      <c r="W17" s="51">
        <f t="shared" si="24"/>
        <v>548930971.875</v>
      </c>
      <c r="X17" s="184">
        <f>SUM(X13:X16)</f>
        <v>154254645.3125</v>
      </c>
      <c r="Y17" s="184">
        <f t="shared" ref="Y17:AA17" si="32">SUM(Y13:Y16)</f>
        <v>160842512.5</v>
      </c>
      <c r="Z17" s="184">
        <f t="shared" si="32"/>
        <v>167319932.8125</v>
      </c>
      <c r="AA17" s="184">
        <f t="shared" si="32"/>
        <v>173686906.25</v>
      </c>
      <c r="AB17" s="51">
        <f t="shared" si="25"/>
        <v>656103996.875</v>
      </c>
      <c r="AC17" s="184">
        <f>SUM(AC13:AC16)</f>
        <v>150370531.25</v>
      </c>
      <c r="AD17" s="184">
        <f t="shared" ref="AD17:AF17" si="33">SUM(AD13:AD16)</f>
        <v>149266062.5</v>
      </c>
      <c r="AE17" s="184">
        <f t="shared" si="33"/>
        <v>148161593.75</v>
      </c>
      <c r="AF17" s="184">
        <f t="shared" si="33"/>
        <v>147057125</v>
      </c>
      <c r="AG17" s="51">
        <f t="shared" si="26"/>
        <v>594855312.5</v>
      </c>
      <c r="AH17" s="184">
        <f>SUM(AH13:AH16)</f>
        <v>145952656.25</v>
      </c>
      <c r="AI17" s="184">
        <f t="shared" ref="AI17:AK17" si="34">SUM(AI13:AI16)</f>
        <v>144848187.5</v>
      </c>
      <c r="AJ17" s="184">
        <f t="shared" si="34"/>
        <v>143743718.75</v>
      </c>
      <c r="AK17" s="184">
        <f t="shared" si="34"/>
        <v>142639250</v>
      </c>
      <c r="AL17" s="51">
        <f t="shared" si="27"/>
        <v>577183812.5</v>
      </c>
    </row>
    <row r="18" spans="1:38" ht="17.100000000000001" thickBot="1">
      <c r="A18" s="36" t="s">
        <v>261</v>
      </c>
      <c r="B18" s="37"/>
      <c r="C18" s="38"/>
      <c r="D18" s="51">
        <f>D17</f>
        <v>33827995.3125</v>
      </c>
      <c r="E18" s="51">
        <f t="shared" ref="E18:G18" si="35">E17</f>
        <v>42183012.5</v>
      </c>
      <c r="F18" s="51">
        <f t="shared" si="35"/>
        <v>50427582.8125</v>
      </c>
      <c r="G18" s="51">
        <f t="shared" si="35"/>
        <v>58561706.25</v>
      </c>
      <c r="H18" s="44">
        <f t="shared" si="21"/>
        <v>185000296.875</v>
      </c>
      <c r="I18" s="51">
        <f>I17</f>
        <v>66585382.8125</v>
      </c>
      <c r="J18" s="51">
        <f t="shared" ref="J18:L18" si="36">J17</f>
        <v>74498612.5</v>
      </c>
      <c r="K18" s="51">
        <f t="shared" si="36"/>
        <v>82301395.3125</v>
      </c>
      <c r="L18" s="51">
        <f t="shared" si="36"/>
        <v>89993731.25</v>
      </c>
      <c r="M18" s="44">
        <f t="shared" si="22"/>
        <v>313379121.875</v>
      </c>
      <c r="N18" s="51">
        <f>N17</f>
        <v>97575620.3125</v>
      </c>
      <c r="O18" s="51">
        <f t="shared" ref="O18:Q18" si="37">O17</f>
        <v>105047062.5</v>
      </c>
      <c r="P18" s="51">
        <f t="shared" si="37"/>
        <v>112408057.8125</v>
      </c>
      <c r="Q18" s="51">
        <f t="shared" si="37"/>
        <v>119658606.25</v>
      </c>
      <c r="R18" s="44">
        <f t="shared" si="23"/>
        <v>434689346.875</v>
      </c>
      <c r="S18" s="51">
        <f>S17</f>
        <v>126798707.8125</v>
      </c>
      <c r="T18" s="51">
        <f t="shared" ref="T18:V18" si="38">T17</f>
        <v>133828362.5</v>
      </c>
      <c r="U18" s="51">
        <f t="shared" si="38"/>
        <v>140747570.3125</v>
      </c>
      <c r="V18" s="51">
        <f t="shared" si="38"/>
        <v>147556331.25</v>
      </c>
      <c r="W18" s="44">
        <f t="shared" si="24"/>
        <v>548930971.875</v>
      </c>
      <c r="X18" s="51">
        <f>X17</f>
        <v>154254645.3125</v>
      </c>
      <c r="Y18" s="51">
        <f t="shared" ref="Y18:AA18" si="39">Y17</f>
        <v>160842512.5</v>
      </c>
      <c r="Z18" s="51">
        <f t="shared" si="39"/>
        <v>167319932.8125</v>
      </c>
      <c r="AA18" s="51">
        <f t="shared" si="39"/>
        <v>173686906.25</v>
      </c>
      <c r="AB18" s="44">
        <f t="shared" si="25"/>
        <v>656103996.875</v>
      </c>
      <c r="AC18" s="51">
        <f>AC17</f>
        <v>150370531.25</v>
      </c>
      <c r="AD18" s="51">
        <f t="shared" ref="AD18:AF18" si="40">AD17</f>
        <v>149266062.5</v>
      </c>
      <c r="AE18" s="51">
        <f t="shared" si="40"/>
        <v>148161593.75</v>
      </c>
      <c r="AF18" s="51">
        <f t="shared" si="40"/>
        <v>147057125</v>
      </c>
      <c r="AG18" s="44">
        <f t="shared" si="26"/>
        <v>594855312.5</v>
      </c>
      <c r="AH18" s="51">
        <f>AH17</f>
        <v>145952656.25</v>
      </c>
      <c r="AI18" s="51">
        <f t="shared" ref="AI18:AK18" si="41">AI17</f>
        <v>144848187.5</v>
      </c>
      <c r="AJ18" s="51">
        <f t="shared" si="41"/>
        <v>143743718.75</v>
      </c>
      <c r="AK18" s="51">
        <f t="shared" si="41"/>
        <v>142639250</v>
      </c>
      <c r="AL18" s="44">
        <f t="shared" si="27"/>
        <v>577183812.5</v>
      </c>
    </row>
    <row r="19" spans="1:38" ht="15.95" outlineLevel="2">
      <c r="A19" s="31"/>
      <c r="C19" s="32" t="s">
        <v>262</v>
      </c>
      <c r="D19" s="183">
        <f>SUM(D72:D75)*Assumptions!$G$55*Assumptions!$G$56/4/VLOOKUP(Assumptions!$D$7, Lists!$B$7:$C$10, 2, FALSE)</f>
        <v>5738906.25</v>
      </c>
      <c r="E19" s="183">
        <f>SUM(E72:E75)*Assumptions!$G$55*Assumptions!$G$56/4/VLOOKUP(Assumptions!$D$7, Lists!$B$7:$C$10, 2, FALSE)</f>
        <v>11405625</v>
      </c>
      <c r="F19" s="183">
        <f>SUM(F72:F75)*Assumptions!$G$55*Assumptions!$G$56/4/VLOOKUP(Assumptions!$D$7, Lists!$B$7:$C$10, 2, FALSE)</f>
        <v>17000156.25</v>
      </c>
      <c r="G19" s="183">
        <f>SUM(G72:G75)*Assumptions!$G$55*Assumptions!$G$56/4/VLOOKUP(Assumptions!$D$7, Lists!$B$7:$C$10, 2, FALSE)</f>
        <v>22522500</v>
      </c>
      <c r="H19" s="60">
        <f t="shared" si="21"/>
        <v>56667187.5</v>
      </c>
      <c r="I19" s="183">
        <f>SUM(I72:I75)*Assumptions!$G$55*Assumptions!$G$56/4/VLOOKUP(Assumptions!$D$7, Lists!$B$7:$C$10, 2, FALSE)</f>
        <v>27972656.25</v>
      </c>
      <c r="J19" s="183">
        <f>SUM(J72:J75)*Assumptions!$G$55*Assumptions!$G$56/4/VLOOKUP(Assumptions!$D$7, Lists!$B$7:$C$10, 2, FALSE)</f>
        <v>33350625</v>
      </c>
      <c r="K19" s="183">
        <f>SUM(K72:K75)*Assumptions!$G$55*Assumptions!$G$56/4/VLOOKUP(Assumptions!$D$7, Lists!$B$7:$C$10, 2, FALSE)</f>
        <v>38656406.25</v>
      </c>
      <c r="L19" s="183">
        <f>SUM(L72:L75)*Assumptions!$G$55*Assumptions!$G$56/4/VLOOKUP(Assumptions!$D$7, Lists!$B$7:$C$10, 2, FALSE)</f>
        <v>43890000</v>
      </c>
      <c r="M19" s="48">
        <f t="shared" si="22"/>
        <v>143869687.5</v>
      </c>
      <c r="N19" s="183">
        <f>SUM(N72:N75)*Assumptions!$G$55*Assumptions!$G$56/4/VLOOKUP(Assumptions!$D$7, Lists!$B$7:$C$10, 2, FALSE)</f>
        <v>49051406.25</v>
      </c>
      <c r="O19" s="183">
        <f>SUM(O72:O75)*Assumptions!$G$55*Assumptions!$G$56/4/VLOOKUP(Assumptions!$D$7, Lists!$B$7:$C$10, 2, FALSE)</f>
        <v>54140625</v>
      </c>
      <c r="P19" s="183">
        <f>SUM(P72:P75)*Assumptions!$G$55*Assumptions!$G$56/4/VLOOKUP(Assumptions!$D$7, Lists!$B$7:$C$10, 2, FALSE)</f>
        <v>59157656.25</v>
      </c>
      <c r="Q19" s="183">
        <f>SUM(Q72:Q75)*Assumptions!$G$55*Assumptions!$G$56/4/VLOOKUP(Assumptions!$D$7, Lists!$B$7:$C$10, 2, FALSE)</f>
        <v>64102500</v>
      </c>
      <c r="R19" s="48">
        <f t="shared" si="23"/>
        <v>226452187.5</v>
      </c>
      <c r="S19" s="183">
        <f>SUM(S72:S75)*Assumptions!$G$55*Assumptions!$G$56/4/VLOOKUP(Assumptions!$D$7, Lists!$B$7:$C$10, 2, FALSE)</f>
        <v>68975156.25</v>
      </c>
      <c r="T19" s="183">
        <f>SUM(T72:T75)*Assumptions!$G$55*Assumptions!$G$56/4/VLOOKUP(Assumptions!$D$7, Lists!$B$7:$C$10, 2, FALSE)</f>
        <v>73775625</v>
      </c>
      <c r="U19" s="183">
        <f>SUM(U72:U75)*Assumptions!$G$55*Assumptions!$G$56/4/VLOOKUP(Assumptions!$D$7, Lists!$B$7:$C$10, 2, FALSE)</f>
        <v>78503906.25</v>
      </c>
      <c r="V19" s="183">
        <f>SUM(V72:V75)*Assumptions!$G$55*Assumptions!$G$56/4/VLOOKUP(Assumptions!$D$7, Lists!$B$7:$C$10, 2, FALSE)</f>
        <v>83160000</v>
      </c>
      <c r="W19" s="48">
        <f t="shared" si="24"/>
        <v>304414687.5</v>
      </c>
      <c r="X19" s="183">
        <f>SUM(X72:X75)*Assumptions!$G$55*Assumptions!$G$56/4/VLOOKUP(Assumptions!$D$7, Lists!$B$7:$C$10, 2, FALSE)</f>
        <v>87743906.25</v>
      </c>
      <c r="Y19" s="183">
        <f>SUM(Y72:Y75)*Assumptions!$G$55*Assumptions!$G$56/4/VLOOKUP(Assumptions!$D$7, Lists!$B$7:$C$10, 2, FALSE)</f>
        <v>92255625</v>
      </c>
      <c r="Z19" s="183">
        <f>SUM(Z72:Z75)*Assumptions!$G$55*Assumptions!$G$56/4/VLOOKUP(Assumptions!$D$7, Lists!$B$7:$C$10, 2, FALSE)</f>
        <v>96695156.25</v>
      </c>
      <c r="AA19" s="183">
        <f>SUM(AA72:AA75)*Assumptions!$G$55*Assumptions!$G$56/4/VLOOKUP(Assumptions!$D$7, Lists!$B$7:$C$10, 2, FALSE)</f>
        <v>101062500</v>
      </c>
      <c r="AB19" s="48">
        <f t="shared" si="25"/>
        <v>377757187.5</v>
      </c>
      <c r="AC19" s="183">
        <f>SUM(AC72:AC75)*Assumptions!$G$55*Assumptions!$G$56/4/VLOOKUP(Assumptions!$D$7, Lists!$B$7:$C$10, 2, FALSE)</f>
        <v>100340625</v>
      </c>
      <c r="AD19" s="183">
        <f>SUM(AD72:AD75)*Assumptions!$G$55*Assumptions!$G$56/4/VLOOKUP(Assumptions!$D$7, Lists!$B$7:$C$10, 2, FALSE)</f>
        <v>99618750</v>
      </c>
      <c r="AE19" s="183">
        <f>SUM(AE72:AE75)*Assumptions!$G$55*Assumptions!$G$56/4/VLOOKUP(Assumptions!$D$7, Lists!$B$7:$C$10, 2, FALSE)</f>
        <v>98896875</v>
      </c>
      <c r="AF19" s="183">
        <f>SUM(AF72:AF75)*Assumptions!$G$55*Assumptions!$G$56/4/VLOOKUP(Assumptions!$D$7, Lists!$B$7:$C$10, 2, FALSE)</f>
        <v>98175000</v>
      </c>
      <c r="AG19" s="48">
        <f t="shared" si="26"/>
        <v>397031250</v>
      </c>
      <c r="AH19" s="183">
        <f>SUM(AH72:AH75)*Assumptions!$G$55*Assumptions!$G$56/4/VLOOKUP(Assumptions!$D$7, Lists!$B$7:$C$10, 2, FALSE)</f>
        <v>97453125</v>
      </c>
      <c r="AI19" s="183">
        <f>SUM(AI72:AI75)*Assumptions!$G$55*Assumptions!$G$56/4/VLOOKUP(Assumptions!$D$7, Lists!$B$7:$C$10, 2, FALSE)</f>
        <v>96731250</v>
      </c>
      <c r="AJ19" s="183">
        <f>SUM(AJ72:AJ75)*Assumptions!$G$55*Assumptions!$G$56/4/VLOOKUP(Assumptions!$D$7, Lists!$B$7:$C$10, 2, FALSE)</f>
        <v>96009375</v>
      </c>
      <c r="AK19" s="183">
        <f>SUM(AK72:AK75)*Assumptions!$G$55*Assumptions!$G$56/4/VLOOKUP(Assumptions!$D$7, Lists!$B$7:$C$10, 2, FALSE)</f>
        <v>95287500</v>
      </c>
      <c r="AL19" s="48">
        <f t="shared" si="27"/>
        <v>385481250</v>
      </c>
    </row>
    <row r="20" spans="1:38" ht="15.95" outlineLevel="2">
      <c r="A20" s="31"/>
      <c r="C20" s="32" t="s">
        <v>263</v>
      </c>
      <c r="D20" s="185">
        <f>Assumptions!$G$57/4/VLOOKUP(Assumptions!$D$7, Lists!$B$7:$C$10, 2, FALSE)</f>
        <v>2500000</v>
      </c>
      <c r="E20" s="185">
        <f>Assumptions!$G$57/4/VLOOKUP(Assumptions!$D$7, Lists!$B$7:$C$10, 2, FALSE)</f>
        <v>2500000</v>
      </c>
      <c r="F20" s="185">
        <f>Assumptions!$G$57/4/VLOOKUP(Assumptions!$D$7, Lists!$B$7:$C$10, 2, FALSE)</f>
        <v>2500000</v>
      </c>
      <c r="G20" s="185">
        <f>Assumptions!$G$57/4/VLOOKUP(Assumptions!$D$7, Lists!$B$7:$C$10, 2, FALSE)</f>
        <v>2500000</v>
      </c>
      <c r="H20" s="60">
        <f t="shared" si="21"/>
        <v>10000000</v>
      </c>
      <c r="I20" s="185">
        <f>Assumptions!$G$57/4/VLOOKUP(Assumptions!$D$7, Lists!$B$7:$C$10, 2, FALSE)</f>
        <v>2500000</v>
      </c>
      <c r="J20" s="185">
        <f>Assumptions!$G$57/4/VLOOKUP(Assumptions!$D$7, Lists!$B$7:$C$10, 2, FALSE)</f>
        <v>2500000</v>
      </c>
      <c r="K20" s="185">
        <f>Assumptions!$G$57/4/VLOOKUP(Assumptions!$D$7, Lists!$B$7:$C$10, 2, FALSE)</f>
        <v>2500000</v>
      </c>
      <c r="L20" s="185">
        <f>Assumptions!$G$57/4/VLOOKUP(Assumptions!$D$7, Lists!$B$7:$C$10, 2, FALSE)</f>
        <v>2500000</v>
      </c>
      <c r="M20" s="48">
        <f t="shared" si="22"/>
        <v>10000000</v>
      </c>
      <c r="N20" s="185">
        <f>Assumptions!$G$57/4/VLOOKUP(Assumptions!$D$7, Lists!$B$7:$C$10, 2, FALSE)</f>
        <v>2500000</v>
      </c>
      <c r="O20" s="185">
        <f>Assumptions!$G$57/4/VLOOKUP(Assumptions!$D$7, Lists!$B$7:$C$10, 2, FALSE)</f>
        <v>2500000</v>
      </c>
      <c r="P20" s="185">
        <f>Assumptions!$G$57/4/VLOOKUP(Assumptions!$D$7, Lists!$B$7:$C$10, 2, FALSE)</f>
        <v>2500000</v>
      </c>
      <c r="Q20" s="185">
        <f>Assumptions!$G$57/4/VLOOKUP(Assumptions!$D$7, Lists!$B$7:$C$10, 2, FALSE)</f>
        <v>2500000</v>
      </c>
      <c r="R20" s="48">
        <f t="shared" si="23"/>
        <v>10000000</v>
      </c>
      <c r="S20" s="185">
        <f>Assumptions!$G$57/4/VLOOKUP(Assumptions!$D$7, Lists!$B$7:$C$10, 2, FALSE)</f>
        <v>2500000</v>
      </c>
      <c r="T20" s="185">
        <f>Assumptions!$G$57/4/VLOOKUP(Assumptions!$D$7, Lists!$B$7:$C$10, 2, FALSE)</f>
        <v>2500000</v>
      </c>
      <c r="U20" s="185">
        <f>Assumptions!$G$57/4/VLOOKUP(Assumptions!$D$7, Lists!$B$7:$C$10, 2, FALSE)</f>
        <v>2500000</v>
      </c>
      <c r="V20" s="185">
        <f>Assumptions!$G$57/4/VLOOKUP(Assumptions!$D$7, Lists!$B$7:$C$10, 2, FALSE)</f>
        <v>2500000</v>
      </c>
      <c r="W20" s="48">
        <f t="shared" si="24"/>
        <v>10000000</v>
      </c>
      <c r="X20" s="185">
        <f>Assumptions!$G$57/4/VLOOKUP(Assumptions!$D$7, Lists!$B$7:$C$10, 2, FALSE)</f>
        <v>2500000</v>
      </c>
      <c r="Y20" s="185">
        <f>Assumptions!$G$57/4/VLOOKUP(Assumptions!$D$7, Lists!$B$7:$C$10, 2, FALSE)</f>
        <v>2500000</v>
      </c>
      <c r="Z20" s="185">
        <f>Assumptions!$G$57/4/VLOOKUP(Assumptions!$D$7, Lists!$B$7:$C$10, 2, FALSE)</f>
        <v>2500000</v>
      </c>
      <c r="AA20" s="185">
        <f>Assumptions!$G$57/4/VLOOKUP(Assumptions!$D$7, Lists!$B$7:$C$10, 2, FALSE)</f>
        <v>2500000</v>
      </c>
      <c r="AB20" s="48">
        <f t="shared" si="25"/>
        <v>10000000</v>
      </c>
      <c r="AC20" s="185">
        <f>Assumptions!$G$57/4/VLOOKUP(Assumptions!$D$7, Lists!$B$7:$C$10, 2, FALSE)</f>
        <v>2500000</v>
      </c>
      <c r="AD20" s="185">
        <f>Assumptions!$G$57/4/VLOOKUP(Assumptions!$D$7, Lists!$B$7:$C$10, 2, FALSE)</f>
        <v>2500000</v>
      </c>
      <c r="AE20" s="185">
        <f>Assumptions!$G$57/4/VLOOKUP(Assumptions!$D$7, Lists!$B$7:$C$10, 2, FALSE)</f>
        <v>2500000</v>
      </c>
      <c r="AF20" s="185">
        <f>Assumptions!$G$57/4/VLOOKUP(Assumptions!$D$7, Lists!$B$7:$C$10, 2, FALSE)</f>
        <v>2500000</v>
      </c>
      <c r="AG20" s="48">
        <f t="shared" si="26"/>
        <v>10000000</v>
      </c>
      <c r="AH20" s="185">
        <f>Assumptions!$G$57/4/VLOOKUP(Assumptions!$D$7, Lists!$B$7:$C$10, 2, FALSE)</f>
        <v>2500000</v>
      </c>
      <c r="AI20" s="185">
        <f>Assumptions!$G$57/4/VLOOKUP(Assumptions!$D$7, Lists!$B$7:$C$10, 2, FALSE)</f>
        <v>2500000</v>
      </c>
      <c r="AJ20" s="185">
        <f>Assumptions!$G$57/4/VLOOKUP(Assumptions!$D$7, Lists!$B$7:$C$10, 2, FALSE)</f>
        <v>2500000</v>
      </c>
      <c r="AK20" s="185">
        <f>Assumptions!$G$57/4/VLOOKUP(Assumptions!$D$7, Lists!$B$7:$C$10, 2, FALSE)</f>
        <v>2500000</v>
      </c>
      <c r="AL20" s="48">
        <f t="shared" si="27"/>
        <v>10000000</v>
      </c>
    </row>
    <row r="21" spans="1:38" ht="15.95" outlineLevel="2">
      <c r="A21" s="31"/>
      <c r="C21" s="32" t="s">
        <v>264</v>
      </c>
      <c r="D21" s="185">
        <f>-Assumptions!$G$58/4/VLOOKUP(Assumptions!$D$7, Lists!$B$7:$C$10, 2, FALSE)</f>
        <v>-6250000</v>
      </c>
      <c r="E21" s="185">
        <f>-Assumptions!$G$58/4/VLOOKUP(Assumptions!$D$7, Lists!$B$7:$C$10, 2, FALSE)</f>
        <v>-6250000</v>
      </c>
      <c r="F21" s="185">
        <f>-Assumptions!$G$58/4/VLOOKUP(Assumptions!$D$7, Lists!$B$7:$C$10, 2, FALSE)</f>
        <v>-6250000</v>
      </c>
      <c r="G21" s="185">
        <f>-Assumptions!$G$58/4/VLOOKUP(Assumptions!$D$7, Lists!$B$7:$C$10, 2, FALSE)</f>
        <v>-6250000</v>
      </c>
      <c r="H21" s="60">
        <f t="shared" si="21"/>
        <v>-25000000</v>
      </c>
      <c r="I21" s="185">
        <f>-Assumptions!$G$58/4/VLOOKUP(Assumptions!$D$7, Lists!$B$7:$C$10, 2, FALSE)</f>
        <v>-6250000</v>
      </c>
      <c r="J21" s="185">
        <f>-Assumptions!$G$58/4/VLOOKUP(Assumptions!$D$7, Lists!$B$7:$C$10, 2, FALSE)</f>
        <v>-6250000</v>
      </c>
      <c r="K21" s="185">
        <f>-Assumptions!$G$58/4/VLOOKUP(Assumptions!$D$7, Lists!$B$7:$C$10, 2, FALSE)</f>
        <v>-6250000</v>
      </c>
      <c r="L21" s="185">
        <f>-Assumptions!$G$58/4/VLOOKUP(Assumptions!$D$7, Lists!$B$7:$C$10, 2, FALSE)</f>
        <v>-6250000</v>
      </c>
      <c r="M21" s="48">
        <f t="shared" si="22"/>
        <v>-25000000</v>
      </c>
      <c r="N21" s="185">
        <f>-Assumptions!$G$58/4/VLOOKUP(Assumptions!$D$7, Lists!$B$7:$C$10, 2, FALSE)</f>
        <v>-6250000</v>
      </c>
      <c r="O21" s="185">
        <f>-Assumptions!$G$58/4/VLOOKUP(Assumptions!$D$7, Lists!$B$7:$C$10, 2, FALSE)</f>
        <v>-6250000</v>
      </c>
      <c r="P21" s="185">
        <f>-Assumptions!$G$58/4/VLOOKUP(Assumptions!$D$7, Lists!$B$7:$C$10, 2, FALSE)</f>
        <v>-6250000</v>
      </c>
      <c r="Q21" s="185">
        <f>-Assumptions!$G$58/4/VLOOKUP(Assumptions!$D$7, Lists!$B$7:$C$10, 2, FALSE)</f>
        <v>-6250000</v>
      </c>
      <c r="R21" s="48">
        <f t="shared" si="23"/>
        <v>-25000000</v>
      </c>
      <c r="S21" s="185">
        <f>-Assumptions!$G$58/4/VLOOKUP(Assumptions!$D$7, Lists!$B$7:$C$10, 2, FALSE)</f>
        <v>-6250000</v>
      </c>
      <c r="T21" s="185">
        <f>-Assumptions!$G$58/4/VLOOKUP(Assumptions!$D$7, Lists!$B$7:$C$10, 2, FALSE)</f>
        <v>-6250000</v>
      </c>
      <c r="U21" s="185">
        <f>-Assumptions!$G$58/4/VLOOKUP(Assumptions!$D$7, Lists!$B$7:$C$10, 2, FALSE)</f>
        <v>-6250000</v>
      </c>
      <c r="V21" s="185">
        <f>-Assumptions!$G$58/4/VLOOKUP(Assumptions!$D$7, Lists!$B$7:$C$10, 2, FALSE)</f>
        <v>-6250000</v>
      </c>
      <c r="W21" s="48">
        <f t="shared" si="24"/>
        <v>-25000000</v>
      </c>
      <c r="X21" s="185">
        <f>-Assumptions!$G$58/4/VLOOKUP(Assumptions!$D$7, Lists!$B$7:$C$10, 2, FALSE)</f>
        <v>-6250000</v>
      </c>
      <c r="Y21" s="185">
        <f>-Assumptions!$G$58/4/VLOOKUP(Assumptions!$D$7, Lists!$B$7:$C$10, 2, FALSE)</f>
        <v>-6250000</v>
      </c>
      <c r="Z21" s="185">
        <f>-Assumptions!$G$58/4/VLOOKUP(Assumptions!$D$7, Lists!$B$7:$C$10, 2, FALSE)</f>
        <v>-6250000</v>
      </c>
      <c r="AA21" s="185">
        <f>-Assumptions!$G$58/4/VLOOKUP(Assumptions!$D$7, Lists!$B$7:$C$10, 2, FALSE)</f>
        <v>-6250000</v>
      </c>
      <c r="AB21" s="48">
        <f t="shared" si="25"/>
        <v>-25000000</v>
      </c>
      <c r="AC21" s="185">
        <f>-Assumptions!$G$58/4/VLOOKUP(Assumptions!$D$7, Lists!$B$7:$C$10, 2, FALSE)</f>
        <v>-6250000</v>
      </c>
      <c r="AD21" s="185">
        <f>-Assumptions!$G$58/4/VLOOKUP(Assumptions!$D$7, Lists!$B$7:$C$10, 2, FALSE)</f>
        <v>-6250000</v>
      </c>
      <c r="AE21" s="185">
        <f>-Assumptions!$G$58/4/VLOOKUP(Assumptions!$D$7, Lists!$B$7:$C$10, 2, FALSE)</f>
        <v>-6250000</v>
      </c>
      <c r="AF21" s="185">
        <f>-Assumptions!$G$58/4/VLOOKUP(Assumptions!$D$7, Lists!$B$7:$C$10, 2, FALSE)</f>
        <v>-6250000</v>
      </c>
      <c r="AG21" s="48">
        <f t="shared" si="26"/>
        <v>-25000000</v>
      </c>
      <c r="AH21" s="185">
        <f>-Assumptions!$G$58/4/VLOOKUP(Assumptions!$D$7, Lists!$B$7:$C$10, 2, FALSE)</f>
        <v>-6250000</v>
      </c>
      <c r="AI21" s="185">
        <f>-Assumptions!$G$58/4/VLOOKUP(Assumptions!$D$7, Lists!$B$7:$C$10, 2, FALSE)</f>
        <v>-6250000</v>
      </c>
      <c r="AJ21" s="185">
        <f>-Assumptions!$G$58/4/VLOOKUP(Assumptions!$D$7, Lists!$B$7:$C$10, 2, FALSE)</f>
        <v>-6250000</v>
      </c>
      <c r="AK21" s="185">
        <f>-Assumptions!$G$58/4/VLOOKUP(Assumptions!$D$7, Lists!$B$7:$C$10, 2, FALSE)</f>
        <v>-6250000</v>
      </c>
      <c r="AL21" s="48">
        <f t="shared" si="27"/>
        <v>-25000000</v>
      </c>
    </row>
    <row r="22" spans="1:38" ht="15.95" outlineLevel="2">
      <c r="A22" s="31"/>
      <c r="C22" s="32" t="s">
        <v>265</v>
      </c>
      <c r="D22" s="185">
        <f>D20+D21</f>
        <v>-3750000</v>
      </c>
      <c r="E22" s="185">
        <f>E20+E21</f>
        <v>-3750000</v>
      </c>
      <c r="F22" s="185">
        <f>F20+F21</f>
        <v>-3750000</v>
      </c>
      <c r="G22" s="185">
        <f>G20+G21</f>
        <v>-3750000</v>
      </c>
      <c r="H22" s="60">
        <f t="shared" si="21"/>
        <v>-15000000</v>
      </c>
      <c r="I22" s="185">
        <f>I20+I21</f>
        <v>-3750000</v>
      </c>
      <c r="J22" s="185">
        <f>J20+J21</f>
        <v>-3750000</v>
      </c>
      <c r="K22" s="185">
        <f>K20+K21</f>
        <v>-3750000</v>
      </c>
      <c r="L22" s="185">
        <f>L20+L21</f>
        <v>-3750000</v>
      </c>
      <c r="M22" s="48">
        <f t="shared" si="22"/>
        <v>-15000000</v>
      </c>
      <c r="N22" s="185">
        <f>N20+N21</f>
        <v>-3750000</v>
      </c>
      <c r="O22" s="185">
        <f>O20+O21</f>
        <v>-3750000</v>
      </c>
      <c r="P22" s="185">
        <f>P20+P21</f>
        <v>-3750000</v>
      </c>
      <c r="Q22" s="185">
        <f>Q20+Q21</f>
        <v>-3750000</v>
      </c>
      <c r="R22" s="48">
        <f t="shared" si="23"/>
        <v>-15000000</v>
      </c>
      <c r="S22" s="185">
        <f>S20+S21</f>
        <v>-3750000</v>
      </c>
      <c r="T22" s="185">
        <f>T20+T21</f>
        <v>-3750000</v>
      </c>
      <c r="U22" s="185">
        <f>U20+U21</f>
        <v>-3750000</v>
      </c>
      <c r="V22" s="185">
        <f>V20+V21</f>
        <v>-3750000</v>
      </c>
      <c r="W22" s="48">
        <f t="shared" si="24"/>
        <v>-15000000</v>
      </c>
      <c r="X22" s="185">
        <f>X20+X21</f>
        <v>-3750000</v>
      </c>
      <c r="Y22" s="185">
        <f>Y20+Y21</f>
        <v>-3750000</v>
      </c>
      <c r="Z22" s="185">
        <f>Z20+Z21</f>
        <v>-3750000</v>
      </c>
      <c r="AA22" s="185">
        <f>AA20+AA21</f>
        <v>-3750000</v>
      </c>
      <c r="AB22" s="48">
        <f t="shared" si="25"/>
        <v>-15000000</v>
      </c>
      <c r="AC22" s="185">
        <f>AC20+AC21</f>
        <v>-3750000</v>
      </c>
      <c r="AD22" s="185">
        <f>AD20+AD21</f>
        <v>-3750000</v>
      </c>
      <c r="AE22" s="185">
        <f>AE20+AE21</f>
        <v>-3750000</v>
      </c>
      <c r="AF22" s="185">
        <f>AF20+AF21</f>
        <v>-3750000</v>
      </c>
      <c r="AG22" s="48">
        <f t="shared" si="26"/>
        <v>-15000000</v>
      </c>
      <c r="AH22" s="185">
        <f>AH20+AH21</f>
        <v>-3750000</v>
      </c>
      <c r="AI22" s="185">
        <f>AI20+AI21</f>
        <v>-3750000</v>
      </c>
      <c r="AJ22" s="185">
        <f>AJ20+AJ21</f>
        <v>-3750000</v>
      </c>
      <c r="AK22" s="185">
        <f>AK20+AK21</f>
        <v>-3750000</v>
      </c>
      <c r="AL22" s="48">
        <f t="shared" si="27"/>
        <v>-15000000</v>
      </c>
    </row>
    <row r="23" spans="1:38" ht="17.100000000000001" outlineLevel="1" thickBot="1">
      <c r="A23" s="31"/>
      <c r="B23" s="34" t="s">
        <v>266</v>
      </c>
      <c r="C23" s="34"/>
      <c r="D23" s="184">
        <f>D19+D22</f>
        <v>1988906.25</v>
      </c>
      <c r="E23" s="184">
        <f t="shared" ref="E23:G23" si="42">E19+E22</f>
        <v>7655625</v>
      </c>
      <c r="F23" s="184">
        <f t="shared" si="42"/>
        <v>13250156.25</v>
      </c>
      <c r="G23" s="184">
        <f t="shared" si="42"/>
        <v>18772500</v>
      </c>
      <c r="H23" s="61">
        <f t="shared" ref="H23:H28" si="43">SUM(D23:G23)</f>
        <v>41667187.5</v>
      </c>
      <c r="I23" s="184">
        <f>I19+I22</f>
        <v>24222656.25</v>
      </c>
      <c r="J23" s="184">
        <f t="shared" ref="J23:L23" si="44">J19+J22</f>
        <v>29600625</v>
      </c>
      <c r="K23" s="184">
        <f t="shared" si="44"/>
        <v>34906406.25</v>
      </c>
      <c r="L23" s="184">
        <f t="shared" si="44"/>
        <v>40140000</v>
      </c>
      <c r="M23" s="51">
        <f t="shared" ref="M23:M28" si="45">SUM(I23:L23)</f>
        <v>128869687.5</v>
      </c>
      <c r="N23" s="184">
        <f>N19+N22</f>
        <v>45301406.25</v>
      </c>
      <c r="O23" s="184">
        <f t="shared" ref="O23:Q23" si="46">O19+O22</f>
        <v>50390625</v>
      </c>
      <c r="P23" s="184">
        <f t="shared" si="46"/>
        <v>55407656.25</v>
      </c>
      <c r="Q23" s="184">
        <f t="shared" si="46"/>
        <v>60352500</v>
      </c>
      <c r="R23" s="51">
        <f t="shared" ref="R23:R28" si="47">SUM(N23:Q23)</f>
        <v>211452187.5</v>
      </c>
      <c r="S23" s="184">
        <f>S19+S22</f>
        <v>65225156.25</v>
      </c>
      <c r="T23" s="184">
        <f t="shared" ref="T23:V23" si="48">T19+T22</f>
        <v>70025625</v>
      </c>
      <c r="U23" s="184">
        <f t="shared" si="48"/>
        <v>74753906.25</v>
      </c>
      <c r="V23" s="184">
        <f t="shared" si="48"/>
        <v>79410000</v>
      </c>
      <c r="W23" s="51">
        <f t="shared" ref="W23:W28" si="49">SUM(S23:V23)</f>
        <v>289414687.5</v>
      </c>
      <c r="X23" s="184">
        <f>X19+X22</f>
        <v>83993906.25</v>
      </c>
      <c r="Y23" s="184">
        <f t="shared" ref="Y23:AA23" si="50">Y19+Y22</f>
        <v>88505625</v>
      </c>
      <c r="Z23" s="184">
        <f t="shared" si="50"/>
        <v>92945156.25</v>
      </c>
      <c r="AA23" s="184">
        <f t="shared" si="50"/>
        <v>97312500</v>
      </c>
      <c r="AB23" s="51">
        <f t="shared" ref="AB23:AB28" si="51">SUM(X23:AA23)</f>
        <v>362757187.5</v>
      </c>
      <c r="AC23" s="184">
        <f>AC19+AC22</f>
        <v>96590625</v>
      </c>
      <c r="AD23" s="184">
        <f t="shared" ref="AD23:AF23" si="52">AD19+AD22</f>
        <v>95868750</v>
      </c>
      <c r="AE23" s="184">
        <f t="shared" si="52"/>
        <v>95146875</v>
      </c>
      <c r="AF23" s="184">
        <f t="shared" si="52"/>
        <v>94425000</v>
      </c>
      <c r="AG23" s="51">
        <f t="shared" ref="AG23:AG28" si="53">SUM(AC23:AF23)</f>
        <v>382031250</v>
      </c>
      <c r="AH23" s="184">
        <f>AH19+AH22</f>
        <v>93703125</v>
      </c>
      <c r="AI23" s="184">
        <f t="shared" ref="AI23:AK23" si="54">AI19+AI22</f>
        <v>92981250</v>
      </c>
      <c r="AJ23" s="184">
        <f t="shared" si="54"/>
        <v>92259375</v>
      </c>
      <c r="AK23" s="184">
        <f t="shared" si="54"/>
        <v>91537500</v>
      </c>
      <c r="AL23" s="51">
        <f t="shared" ref="AL23:AL28" si="55">SUM(AH23:AK23)</f>
        <v>370481250</v>
      </c>
    </row>
    <row r="24" spans="1:38" ht="17.100000000000001" thickBot="1">
      <c r="A24" s="36" t="s">
        <v>267</v>
      </c>
      <c r="B24" s="37"/>
      <c r="C24" s="38"/>
      <c r="D24" s="53">
        <f>D23</f>
        <v>1988906.25</v>
      </c>
      <c r="E24" s="53">
        <f>E23</f>
        <v>7655625</v>
      </c>
      <c r="F24" s="53">
        <f>F23</f>
        <v>13250156.25</v>
      </c>
      <c r="G24" s="53">
        <f>G23</f>
        <v>18772500</v>
      </c>
      <c r="H24" s="44">
        <f t="shared" si="43"/>
        <v>41667187.5</v>
      </c>
      <c r="I24" s="53">
        <f>I23</f>
        <v>24222656.25</v>
      </c>
      <c r="J24" s="53">
        <f>J23</f>
        <v>29600625</v>
      </c>
      <c r="K24" s="53">
        <f>K23</f>
        <v>34906406.25</v>
      </c>
      <c r="L24" s="53">
        <f>L23</f>
        <v>40140000</v>
      </c>
      <c r="M24" s="44">
        <f t="shared" si="45"/>
        <v>128869687.5</v>
      </c>
      <c r="N24" s="53">
        <f>N23</f>
        <v>45301406.25</v>
      </c>
      <c r="O24" s="53">
        <f>O23</f>
        <v>50390625</v>
      </c>
      <c r="P24" s="53">
        <f>P23</f>
        <v>55407656.25</v>
      </c>
      <c r="Q24" s="53">
        <f>Q23</f>
        <v>60352500</v>
      </c>
      <c r="R24" s="44">
        <f t="shared" si="47"/>
        <v>211452187.5</v>
      </c>
      <c r="S24" s="53">
        <f>S23</f>
        <v>65225156.25</v>
      </c>
      <c r="T24" s="53">
        <f>T23</f>
        <v>70025625</v>
      </c>
      <c r="U24" s="53">
        <f>U23</f>
        <v>74753906.25</v>
      </c>
      <c r="V24" s="53">
        <f>V23</f>
        <v>79410000</v>
      </c>
      <c r="W24" s="44">
        <f t="shared" si="49"/>
        <v>289414687.5</v>
      </c>
      <c r="X24" s="53">
        <f>X23</f>
        <v>83993906.25</v>
      </c>
      <c r="Y24" s="53">
        <f>Y23</f>
        <v>88505625</v>
      </c>
      <c r="Z24" s="53">
        <f>Z23</f>
        <v>92945156.25</v>
      </c>
      <c r="AA24" s="53">
        <f>AA23</f>
        <v>97312500</v>
      </c>
      <c r="AB24" s="44">
        <f t="shared" si="51"/>
        <v>362757187.5</v>
      </c>
      <c r="AC24" s="53">
        <f>AC23</f>
        <v>96590625</v>
      </c>
      <c r="AD24" s="53">
        <f>AD23</f>
        <v>95868750</v>
      </c>
      <c r="AE24" s="53">
        <f>AE23</f>
        <v>95146875</v>
      </c>
      <c r="AF24" s="53">
        <f>AF23</f>
        <v>94425000</v>
      </c>
      <c r="AG24" s="44">
        <f t="shared" si="53"/>
        <v>382031250</v>
      </c>
      <c r="AH24" s="53">
        <f>AH23</f>
        <v>93703125</v>
      </c>
      <c r="AI24" s="53">
        <f>AI23</f>
        <v>92981250</v>
      </c>
      <c r="AJ24" s="53">
        <f>AJ23</f>
        <v>92259375</v>
      </c>
      <c r="AK24" s="53">
        <f>AK23</f>
        <v>91537500</v>
      </c>
      <c r="AL24" s="44">
        <f t="shared" si="55"/>
        <v>370481250</v>
      </c>
    </row>
    <row r="25" spans="1:38" ht="17.100000000000001" thickBot="1">
      <c r="A25" s="36" t="s">
        <v>268</v>
      </c>
      <c r="B25" s="37"/>
      <c r="C25" s="38"/>
      <c r="D25" s="182">
        <f>D24+D18+D12</f>
        <v>51733050</v>
      </c>
      <c r="E25" s="182">
        <f>E24+E18+E12</f>
        <v>81470731.25</v>
      </c>
      <c r="F25" s="182">
        <f>F24+F18+F12</f>
        <v>110825575</v>
      </c>
      <c r="G25" s="182">
        <f>G24+G18+G12</f>
        <v>139797581.25</v>
      </c>
      <c r="H25" s="44">
        <f t="shared" si="43"/>
        <v>383826937.5</v>
      </c>
      <c r="I25" s="182">
        <f>I24+I18+I12</f>
        <v>168386750</v>
      </c>
      <c r="J25" s="182">
        <f>J24+J18+J12</f>
        <v>196593081.25</v>
      </c>
      <c r="K25" s="182">
        <f>K24+K18+K12</f>
        <v>224416575</v>
      </c>
      <c r="L25" s="182">
        <f>L24+L18+L12</f>
        <v>251857231.25</v>
      </c>
      <c r="M25" s="44">
        <f t="shared" si="45"/>
        <v>841253637.5</v>
      </c>
      <c r="N25" s="182">
        <f>N24+N18+N12</f>
        <v>278915050</v>
      </c>
      <c r="O25" s="182">
        <f>O24+O18+O12</f>
        <v>305590031.25</v>
      </c>
      <c r="P25" s="182">
        <f>P24+P18+P12</f>
        <v>331882175</v>
      </c>
      <c r="Q25" s="182">
        <f>Q24+Q18+Q12</f>
        <v>357791481.25</v>
      </c>
      <c r="R25" s="44">
        <f t="shared" si="47"/>
        <v>1274178737.5</v>
      </c>
      <c r="S25" s="182">
        <f>S24+S18+S12</f>
        <v>383317950</v>
      </c>
      <c r="T25" s="182">
        <f>T24+T18+T12</f>
        <v>408461581.25</v>
      </c>
      <c r="U25" s="182">
        <f>U24+U18+U12</f>
        <v>433222375</v>
      </c>
      <c r="V25" s="182">
        <f>V24+V18+V12</f>
        <v>457600331.25</v>
      </c>
      <c r="W25" s="44">
        <f t="shared" si="49"/>
        <v>1682602237.5</v>
      </c>
      <c r="X25" s="182">
        <f>X24+X18+X12</f>
        <v>481595450</v>
      </c>
      <c r="Y25" s="182">
        <f>Y24+Y18+Y12</f>
        <v>505207731.25</v>
      </c>
      <c r="Z25" s="182">
        <f>Z24+Z18+Z12</f>
        <v>528437175</v>
      </c>
      <c r="AA25" s="182">
        <f>AA24+AA18+AA12</f>
        <v>551283781.25</v>
      </c>
      <c r="AB25" s="44">
        <f t="shared" si="51"/>
        <v>2066524137.5</v>
      </c>
      <c r="AC25" s="182">
        <f>AC24+AC18+AC12</f>
        <v>525243500</v>
      </c>
      <c r="AD25" s="182">
        <f>AD24+AD18+AD12</f>
        <v>521415125</v>
      </c>
      <c r="AE25" s="182">
        <f>AE24+AE18+AE12</f>
        <v>517586750</v>
      </c>
      <c r="AF25" s="182">
        <f>AF24+AF18+AF12</f>
        <v>513758375</v>
      </c>
      <c r="AG25" s="44">
        <f t="shared" si="53"/>
        <v>2078003750</v>
      </c>
      <c r="AH25" s="182">
        <f>AH24+AH18+AH12</f>
        <v>509930000</v>
      </c>
      <c r="AI25" s="182">
        <f>AI24+AI18+AI12</f>
        <v>506101625</v>
      </c>
      <c r="AJ25" s="182">
        <f>AJ24+AJ18+AJ12</f>
        <v>502273250</v>
      </c>
      <c r="AK25" s="182">
        <f>AK24+AK18+AK12</f>
        <v>498444875</v>
      </c>
      <c r="AL25" s="44">
        <f t="shared" si="55"/>
        <v>2016749750</v>
      </c>
    </row>
    <row r="26" spans="1:38" ht="15.95" outlineLevel="2">
      <c r="A26" s="31"/>
      <c r="C26" s="32" t="s">
        <v>269</v>
      </c>
      <c r="D26" s="183">
        <f>(D76+D77+D78)*-Assumptions!$G$34/4</f>
        <v>-6261867.1875</v>
      </c>
      <c r="E26" s="183">
        <f>(E76+E77+E78)*-Assumptions!$G$34/4</f>
        <v>-12444968.75</v>
      </c>
      <c r="F26" s="183">
        <f>(F76+F77+F78)*-Assumptions!$G$34/4</f>
        <v>-18549304.6875</v>
      </c>
      <c r="G26" s="183">
        <f>(G76+G77+G78)*-Assumptions!$G$34/4</f>
        <v>-24574875</v>
      </c>
      <c r="H26" s="60">
        <f t="shared" si="43"/>
        <v>-61831015.625</v>
      </c>
      <c r="I26" s="183">
        <f>(I76+I77+I78)*-Assumptions!$G$34/4</f>
        <v>-30521679.6875</v>
      </c>
      <c r="J26" s="183">
        <f>(J76+J77+J78)*-Assumptions!$G$34/4</f>
        <v>-36389718.75</v>
      </c>
      <c r="K26" s="183">
        <f>(K76+K77+K78)*-Assumptions!$G$34/4</f>
        <v>-42178992.1875</v>
      </c>
      <c r="L26" s="183">
        <f>(L76+L77+L78)*-Assumptions!$G$34/4</f>
        <v>-47889500</v>
      </c>
      <c r="M26" s="48">
        <f t="shared" si="45"/>
        <v>-156979890.625</v>
      </c>
      <c r="N26" s="183">
        <f>(N76+N77+N78)*-Assumptions!$G$34/4</f>
        <v>-53521242.1875</v>
      </c>
      <c r="O26" s="183">
        <f>(O76+O77+O78)*-Assumptions!$G$34/4</f>
        <v>-59074218.75</v>
      </c>
      <c r="P26" s="183">
        <f>(P76+P77+P78)*-Assumptions!$G$34/4</f>
        <v>-64548429.6875</v>
      </c>
      <c r="Q26" s="183">
        <f>(Q76+Q77+Q78)*-Assumptions!$G$34/4</f>
        <v>-69943875</v>
      </c>
      <c r="R26" s="48">
        <f t="shared" si="47"/>
        <v>-247087765.625</v>
      </c>
      <c r="S26" s="183">
        <f>(S76+S77+S78)*-Assumptions!$G$34/4</f>
        <v>-75260554.6875</v>
      </c>
      <c r="T26" s="183">
        <f>(T76+T77+T78)*-Assumptions!$G$34/4</f>
        <v>-80498468.75</v>
      </c>
      <c r="U26" s="183">
        <f>(U76+U77+U78)*-Assumptions!$G$34/4</f>
        <v>-85657617.1875</v>
      </c>
      <c r="V26" s="183">
        <f>(V76+V77+V78)*-Assumptions!$G$34/4</f>
        <v>-90738000</v>
      </c>
      <c r="W26" s="48">
        <f t="shared" si="49"/>
        <v>-332154640.625</v>
      </c>
      <c r="X26" s="183">
        <f>(X76+X77+X78)*-Assumptions!$G$34/4</f>
        <v>-95739617.1875</v>
      </c>
      <c r="Y26" s="183">
        <f>(Y76+Y77+Y78)*-Assumptions!$G$34/4</f>
        <v>-100662468.75</v>
      </c>
      <c r="Z26" s="183">
        <f>(Z76+Z77+Z78)*-Assumptions!$G$34/4</f>
        <v>-105506554.6875</v>
      </c>
      <c r="AA26" s="183">
        <f>(AA76+AA77+AA78)*-Assumptions!$G$34/4</f>
        <v>-110271875</v>
      </c>
      <c r="AB26" s="48">
        <f t="shared" si="51"/>
        <v>-412180515.625</v>
      </c>
      <c r="AC26" s="183">
        <f>(AC76+AC77+AC78)*-Assumptions!$G$34/4</f>
        <v>-109484218.75</v>
      </c>
      <c r="AD26" s="183">
        <f>(AD76+AD77+AD78)*-Assumptions!$G$34/4</f>
        <v>-108696562.5</v>
      </c>
      <c r="AE26" s="183">
        <f>(AE76+AE77+AE78)*-Assumptions!$G$34/4</f>
        <v>-107908906.25</v>
      </c>
      <c r="AF26" s="183">
        <f>(AF76+AF77+AF78)*-Assumptions!$G$34/4</f>
        <v>-107121250</v>
      </c>
      <c r="AG26" s="48">
        <f t="shared" si="53"/>
        <v>-433210937.5</v>
      </c>
      <c r="AH26" s="183">
        <f>(AH76+AH77+AH78)*-Assumptions!$G$34/4</f>
        <v>-106333593.75</v>
      </c>
      <c r="AI26" s="183">
        <f>(AI76+AI77+AI78)*-Assumptions!$G$34/4</f>
        <v>-105545937.5</v>
      </c>
      <c r="AJ26" s="183">
        <f>(AJ76+AJ77+AJ78)*-Assumptions!$G$34/4</f>
        <v>-104758281.25</v>
      </c>
      <c r="AK26" s="183">
        <f>(AK76+AK77+AK78)*-Assumptions!$G$34/4</f>
        <v>-103970625</v>
      </c>
      <c r="AL26" s="60">
        <f t="shared" si="55"/>
        <v>-420608437.5</v>
      </c>
    </row>
    <row r="27" spans="1:38" ht="17.100000000000001" outlineLevel="1" thickBot="1">
      <c r="A27" s="31"/>
      <c r="B27" s="34" t="s">
        <v>269</v>
      </c>
      <c r="C27" s="34"/>
      <c r="D27" s="184">
        <f>D26</f>
        <v>-6261867.1875</v>
      </c>
      <c r="E27" s="184">
        <f>E26</f>
        <v>-12444968.75</v>
      </c>
      <c r="F27" s="184">
        <f>F26</f>
        <v>-18549304.6875</v>
      </c>
      <c r="G27" s="184">
        <f>G26</f>
        <v>-24574875</v>
      </c>
      <c r="H27" s="61">
        <f t="shared" si="43"/>
        <v>-61831015.625</v>
      </c>
      <c r="I27" s="184">
        <f>I26</f>
        <v>-30521679.6875</v>
      </c>
      <c r="J27" s="184">
        <f>J26</f>
        <v>-36389718.75</v>
      </c>
      <c r="K27" s="184">
        <f>K26</f>
        <v>-42178992.1875</v>
      </c>
      <c r="L27" s="184">
        <f>L26</f>
        <v>-47889500</v>
      </c>
      <c r="M27" s="51">
        <f t="shared" si="45"/>
        <v>-156979890.625</v>
      </c>
      <c r="N27" s="184">
        <f>N26</f>
        <v>-53521242.1875</v>
      </c>
      <c r="O27" s="184">
        <f>O26</f>
        <v>-59074218.75</v>
      </c>
      <c r="P27" s="184">
        <f>P26</f>
        <v>-64548429.6875</v>
      </c>
      <c r="Q27" s="184">
        <f>Q26</f>
        <v>-69943875</v>
      </c>
      <c r="R27" s="51">
        <f t="shared" si="47"/>
        <v>-247087765.625</v>
      </c>
      <c r="S27" s="184">
        <f>S26</f>
        <v>-75260554.6875</v>
      </c>
      <c r="T27" s="184">
        <f>T26</f>
        <v>-80498468.75</v>
      </c>
      <c r="U27" s="184">
        <f>U26</f>
        <v>-85657617.1875</v>
      </c>
      <c r="V27" s="184">
        <f>V26</f>
        <v>-90738000</v>
      </c>
      <c r="W27" s="51">
        <f t="shared" si="49"/>
        <v>-332154640.625</v>
      </c>
      <c r="X27" s="184">
        <f>X26</f>
        <v>-95739617.1875</v>
      </c>
      <c r="Y27" s="184">
        <f>Y26</f>
        <v>-100662468.75</v>
      </c>
      <c r="Z27" s="184">
        <f>Z26</f>
        <v>-105506554.6875</v>
      </c>
      <c r="AA27" s="184">
        <f>AA26</f>
        <v>-110271875</v>
      </c>
      <c r="AB27" s="51">
        <f t="shared" si="51"/>
        <v>-412180515.625</v>
      </c>
      <c r="AC27" s="184">
        <f>AC26</f>
        <v>-109484218.75</v>
      </c>
      <c r="AD27" s="184">
        <f>AD26</f>
        <v>-108696562.5</v>
      </c>
      <c r="AE27" s="184">
        <f>AE26</f>
        <v>-107908906.25</v>
      </c>
      <c r="AF27" s="184">
        <f>AF26</f>
        <v>-107121250</v>
      </c>
      <c r="AG27" s="51">
        <f t="shared" si="53"/>
        <v>-433210937.5</v>
      </c>
      <c r="AH27" s="184">
        <f>AH26</f>
        <v>-106333593.75</v>
      </c>
      <c r="AI27" s="184">
        <f>AI26</f>
        <v>-105545937.5</v>
      </c>
      <c r="AJ27" s="184">
        <f>AJ26</f>
        <v>-104758281.25</v>
      </c>
      <c r="AK27" s="184">
        <f>AK26</f>
        <v>-103970625</v>
      </c>
      <c r="AL27" s="61">
        <f t="shared" si="55"/>
        <v>-420608437.5</v>
      </c>
    </row>
    <row r="28" spans="1:38" ht="17.100000000000001" thickBot="1">
      <c r="A28" s="36" t="s">
        <v>270</v>
      </c>
      <c r="B28" s="37"/>
      <c r="C28" s="38"/>
      <c r="D28" s="51">
        <f>D25-D27</f>
        <v>57994917.1875</v>
      </c>
      <c r="E28" s="51">
        <f>E25-E27</f>
        <v>93915700</v>
      </c>
      <c r="F28" s="51">
        <f>F25-F27</f>
        <v>129374879.6875</v>
      </c>
      <c r="G28" s="51">
        <f>G25-G27</f>
        <v>164372456.25</v>
      </c>
      <c r="H28" s="44">
        <f t="shared" si="43"/>
        <v>445657953.125</v>
      </c>
      <c r="I28" s="51">
        <f>I25-I27</f>
        <v>198908429.6875</v>
      </c>
      <c r="J28" s="51">
        <f>J25-J27</f>
        <v>232982800</v>
      </c>
      <c r="K28" s="51">
        <f>K25-K27</f>
        <v>266595567.1875</v>
      </c>
      <c r="L28" s="51">
        <f>L25-L27</f>
        <v>299746731.25</v>
      </c>
      <c r="M28" s="44">
        <f t="shared" si="45"/>
        <v>998233528.125</v>
      </c>
      <c r="N28" s="51">
        <f>N25-N27</f>
        <v>332436292.1875</v>
      </c>
      <c r="O28" s="51">
        <f>O25-O27</f>
        <v>364664250</v>
      </c>
      <c r="P28" s="51">
        <f>P25-P27</f>
        <v>396430604.6875</v>
      </c>
      <c r="Q28" s="51">
        <f>Q25-Q27</f>
        <v>427735356.25</v>
      </c>
      <c r="R28" s="44">
        <f t="shared" si="47"/>
        <v>1521266503.125</v>
      </c>
      <c r="S28" s="51">
        <f>S25-S27</f>
        <v>458578504.6875</v>
      </c>
      <c r="T28" s="51">
        <f>T25-T27</f>
        <v>488960050</v>
      </c>
      <c r="U28" s="51">
        <f>U25-U27</f>
        <v>518879992.1875</v>
      </c>
      <c r="V28" s="51">
        <f>V25-V27</f>
        <v>548338331.25</v>
      </c>
      <c r="W28" s="44">
        <f t="shared" si="49"/>
        <v>2014756878.125</v>
      </c>
      <c r="X28" s="51">
        <f>X25-X27</f>
        <v>577335067.1875</v>
      </c>
      <c r="Y28" s="51">
        <f>Y25-Y27</f>
        <v>605870200</v>
      </c>
      <c r="Z28" s="51">
        <f>Z25-Z27</f>
        <v>633943729.6875</v>
      </c>
      <c r="AA28" s="51">
        <f>AA25-AA27</f>
        <v>661555656.25</v>
      </c>
      <c r="AB28" s="44">
        <f t="shared" si="51"/>
        <v>2478704653.125</v>
      </c>
      <c r="AC28" s="51">
        <f>AC25-AC27</f>
        <v>634727718.75</v>
      </c>
      <c r="AD28" s="51">
        <f>AD25-AD27</f>
        <v>630111687.5</v>
      </c>
      <c r="AE28" s="51">
        <f>AE25-AE27</f>
        <v>625495656.25</v>
      </c>
      <c r="AF28" s="51">
        <f>AF25-AF27</f>
        <v>620879625</v>
      </c>
      <c r="AG28" s="44">
        <f t="shared" si="53"/>
        <v>2511214687.5</v>
      </c>
      <c r="AH28" s="51">
        <f>AH25-AH27</f>
        <v>616263593.75</v>
      </c>
      <c r="AI28" s="51">
        <f>AI25-AI27</f>
        <v>611647562.5</v>
      </c>
      <c r="AJ28" s="51">
        <f>AJ25-AJ27</f>
        <v>607031531.25</v>
      </c>
      <c r="AK28" s="51">
        <f>AK25-AK27</f>
        <v>602415500</v>
      </c>
      <c r="AL28" s="44">
        <f t="shared" si="55"/>
        <v>2437358187.5</v>
      </c>
    </row>
    <row r="29" spans="1:38" ht="15.95" outlineLevel="2">
      <c r="A29" s="31"/>
      <c r="C29" s="32" t="s">
        <v>271</v>
      </c>
      <c r="D29" s="183">
        <f>D87*-Assumptions!$G$69/4/VLOOKUP(Assumptions!$D$7, Lists!$B$7:$C$10, 2, FALSE)</f>
        <v>-2250000</v>
      </c>
      <c r="E29" s="183">
        <f>E87*-Assumptions!$G$69/4/VLOOKUP(Assumptions!$D$7, Lists!$B$7:$C$10, 2, FALSE)</f>
        <v>-4500000</v>
      </c>
      <c r="F29" s="183">
        <f>F87*-Assumptions!$G$69/4/VLOOKUP(Assumptions!$D$7, Lists!$B$7:$C$10, 2, FALSE)</f>
        <v>-6750000</v>
      </c>
      <c r="G29" s="183">
        <f>G87*-Assumptions!$G$69/4/VLOOKUP(Assumptions!$D$7, Lists!$B$7:$C$10, 2, FALSE)</f>
        <v>-8625000</v>
      </c>
      <c r="H29" s="60">
        <f>SUM(D29:G29)</f>
        <v>-22125000</v>
      </c>
      <c r="I29" s="183">
        <f>I87*-Assumptions!$G$69/4/VLOOKUP(Assumptions!$D$7, Lists!$B$7:$C$10, 2, FALSE)</f>
        <v>-10500000</v>
      </c>
      <c r="J29" s="183">
        <f>J87*-Assumptions!$G$69/4/VLOOKUP(Assumptions!$D$7, Lists!$B$7:$C$10, 2, FALSE)</f>
        <v>-12750000</v>
      </c>
      <c r="K29" s="183">
        <f>K87*-Assumptions!$G$69/4/VLOOKUP(Assumptions!$D$7, Lists!$B$7:$C$10, 2, FALSE)</f>
        <v>-14625000</v>
      </c>
      <c r="L29" s="183">
        <f>L87*-Assumptions!$G$69/4/VLOOKUP(Assumptions!$D$7, Lists!$B$7:$C$10, 2, FALSE)</f>
        <v>-16500000</v>
      </c>
      <c r="M29" s="48">
        <f>SUM(I29:L29)</f>
        <v>-54375000</v>
      </c>
      <c r="N29" s="183">
        <f>N87*-Assumptions!$G$69/4/VLOOKUP(Assumptions!$D$7, Lists!$B$7:$C$10, 2, FALSE)</f>
        <v>-18750000</v>
      </c>
      <c r="O29" s="183">
        <f>O87*-Assumptions!$G$69/4/VLOOKUP(Assumptions!$D$7, Lists!$B$7:$C$10, 2, FALSE)</f>
        <v>-20625000</v>
      </c>
      <c r="P29" s="183">
        <f>P87*-Assumptions!$G$69/4/VLOOKUP(Assumptions!$D$7, Lists!$B$7:$C$10, 2, FALSE)</f>
        <v>-22500000</v>
      </c>
      <c r="Q29" s="183">
        <f>Q87*-Assumptions!$G$69/4/VLOOKUP(Assumptions!$D$7, Lists!$B$7:$C$10, 2, FALSE)</f>
        <v>-24375000</v>
      </c>
      <c r="R29" s="48">
        <f>SUM(N29:Q29)</f>
        <v>-86250000</v>
      </c>
      <c r="S29" s="183">
        <f>S87*-Assumptions!$G$69/4/VLOOKUP(Assumptions!$D$7, Lists!$B$7:$C$10, 2, FALSE)</f>
        <v>-25875000</v>
      </c>
      <c r="T29" s="183">
        <f>T87*-Assumptions!$G$69/4/VLOOKUP(Assumptions!$D$7, Lists!$B$7:$C$10, 2, FALSE)</f>
        <v>-27750000</v>
      </c>
      <c r="U29" s="183">
        <f>U87*-Assumptions!$G$69/4/VLOOKUP(Assumptions!$D$7, Lists!$B$7:$C$10, 2, FALSE)</f>
        <v>-29625000</v>
      </c>
      <c r="V29" s="183">
        <f>V87*-Assumptions!$G$69/4/VLOOKUP(Assumptions!$D$7, Lists!$B$7:$C$10, 2, FALSE)</f>
        <v>-31500000</v>
      </c>
      <c r="W29" s="48">
        <f>SUM(S29:V29)</f>
        <v>-114750000</v>
      </c>
      <c r="X29" s="183">
        <f>X87*-Assumptions!$G$69/4/VLOOKUP(Assumptions!$D$7, Lists!$B$7:$C$10, 2, FALSE)</f>
        <v>-33000000</v>
      </c>
      <c r="Y29" s="183">
        <f>Y87*-Assumptions!$G$69/4/VLOOKUP(Assumptions!$D$7, Lists!$B$7:$C$10, 2, FALSE)</f>
        <v>-34875000</v>
      </c>
      <c r="Z29" s="183">
        <f>Z87*-Assumptions!$G$69/4/VLOOKUP(Assumptions!$D$7, Lists!$B$7:$C$10, 2, FALSE)</f>
        <v>-36375000</v>
      </c>
      <c r="AA29" s="183">
        <f>AA87*-Assumptions!$G$69/4/VLOOKUP(Assumptions!$D$7, Lists!$B$7:$C$10, 2, FALSE)</f>
        <v>-38250000</v>
      </c>
      <c r="AB29" s="48">
        <f>SUM(X29:AA29)</f>
        <v>-142500000</v>
      </c>
      <c r="AC29" s="183">
        <f>AC87*-Assumptions!$G$69/4/VLOOKUP(Assumptions!$D$7, Lists!$B$7:$C$10, 2, FALSE)</f>
        <v>-37875000</v>
      </c>
      <c r="AD29" s="183">
        <f>AD87*-Assumptions!$G$69/4/VLOOKUP(Assumptions!$D$7, Lists!$B$7:$C$10, 2, FALSE)</f>
        <v>-37500000</v>
      </c>
      <c r="AE29" s="183">
        <f>AE87*-Assumptions!$G$69/4/VLOOKUP(Assumptions!$D$7, Lists!$B$7:$C$10, 2, FALSE)</f>
        <v>-37125000</v>
      </c>
      <c r="AF29" s="183">
        <f>AF87*-Assumptions!$G$69/4/VLOOKUP(Assumptions!$D$7, Lists!$B$7:$C$10, 2, FALSE)</f>
        <v>-37125000</v>
      </c>
      <c r="AG29" s="48">
        <f>SUM(AC29:AF29)</f>
        <v>-149625000</v>
      </c>
      <c r="AH29" s="105">
        <f>AH87*-Assumptions!$G$69/4/VLOOKUP(Assumptions!$D$7, Lists!$B$7:$C$10, 2, FALSE)</f>
        <v>-36750000</v>
      </c>
      <c r="AI29" s="106">
        <f>AI87*-Assumptions!$G$69/4/VLOOKUP(Assumptions!$D$7, Lists!$B$7:$C$10, 2, FALSE)</f>
        <v>-36375000</v>
      </c>
      <c r="AJ29" s="106">
        <f>AJ87*-Assumptions!$G$69/4/VLOOKUP(Assumptions!$D$7, Lists!$B$7:$C$10, 2, FALSE)</f>
        <v>-36375000</v>
      </c>
      <c r="AK29" s="107">
        <f>AK87*-Assumptions!$G$69/4/VLOOKUP(Assumptions!$D$7, Lists!$B$7:$C$10, 2, FALSE)</f>
        <v>-36000000</v>
      </c>
      <c r="AL29" s="60">
        <f>SUM(AH29:AK29)</f>
        <v>-145500000</v>
      </c>
    </row>
    <row r="30" spans="1:38" ht="15.95" outlineLevel="2">
      <c r="A30" s="31"/>
      <c r="C30" s="32" t="s">
        <v>272</v>
      </c>
      <c r="D30" s="185">
        <f>D88*-Assumptions!$D$70/4/VLOOKUP(Assumptions!$D$7, Lists!$B$7:$C$10, 2, FALSE)</f>
        <v>-1500000</v>
      </c>
      <c r="E30" s="185">
        <f>E88*-Assumptions!$D$70/4/VLOOKUP(Assumptions!$D$7, Lists!$B$7:$C$10, 2, FALSE)</f>
        <v>-2500000</v>
      </c>
      <c r="F30" s="185">
        <f>F88*-Assumptions!$D$70/4/VLOOKUP(Assumptions!$D$7, Lists!$B$7:$C$10, 2, FALSE)</f>
        <v>-3500000</v>
      </c>
      <c r="G30" s="185">
        <f>G88*-Assumptions!$D$70/4/VLOOKUP(Assumptions!$D$7, Lists!$B$7:$C$10, 2, FALSE)</f>
        <v>-5000000</v>
      </c>
      <c r="H30" s="60">
        <f>SUM(D30:G30)</f>
        <v>-12500000</v>
      </c>
      <c r="I30" s="185">
        <f>I88*-Assumptions!$D$70/4/VLOOKUP(Assumptions!$D$7, Lists!$B$7:$C$10, 2, FALSE)</f>
        <v>-6000000</v>
      </c>
      <c r="J30" s="185">
        <f>J88*-Assumptions!$D$70/4/VLOOKUP(Assumptions!$D$7, Lists!$B$7:$C$10, 2, FALSE)</f>
        <v>-7000000</v>
      </c>
      <c r="K30" s="185">
        <f>K88*-Assumptions!$D$70/4/VLOOKUP(Assumptions!$D$7, Lists!$B$7:$C$10, 2, FALSE)</f>
        <v>-8000000</v>
      </c>
      <c r="L30" s="185">
        <f>L88*-Assumptions!$D$70/4/VLOOKUP(Assumptions!$D$7, Lists!$B$7:$C$10, 2, FALSE)</f>
        <v>-9000000</v>
      </c>
      <c r="M30" s="48">
        <f>SUM(I30:L30)</f>
        <v>-30000000</v>
      </c>
      <c r="N30" s="185">
        <f>N88*-Assumptions!$D$70/4/VLOOKUP(Assumptions!$D$7, Lists!$B$7:$C$10, 2, FALSE)</f>
        <v>-10000000</v>
      </c>
      <c r="O30" s="185">
        <f>O88*-Assumptions!$D$70/4/VLOOKUP(Assumptions!$D$7, Lists!$B$7:$C$10, 2, FALSE)</f>
        <v>-11000000</v>
      </c>
      <c r="P30" s="185">
        <f>P88*-Assumptions!$D$70/4/VLOOKUP(Assumptions!$D$7, Lists!$B$7:$C$10, 2, FALSE)</f>
        <v>-12000000</v>
      </c>
      <c r="Q30" s="185">
        <f>Q88*-Assumptions!$D$70/4/VLOOKUP(Assumptions!$D$7, Lists!$B$7:$C$10, 2, FALSE)</f>
        <v>-13000000</v>
      </c>
      <c r="R30" s="48">
        <f>SUM(N30:Q30)</f>
        <v>-46000000</v>
      </c>
      <c r="S30" s="185">
        <f>S88*-Assumptions!$D$70/4/VLOOKUP(Assumptions!$D$7, Lists!$B$7:$C$10, 2, FALSE)</f>
        <v>-14000000</v>
      </c>
      <c r="T30" s="185">
        <f>T88*-Assumptions!$D$70/4/VLOOKUP(Assumptions!$D$7, Lists!$B$7:$C$10, 2, FALSE)</f>
        <v>-15000000</v>
      </c>
      <c r="U30" s="185">
        <f>U88*-Assumptions!$D$70/4/VLOOKUP(Assumptions!$D$7, Lists!$B$7:$C$10, 2, FALSE)</f>
        <v>-16000000</v>
      </c>
      <c r="V30" s="185">
        <f>V88*-Assumptions!$D$70/4/VLOOKUP(Assumptions!$D$7, Lists!$B$7:$C$10, 2, FALSE)</f>
        <v>-17000000</v>
      </c>
      <c r="W30" s="48">
        <f>SUM(S30:V30)</f>
        <v>-62000000</v>
      </c>
      <c r="X30" s="185">
        <f>X88*-Assumptions!$D$70/4/VLOOKUP(Assumptions!$D$7, Lists!$B$7:$C$10, 2, FALSE)</f>
        <v>-18000000</v>
      </c>
      <c r="Y30" s="185">
        <f>Y88*-Assumptions!$D$70/4/VLOOKUP(Assumptions!$D$7, Lists!$B$7:$C$10, 2, FALSE)</f>
        <v>-18500000</v>
      </c>
      <c r="Z30" s="185">
        <f>Z88*-Assumptions!$D$70/4/VLOOKUP(Assumptions!$D$7, Lists!$B$7:$C$10, 2, FALSE)</f>
        <v>-19500000</v>
      </c>
      <c r="AA30" s="185">
        <f>AA88*-Assumptions!$D$70/4/VLOOKUP(Assumptions!$D$7, Lists!$B$7:$C$10, 2, FALSE)</f>
        <v>-20500000</v>
      </c>
      <c r="AB30" s="48">
        <f>SUM(X30:AA30)</f>
        <v>-76500000</v>
      </c>
      <c r="AC30" s="185">
        <f>AC88*-Assumptions!$D$70/4/VLOOKUP(Assumptions!$D$7, Lists!$B$7:$C$10, 2, FALSE)</f>
        <v>-20500000</v>
      </c>
      <c r="AD30" s="185">
        <f>AD88*-Assumptions!$D$70/4/VLOOKUP(Assumptions!$D$7, Lists!$B$7:$C$10, 2, FALSE)</f>
        <v>-20000000</v>
      </c>
      <c r="AE30" s="185">
        <f>AE88*-Assumptions!$D$70/4/VLOOKUP(Assumptions!$D$7, Lists!$B$7:$C$10, 2, FALSE)</f>
        <v>-20000000</v>
      </c>
      <c r="AF30" s="185">
        <f>AF88*-Assumptions!$D$70/4/VLOOKUP(Assumptions!$D$7, Lists!$B$7:$C$10, 2, FALSE)</f>
        <v>-20000000</v>
      </c>
      <c r="AG30" s="48">
        <f>SUM(AC30:AF30)</f>
        <v>-80500000</v>
      </c>
      <c r="AH30" s="63">
        <f>AH88*-Assumptions!$D$70/4/VLOOKUP(Assumptions!$D$7, Lists!$B$7:$C$10, 2, FALSE)</f>
        <v>-19500000</v>
      </c>
      <c r="AI30" s="64">
        <f>AI88*-Assumptions!$D$70/4/VLOOKUP(Assumptions!$D$7, Lists!$B$7:$C$10, 2, FALSE)</f>
        <v>-19500000</v>
      </c>
      <c r="AJ30" s="64">
        <f>AJ88*-Assumptions!$D$70/4/VLOOKUP(Assumptions!$D$7, Lists!$B$7:$C$10, 2, FALSE)</f>
        <v>-19500000</v>
      </c>
      <c r="AK30" s="108">
        <f>AK88*-Assumptions!$D$70/4/VLOOKUP(Assumptions!$D$7, Lists!$B$7:$C$10, 2, FALSE)</f>
        <v>-19500000</v>
      </c>
      <c r="AL30" s="60">
        <f>SUM(AH30:AK30)</f>
        <v>-78000000</v>
      </c>
    </row>
    <row r="31" spans="1:38" ht="15.95" outlineLevel="2">
      <c r="A31" s="31"/>
      <c r="C31" s="32" t="s">
        <v>273</v>
      </c>
      <c r="D31" s="185">
        <f>D89*-Assumptions!$G$71/4/VLOOKUP(Assumptions!$D$7, Lists!$B$7:$C$10, 2, FALSE)</f>
        <v>-1000000</v>
      </c>
      <c r="E31" s="185">
        <f>E89*-Assumptions!$G$71/4/VLOOKUP(Assumptions!$D$7, Lists!$B$7:$C$10, 2, FALSE)</f>
        <v>-1500000</v>
      </c>
      <c r="F31" s="185">
        <f>F89*-Assumptions!$G$71/4/VLOOKUP(Assumptions!$D$7, Lists!$B$7:$C$10, 2, FALSE)</f>
        <v>-2000000</v>
      </c>
      <c r="G31" s="185">
        <f>G89*-Assumptions!$G$71/4/VLOOKUP(Assumptions!$D$7, Lists!$B$7:$C$10, 2, FALSE)</f>
        <v>-2500000</v>
      </c>
      <c r="H31" s="60">
        <f>SUM(D31:G31)</f>
        <v>-7000000</v>
      </c>
      <c r="I31" s="185">
        <f>I89*-Assumptions!$G$71/4/VLOOKUP(Assumptions!$D$7, Lists!$B$7:$C$10, 2, FALSE)</f>
        <v>-3500000</v>
      </c>
      <c r="J31" s="185">
        <f>J89*-Assumptions!$G$71/4/VLOOKUP(Assumptions!$D$7, Lists!$B$7:$C$10, 2, FALSE)</f>
        <v>-4000000</v>
      </c>
      <c r="K31" s="185">
        <f>K89*-Assumptions!$G$71/4/VLOOKUP(Assumptions!$D$7, Lists!$B$7:$C$10, 2, FALSE)</f>
        <v>-4500000</v>
      </c>
      <c r="L31" s="185">
        <f>L89*-Assumptions!$G$71/4/VLOOKUP(Assumptions!$D$7, Lists!$B$7:$C$10, 2, FALSE)</f>
        <v>-5000000</v>
      </c>
      <c r="M31" s="48">
        <f>SUM(I31:L31)</f>
        <v>-17000000</v>
      </c>
      <c r="N31" s="185">
        <f>N89*-Assumptions!$G$71/4/VLOOKUP(Assumptions!$D$7, Lists!$B$7:$C$10, 2, FALSE)</f>
        <v>-5500000</v>
      </c>
      <c r="O31" s="185">
        <f>O89*-Assumptions!$G$71/4/VLOOKUP(Assumptions!$D$7, Lists!$B$7:$C$10, 2, FALSE)</f>
        <v>-6000000</v>
      </c>
      <c r="P31" s="185">
        <f>P89*-Assumptions!$G$71/4/VLOOKUP(Assumptions!$D$7, Lists!$B$7:$C$10, 2, FALSE)</f>
        <v>-7000000</v>
      </c>
      <c r="Q31" s="185">
        <f>Q89*-Assumptions!$G$71/4/VLOOKUP(Assumptions!$D$7, Lists!$B$7:$C$10, 2, FALSE)</f>
        <v>-7500000</v>
      </c>
      <c r="R31" s="48">
        <f>SUM(N31:Q31)</f>
        <v>-26000000</v>
      </c>
      <c r="S31" s="185">
        <f>S89*-Assumptions!$G$71/4/VLOOKUP(Assumptions!$D$7, Lists!$B$7:$C$10, 2, FALSE)</f>
        <v>-8000000</v>
      </c>
      <c r="T31" s="185">
        <f>T89*-Assumptions!$G$71/4/VLOOKUP(Assumptions!$D$7, Lists!$B$7:$C$10, 2, FALSE)</f>
        <v>-8500000</v>
      </c>
      <c r="U31" s="185">
        <f>U89*-Assumptions!$G$71/4/VLOOKUP(Assumptions!$D$7, Lists!$B$7:$C$10, 2, FALSE)</f>
        <v>-9000000</v>
      </c>
      <c r="V31" s="185">
        <f>V89*-Assumptions!$G$71/4/VLOOKUP(Assumptions!$D$7, Lists!$B$7:$C$10, 2, FALSE)</f>
        <v>-9500000</v>
      </c>
      <c r="W31" s="48">
        <f>SUM(S31:V31)</f>
        <v>-35000000</v>
      </c>
      <c r="X31" s="185">
        <f>X89*-Assumptions!$G$71/4/VLOOKUP(Assumptions!$D$7, Lists!$B$7:$C$10, 2, FALSE)</f>
        <v>-10000000</v>
      </c>
      <c r="Y31" s="185">
        <f>Y89*-Assumptions!$G$71/4/VLOOKUP(Assumptions!$D$7, Lists!$B$7:$C$10, 2, FALSE)</f>
        <v>-10500000</v>
      </c>
      <c r="Z31" s="185">
        <f>Z89*-Assumptions!$G$71/4/VLOOKUP(Assumptions!$D$7, Lists!$B$7:$C$10, 2, FALSE)</f>
        <v>-11000000</v>
      </c>
      <c r="AA31" s="185">
        <f>AA89*-Assumptions!$G$71/4/VLOOKUP(Assumptions!$D$7, Lists!$B$7:$C$10, 2, FALSE)</f>
        <v>-11500000</v>
      </c>
      <c r="AB31" s="48">
        <f>SUM(X31:AA31)</f>
        <v>-43000000</v>
      </c>
      <c r="AC31" s="185">
        <f>AC89*-Assumptions!$G$71/4/VLOOKUP(Assumptions!$D$7, Lists!$B$7:$C$10, 2, FALSE)</f>
        <v>-11500000</v>
      </c>
      <c r="AD31" s="185">
        <f>AD89*-Assumptions!$G$71/4/VLOOKUP(Assumptions!$D$7, Lists!$B$7:$C$10, 2, FALSE)</f>
        <v>-11000000</v>
      </c>
      <c r="AE31" s="185">
        <f>AE89*-Assumptions!$G$71/4/VLOOKUP(Assumptions!$D$7, Lists!$B$7:$C$10, 2, FALSE)</f>
        <v>-11000000</v>
      </c>
      <c r="AF31" s="185">
        <f>AF89*-Assumptions!$G$71/4/VLOOKUP(Assumptions!$D$7, Lists!$B$7:$C$10, 2, FALSE)</f>
        <v>-11000000</v>
      </c>
      <c r="AG31" s="48">
        <f>SUM(AC31:AF31)</f>
        <v>-44500000</v>
      </c>
      <c r="AH31" s="63">
        <f>AH89*-Assumptions!$G$71/4/VLOOKUP(Assumptions!$D$7, Lists!$B$7:$C$10, 2, FALSE)</f>
        <v>-11000000</v>
      </c>
      <c r="AI31" s="64">
        <f>AI89*-Assumptions!$G$71/4/VLOOKUP(Assumptions!$D$7, Lists!$B$7:$C$10, 2, FALSE)</f>
        <v>-11000000</v>
      </c>
      <c r="AJ31" s="64">
        <f>AJ89*-Assumptions!$G$71/4/VLOOKUP(Assumptions!$D$7, Lists!$B$7:$C$10, 2, FALSE)</f>
        <v>-11000000</v>
      </c>
      <c r="AK31" s="108">
        <f>AK89*-Assumptions!$G$71/4/VLOOKUP(Assumptions!$D$7, Lists!$B$7:$C$10, 2, FALSE)</f>
        <v>-10500000</v>
      </c>
      <c r="AL31" s="60">
        <f>SUM(AH31:AK31)</f>
        <v>-43500000</v>
      </c>
    </row>
    <row r="32" spans="1:38" ht="15.95" outlineLevel="2">
      <c r="A32" s="31"/>
      <c r="C32" s="32" t="s">
        <v>274</v>
      </c>
      <c r="D32" s="185">
        <f>D90*-Assumptions!$G$72/4/VLOOKUP(Assumptions!$D$7, Lists!$B$7:$C$10, 2, FALSE)</f>
        <v>-3000000</v>
      </c>
      <c r="E32" s="185">
        <f>E90*-Assumptions!$G$72/4/VLOOKUP(Assumptions!$D$7, Lists!$B$7:$C$10, 2, FALSE)</f>
        <v>-5000000</v>
      </c>
      <c r="F32" s="185">
        <f>F90*-Assumptions!$G$72/4/VLOOKUP(Assumptions!$D$7, Lists!$B$7:$C$10, 2, FALSE)</f>
        <v>-7000000</v>
      </c>
      <c r="G32" s="185">
        <f>G90*-Assumptions!$G$72/4/VLOOKUP(Assumptions!$D$7, Lists!$B$7:$C$10, 2, FALSE)</f>
        <v>-10000000</v>
      </c>
      <c r="H32" s="60">
        <f t="shared" ref="H32:H46" si="56">SUM(D32:G32)</f>
        <v>-25000000</v>
      </c>
      <c r="I32" s="185">
        <f>I90*-Assumptions!$G$72/4/VLOOKUP(Assumptions!$D$7, Lists!$B$7:$C$10, 2, FALSE)</f>
        <v>-12000000</v>
      </c>
      <c r="J32" s="185">
        <f>J90*-Assumptions!$G$72/4/VLOOKUP(Assumptions!$D$7, Lists!$B$7:$C$10, 2, FALSE)</f>
        <v>-14000000</v>
      </c>
      <c r="K32" s="185">
        <f>K90*-Assumptions!$G$72/4/VLOOKUP(Assumptions!$D$7, Lists!$B$7:$C$10, 2, FALSE)</f>
        <v>-16000000</v>
      </c>
      <c r="L32" s="185">
        <f>L90*-Assumptions!$G$72/4/VLOOKUP(Assumptions!$D$7, Lists!$B$7:$C$10, 2, FALSE)</f>
        <v>-18000000</v>
      </c>
      <c r="M32" s="48">
        <f t="shared" ref="M32:M46" si="57">SUM(I32:L32)</f>
        <v>-60000000</v>
      </c>
      <c r="N32" s="185">
        <f>N90*-Assumptions!$G$72/4/VLOOKUP(Assumptions!$D$7, Lists!$B$7:$C$10, 2, FALSE)</f>
        <v>-20000000</v>
      </c>
      <c r="O32" s="185">
        <f>O90*-Assumptions!$G$72/4/VLOOKUP(Assumptions!$D$7, Lists!$B$7:$C$10, 2, FALSE)</f>
        <v>-22000000</v>
      </c>
      <c r="P32" s="185">
        <f>P90*-Assumptions!$G$72/4/VLOOKUP(Assumptions!$D$7, Lists!$B$7:$C$10, 2, FALSE)</f>
        <v>-24000000</v>
      </c>
      <c r="Q32" s="185">
        <f>Q90*-Assumptions!$G$72/4/VLOOKUP(Assumptions!$D$7, Lists!$B$7:$C$10, 2, FALSE)</f>
        <v>-26000000</v>
      </c>
      <c r="R32" s="48">
        <f t="shared" ref="R32:R46" si="58">SUM(N32:Q32)</f>
        <v>-92000000</v>
      </c>
      <c r="S32" s="185">
        <f>S90*-Assumptions!$G$72/4/VLOOKUP(Assumptions!$D$7, Lists!$B$7:$C$10, 2, FALSE)</f>
        <v>-28000000</v>
      </c>
      <c r="T32" s="185">
        <f>T90*-Assumptions!$G$72/4/VLOOKUP(Assumptions!$D$7, Lists!$B$7:$C$10, 2, FALSE)</f>
        <v>-30000000</v>
      </c>
      <c r="U32" s="185">
        <f>U90*-Assumptions!$G$72/4/VLOOKUP(Assumptions!$D$7, Lists!$B$7:$C$10, 2, FALSE)</f>
        <v>-32000000</v>
      </c>
      <c r="V32" s="185">
        <f>V90*-Assumptions!$G$72/4/VLOOKUP(Assumptions!$D$7, Lists!$B$7:$C$10, 2, FALSE)</f>
        <v>-34000000</v>
      </c>
      <c r="W32" s="48">
        <f t="shared" ref="W32:W46" si="59">SUM(S32:V32)</f>
        <v>-124000000</v>
      </c>
      <c r="X32" s="185">
        <f>X90*-Assumptions!$G$72/4/VLOOKUP(Assumptions!$D$7, Lists!$B$7:$C$10, 2, FALSE)</f>
        <v>-36000000</v>
      </c>
      <c r="Y32" s="185">
        <f>Y90*-Assumptions!$G$72/4/VLOOKUP(Assumptions!$D$7, Lists!$B$7:$C$10, 2, FALSE)</f>
        <v>-37000000</v>
      </c>
      <c r="Z32" s="185">
        <f>Z90*-Assumptions!$G$72/4/VLOOKUP(Assumptions!$D$7, Lists!$B$7:$C$10, 2, FALSE)</f>
        <v>-39000000</v>
      </c>
      <c r="AA32" s="185">
        <f>AA90*-Assumptions!$G$72/4/VLOOKUP(Assumptions!$D$7, Lists!$B$7:$C$10, 2, FALSE)</f>
        <v>-41000000</v>
      </c>
      <c r="AB32" s="48">
        <f t="shared" ref="AB32:AB46" si="60">SUM(X32:AA32)</f>
        <v>-153000000</v>
      </c>
      <c r="AC32" s="185">
        <f>AC90*-Assumptions!$G$72/4/VLOOKUP(Assumptions!$D$7, Lists!$B$7:$C$10, 2, FALSE)</f>
        <v>-41000000</v>
      </c>
      <c r="AD32" s="185">
        <f>AD90*-Assumptions!$G$72/4/VLOOKUP(Assumptions!$D$7, Lists!$B$7:$C$10, 2, FALSE)</f>
        <v>-40000000</v>
      </c>
      <c r="AE32" s="185">
        <f>AE90*-Assumptions!$G$72/4/VLOOKUP(Assumptions!$D$7, Lists!$B$7:$C$10, 2, FALSE)</f>
        <v>-40000000</v>
      </c>
      <c r="AF32" s="185">
        <f>AF90*-Assumptions!$G$72/4/VLOOKUP(Assumptions!$D$7, Lists!$B$7:$C$10, 2, FALSE)</f>
        <v>-40000000</v>
      </c>
      <c r="AG32" s="48">
        <f t="shared" ref="AG32:AG46" si="61">SUM(AC32:AF32)</f>
        <v>-161000000</v>
      </c>
      <c r="AH32" s="63">
        <f>AH90*-Assumptions!$G$72/4/VLOOKUP(Assumptions!$D$7, Lists!$B$7:$C$10, 2, FALSE)</f>
        <v>-39000000</v>
      </c>
      <c r="AI32" s="64">
        <f>AI90*-Assumptions!$G$72/4/VLOOKUP(Assumptions!$D$7, Lists!$B$7:$C$10, 2, FALSE)</f>
        <v>-39000000</v>
      </c>
      <c r="AJ32" s="64">
        <f>AJ90*-Assumptions!$G$72/4/VLOOKUP(Assumptions!$D$7, Lists!$B$7:$C$10, 2, FALSE)</f>
        <v>-39000000</v>
      </c>
      <c r="AK32" s="108">
        <f>AK90*-Assumptions!$G$72/4/VLOOKUP(Assumptions!$D$7, Lists!$B$7:$C$10, 2, FALSE)</f>
        <v>-39000000</v>
      </c>
      <c r="AL32" s="60">
        <f t="shared" ref="AL32:AL46" si="62">SUM(AH32:AK32)</f>
        <v>-156000000</v>
      </c>
    </row>
    <row r="33" spans="1:38" ht="15.95" outlineLevel="1">
      <c r="A33" s="31"/>
      <c r="B33" s="34" t="s">
        <v>166</v>
      </c>
      <c r="C33" s="34"/>
      <c r="D33" s="186">
        <f>SUM(D29:D32)</f>
        <v>-7750000</v>
      </c>
      <c r="E33" s="186">
        <f>SUM(E29:E32)</f>
        <v>-13500000</v>
      </c>
      <c r="F33" s="186">
        <f>SUM(F29:F32)</f>
        <v>-19250000</v>
      </c>
      <c r="G33" s="186">
        <f>SUM(G29:G32)</f>
        <v>-26125000</v>
      </c>
      <c r="H33" s="61">
        <f t="shared" si="56"/>
        <v>-66625000</v>
      </c>
      <c r="I33" s="186">
        <f>SUM(I29:I32)</f>
        <v>-32000000</v>
      </c>
      <c r="J33" s="186">
        <f>SUM(J29:J32)</f>
        <v>-37750000</v>
      </c>
      <c r="K33" s="186">
        <f>SUM(K29:K32)</f>
        <v>-43125000</v>
      </c>
      <c r="L33" s="186">
        <f>SUM(L29:L32)</f>
        <v>-48500000</v>
      </c>
      <c r="M33" s="51">
        <f t="shared" si="57"/>
        <v>-161375000</v>
      </c>
      <c r="N33" s="186">
        <f>SUM(N29:N32)</f>
        <v>-54250000</v>
      </c>
      <c r="O33" s="186">
        <f>SUM(O29:O32)</f>
        <v>-59625000</v>
      </c>
      <c r="P33" s="186">
        <f>SUM(P29:P32)</f>
        <v>-65500000</v>
      </c>
      <c r="Q33" s="186">
        <f>SUM(Q29:Q32)</f>
        <v>-70875000</v>
      </c>
      <c r="R33" s="51">
        <f t="shared" si="58"/>
        <v>-250250000</v>
      </c>
      <c r="S33" s="186">
        <f>SUM(S29:S32)</f>
        <v>-75875000</v>
      </c>
      <c r="T33" s="186">
        <f>SUM(T29:T32)</f>
        <v>-81250000</v>
      </c>
      <c r="U33" s="186">
        <f>SUM(U29:U32)</f>
        <v>-86625000</v>
      </c>
      <c r="V33" s="186">
        <f>SUM(V29:V32)</f>
        <v>-92000000</v>
      </c>
      <c r="W33" s="51">
        <f t="shared" si="59"/>
        <v>-335750000</v>
      </c>
      <c r="X33" s="186">
        <f>SUM(X29:X32)</f>
        <v>-97000000</v>
      </c>
      <c r="Y33" s="186">
        <f>SUM(Y29:Y32)</f>
        <v>-100875000</v>
      </c>
      <c r="Z33" s="186">
        <f>SUM(Z29:Z32)</f>
        <v>-105875000</v>
      </c>
      <c r="AA33" s="186">
        <f>SUM(AA29:AA32)</f>
        <v>-111250000</v>
      </c>
      <c r="AB33" s="51">
        <f t="shared" si="60"/>
        <v>-415000000</v>
      </c>
      <c r="AC33" s="186">
        <f>SUM(AC29:AC32)</f>
        <v>-110875000</v>
      </c>
      <c r="AD33" s="186">
        <f>SUM(AD29:AD32)</f>
        <v>-108500000</v>
      </c>
      <c r="AE33" s="186">
        <f>SUM(AE29:AE32)</f>
        <v>-108125000</v>
      </c>
      <c r="AF33" s="186">
        <f>SUM(AF29:AF32)</f>
        <v>-108125000</v>
      </c>
      <c r="AG33" s="51">
        <f t="shared" si="61"/>
        <v>-435625000</v>
      </c>
      <c r="AH33" s="65">
        <f>SUM(AH29:AH32)</f>
        <v>-106250000</v>
      </c>
      <c r="AI33" s="66">
        <f>SUM(AI29:AI32)</f>
        <v>-105875000</v>
      </c>
      <c r="AJ33" s="66">
        <f>SUM(AJ29:AJ32)</f>
        <v>-105875000</v>
      </c>
      <c r="AK33" s="141">
        <f>SUM(AK29:AK32)</f>
        <v>-105000000</v>
      </c>
      <c r="AL33" s="61">
        <f t="shared" si="62"/>
        <v>-423000000</v>
      </c>
    </row>
    <row r="34" spans="1:38" ht="15.95" outlineLevel="2">
      <c r="A34" s="31"/>
      <c r="C34" s="32" t="s">
        <v>275</v>
      </c>
      <c r="D34" s="185">
        <f>SUM(D87:D90)*-Assumptions!$G$80/28/VLOOKUP(Assumptions!$D$7, Lists!$B$7:$C$10, 2, FALSE)</f>
        <v>-75000</v>
      </c>
      <c r="E34" s="185">
        <f>SUM(E87:E90)*-Assumptions!$G$80/28/VLOOKUP(Assumptions!$D$7, Lists!$B$7:$C$10, 2, FALSE)</f>
        <v>-133928.57142857142</v>
      </c>
      <c r="F34" s="185">
        <f>SUM(F87:F90)*-Assumptions!$G$80/28/VLOOKUP(Assumptions!$D$7, Lists!$B$7:$C$10, 2, FALSE)</f>
        <v>-192857.14285714287</v>
      </c>
      <c r="G34" s="185">
        <f>SUM(G87:G90)*-Assumptions!$G$80/28/VLOOKUP(Assumptions!$D$7, Lists!$B$7:$C$10, 2, FALSE)</f>
        <v>-257142.85714285713</v>
      </c>
      <c r="H34" s="60">
        <f t="shared" si="56"/>
        <v>-658928.57142857148</v>
      </c>
      <c r="I34" s="185">
        <f>SUM(I87:I90)*-Assumptions!$G$80/28/VLOOKUP(Assumptions!$D$7, Lists!$B$7:$C$10, 2, FALSE)</f>
        <v>-316071.42857142858</v>
      </c>
      <c r="J34" s="185">
        <f>SUM(J87:J90)*-Assumptions!$G$80/28/VLOOKUP(Assumptions!$D$7, Lists!$B$7:$C$10, 2, FALSE)</f>
        <v>-375000</v>
      </c>
      <c r="K34" s="185">
        <f>SUM(K87:K90)*-Assumptions!$G$80/28/VLOOKUP(Assumptions!$D$7, Lists!$B$7:$C$10, 2, FALSE)</f>
        <v>-428571.42857142858</v>
      </c>
      <c r="L34" s="185">
        <f>SUM(L87:L90)*-Assumptions!$G$80/28/VLOOKUP(Assumptions!$D$7, Lists!$B$7:$C$10, 2, FALSE)</f>
        <v>-482142.85714285716</v>
      </c>
      <c r="M34" s="48">
        <f t="shared" si="57"/>
        <v>-1601785.7142857146</v>
      </c>
      <c r="N34" s="185">
        <f>SUM(N87:N90)*-Assumptions!$G$80/28/VLOOKUP(Assumptions!$D$7, Lists!$B$7:$C$10, 2, FALSE)</f>
        <v>-541071.42857142852</v>
      </c>
      <c r="O34" s="185">
        <f>SUM(O87:O90)*-Assumptions!$G$80/28/VLOOKUP(Assumptions!$D$7, Lists!$B$7:$C$10, 2, FALSE)</f>
        <v>-594642.85714285716</v>
      </c>
      <c r="P34" s="185">
        <f>SUM(P87:P90)*-Assumptions!$G$80/28/VLOOKUP(Assumptions!$D$7, Lists!$B$7:$C$10, 2, FALSE)</f>
        <v>-653571.42857142852</v>
      </c>
      <c r="Q34" s="185">
        <f>SUM(Q87:Q90)*-Assumptions!$G$80/28/VLOOKUP(Assumptions!$D$7, Lists!$B$7:$C$10, 2, FALSE)</f>
        <v>-707142.85714285716</v>
      </c>
      <c r="R34" s="48">
        <f t="shared" si="58"/>
        <v>-2496428.5714285714</v>
      </c>
      <c r="S34" s="185">
        <f>SUM(S87:S90)*-Assumptions!$G$80/28/VLOOKUP(Assumptions!$D$7, Lists!$B$7:$C$10, 2, FALSE)</f>
        <v>-755357.14285714284</v>
      </c>
      <c r="T34" s="185">
        <f>SUM(T87:T90)*-Assumptions!$G$80/28/VLOOKUP(Assumptions!$D$7, Lists!$B$7:$C$10, 2, FALSE)</f>
        <v>-808928.57142857148</v>
      </c>
      <c r="U34" s="185">
        <f>SUM(U87:U90)*-Assumptions!$G$80/28/VLOOKUP(Assumptions!$D$7, Lists!$B$7:$C$10, 2, FALSE)</f>
        <v>-862500</v>
      </c>
      <c r="V34" s="185">
        <f>SUM(V87:V90)*-Assumptions!$G$80/28/VLOOKUP(Assumptions!$D$7, Lists!$B$7:$C$10, 2, FALSE)</f>
        <v>-916071.42857142852</v>
      </c>
      <c r="W34" s="48">
        <f t="shared" si="59"/>
        <v>-3342857.1428571432</v>
      </c>
      <c r="X34" s="185">
        <f>SUM(X87:X90)*-Assumptions!$G$80/28/VLOOKUP(Assumptions!$D$7, Lists!$B$7:$C$10, 2, FALSE)</f>
        <v>-964285.71428571432</v>
      </c>
      <c r="Y34" s="185">
        <f>SUM(Y87:Y90)*-Assumptions!$G$80/28/VLOOKUP(Assumptions!$D$7, Lists!$B$7:$C$10, 2, FALSE)</f>
        <v>-1007142.8571428572</v>
      </c>
      <c r="Z34" s="185">
        <f>SUM(Z87:Z90)*-Assumptions!$G$80/28/VLOOKUP(Assumptions!$D$7, Lists!$B$7:$C$10, 2, FALSE)</f>
        <v>-1055357.142857143</v>
      </c>
      <c r="AA34" s="185">
        <f>SUM(AA87:AA90)*-Assumptions!$G$80/28/VLOOKUP(Assumptions!$D$7, Lists!$B$7:$C$10, 2, FALSE)</f>
        <v>-1108928.5714285714</v>
      </c>
      <c r="AB34" s="48">
        <f t="shared" si="60"/>
        <v>-4135714.2857142859</v>
      </c>
      <c r="AC34" s="185">
        <f>SUM(AC87:AC90)*-Assumptions!$G$80/28/VLOOKUP(Assumptions!$D$7, Lists!$B$7:$C$10, 2, FALSE)</f>
        <v>-1103571.4285714286</v>
      </c>
      <c r="AD34" s="185">
        <f>SUM(AD87:AD90)*-Assumptions!$G$80/28/VLOOKUP(Assumptions!$D$7, Lists!$B$7:$C$10, 2, FALSE)</f>
        <v>-1082142.857142857</v>
      </c>
      <c r="AE34" s="185">
        <f>SUM(AE87:AE90)*-Assumptions!$G$80/28/VLOOKUP(Assumptions!$D$7, Lists!$B$7:$C$10, 2, FALSE)</f>
        <v>-1076785.7142857143</v>
      </c>
      <c r="AF34" s="185">
        <f>SUM(AF87:AF90)*-Assumptions!$G$80/28/VLOOKUP(Assumptions!$D$7, Lists!$B$7:$C$10, 2, FALSE)</f>
        <v>-1076785.7142857143</v>
      </c>
      <c r="AG34" s="48">
        <f t="shared" si="61"/>
        <v>-4339285.7142857146</v>
      </c>
      <c r="AH34" s="63">
        <f>SUM(AH87:AH90)*-Assumptions!$G$80/28/VLOOKUP(Assumptions!$D$7, Lists!$B$7:$C$10, 2, FALSE)</f>
        <v>-1060714.2857142857</v>
      </c>
      <c r="AI34" s="64">
        <f>SUM(AI87:AI90)*-Assumptions!$G$80/28/VLOOKUP(Assumptions!$D$7, Lists!$B$7:$C$10, 2, FALSE)</f>
        <v>-1055357.142857143</v>
      </c>
      <c r="AJ34" s="64">
        <f>SUM(AJ87:AJ90)*-Assumptions!$G$80/28/VLOOKUP(Assumptions!$D$7, Lists!$B$7:$C$10, 2, FALSE)</f>
        <v>-1055357.142857143</v>
      </c>
      <c r="AK34" s="108">
        <f>SUM(AK87:AK90)*-Assumptions!$G$80/28/VLOOKUP(Assumptions!$D$7, Lists!$B$7:$C$10, 2, FALSE)</f>
        <v>-1044642.8571428572</v>
      </c>
      <c r="AL34" s="60">
        <f t="shared" si="62"/>
        <v>-4216071.4285714291</v>
      </c>
    </row>
    <row r="35" spans="1:38" ht="15.95" outlineLevel="2">
      <c r="A35" s="31"/>
      <c r="C35" s="32" t="s">
        <v>276</v>
      </c>
      <c r="D35" s="185">
        <f>D86*-Assumptions!$G$79/28/VLOOKUP(Assumptions!$D$7, Lists!$B$7:$C$10, 2, FALSE)</f>
        <v>-714285.71428571432</v>
      </c>
      <c r="E35" s="185">
        <f>E86*-Assumptions!$G$79/28/VLOOKUP(Assumptions!$D$7, Lists!$B$7:$C$10, 2, FALSE)</f>
        <v>-1071428.5714285714</v>
      </c>
      <c r="F35" s="185">
        <f>F86*-Assumptions!$G$79/28/VLOOKUP(Assumptions!$D$7, Lists!$B$7:$C$10, 2, FALSE)</f>
        <v>-1428571.4285714286</v>
      </c>
      <c r="G35" s="185">
        <f>G86*-Assumptions!$G$79/28/VLOOKUP(Assumptions!$D$7, Lists!$B$7:$C$10, 2, FALSE)</f>
        <v>-1785714.2857142857</v>
      </c>
      <c r="H35" s="60">
        <f t="shared" si="56"/>
        <v>-5000000</v>
      </c>
      <c r="I35" s="185">
        <f>I86*-Assumptions!$G$79/28/VLOOKUP(Assumptions!$D$7, Lists!$B$7:$C$10, 2, FALSE)</f>
        <v>-2142857.1428571427</v>
      </c>
      <c r="J35" s="185">
        <f>J86*-Assumptions!$G$79/28/VLOOKUP(Assumptions!$D$7, Lists!$B$7:$C$10, 2, FALSE)</f>
        <v>-2500000</v>
      </c>
      <c r="K35" s="185">
        <f>K86*-Assumptions!$G$79/28/VLOOKUP(Assumptions!$D$7, Lists!$B$7:$C$10, 2, FALSE)</f>
        <v>-2857142.8571428573</v>
      </c>
      <c r="L35" s="185">
        <f>L86*-Assumptions!$G$79/28/VLOOKUP(Assumptions!$D$7, Lists!$B$7:$C$10, 2, FALSE)</f>
        <v>-3214285.7142857141</v>
      </c>
      <c r="M35" s="48">
        <f t="shared" si="57"/>
        <v>-10714285.714285715</v>
      </c>
      <c r="N35" s="185">
        <f>N86*-Assumptions!$G$79/28/VLOOKUP(Assumptions!$D$7, Lists!$B$7:$C$10, 2, FALSE)</f>
        <v>-3571428.5714285714</v>
      </c>
      <c r="O35" s="185">
        <f>O86*-Assumptions!$G$79/28/VLOOKUP(Assumptions!$D$7, Lists!$B$7:$C$10, 2, FALSE)</f>
        <v>-3928571.4285714286</v>
      </c>
      <c r="P35" s="185">
        <f>P86*-Assumptions!$G$79/28/VLOOKUP(Assumptions!$D$7, Lists!$B$7:$C$10, 2, FALSE)</f>
        <v>-4285714.2857142854</v>
      </c>
      <c r="Q35" s="185">
        <f>Q86*-Assumptions!$G$79/28/VLOOKUP(Assumptions!$D$7, Lists!$B$7:$C$10, 2, FALSE)</f>
        <v>-4642857.1428571427</v>
      </c>
      <c r="R35" s="48">
        <f t="shared" si="58"/>
        <v>-16428571.428571429</v>
      </c>
      <c r="S35" s="185">
        <f>S86*-Assumptions!$G$79/28/VLOOKUP(Assumptions!$D$7, Lists!$B$7:$C$10, 2, FALSE)</f>
        <v>-5000000</v>
      </c>
      <c r="T35" s="185">
        <f>T86*-Assumptions!$G$79/28/VLOOKUP(Assumptions!$D$7, Lists!$B$7:$C$10, 2, FALSE)</f>
        <v>-5357142.8571428573</v>
      </c>
      <c r="U35" s="185">
        <f>U86*-Assumptions!$G$79/28/VLOOKUP(Assumptions!$D$7, Lists!$B$7:$C$10, 2, FALSE)</f>
        <v>-5714285.7142857146</v>
      </c>
      <c r="V35" s="185">
        <f>V86*-Assumptions!$G$79/28/VLOOKUP(Assumptions!$D$7, Lists!$B$7:$C$10, 2, FALSE)</f>
        <v>-6071428.5714285718</v>
      </c>
      <c r="W35" s="48">
        <f t="shared" si="59"/>
        <v>-22142857.142857146</v>
      </c>
      <c r="X35" s="185">
        <f>X86*-Assumptions!$G$79/28/VLOOKUP(Assumptions!$D$7, Lists!$B$7:$C$10, 2, FALSE)</f>
        <v>-6428571.4285714282</v>
      </c>
      <c r="Y35" s="185">
        <f>Y86*-Assumptions!$G$79/28/VLOOKUP(Assumptions!$D$7, Lists!$B$7:$C$10, 2, FALSE)</f>
        <v>-6785714.2857142854</v>
      </c>
      <c r="Z35" s="185">
        <f>Z86*-Assumptions!$G$79/28/VLOOKUP(Assumptions!$D$7, Lists!$B$7:$C$10, 2, FALSE)</f>
        <v>-7142857.1428571427</v>
      </c>
      <c r="AA35" s="185">
        <f>AA86*-Assumptions!$G$79/28/VLOOKUP(Assumptions!$D$7, Lists!$B$7:$C$10, 2, FALSE)</f>
        <v>-7500000</v>
      </c>
      <c r="AB35" s="48">
        <f t="shared" si="60"/>
        <v>-27857142.857142854</v>
      </c>
      <c r="AC35" s="185">
        <f>AC86*-Assumptions!$G$79/28/VLOOKUP(Assumptions!$D$7, Lists!$B$7:$C$10, 2, FALSE)</f>
        <v>-7500000</v>
      </c>
      <c r="AD35" s="185">
        <f>AD86*-Assumptions!$G$79/28/VLOOKUP(Assumptions!$D$7, Lists!$B$7:$C$10, 2, FALSE)</f>
        <v>-7142857.1428571427</v>
      </c>
      <c r="AE35" s="185">
        <f>AE86*-Assumptions!$G$79/28/VLOOKUP(Assumptions!$D$7, Lists!$B$7:$C$10, 2, FALSE)</f>
        <v>-7142857.1428571427</v>
      </c>
      <c r="AF35" s="185">
        <f>AF86*-Assumptions!$G$79/28/VLOOKUP(Assumptions!$D$7, Lists!$B$7:$C$10, 2, FALSE)</f>
        <v>-7142857.1428571427</v>
      </c>
      <c r="AG35" s="48">
        <f t="shared" si="61"/>
        <v>-28928571.428571425</v>
      </c>
      <c r="AH35" s="63">
        <f>AH86*-Assumptions!$G$79/28/VLOOKUP(Assumptions!$D$7, Lists!$B$7:$C$10, 2, FALSE)</f>
        <v>-7142857.1428571427</v>
      </c>
      <c r="AI35" s="64">
        <f>AI86*-Assumptions!$G$79/28/VLOOKUP(Assumptions!$D$7, Lists!$B$7:$C$10, 2, FALSE)</f>
        <v>-7142857.1428571427</v>
      </c>
      <c r="AJ35" s="64">
        <f>AJ86*-Assumptions!$G$79/28/VLOOKUP(Assumptions!$D$7, Lists!$B$7:$C$10, 2, FALSE)</f>
        <v>-7142857.1428571427</v>
      </c>
      <c r="AK35" s="108">
        <f>AK86*-Assumptions!$G$79/28/VLOOKUP(Assumptions!$D$7, Lists!$B$7:$C$10, 2, FALSE)</f>
        <v>-7142857.1428571427</v>
      </c>
      <c r="AL35" s="60">
        <f t="shared" si="62"/>
        <v>-28571428.571428571</v>
      </c>
    </row>
    <row r="36" spans="1:38" ht="15.95" outlineLevel="2">
      <c r="A36" s="31"/>
      <c r="C36" s="32" t="s">
        <v>277</v>
      </c>
      <c r="D36" s="185">
        <f>-Assumptions!$G$81/28/VLOOKUP(Assumptions!$D$7, Lists!$B$7:$C$10, 2, FALSE)</f>
        <v>-8928571.4285714291</v>
      </c>
      <c r="E36" s="185">
        <f>-Assumptions!$G$81/28/VLOOKUP(Assumptions!$D$7, Lists!$B$7:$C$10, 2, FALSE)</f>
        <v>-8928571.4285714291</v>
      </c>
      <c r="F36" s="185">
        <f>-Assumptions!$G$81/28/VLOOKUP(Assumptions!$D$7, Lists!$B$7:$C$10, 2, FALSE)</f>
        <v>-8928571.4285714291</v>
      </c>
      <c r="G36" s="185">
        <f>-Assumptions!$G$81/28/VLOOKUP(Assumptions!$D$7, Lists!$B$7:$C$10, 2, FALSE)</f>
        <v>-8928571.4285714291</v>
      </c>
      <c r="H36" s="60">
        <f t="shared" si="56"/>
        <v>-35714285.714285716</v>
      </c>
      <c r="I36" s="185">
        <f>-Assumptions!$G$81/28/VLOOKUP(Assumptions!$D$7, Lists!$B$7:$C$10, 2, FALSE)</f>
        <v>-8928571.4285714291</v>
      </c>
      <c r="J36" s="185">
        <f>-Assumptions!$G$81/28/VLOOKUP(Assumptions!$D$7, Lists!$B$7:$C$10, 2, FALSE)</f>
        <v>-8928571.4285714291</v>
      </c>
      <c r="K36" s="185">
        <f>-Assumptions!$G$81/28/VLOOKUP(Assumptions!$D$7, Lists!$B$7:$C$10, 2, FALSE)</f>
        <v>-8928571.4285714291</v>
      </c>
      <c r="L36" s="185">
        <f>-Assumptions!$G$81/28/VLOOKUP(Assumptions!$D$7, Lists!$B$7:$C$10, 2, FALSE)</f>
        <v>-8928571.4285714291</v>
      </c>
      <c r="M36" s="48">
        <f t="shared" si="57"/>
        <v>-35714285.714285716</v>
      </c>
      <c r="N36" s="185">
        <f>-Assumptions!$G$81/28/VLOOKUP(Assumptions!$D$7, Lists!$B$7:$C$10, 2, FALSE)</f>
        <v>-8928571.4285714291</v>
      </c>
      <c r="O36" s="185">
        <f>-Assumptions!$G$81/28/VLOOKUP(Assumptions!$D$7, Lists!$B$7:$C$10, 2, FALSE)</f>
        <v>-8928571.4285714291</v>
      </c>
      <c r="P36" s="185">
        <f>-Assumptions!$G$81/28/VLOOKUP(Assumptions!$D$7, Lists!$B$7:$C$10, 2, FALSE)</f>
        <v>-8928571.4285714291</v>
      </c>
      <c r="Q36" s="185">
        <f>-Assumptions!$G$81/28/VLOOKUP(Assumptions!$D$7, Lists!$B$7:$C$10, 2, FALSE)</f>
        <v>-8928571.4285714291</v>
      </c>
      <c r="R36" s="48">
        <f t="shared" si="58"/>
        <v>-35714285.714285716</v>
      </c>
      <c r="S36" s="185">
        <f>-Assumptions!$G$81/28/VLOOKUP(Assumptions!$D$7, Lists!$B$7:$C$10, 2, FALSE)</f>
        <v>-8928571.4285714291</v>
      </c>
      <c r="T36" s="185">
        <f>-Assumptions!$G$81/28/VLOOKUP(Assumptions!$D$7, Lists!$B$7:$C$10, 2, FALSE)</f>
        <v>-8928571.4285714291</v>
      </c>
      <c r="U36" s="185">
        <f>-Assumptions!$G$81/28/VLOOKUP(Assumptions!$D$7, Lists!$B$7:$C$10, 2, FALSE)</f>
        <v>-8928571.4285714291</v>
      </c>
      <c r="V36" s="185">
        <f>-Assumptions!$G$81/28/VLOOKUP(Assumptions!$D$7, Lists!$B$7:$C$10, 2, FALSE)</f>
        <v>-8928571.4285714291</v>
      </c>
      <c r="W36" s="48">
        <f t="shared" si="59"/>
        <v>-35714285.714285716</v>
      </c>
      <c r="X36" s="185">
        <f>-Assumptions!$G$81/28/VLOOKUP(Assumptions!$D$7, Lists!$B$7:$C$10, 2, FALSE)</f>
        <v>-8928571.4285714291</v>
      </c>
      <c r="Y36" s="185">
        <f>-Assumptions!$G$81/28/VLOOKUP(Assumptions!$D$7, Lists!$B$7:$C$10, 2, FALSE)</f>
        <v>-8928571.4285714291</v>
      </c>
      <c r="Z36" s="185">
        <f>-Assumptions!$G$81/28/VLOOKUP(Assumptions!$D$7, Lists!$B$7:$C$10, 2, FALSE)</f>
        <v>-8928571.4285714291</v>
      </c>
      <c r="AA36" s="185">
        <f>-Assumptions!$G$81/28/VLOOKUP(Assumptions!$D$7, Lists!$B$7:$C$10, 2, FALSE)</f>
        <v>-8928571.4285714291</v>
      </c>
      <c r="AB36" s="48">
        <f t="shared" si="60"/>
        <v>-35714285.714285716</v>
      </c>
      <c r="AC36" s="185">
        <f>-Assumptions!$G$81/28/VLOOKUP(Assumptions!$D$7, Lists!$B$7:$C$10, 2, FALSE)</f>
        <v>-8928571.4285714291</v>
      </c>
      <c r="AD36" s="185">
        <f>-Assumptions!$G$81/28/VLOOKUP(Assumptions!$D$7, Lists!$B$7:$C$10, 2, FALSE)</f>
        <v>-8928571.4285714291</v>
      </c>
      <c r="AE36" s="185">
        <f>-Assumptions!$G$81/28/VLOOKUP(Assumptions!$D$7, Lists!$B$7:$C$10, 2, FALSE)</f>
        <v>-8928571.4285714291</v>
      </c>
      <c r="AF36" s="185">
        <f>-Assumptions!$G$81/28/VLOOKUP(Assumptions!$D$7, Lists!$B$7:$C$10, 2, FALSE)</f>
        <v>-8928571.4285714291</v>
      </c>
      <c r="AG36" s="48">
        <f t="shared" si="61"/>
        <v>-35714285.714285716</v>
      </c>
      <c r="AH36" s="63">
        <f>-Assumptions!$G$81/28/VLOOKUP(Assumptions!$D$7, Lists!$B$7:$C$10, 2, FALSE)</f>
        <v>-8928571.4285714291</v>
      </c>
      <c r="AI36" s="64">
        <f>-Assumptions!$G$81/28/VLOOKUP(Assumptions!$D$7, Lists!$B$7:$C$10, 2, FALSE)</f>
        <v>-8928571.4285714291</v>
      </c>
      <c r="AJ36" s="64">
        <f>-Assumptions!$G$81/28/VLOOKUP(Assumptions!$D$7, Lists!$B$7:$C$10, 2, FALSE)</f>
        <v>-8928571.4285714291</v>
      </c>
      <c r="AK36" s="108">
        <f>-Assumptions!$G$81/28/VLOOKUP(Assumptions!$D$7, Lists!$B$7:$C$10, 2, FALSE)</f>
        <v>-8928571.4285714291</v>
      </c>
      <c r="AL36" s="60">
        <f t="shared" si="62"/>
        <v>-35714285.714285716</v>
      </c>
    </row>
    <row r="37" spans="1:38" ht="15.95" outlineLevel="1">
      <c r="A37" s="31"/>
      <c r="B37" s="34" t="s">
        <v>278</v>
      </c>
      <c r="C37" s="34"/>
      <c r="D37" s="186">
        <f>SUM(D34:D36)</f>
        <v>-9717857.1428571437</v>
      </c>
      <c r="E37" s="186">
        <f>SUM(E34:E36)</f>
        <v>-10133928.571428571</v>
      </c>
      <c r="F37" s="186">
        <f>SUM(F34:F36)</f>
        <v>-10550000</v>
      </c>
      <c r="G37" s="186">
        <f>SUM(G34:G36)</f>
        <v>-10971428.571428571</v>
      </c>
      <c r="H37" s="61">
        <f t="shared" si="56"/>
        <v>-41373214.285714284</v>
      </c>
      <c r="I37" s="186">
        <f>SUM(I34:I36)</f>
        <v>-11387500</v>
      </c>
      <c r="J37" s="186">
        <f>SUM(J34:J36)</f>
        <v>-11803571.428571429</v>
      </c>
      <c r="K37" s="186">
        <f>SUM(K34:K36)</f>
        <v>-12214285.714285715</v>
      </c>
      <c r="L37" s="186">
        <f>SUM(L34:L36)</f>
        <v>-12625000</v>
      </c>
      <c r="M37" s="51">
        <f t="shared" si="57"/>
        <v>-48030357.142857142</v>
      </c>
      <c r="N37" s="186">
        <f>SUM(N34:N36)</f>
        <v>-13041071.428571429</v>
      </c>
      <c r="O37" s="186">
        <f>SUM(O34:O36)</f>
        <v>-13451785.714285715</v>
      </c>
      <c r="P37" s="186">
        <f>SUM(P34:P36)</f>
        <v>-13867857.142857142</v>
      </c>
      <c r="Q37" s="186">
        <f>SUM(Q34:Q36)</f>
        <v>-14278571.428571429</v>
      </c>
      <c r="R37" s="51">
        <f t="shared" si="58"/>
        <v>-54639285.714285716</v>
      </c>
      <c r="S37" s="186">
        <f>SUM(S34:S36)</f>
        <v>-14683928.571428571</v>
      </c>
      <c r="T37" s="186">
        <f>SUM(T34:T36)</f>
        <v>-15094642.857142858</v>
      </c>
      <c r="U37" s="186">
        <f>SUM(U34:U36)</f>
        <v>-15505357.142857144</v>
      </c>
      <c r="V37" s="186">
        <f>SUM(V34:V36)</f>
        <v>-15916071.428571429</v>
      </c>
      <c r="W37" s="51">
        <f t="shared" si="59"/>
        <v>-61200000</v>
      </c>
      <c r="X37" s="186">
        <f>SUM(X34:X36)</f>
        <v>-16321428.571428571</v>
      </c>
      <c r="Y37" s="186">
        <f>SUM(Y34:Y36)</f>
        <v>-16721428.571428571</v>
      </c>
      <c r="Z37" s="186">
        <f>SUM(Z34:Z36)</f>
        <v>-17126785.714285716</v>
      </c>
      <c r="AA37" s="186">
        <f>SUM(AA34:AA36)</f>
        <v>-17537500</v>
      </c>
      <c r="AB37" s="51">
        <f t="shared" si="60"/>
        <v>-67707142.857142866</v>
      </c>
      <c r="AC37" s="186">
        <f>SUM(AC34:AC36)</f>
        <v>-17532142.857142858</v>
      </c>
      <c r="AD37" s="186">
        <f>SUM(AD34:AD36)</f>
        <v>-17153571.428571429</v>
      </c>
      <c r="AE37" s="186">
        <f>SUM(AE34:AE36)</f>
        <v>-17148214.285714287</v>
      </c>
      <c r="AF37" s="186">
        <f>SUM(AF34:AF36)</f>
        <v>-17148214.285714287</v>
      </c>
      <c r="AG37" s="51">
        <f t="shared" si="61"/>
        <v>-68982142.857142851</v>
      </c>
      <c r="AH37" s="65">
        <f>SUM(AH34:AH36)</f>
        <v>-17132142.857142858</v>
      </c>
      <c r="AI37" s="66">
        <f>SUM(AI34:AI36)</f>
        <v>-17126785.714285716</v>
      </c>
      <c r="AJ37" s="66">
        <f>SUM(AJ34:AJ36)</f>
        <v>-17126785.714285716</v>
      </c>
      <c r="AK37" s="141">
        <f>SUM(AK34:AK36)</f>
        <v>-17116071.428571429</v>
      </c>
      <c r="AL37" s="61">
        <f t="shared" si="62"/>
        <v>-68501785.714285716</v>
      </c>
    </row>
    <row r="38" spans="1:38" ht="15.95" outlineLevel="2">
      <c r="A38" s="31"/>
      <c r="C38" s="32" t="s">
        <v>279</v>
      </c>
      <c r="D38" s="185">
        <f>D86*-Assumptions!$G$78/4/VLOOKUP(Assumptions!$D$7, Lists!$B$7:$C$10, 2, FALSE)</f>
        <v>-2500000</v>
      </c>
      <c r="E38" s="185">
        <f>E86*-Assumptions!$G$78/4/VLOOKUP(Assumptions!$D$7, Lists!$B$7:$C$10, 2, FALSE)</f>
        <v>-3750000</v>
      </c>
      <c r="F38" s="185">
        <f>F86*-Assumptions!$G$78/4/VLOOKUP(Assumptions!$D$7, Lists!$B$7:$C$10, 2, FALSE)</f>
        <v>-5000000</v>
      </c>
      <c r="G38" s="185">
        <f>G86*-Assumptions!$G$78/4/VLOOKUP(Assumptions!$D$7, Lists!$B$7:$C$10, 2, FALSE)</f>
        <v>-6250000</v>
      </c>
      <c r="H38" s="60">
        <f t="shared" si="56"/>
        <v>-17500000</v>
      </c>
      <c r="I38" s="185">
        <f>I86*-Assumptions!$G$78/4/VLOOKUP(Assumptions!$D$7, Lists!$B$7:$C$10, 2, FALSE)</f>
        <v>-7500000</v>
      </c>
      <c r="J38" s="185">
        <f>J86*-Assumptions!$G$78/4/VLOOKUP(Assumptions!$D$7, Lists!$B$7:$C$10, 2, FALSE)</f>
        <v>-8750000</v>
      </c>
      <c r="K38" s="185">
        <f>K86*-Assumptions!$G$78/4/VLOOKUP(Assumptions!$D$7, Lists!$B$7:$C$10, 2, FALSE)</f>
        <v>-10000000</v>
      </c>
      <c r="L38" s="185">
        <f>L86*-Assumptions!$G$78/4/VLOOKUP(Assumptions!$D$7, Lists!$B$7:$C$10, 2, FALSE)</f>
        <v>-11250000</v>
      </c>
      <c r="M38" s="48">
        <f t="shared" si="57"/>
        <v>-37500000</v>
      </c>
      <c r="N38" s="185">
        <f>N86*-Assumptions!$G$78/4/VLOOKUP(Assumptions!$D$7, Lists!$B$7:$C$10, 2, FALSE)</f>
        <v>-12500000</v>
      </c>
      <c r="O38" s="185">
        <f>O86*-Assumptions!$G$78/4/VLOOKUP(Assumptions!$D$7, Lists!$B$7:$C$10, 2, FALSE)</f>
        <v>-13750000</v>
      </c>
      <c r="P38" s="185">
        <f>P86*-Assumptions!$G$78/4/VLOOKUP(Assumptions!$D$7, Lists!$B$7:$C$10, 2, FALSE)</f>
        <v>-15000000</v>
      </c>
      <c r="Q38" s="185">
        <f>Q86*-Assumptions!$G$78/4/VLOOKUP(Assumptions!$D$7, Lists!$B$7:$C$10, 2, FALSE)</f>
        <v>-16250000</v>
      </c>
      <c r="R38" s="48">
        <f t="shared" si="58"/>
        <v>-57500000</v>
      </c>
      <c r="S38" s="185">
        <f>S86*-Assumptions!$G$78/4/VLOOKUP(Assumptions!$D$7, Lists!$B$7:$C$10, 2, FALSE)</f>
        <v>-17500000</v>
      </c>
      <c r="T38" s="185">
        <f>T86*-Assumptions!$G$78/4/VLOOKUP(Assumptions!$D$7, Lists!$B$7:$C$10, 2, FALSE)</f>
        <v>-18750000</v>
      </c>
      <c r="U38" s="185">
        <f>U86*-Assumptions!$G$78/4/VLOOKUP(Assumptions!$D$7, Lists!$B$7:$C$10, 2, FALSE)</f>
        <v>-20000000</v>
      </c>
      <c r="V38" s="185">
        <f>V86*-Assumptions!$G$78/4/VLOOKUP(Assumptions!$D$7, Lists!$B$7:$C$10, 2, FALSE)</f>
        <v>-21250000</v>
      </c>
      <c r="W38" s="48">
        <f t="shared" si="59"/>
        <v>-77500000</v>
      </c>
      <c r="X38" s="185">
        <f>X86*-Assumptions!$G$78/4/VLOOKUP(Assumptions!$D$7, Lists!$B$7:$C$10, 2, FALSE)</f>
        <v>-22500000</v>
      </c>
      <c r="Y38" s="185">
        <f>Y86*-Assumptions!$G$78/4/VLOOKUP(Assumptions!$D$7, Lists!$B$7:$C$10, 2, FALSE)</f>
        <v>-23750000</v>
      </c>
      <c r="Z38" s="185">
        <f>Z86*-Assumptions!$G$78/4/VLOOKUP(Assumptions!$D$7, Lists!$B$7:$C$10, 2, FALSE)</f>
        <v>-25000000</v>
      </c>
      <c r="AA38" s="185">
        <f>AA86*-Assumptions!$G$78/4/VLOOKUP(Assumptions!$D$7, Lists!$B$7:$C$10, 2, FALSE)</f>
        <v>-26250000</v>
      </c>
      <c r="AB38" s="48">
        <f t="shared" si="60"/>
        <v>-97500000</v>
      </c>
      <c r="AC38" s="185">
        <f>AC86*-Assumptions!$G$78/4/VLOOKUP(Assumptions!$D$7, Lists!$B$7:$C$10, 2, FALSE)</f>
        <v>-26250000</v>
      </c>
      <c r="AD38" s="185">
        <f>AD86*-Assumptions!$G$78/4/VLOOKUP(Assumptions!$D$7, Lists!$B$7:$C$10, 2, FALSE)</f>
        <v>-25000000</v>
      </c>
      <c r="AE38" s="185">
        <f>AE86*-Assumptions!$G$78/4/VLOOKUP(Assumptions!$D$7, Lists!$B$7:$C$10, 2, FALSE)</f>
        <v>-25000000</v>
      </c>
      <c r="AF38" s="185">
        <f>AF86*-Assumptions!$G$78/4/VLOOKUP(Assumptions!$D$7, Lists!$B$7:$C$10, 2, FALSE)</f>
        <v>-25000000</v>
      </c>
      <c r="AG38" s="48">
        <f t="shared" si="61"/>
        <v>-101250000</v>
      </c>
      <c r="AH38" s="63">
        <f>AH86*-Assumptions!$G$78/4/VLOOKUP(Assumptions!$D$7, Lists!$B$7:$C$10, 2, FALSE)</f>
        <v>-25000000</v>
      </c>
      <c r="AI38" s="64">
        <f>AI86*-Assumptions!$G$78/4/VLOOKUP(Assumptions!$D$7, Lists!$B$7:$C$10, 2, FALSE)</f>
        <v>-25000000</v>
      </c>
      <c r="AJ38" s="64">
        <f>AJ86*-Assumptions!$G$78/4/VLOOKUP(Assumptions!$D$7, Lists!$B$7:$C$10, 2, FALSE)</f>
        <v>-25000000</v>
      </c>
      <c r="AK38" s="108">
        <f>AK86*-Assumptions!$G$78/4/VLOOKUP(Assumptions!$D$7, Lists!$B$7:$C$10, 2, FALSE)</f>
        <v>-25000000</v>
      </c>
      <c r="AL38" s="60">
        <f t="shared" si="62"/>
        <v>-100000000</v>
      </c>
    </row>
    <row r="39" spans="1:38" ht="15.95" outlineLevel="2">
      <c r="A39" s="31"/>
      <c r="C39" s="32" t="s">
        <v>280</v>
      </c>
      <c r="D39" s="185">
        <f>D86*-Assumptions!$G$83/4/VLOOKUP(Assumptions!$D$7, Lists!$B$7:$C$10, 2, FALSE)</f>
        <v>-250000</v>
      </c>
      <c r="E39" s="185">
        <f>E86*-Assumptions!$G$83/4/VLOOKUP(Assumptions!$D$7, Lists!$B$7:$C$10, 2, FALSE)</f>
        <v>-375000</v>
      </c>
      <c r="F39" s="185">
        <f>F86*-Assumptions!$G$83/4/VLOOKUP(Assumptions!$D$7, Lists!$B$7:$C$10, 2, FALSE)</f>
        <v>-500000</v>
      </c>
      <c r="G39" s="185">
        <f>G86*-Assumptions!$G$83/4/VLOOKUP(Assumptions!$D$7, Lists!$B$7:$C$10, 2, FALSE)</f>
        <v>-625000</v>
      </c>
      <c r="H39" s="60">
        <f t="shared" si="56"/>
        <v>-1750000</v>
      </c>
      <c r="I39" s="185">
        <f>I86*-Assumptions!$G$83/4/VLOOKUP(Assumptions!$D$7, Lists!$B$7:$C$10, 2, FALSE)</f>
        <v>-750000</v>
      </c>
      <c r="J39" s="185">
        <f>J86*-Assumptions!$G$83/4/VLOOKUP(Assumptions!$D$7, Lists!$B$7:$C$10, 2, FALSE)</f>
        <v>-875000</v>
      </c>
      <c r="K39" s="185">
        <f>K86*-Assumptions!$G$83/4/VLOOKUP(Assumptions!$D$7, Lists!$B$7:$C$10, 2, FALSE)</f>
        <v>-1000000</v>
      </c>
      <c r="L39" s="185">
        <f>L86*-Assumptions!$G$83/4/VLOOKUP(Assumptions!$D$7, Lists!$B$7:$C$10, 2, FALSE)</f>
        <v>-1125000</v>
      </c>
      <c r="M39" s="48">
        <f t="shared" si="57"/>
        <v>-3750000</v>
      </c>
      <c r="N39" s="185">
        <f>N86*-Assumptions!$G$83/4/VLOOKUP(Assumptions!$D$7, Lists!$B$7:$C$10, 2, FALSE)</f>
        <v>-1250000</v>
      </c>
      <c r="O39" s="185">
        <f>O86*-Assumptions!$G$83/4/VLOOKUP(Assumptions!$D$7, Lists!$B$7:$C$10, 2, FALSE)</f>
        <v>-1375000</v>
      </c>
      <c r="P39" s="185">
        <f>P86*-Assumptions!$G$83/4/VLOOKUP(Assumptions!$D$7, Lists!$B$7:$C$10, 2, FALSE)</f>
        <v>-1500000</v>
      </c>
      <c r="Q39" s="185">
        <f>Q86*-Assumptions!$G$83/4/VLOOKUP(Assumptions!$D$7, Lists!$B$7:$C$10, 2, FALSE)</f>
        <v>-1625000</v>
      </c>
      <c r="R39" s="48">
        <f t="shared" si="58"/>
        <v>-5750000</v>
      </c>
      <c r="S39" s="185">
        <f>S86*-Assumptions!$G$83/4/VLOOKUP(Assumptions!$D$7, Lists!$B$7:$C$10, 2, FALSE)</f>
        <v>-1750000</v>
      </c>
      <c r="T39" s="185">
        <f>T86*-Assumptions!$G$83/4/VLOOKUP(Assumptions!$D$7, Lists!$B$7:$C$10, 2, FALSE)</f>
        <v>-1875000</v>
      </c>
      <c r="U39" s="185">
        <f>U86*-Assumptions!$G$83/4/VLOOKUP(Assumptions!$D$7, Lists!$B$7:$C$10, 2, FALSE)</f>
        <v>-2000000</v>
      </c>
      <c r="V39" s="185">
        <f>V86*-Assumptions!$G$83/4/VLOOKUP(Assumptions!$D$7, Lists!$B$7:$C$10, 2, FALSE)</f>
        <v>-2125000</v>
      </c>
      <c r="W39" s="48">
        <f t="shared" si="59"/>
        <v>-7750000</v>
      </c>
      <c r="X39" s="185">
        <f>X86*-Assumptions!$G$83/4/VLOOKUP(Assumptions!$D$7, Lists!$B$7:$C$10, 2, FALSE)</f>
        <v>-2250000</v>
      </c>
      <c r="Y39" s="185">
        <f>Y86*-Assumptions!$G$83/4/VLOOKUP(Assumptions!$D$7, Lists!$B$7:$C$10, 2, FALSE)</f>
        <v>-2375000</v>
      </c>
      <c r="Z39" s="185">
        <f>Z86*-Assumptions!$G$83/4/VLOOKUP(Assumptions!$D$7, Lists!$B$7:$C$10, 2, FALSE)</f>
        <v>-2500000</v>
      </c>
      <c r="AA39" s="185">
        <f>AA86*-Assumptions!$G$83/4/VLOOKUP(Assumptions!$D$7, Lists!$B$7:$C$10, 2, FALSE)</f>
        <v>-2625000</v>
      </c>
      <c r="AB39" s="48">
        <f t="shared" si="60"/>
        <v>-9750000</v>
      </c>
      <c r="AC39" s="185">
        <f>AC86*-Assumptions!$G$83/4/VLOOKUP(Assumptions!$D$7, Lists!$B$7:$C$10, 2, FALSE)</f>
        <v>-2625000</v>
      </c>
      <c r="AD39" s="185">
        <f>AD86*-Assumptions!$G$83/4/VLOOKUP(Assumptions!$D$7, Lists!$B$7:$C$10, 2, FALSE)</f>
        <v>-2500000</v>
      </c>
      <c r="AE39" s="185">
        <f>AE86*-Assumptions!$G$83/4/VLOOKUP(Assumptions!$D$7, Lists!$B$7:$C$10, 2, FALSE)</f>
        <v>-2500000</v>
      </c>
      <c r="AF39" s="185">
        <f>AF86*-Assumptions!$G$83/4/VLOOKUP(Assumptions!$D$7, Lists!$B$7:$C$10, 2, FALSE)</f>
        <v>-2500000</v>
      </c>
      <c r="AG39" s="48">
        <f t="shared" si="61"/>
        <v>-10125000</v>
      </c>
      <c r="AH39" s="63">
        <f>AH86*-Assumptions!$G$83/4/VLOOKUP(Assumptions!$D$7, Lists!$B$7:$C$10, 2, FALSE)</f>
        <v>-2500000</v>
      </c>
      <c r="AI39" s="64">
        <f>AI86*-Assumptions!$G$83/4/VLOOKUP(Assumptions!$D$7, Lists!$B$7:$C$10, 2, FALSE)</f>
        <v>-2500000</v>
      </c>
      <c r="AJ39" s="64">
        <f>AJ86*-Assumptions!$G$83/4/VLOOKUP(Assumptions!$D$7, Lists!$B$7:$C$10, 2, FALSE)</f>
        <v>-2500000</v>
      </c>
      <c r="AK39" s="108">
        <f>AK86*-Assumptions!$G$83/4/VLOOKUP(Assumptions!$D$7, Lists!$B$7:$C$10, 2, FALSE)</f>
        <v>-2500000</v>
      </c>
      <c r="AL39" s="60">
        <f t="shared" si="62"/>
        <v>-10000000</v>
      </c>
    </row>
    <row r="40" spans="1:38" ht="15.95" outlineLevel="2">
      <c r="A40" s="31"/>
      <c r="C40" s="32" t="s">
        <v>281</v>
      </c>
      <c r="D40" s="185">
        <f>SUM(D68:D71)*(1-Assumptions!$G$88)*-Assumptions!D86/VLOOKUP(Assumptions!$D$7, Lists!$B$7:$C$10, 2, FALSE)</f>
        <v>-103950000</v>
      </c>
      <c r="E40" s="185">
        <f>(-IF((SUM(E68:E71)-SUM(D68:D71)-SUM(E68:E71)*(Assumptions!$G$87+Assumptions!$G$88)-Assumptions!$G$59*Assumptions!$G$60)*Assumptions!$G$86&gt;0,(SUM(E68:E71)-SUM(D68:D71)-SUM(E68:E71)*(Assumptions!$G$87+Assumptions!$G$88)-Assumptions!$G$59*Assumptions!$G$60)*Assumptions!$G$86,0))/VLOOKUP(Assumptions!$D$7, Lists!$B$7:$C$10, 2, FALSE)</f>
        <v>-82970000</v>
      </c>
      <c r="F40" s="185">
        <f>(-IF((SUM(F68:F71)-SUM(E68:E71)-SUM(F68:F71)*(Assumptions!$G$87+Assumptions!$G$88)-Assumptions!$G$59*Assumptions!$G$60)*Assumptions!$G$86&gt;0,(SUM(F68:F71)-SUM(E68:E71)-SUM(F68:F71)*(Assumptions!$G$87+Assumptions!$G$88)-Assumptions!$G$59*Assumptions!$G$60)*Assumptions!$G$86,0))/VLOOKUP(Assumptions!$D$7, Lists!$B$7:$C$10, 2, FALSE)</f>
        <v>-67955000</v>
      </c>
      <c r="G40" s="185">
        <f>(-IF((SUM(G68:G71)-SUM(F68:F71)-SUM(G68:G71)*(Assumptions!$G$87+Assumptions!$G$88)-Assumptions!$G$59*Assumptions!$G$60)*Assumptions!$G$86&gt;0,(SUM(G68:G71)-SUM(F68:F71)-SUM(G68:G71)*(Assumptions!$G$87+Assumptions!$G$88)-Assumptions!$G$59*Assumptions!$G$60)*Assumptions!$G$86,0))/VLOOKUP(Assumptions!$D$7, Lists!$B$7:$C$10, 2, FALSE)</f>
        <v>-52940000</v>
      </c>
      <c r="H40" s="60">
        <f t="shared" si="56"/>
        <v>-307815000</v>
      </c>
      <c r="I40" s="185">
        <f>(-IF((SUM(I68:I71)-SUM(H68:H71)-SUM(I68:I71)*(Assumptions!$G$87+Assumptions!$G$88)-Assumptions!$G$59*Assumptions!$G$60)*Assumptions!$G$86&gt;0,(SUM(I68:I71)-SUM(H68:H71)-SUM(I68:I71)*(Assumptions!$G$87+Assumptions!$G$88)-Assumptions!$G$59*Assumptions!$G$60)*Assumptions!$G$86,0))/VLOOKUP(Assumptions!$D$7, Lists!$B$7:$C$10, 2, FALSE)</f>
        <v>-37925000</v>
      </c>
      <c r="J40" s="185">
        <f>(-IF((SUM(J68:J71)-SUM(I68:I71)-SUM(J68:J71)*(Assumptions!$G$87+Assumptions!$G$88)-Assumptions!$G$59*Assumptions!$G$60)*Assumptions!$G$86&gt;0,(SUM(J68:J71)-SUM(I68:I71)-SUM(J68:J71)*(Assumptions!$G$87+Assumptions!$G$88)-Assumptions!$G$59*Assumptions!$G$60)*Assumptions!$G$86,0))/VLOOKUP(Assumptions!$D$7, Lists!$B$7:$C$10, 2, FALSE)</f>
        <v>-22910000.000000004</v>
      </c>
      <c r="K40" s="185">
        <f>(-IF((SUM(K68:K71)-SUM(J68:J71)-SUM(K68:K71)*(Assumptions!$G$87+Assumptions!$G$88)-Assumptions!$G$59*Assumptions!$G$60)*Assumptions!$G$86&gt;0,(SUM(K68:K71)-SUM(J68:J71)-SUM(K68:K71)*(Assumptions!$G$87+Assumptions!$G$88)-Assumptions!$G$59*Assumptions!$G$60)*Assumptions!$G$86,0))/VLOOKUP(Assumptions!$D$7, Lists!$B$7:$C$10, 2, FALSE)</f>
        <v>-7895000.0000000047</v>
      </c>
      <c r="L40" s="185">
        <f>(-IF((SUM(L68:L71)-SUM(K68:K71)-SUM(L68:L71)*(Assumptions!$G$87+Assumptions!$G$88)-Assumptions!$G$59*Assumptions!$G$60)*Assumptions!$G$86&gt;0,(SUM(L68:L71)-SUM(K68:K71)-SUM(L68:L71)*(Assumptions!$G$87+Assumptions!$G$88)-Assumptions!$G$59*Assumptions!$G$60)*Assumptions!$G$86,0))/VLOOKUP(Assumptions!$D$7, Lists!$B$7:$C$10, 2, FALSE)</f>
        <v>0</v>
      </c>
      <c r="M40" s="48">
        <f t="shared" si="57"/>
        <v>-68730000</v>
      </c>
      <c r="N40" s="185">
        <f>(-IF((SUM(N68:N71)-SUM(M68:M71)-SUM(N68:N71)*(Assumptions!$G$87+Assumptions!$G$88)-Assumptions!$G$59*Assumptions!$G$60)*Assumptions!$G$86&gt;0,(SUM(N68:N71)-SUM(M68:M71)-SUM(N68:N71)*(Assumptions!$G$87+Assumptions!$G$88)-Assumptions!$G$59*Assumptions!$G$60)*Assumptions!$G$86,0))/VLOOKUP(Assumptions!$D$7, Lists!$B$7:$C$10, 2, FALSE)</f>
        <v>0</v>
      </c>
      <c r="O40" s="185">
        <f>(-IF((SUM(O68:O71)-SUM(N68:N71)-SUM(O68:O71)*(Assumptions!$G$87+Assumptions!$G$88)-Assumptions!$G$59*Assumptions!$G$60)*Assumptions!$G$86&gt;0,(SUM(O68:O71)-SUM(N68:N71)-SUM(O68:O71)*(Assumptions!$G$87+Assumptions!$G$88)-Assumptions!$G$59*Assumptions!$G$60)*Assumptions!$G$86,0))/VLOOKUP(Assumptions!$D$7, Lists!$B$7:$C$10, 2, FALSE)</f>
        <v>0</v>
      </c>
      <c r="P40" s="185">
        <f>(-IF((SUM(P68:P71)-SUM(O68:O71)-SUM(P68:P71)*(Assumptions!$G$87+Assumptions!$G$88)-Assumptions!$G$59*Assumptions!$G$60)*Assumptions!$G$86&gt;0,(SUM(P68:P71)-SUM(O68:O71)-SUM(P68:P71)*(Assumptions!$G$87+Assumptions!$G$88)-Assumptions!$G$59*Assumptions!$G$60)*Assumptions!$G$86,0))/VLOOKUP(Assumptions!$D$7, Lists!$B$7:$C$10, 2, FALSE)</f>
        <v>0</v>
      </c>
      <c r="Q40" s="185">
        <f>(-IF((SUM(Q68:Q71)-SUM(P68:P71)-SUM(Q68:Q71)*(Assumptions!$G$87+Assumptions!$G$88)-Assumptions!$G$59*Assumptions!$G$60)*Assumptions!$G$86&gt;0,(SUM(Q68:Q71)-SUM(P68:P71)-SUM(Q68:Q71)*(Assumptions!$G$87+Assumptions!$G$88)-Assumptions!$G$59*Assumptions!$G$60)*Assumptions!$G$86,0))/VLOOKUP(Assumptions!$D$7, Lists!$B$7:$C$10, 2, FALSE)</f>
        <v>0</v>
      </c>
      <c r="R40" s="48">
        <f t="shared" si="58"/>
        <v>0</v>
      </c>
      <c r="S40" s="185">
        <f>(-IF((SUM(S68:S71)-SUM(R68:R71)-SUM(S68:S71)*(Assumptions!$G$87+Assumptions!$G$88)-Assumptions!$G$59*Assumptions!$G$60)*Assumptions!$G$86&gt;0,(SUM(S68:S71)-SUM(R68:R71)-SUM(S68:S71)*(Assumptions!$G$87+Assumptions!$G$88)-Assumptions!$G$59*Assumptions!$G$60)*Assumptions!$G$86,0))/VLOOKUP(Assumptions!$D$7, Lists!$B$7:$C$10, 2, FALSE)</f>
        <v>0</v>
      </c>
      <c r="T40" s="185">
        <f>(-IF((SUM(T68:T71)-SUM(S68:S71)-SUM(T68:T71)*(Assumptions!$G$87+Assumptions!$G$88)-Assumptions!$G$59*Assumptions!$G$60)*Assumptions!$G$86&gt;0,(SUM(T68:T71)-SUM(S68:S71)-SUM(T68:T71)*(Assumptions!$G$87+Assumptions!$G$88)-Assumptions!$G$59*Assumptions!$G$60)*Assumptions!$G$86,0))/VLOOKUP(Assumptions!$D$7, Lists!$B$7:$C$10, 2, FALSE)</f>
        <v>0</v>
      </c>
      <c r="U40" s="185">
        <f>(-IF((SUM(U68:U71)-SUM(T68:T71)-SUM(U68:U71)*(Assumptions!$G$87+Assumptions!$G$88)-Assumptions!$G$59*Assumptions!$G$60)*Assumptions!$G$86&gt;0,(SUM(U68:U71)-SUM(T68:T71)-SUM(U68:U71)*(Assumptions!$G$87+Assumptions!$G$88)-Assumptions!$G$59*Assumptions!$G$60)*Assumptions!$G$86,0))/VLOOKUP(Assumptions!$D$7, Lists!$B$7:$C$10, 2, FALSE)</f>
        <v>0</v>
      </c>
      <c r="V40" s="185">
        <f>(-IF((SUM(V68:V71)-SUM(U68:U71)-SUM(V68:V71)*(Assumptions!$G$87+Assumptions!$G$88)-Assumptions!$G$59*Assumptions!$G$60)*Assumptions!$G$86&gt;0,(SUM(V68:V71)-SUM(U68:U71)-SUM(V68:V71)*(Assumptions!$G$87+Assumptions!$G$88)-Assumptions!$G$59*Assumptions!$G$60)*Assumptions!$G$86,0))/VLOOKUP(Assumptions!$D$7, Lists!$B$7:$C$10, 2, FALSE)</f>
        <v>0</v>
      </c>
      <c r="W40" s="48">
        <f t="shared" si="59"/>
        <v>0</v>
      </c>
      <c r="X40" s="185">
        <f>(-IF((SUM(X68:X71)-SUM(W68:W71)-SUM(X68:X71)*(Assumptions!$G$87+Assumptions!$G$88)-Assumptions!$G$59*Assumptions!$G$60)*Assumptions!$G$86&gt;0,(SUM(X68:X71)-SUM(W68:W71)-SUM(X68:X71)*(Assumptions!$G$87+Assumptions!$G$88)-Assumptions!$G$59*Assumptions!$G$60)*Assumptions!$G$86,0))/VLOOKUP(Assumptions!$D$7, Lists!$B$7:$C$10, 2, FALSE)</f>
        <v>0</v>
      </c>
      <c r="Y40" s="185">
        <f>(-IF((SUM(Y68:Y71)-SUM(X68:X71)-SUM(Y68:Y71)*(Assumptions!$G$87+Assumptions!$G$88)-Assumptions!$G$59*Assumptions!$G$60)*Assumptions!$G$86&gt;0,(SUM(Y68:Y71)-SUM(X68:X71)-SUM(Y68:Y71)*(Assumptions!$G$87+Assumptions!$G$88)-Assumptions!$G$59*Assumptions!$G$60)*Assumptions!$G$86,0))/VLOOKUP(Assumptions!$D$7, Lists!$B$7:$C$10, 2, FALSE)</f>
        <v>0</v>
      </c>
      <c r="Z40" s="185">
        <f>(-IF((SUM(Z68:Z71)-SUM(Y68:Y71)-SUM(Z68:Z71)*(Assumptions!$G$87+Assumptions!$G$88)-Assumptions!$G$59*Assumptions!$G$60)*Assumptions!$G$86&gt;0,(SUM(Z68:Z71)-SUM(Y68:Y71)-SUM(Z68:Z71)*(Assumptions!$G$87+Assumptions!$G$88)-Assumptions!$G$59*Assumptions!$G$60)*Assumptions!$G$86,0))/VLOOKUP(Assumptions!$D$7, Lists!$B$7:$C$10, 2, FALSE)</f>
        <v>0</v>
      </c>
      <c r="AA40" s="185">
        <f>(-IF((SUM(AA68:AA71)-SUM(Z68:Z71)-SUM(AA68:AA71)*(Assumptions!$G$87+Assumptions!$G$88)-Assumptions!$G$59*Assumptions!$G$60)*Assumptions!$G$86&gt;0,(SUM(AA68:AA71)-SUM(Z68:Z71)-SUM(AA68:AA71)*(Assumptions!$G$87+Assumptions!$G$88)-Assumptions!$G$59*Assumptions!$G$60)*Assumptions!$G$86,0))/VLOOKUP(Assumptions!$D$7, Lists!$B$7:$C$10, 2, FALSE)</f>
        <v>0</v>
      </c>
      <c r="AB40" s="48">
        <f t="shared" si="60"/>
        <v>0</v>
      </c>
      <c r="AC40" s="185">
        <f>-IF((SUM(AC68:AC71)-SUM(AB68:AB71)-SUM(AC68:AC71)*(Assumptions!$G$87+Assumptions!$G$88)-Assumptions!$G$59*Assumptions!$G$60)*Assumptions!$G$86&gt;0,(SUM(AC68:AC71)-SUM(AB68:AB71)-SUM(AC68:AC71)*(Assumptions!$G$87+Assumptions!$G$88)-Assumptions!$G$59*Assumptions!$G$60)*Assumptions!$G$86,0)</f>
        <v>0</v>
      </c>
      <c r="AD40" s="185">
        <f>-IF((SUM(AD68:AD71)-SUM(AC68:AC71)-SUM(AD68:AD71)*(Assumptions!$G$87+Assumptions!$G$88)-Assumptions!$G$59*Assumptions!$G$60)*Assumptions!$G$86&gt;0,(SUM(AD68:AD71)-SUM(AC68:AC71)-SUM(AD68:AD71)*(Assumptions!$G$87+Assumptions!$G$88)-Assumptions!$G$59*Assumptions!$G$60)*Assumptions!$G$86,0)</f>
        <v>0</v>
      </c>
      <c r="AE40" s="185">
        <f>-IF((SUM(AE68:AE71)-SUM(AD68:AD71)-SUM(AE68:AE71)*(Assumptions!$G$87+Assumptions!$G$88)-Assumptions!$G$59*Assumptions!$G$60)*Assumptions!$G$86&gt;0,(SUM(AE68:AE71)-SUM(AD68:AD71)-SUM(AE68:AE71)*(Assumptions!$G$87+Assumptions!$G$88)-Assumptions!$G$59*Assumptions!$G$60)*Assumptions!$G$86,0)</f>
        <v>0</v>
      </c>
      <c r="AF40" s="185">
        <f>-IF((SUM(AF68:AF71)-SUM(AE68:AE71)-SUM(AF68:AF71)*(Assumptions!$G$87+Assumptions!$G$88)-Assumptions!$G$59*Assumptions!$G$60)*Assumptions!$G$86&gt;0,(SUM(AF68:AF71)-SUM(AE68:AE71)-SUM(AF68:AF71)*(Assumptions!$G$87+Assumptions!$G$88)-Assumptions!$G$59*Assumptions!$G$60)*Assumptions!$G$86,0)</f>
        <v>0</v>
      </c>
      <c r="AG40" s="48">
        <f t="shared" si="61"/>
        <v>0</v>
      </c>
      <c r="AH40" s="63">
        <f>(-IF((SUM(AH68:AH71)-SUM(AG68:AG71)-SUM(AH68:AH71)*(Assumptions!$G$87+Assumptions!$G$88)-Assumptions!$G$59*Assumptions!$G$60)*Assumptions!$G$86&gt;0,(SUM(AH68:AH71)-SUM(AG68:AG71)-SUM(AH68:AH71)*(Assumptions!$G$87+Assumptions!$G$88)-Assumptions!$G$59*Assumptions!$G$60)*Assumptions!$G$86,0))/VLOOKUP(Assumptions!$D$7, Lists!$B$7:$C$10, 2, FALSE)</f>
        <v>0</v>
      </c>
      <c r="AI40" s="64">
        <f>(-IF((SUM(AI68:AI71)-SUM(AH68:AH71)-SUM(AI68:AI71)*(Assumptions!$G$87+Assumptions!$G$88)-Assumptions!$G$59*Assumptions!$G$60)*Assumptions!$G$86&gt;0,(SUM(AI68:AI71)-SUM(AH68:AH71)-SUM(AI68:AI71)*(Assumptions!$G$87+Assumptions!$G$88)-Assumptions!$G$59*Assumptions!$G$60)*Assumptions!$G$86,0))/VLOOKUP(Assumptions!$D$7, Lists!$B$7:$C$10, 2, FALSE)</f>
        <v>0</v>
      </c>
      <c r="AJ40" s="64">
        <f>(-IF((SUM(AJ68:AJ71)-SUM(AI68:AI71)-SUM(AJ68:AJ71)*(Assumptions!$G$87+Assumptions!$G$88)-Assumptions!$G$59*Assumptions!$G$60)*Assumptions!$G$86&gt;0,(SUM(AJ68:AJ71)-SUM(AI68:AI71)-SUM(AJ68:AJ71)*(Assumptions!$G$87+Assumptions!$G$88)-Assumptions!$G$59*Assumptions!$G$60)*Assumptions!$G$86,0))/VLOOKUP(Assumptions!$D$7, Lists!$B$7:$C$10, 2, FALSE)</f>
        <v>0</v>
      </c>
      <c r="AK40" s="108">
        <f>(-IF((SUM(AK68:AK71)-SUM(AJ68:AJ71)-SUM(AK68:AK71)*(Assumptions!$G$87+Assumptions!$G$88)-Assumptions!$G$59*Assumptions!$G$60)*Assumptions!$G$86&gt;0,(SUM(AK68:AK71)-SUM(AJ68:AJ71)-SUM(AK68:AK71)*(Assumptions!$G$87+Assumptions!$G$88)-Assumptions!$G$59*Assumptions!$G$60)*Assumptions!$G$86,0))/VLOOKUP(Assumptions!$D$7, Lists!$B$7:$C$10, 2, FALSE)</f>
        <v>0</v>
      </c>
      <c r="AL40" s="60">
        <f t="shared" si="62"/>
        <v>0</v>
      </c>
    </row>
    <row r="41" spans="1:38" ht="15.95" outlineLevel="2">
      <c r="A41" s="31"/>
      <c r="C41" s="32" t="s">
        <v>282</v>
      </c>
      <c r="D41" s="185">
        <f>SUM(D68:D71)*Assumptions!$G$88*-Assumptions!$G$89/VLOOKUP(Assumptions!$D$7, Lists!$B$7:$C$10, 2, FALSE)</f>
        <v>-4620000</v>
      </c>
      <c r="E41" s="185">
        <f>((SUM(E68:E70)-SUM(D68:D70))*-Assumptions!$G$89)/VLOOKUP(Assumptions!$D$7, Lists!$B$7:$C$10, 2, FALSE)</f>
        <v>-6200000</v>
      </c>
      <c r="F41" s="185">
        <f>((SUM(F68:F70)-SUM(E68:E70))*-Assumptions!$G$89)/VLOOKUP(Assumptions!$D$7, Lists!$B$7:$C$10, 2, FALSE)</f>
        <v>-6200000</v>
      </c>
      <c r="G41" s="185">
        <f>((SUM(G68:G70)-SUM(F68:F70))*-Assumptions!$G$89)/VLOOKUP(Assumptions!$D$7, Lists!$B$7:$C$10, 2, FALSE)</f>
        <v>-6200000</v>
      </c>
      <c r="H41" s="60">
        <f t="shared" si="56"/>
        <v>-23220000</v>
      </c>
      <c r="I41" s="185">
        <f>((SUM(I68:I70)-SUM(H68:H70))*-Assumptions!$G$89)/VLOOKUP(Assumptions!$D$7, Lists!$B$7:$C$10, 2, FALSE)</f>
        <v>-6200000</v>
      </c>
      <c r="J41" s="185">
        <f>((SUM(J68:J70)-SUM(I68:I70))*-Assumptions!$G$89)/VLOOKUP(Assumptions!$D$7, Lists!$B$7:$C$10, 2, FALSE)</f>
        <v>-6200000</v>
      </c>
      <c r="K41" s="185">
        <f>((SUM(K68:K70)-SUM(J68:J70))*-Assumptions!$G$89)/VLOOKUP(Assumptions!$D$7, Lists!$B$7:$C$10, 2, FALSE)</f>
        <v>-6200000</v>
      </c>
      <c r="L41" s="185">
        <f>((SUM(L68:L70)-SUM(K68:K70))*-Assumptions!$G$89)/VLOOKUP(Assumptions!$D$7, Lists!$B$7:$C$10, 2, FALSE)</f>
        <v>-6200000</v>
      </c>
      <c r="M41" s="48">
        <f t="shared" si="57"/>
        <v>-24800000</v>
      </c>
      <c r="N41" s="185">
        <f>((SUM(N68:N70)-SUM(M68:M70))*-Assumptions!$G$89)/VLOOKUP(Assumptions!$D$7, Lists!$B$7:$C$10, 2, FALSE)</f>
        <v>-6200000</v>
      </c>
      <c r="O41" s="185">
        <f>((SUM(O68:O70)-SUM(N68:N70))*-Assumptions!$G$89)/VLOOKUP(Assumptions!$D$7, Lists!$B$7:$C$10, 2, FALSE)</f>
        <v>-6200000</v>
      </c>
      <c r="P41" s="185">
        <f>((SUM(P68:P70)-SUM(O68:O70))*-Assumptions!$G$89)/VLOOKUP(Assumptions!$D$7, Lists!$B$7:$C$10, 2, FALSE)</f>
        <v>-6200000</v>
      </c>
      <c r="Q41" s="185">
        <f>((SUM(Q68:Q70)-SUM(P68:P70))*-Assumptions!$G$89)/VLOOKUP(Assumptions!$D$7, Lists!$B$7:$C$10, 2, FALSE)</f>
        <v>-6200000</v>
      </c>
      <c r="R41" s="48">
        <f t="shared" si="58"/>
        <v>-24800000</v>
      </c>
      <c r="S41" s="185">
        <f>((SUM(S68:S70)-SUM(R68:R70))*-Assumptions!$G$89)/VLOOKUP(Assumptions!$D$7, Lists!$B$7:$C$10, 2, FALSE)</f>
        <v>-6200000</v>
      </c>
      <c r="T41" s="185">
        <f>((SUM(T68:T70)-SUM(S68:S70))*-Assumptions!$G$89)/VLOOKUP(Assumptions!$D$7, Lists!$B$7:$C$10, 2, FALSE)</f>
        <v>-6200000</v>
      </c>
      <c r="U41" s="185">
        <f>((SUM(U68:U70)-SUM(T68:T70))*-Assumptions!$G$89)/VLOOKUP(Assumptions!$D$7, Lists!$B$7:$C$10, 2, FALSE)</f>
        <v>-6200000</v>
      </c>
      <c r="V41" s="185">
        <f>((SUM(V68:V70)-SUM(U68:U70))*-Assumptions!$G$89)/VLOOKUP(Assumptions!$D$7, Lists!$B$7:$C$10, 2, FALSE)</f>
        <v>-6200000</v>
      </c>
      <c r="W41" s="48">
        <f t="shared" si="59"/>
        <v>-24800000</v>
      </c>
      <c r="X41" s="185">
        <f>((SUM(X68:X70)-SUM(W68:W70))*-Assumptions!$G$89)/VLOOKUP(Assumptions!$D$7, Lists!$B$7:$C$10, 2, FALSE)</f>
        <v>-6200000</v>
      </c>
      <c r="Y41" s="185">
        <f>((SUM(Y68:Y70)-SUM(X68:X70))*-Assumptions!$G$89)/VLOOKUP(Assumptions!$D$7, Lists!$B$7:$C$10, 2, FALSE)</f>
        <v>-6200000</v>
      </c>
      <c r="Z41" s="185">
        <f>((SUM(Z68:Z70)-SUM(Y68:Y70))*-Assumptions!$G$89)/VLOOKUP(Assumptions!$D$7, Lists!$B$7:$C$10, 2, FALSE)</f>
        <v>-6200000</v>
      </c>
      <c r="AA41" s="185">
        <f>((SUM(AA68:AA70)-SUM(Z68:Z70))*-Assumptions!$G$89)/VLOOKUP(Assumptions!$D$7, Lists!$B$7:$C$10, 2, FALSE)</f>
        <v>-6200000</v>
      </c>
      <c r="AB41" s="48">
        <f t="shared" si="60"/>
        <v>-24800000</v>
      </c>
      <c r="AC41" s="185">
        <f>((SUM(AC68:AC70)-SUM(AB68:AB70))*-Assumptions!$G$89)/VLOOKUP(Assumptions!$D$7, Lists!$B$7:$C$10, 2, FALSE)</f>
        <v>0</v>
      </c>
      <c r="AD41" s="185">
        <f>((SUM(AD68:AD70)-SUM(AC68:AC70))*-Assumptions!$G$89)/VLOOKUP(Assumptions!$D$7, Lists!$B$7:$C$10, 2, FALSE)</f>
        <v>0</v>
      </c>
      <c r="AE41" s="185">
        <f>((SUM(AE68:AE70)-SUM(AD68:AD70))*-Assumptions!$G$89)/VLOOKUP(Assumptions!$D$7, Lists!$B$7:$C$10, 2, FALSE)</f>
        <v>0</v>
      </c>
      <c r="AF41" s="185">
        <f>((SUM(AF68:AF70)-SUM(AE68:AE70))*-Assumptions!$G$89)/VLOOKUP(Assumptions!$D$7, Lists!$B$7:$C$10, 2, FALSE)</f>
        <v>0</v>
      </c>
      <c r="AG41" s="48">
        <f t="shared" si="61"/>
        <v>0</v>
      </c>
      <c r="AH41" s="63">
        <f>((SUM(AH68:AH70)-SUM(AG68:AG70))*-Assumptions!$G$89)/VLOOKUP(Assumptions!$D$7, Lists!$B$7:$C$10, 2, FALSE)</f>
        <v>0</v>
      </c>
      <c r="AI41" s="64">
        <f>((SUM(AI68:AI70)-SUM(AH68:AH70))*-Assumptions!$G$89)/VLOOKUP(Assumptions!$D$7, Lists!$B$7:$C$10, 2, FALSE)</f>
        <v>0</v>
      </c>
      <c r="AJ41" s="64">
        <f>((SUM(AJ68:AJ70)-SUM(AI68:AI70))*-Assumptions!$G$89)/VLOOKUP(Assumptions!$D$7, Lists!$B$7:$C$10, 2, FALSE)</f>
        <v>0</v>
      </c>
      <c r="AK41" s="108">
        <f>((SUM(AK68:AK70)-SUM(AJ68:AJ70))*-Assumptions!$G$89)/VLOOKUP(Assumptions!$D$7, Lists!$B$7:$C$10, 2, FALSE)</f>
        <v>0</v>
      </c>
      <c r="AL41" s="60">
        <f t="shared" si="62"/>
        <v>0</v>
      </c>
    </row>
    <row r="42" spans="1:38" ht="15.95" outlineLevel="2">
      <c r="A42" s="31"/>
      <c r="C42" s="32" t="s">
        <v>283</v>
      </c>
      <c r="D42" s="185">
        <f>D85*-Assumptions!$G$77/VLOOKUP(Assumptions!$D$7, Lists!$B$7:$C$10, 2, FALSE)</f>
        <v>-1147781.25</v>
      </c>
      <c r="E42" s="185">
        <f>E85*-Assumptions!$G$77/VLOOKUP(Assumptions!$D$7, Lists!$B$7:$C$10, 2, FALSE)</f>
        <v>-2281125</v>
      </c>
      <c r="F42" s="185">
        <f>F85*-Assumptions!$G$77/VLOOKUP(Assumptions!$D$7, Lists!$B$7:$C$10, 2, FALSE)</f>
        <v>-3400031.25</v>
      </c>
      <c r="G42" s="185">
        <f>G85*-Assumptions!$G$77/VLOOKUP(Assumptions!$D$7, Lists!$B$7:$C$10, 2, FALSE)</f>
        <v>-4504500</v>
      </c>
      <c r="H42" s="60">
        <f t="shared" si="56"/>
        <v>-11333437.5</v>
      </c>
      <c r="I42" s="185">
        <f>I85*-Assumptions!$G$77/VLOOKUP(Assumptions!$D$7, Lists!$B$7:$C$10, 2, FALSE)</f>
        <v>-5594531.25</v>
      </c>
      <c r="J42" s="185">
        <f>J85*-Assumptions!$G$77/VLOOKUP(Assumptions!$D$7, Lists!$B$7:$C$10, 2, FALSE)</f>
        <v>-6670125</v>
      </c>
      <c r="K42" s="185">
        <f>K85*-Assumptions!$G$77/VLOOKUP(Assumptions!$D$7, Lists!$B$7:$C$10, 2, FALSE)</f>
        <v>-7731281.2500000009</v>
      </c>
      <c r="L42" s="185">
        <f>L85*-Assumptions!$G$77/VLOOKUP(Assumptions!$D$7, Lists!$B$7:$C$10, 2, FALSE)</f>
        <v>-8778000</v>
      </c>
      <c r="M42" s="48">
        <f t="shared" si="57"/>
        <v>-28773937.5</v>
      </c>
      <c r="N42" s="185">
        <f>N85*-Assumptions!$G$77/VLOOKUP(Assumptions!$D$7, Lists!$B$7:$C$10, 2, FALSE)</f>
        <v>-9810281.25</v>
      </c>
      <c r="O42" s="185">
        <f>O85*-Assumptions!$G$77/VLOOKUP(Assumptions!$D$7, Lists!$B$7:$C$10, 2, FALSE)</f>
        <v>-10828125</v>
      </c>
      <c r="P42" s="185">
        <f>P85*-Assumptions!$G$77/VLOOKUP(Assumptions!$D$7, Lists!$B$7:$C$10, 2, FALSE)</f>
        <v>-11831531.25</v>
      </c>
      <c r="Q42" s="185">
        <f>Q85*-Assumptions!$G$77/VLOOKUP(Assumptions!$D$7, Lists!$B$7:$C$10, 2, FALSE)</f>
        <v>-12820500.000000002</v>
      </c>
      <c r="R42" s="48">
        <f t="shared" si="58"/>
        <v>-45290437.5</v>
      </c>
      <c r="S42" s="185">
        <f>S85*-Assumptions!$G$77/VLOOKUP(Assumptions!$D$7, Lists!$B$7:$C$10, 2, FALSE)</f>
        <v>-13795031.25</v>
      </c>
      <c r="T42" s="185">
        <f>T85*-Assumptions!$G$77/VLOOKUP(Assumptions!$D$7, Lists!$B$7:$C$10, 2, FALSE)</f>
        <v>-14755125.000000002</v>
      </c>
      <c r="U42" s="185">
        <f>U85*-Assumptions!$G$77/VLOOKUP(Assumptions!$D$7, Lists!$B$7:$C$10, 2, FALSE)</f>
        <v>-15700781.25</v>
      </c>
      <c r="V42" s="185">
        <f>V85*-Assumptions!$G$77/VLOOKUP(Assumptions!$D$7, Lists!$B$7:$C$10, 2, FALSE)</f>
        <v>-16632000</v>
      </c>
      <c r="W42" s="48">
        <f t="shared" si="59"/>
        <v>-60882937.5</v>
      </c>
      <c r="X42" s="185">
        <f>X85*-Assumptions!$G$77/VLOOKUP(Assumptions!$D$7, Lists!$B$7:$C$10, 2, FALSE)</f>
        <v>-17548781.25</v>
      </c>
      <c r="Y42" s="185">
        <f>Y85*-Assumptions!$G$77/VLOOKUP(Assumptions!$D$7, Lists!$B$7:$C$10, 2, FALSE)</f>
        <v>-18451125</v>
      </c>
      <c r="Z42" s="185">
        <f>Z85*-Assumptions!$G$77/VLOOKUP(Assumptions!$D$7, Lists!$B$7:$C$10, 2, FALSE)</f>
        <v>-19339031.25</v>
      </c>
      <c r="AA42" s="185">
        <f>AA85*-Assumptions!$G$77/VLOOKUP(Assumptions!$D$7, Lists!$B$7:$C$10, 2, FALSE)</f>
        <v>-20212500</v>
      </c>
      <c r="AB42" s="48">
        <f t="shared" si="60"/>
        <v>-75551437.5</v>
      </c>
      <c r="AC42" s="185">
        <f>AC85*-Assumptions!$G$77/VLOOKUP(Assumptions!$D$7, Lists!$B$7:$C$10, 2, FALSE)</f>
        <v>-20068125</v>
      </c>
      <c r="AD42" s="185">
        <f>AD85*-Assumptions!$G$77/VLOOKUP(Assumptions!$D$7, Lists!$B$7:$C$10, 2, FALSE)</f>
        <v>-19923750</v>
      </c>
      <c r="AE42" s="185">
        <f>AE85*-Assumptions!$G$77/VLOOKUP(Assumptions!$D$7, Lists!$B$7:$C$10, 2, FALSE)</f>
        <v>-19779375</v>
      </c>
      <c r="AF42" s="185">
        <f>AF85*-Assumptions!$G$77/VLOOKUP(Assumptions!$D$7, Lists!$B$7:$C$10, 2, FALSE)</f>
        <v>-19635000</v>
      </c>
      <c r="AG42" s="48">
        <f t="shared" si="61"/>
        <v>-79406250</v>
      </c>
      <c r="AH42" s="63">
        <f>AH85*-Assumptions!$G$77/VLOOKUP(Assumptions!$D$7, Lists!$B$7:$C$10, 2, FALSE)</f>
        <v>-19490625</v>
      </c>
      <c r="AI42" s="64">
        <f>AI85*-Assumptions!$G$77/VLOOKUP(Assumptions!$D$7, Lists!$B$7:$C$10, 2, FALSE)</f>
        <v>-19346250</v>
      </c>
      <c r="AJ42" s="64">
        <f>AJ85*-Assumptions!$G$77/VLOOKUP(Assumptions!$D$7, Lists!$B$7:$C$10, 2, FALSE)</f>
        <v>-19201875</v>
      </c>
      <c r="AK42" s="108">
        <f>AK85*-Assumptions!$G$77/VLOOKUP(Assumptions!$D$7, Lists!$B$7:$C$10, 2, FALSE)</f>
        <v>-19057500</v>
      </c>
      <c r="AL42" s="60">
        <f t="shared" si="62"/>
        <v>-77096250</v>
      </c>
    </row>
    <row r="43" spans="1:38" ht="15.95" outlineLevel="2">
      <c r="A43" s="31"/>
      <c r="C43" s="32" t="s">
        <v>284</v>
      </c>
      <c r="D43" s="185">
        <f>-Assumptions!$G$82/4/VLOOKUP(Assumptions!$D$7, Lists!$B$7:$C$10, 2, FALSE)</f>
        <v>-12500000</v>
      </c>
      <c r="E43" s="185">
        <f>-Assumptions!$G$82/4/VLOOKUP(Assumptions!$D$7, Lists!$B$7:$C$10, 2, FALSE)</f>
        <v>-12500000</v>
      </c>
      <c r="F43" s="185">
        <f>-Assumptions!$G$82/4/VLOOKUP(Assumptions!$D$7, Lists!$B$7:$C$10, 2, FALSE)</f>
        <v>-12500000</v>
      </c>
      <c r="G43" s="185">
        <f>-Assumptions!$G$82/4/VLOOKUP(Assumptions!$D$7, Lists!$B$7:$C$10, 2, FALSE)</f>
        <v>-12500000</v>
      </c>
      <c r="H43" s="60">
        <f t="shared" si="56"/>
        <v>-50000000</v>
      </c>
      <c r="I43" s="185">
        <f>-Assumptions!$G$82/4/VLOOKUP(Assumptions!$D$7, Lists!$B$7:$C$10, 2, FALSE)</f>
        <v>-12500000</v>
      </c>
      <c r="J43" s="185">
        <f>-Assumptions!$G$82/4/VLOOKUP(Assumptions!$D$7, Lists!$B$7:$C$10, 2, FALSE)</f>
        <v>-12500000</v>
      </c>
      <c r="K43" s="185">
        <f>-Assumptions!$G$82/4/VLOOKUP(Assumptions!$D$7, Lists!$B$7:$C$10, 2, FALSE)</f>
        <v>-12500000</v>
      </c>
      <c r="L43" s="185">
        <f>-Assumptions!$G$82/4/VLOOKUP(Assumptions!$D$7, Lists!$B$7:$C$10, 2, FALSE)</f>
        <v>-12500000</v>
      </c>
      <c r="M43" s="48">
        <f t="shared" si="57"/>
        <v>-50000000</v>
      </c>
      <c r="N43" s="185">
        <f>-Assumptions!$G$82/4/VLOOKUP(Assumptions!$D$7, Lists!$B$7:$C$10, 2, FALSE)</f>
        <v>-12500000</v>
      </c>
      <c r="O43" s="185">
        <f>-Assumptions!$G$82/4/VLOOKUP(Assumptions!$D$7, Lists!$B$7:$C$10, 2, FALSE)</f>
        <v>-12500000</v>
      </c>
      <c r="P43" s="185">
        <f>-Assumptions!$G$82/4/VLOOKUP(Assumptions!$D$7, Lists!$B$7:$C$10, 2, FALSE)</f>
        <v>-12500000</v>
      </c>
      <c r="Q43" s="185">
        <f>-Assumptions!$G$82/4/VLOOKUP(Assumptions!$D$7, Lists!$B$7:$C$10, 2, FALSE)</f>
        <v>-12500000</v>
      </c>
      <c r="R43" s="48">
        <f t="shared" si="58"/>
        <v>-50000000</v>
      </c>
      <c r="S43" s="185">
        <f>-Assumptions!$G$82/4/VLOOKUP(Assumptions!$D$7, Lists!$B$7:$C$10, 2, FALSE)</f>
        <v>-12500000</v>
      </c>
      <c r="T43" s="185">
        <f>-Assumptions!$G$82/4/VLOOKUP(Assumptions!$D$7, Lists!$B$7:$C$10, 2, FALSE)</f>
        <v>-12500000</v>
      </c>
      <c r="U43" s="185">
        <f>-Assumptions!$G$82/4/VLOOKUP(Assumptions!$D$7, Lists!$B$7:$C$10, 2, FALSE)</f>
        <v>-12500000</v>
      </c>
      <c r="V43" s="185">
        <f>-Assumptions!$G$82/4/VLOOKUP(Assumptions!$D$7, Lists!$B$7:$C$10, 2, FALSE)</f>
        <v>-12500000</v>
      </c>
      <c r="W43" s="48">
        <f t="shared" si="59"/>
        <v>-50000000</v>
      </c>
      <c r="X43" s="185">
        <f>-Assumptions!$G$82/4/VLOOKUP(Assumptions!$D$7, Lists!$B$7:$C$10, 2, FALSE)</f>
        <v>-12500000</v>
      </c>
      <c r="Y43" s="185">
        <f>-Assumptions!$G$82/4/VLOOKUP(Assumptions!$D$7, Lists!$B$7:$C$10, 2, FALSE)</f>
        <v>-12500000</v>
      </c>
      <c r="Z43" s="185">
        <f>-Assumptions!$G$82/4/VLOOKUP(Assumptions!$D$7, Lists!$B$7:$C$10, 2, FALSE)</f>
        <v>-12500000</v>
      </c>
      <c r="AA43" s="185">
        <f>-Assumptions!$G$82/4/VLOOKUP(Assumptions!$D$7, Lists!$B$7:$C$10, 2, FALSE)</f>
        <v>-12500000</v>
      </c>
      <c r="AB43" s="48">
        <f t="shared" si="60"/>
        <v>-50000000</v>
      </c>
      <c r="AC43" s="185">
        <f>-Assumptions!$G$82/4/VLOOKUP(Assumptions!$D$7, Lists!$B$7:$C$10, 2, FALSE)</f>
        <v>-12500000</v>
      </c>
      <c r="AD43" s="185">
        <f>-Assumptions!$G$82/4/VLOOKUP(Assumptions!$D$7, Lists!$B$7:$C$10, 2, FALSE)</f>
        <v>-12500000</v>
      </c>
      <c r="AE43" s="185">
        <f>-Assumptions!$G$82/4/VLOOKUP(Assumptions!$D$7, Lists!$B$7:$C$10, 2, FALSE)</f>
        <v>-12500000</v>
      </c>
      <c r="AF43" s="185">
        <f>-Assumptions!$G$82/4/VLOOKUP(Assumptions!$D$7, Lists!$B$7:$C$10, 2, FALSE)</f>
        <v>-12500000</v>
      </c>
      <c r="AG43" s="48">
        <f t="shared" si="61"/>
        <v>-50000000</v>
      </c>
      <c r="AH43" s="63">
        <f>-Assumptions!$G$82/4/VLOOKUP(Assumptions!$D$7, Lists!$B$7:$C$10, 2, FALSE)</f>
        <v>-12500000</v>
      </c>
      <c r="AI43" s="64">
        <f>-Assumptions!$G$82/4/VLOOKUP(Assumptions!$D$7, Lists!$B$7:$C$10, 2, FALSE)</f>
        <v>-12500000</v>
      </c>
      <c r="AJ43" s="64">
        <f>-Assumptions!$G$82/4/VLOOKUP(Assumptions!$D$7, Lists!$B$7:$C$10, 2, FALSE)</f>
        <v>-12500000</v>
      </c>
      <c r="AK43" s="108">
        <f>-Assumptions!$G$82/4/VLOOKUP(Assumptions!$D$7, Lists!$B$7:$C$10, 2, FALSE)</f>
        <v>-12500000</v>
      </c>
      <c r="AL43" s="60">
        <f t="shared" si="62"/>
        <v>-50000000</v>
      </c>
    </row>
    <row r="44" spans="1:38" ht="17.100000000000001" outlineLevel="1" thickBot="1">
      <c r="A44" s="31"/>
      <c r="B44" s="34" t="s">
        <v>285</v>
      </c>
      <c r="D44" s="184">
        <f>SUM(D38:D43)</f>
        <v>-124967781.25</v>
      </c>
      <c r="E44" s="184">
        <f>SUM(E38:E43)</f>
        <v>-108076125</v>
      </c>
      <c r="F44" s="184">
        <f>SUM(F38:F43)</f>
        <v>-95555031.25</v>
      </c>
      <c r="G44" s="184">
        <f>SUM(G38:G43)</f>
        <v>-83019500</v>
      </c>
      <c r="H44" s="61">
        <f t="shared" si="56"/>
        <v>-411618437.5</v>
      </c>
      <c r="I44" s="184">
        <f>SUM(I38:I43)</f>
        <v>-70469531.25</v>
      </c>
      <c r="J44" s="184">
        <f>SUM(J38:J43)</f>
        <v>-57905125</v>
      </c>
      <c r="K44" s="184">
        <f>SUM(K38:K43)</f>
        <v>-45326281.25</v>
      </c>
      <c r="L44" s="184">
        <f>SUM(L38:L43)</f>
        <v>-39853000</v>
      </c>
      <c r="M44" s="51">
        <f t="shared" si="57"/>
        <v>-213553937.5</v>
      </c>
      <c r="N44" s="184">
        <f>SUM(N38:N43)</f>
        <v>-42260281.25</v>
      </c>
      <c r="O44" s="184">
        <f>SUM(O38:O43)</f>
        <v>-44653125</v>
      </c>
      <c r="P44" s="184">
        <f>SUM(P38:P43)</f>
        <v>-47031531.25</v>
      </c>
      <c r="Q44" s="184">
        <f>SUM(Q38:Q43)</f>
        <v>-49395500</v>
      </c>
      <c r="R44" s="51">
        <f t="shared" si="58"/>
        <v>-183340437.5</v>
      </c>
      <c r="S44" s="184">
        <f>SUM(S38:S43)</f>
        <v>-51745031.25</v>
      </c>
      <c r="T44" s="184">
        <f>SUM(T38:T43)</f>
        <v>-54080125</v>
      </c>
      <c r="U44" s="184">
        <f>SUM(U38:U43)</f>
        <v>-56400781.25</v>
      </c>
      <c r="V44" s="184">
        <f>SUM(V38:V43)</f>
        <v>-58707000</v>
      </c>
      <c r="W44" s="51">
        <f t="shared" si="59"/>
        <v>-220932937.5</v>
      </c>
      <c r="X44" s="184">
        <f>SUM(X38:X43)</f>
        <v>-60998781.25</v>
      </c>
      <c r="Y44" s="184">
        <f>SUM(Y38:Y43)</f>
        <v>-63276125</v>
      </c>
      <c r="Z44" s="184">
        <f>SUM(Z38:Z43)</f>
        <v>-65539031.25</v>
      </c>
      <c r="AA44" s="184">
        <f>SUM(AA38:AA43)</f>
        <v>-67787500</v>
      </c>
      <c r="AB44" s="51">
        <f t="shared" si="60"/>
        <v>-257601437.5</v>
      </c>
      <c r="AC44" s="184">
        <f>SUM(AC38:AC43)</f>
        <v>-61443125</v>
      </c>
      <c r="AD44" s="184">
        <f>SUM(AD38:AD43)</f>
        <v>-59923750</v>
      </c>
      <c r="AE44" s="184">
        <f>SUM(AE38:AE43)</f>
        <v>-59779375</v>
      </c>
      <c r="AF44" s="184">
        <f>SUM(AF38:AF43)</f>
        <v>-59635000</v>
      </c>
      <c r="AG44" s="51">
        <f t="shared" si="61"/>
        <v>-240781250</v>
      </c>
      <c r="AH44" s="142">
        <f>SUM(AH38:AH43)</f>
        <v>-59490625</v>
      </c>
      <c r="AI44" s="143">
        <f>SUM(AI38:AI43)</f>
        <v>-59346250</v>
      </c>
      <c r="AJ44" s="143">
        <f>SUM(AJ38:AJ43)</f>
        <v>-59201875</v>
      </c>
      <c r="AK44" s="144">
        <f>SUM(AK38:AK43)</f>
        <v>-59057500</v>
      </c>
      <c r="AL44" s="61">
        <f t="shared" si="62"/>
        <v>-237096250</v>
      </c>
    </row>
    <row r="45" spans="1:38" ht="17.100000000000001" thickBot="1">
      <c r="A45" s="36" t="s">
        <v>286</v>
      </c>
      <c r="B45" s="37"/>
      <c r="C45" s="38"/>
      <c r="D45" s="53">
        <f>D28+D33+D37+D44</f>
        <v>-84440721.205357134</v>
      </c>
      <c r="E45" s="53">
        <f>E28+E33+E37+E44</f>
        <v>-37794353.571428567</v>
      </c>
      <c r="F45" s="53">
        <f>F28+F33+F37+F44</f>
        <v>4019848.4375</v>
      </c>
      <c r="G45" s="53">
        <f>G28+G33+G37+G44</f>
        <v>44256527.678571433</v>
      </c>
      <c r="H45" s="44">
        <f t="shared" si="56"/>
        <v>-73958698.660714269</v>
      </c>
      <c r="I45" s="53">
        <f>I28+I33+I37+I44</f>
        <v>85051398.4375</v>
      </c>
      <c r="J45" s="53">
        <f>J28+J33+J37+J44</f>
        <v>125524103.57142857</v>
      </c>
      <c r="K45" s="53">
        <f>K28+K33+K37+K44</f>
        <v>165930000.2232143</v>
      </c>
      <c r="L45" s="53">
        <f>L28+L33+L37+L44</f>
        <v>198768731.25</v>
      </c>
      <c r="M45" s="44">
        <f t="shared" si="57"/>
        <v>575274233.48214293</v>
      </c>
      <c r="N45" s="53">
        <f>N28+N33+N37+N44</f>
        <v>222884939.50892857</v>
      </c>
      <c r="O45" s="53">
        <f>O28+O33+O37+O44</f>
        <v>246934339.28571427</v>
      </c>
      <c r="P45" s="53">
        <f>P28+P33+P37+P44</f>
        <v>270031216.29464287</v>
      </c>
      <c r="Q45" s="53">
        <f>Q28+Q33+Q37+Q44</f>
        <v>293186284.8214286</v>
      </c>
      <c r="R45" s="44">
        <f t="shared" si="58"/>
        <v>1033036779.9107141</v>
      </c>
      <c r="S45" s="53">
        <f>S28+S33+S37+S44</f>
        <v>316274544.8660714</v>
      </c>
      <c r="T45" s="53">
        <f>T28+T33+T37+T44</f>
        <v>338535282.14285713</v>
      </c>
      <c r="U45" s="53">
        <f>U28+U33+U37+U44</f>
        <v>360348853.79464287</v>
      </c>
      <c r="V45" s="53">
        <f>V28+V33+V37+V44</f>
        <v>381715259.8214286</v>
      </c>
      <c r="W45" s="44">
        <f t="shared" si="59"/>
        <v>1396873940.625</v>
      </c>
      <c r="X45" s="53">
        <f>X28+X33+X37+X44</f>
        <v>403014857.3660714</v>
      </c>
      <c r="Y45" s="53">
        <f>Y28+Y33+Y37+Y44</f>
        <v>424997646.4285714</v>
      </c>
      <c r="Z45" s="53">
        <f>Z28+Z33+Z37+Z44</f>
        <v>445402912.72321427</v>
      </c>
      <c r="AA45" s="53">
        <f>AA28+AA33+AA37+AA44</f>
        <v>464980656.25</v>
      </c>
      <c r="AB45" s="44">
        <f t="shared" si="60"/>
        <v>1738396072.7678571</v>
      </c>
      <c r="AC45" s="53">
        <f>AC28+AC33+AC37+AC44</f>
        <v>444877450.89285713</v>
      </c>
      <c r="AD45" s="53">
        <f>AD28+AD33+AD37+AD44</f>
        <v>444534366.0714286</v>
      </c>
      <c r="AE45" s="53">
        <f>AE28+AE33+AE37+AE44</f>
        <v>440443066.96428573</v>
      </c>
      <c r="AF45" s="53">
        <f>AF28+AF33+AF37+AF44</f>
        <v>435971410.71428573</v>
      </c>
      <c r="AG45" s="44">
        <f t="shared" si="61"/>
        <v>1765826294.6428571</v>
      </c>
      <c r="AH45" s="52">
        <f>AH28+AH33+AH37+AH44</f>
        <v>433390825.89285713</v>
      </c>
      <c r="AI45" s="52">
        <f>AI28+AI33+AI37+AI44</f>
        <v>429299526.78571427</v>
      </c>
      <c r="AJ45" s="52">
        <f>AJ28+AJ33+AJ37+AJ44</f>
        <v>424827870.53571427</v>
      </c>
      <c r="AK45" s="52">
        <f>AK28+AK33+AK37+AK44</f>
        <v>421241928.5714286</v>
      </c>
      <c r="AL45" s="44">
        <f t="shared" si="62"/>
        <v>1708760151.7857144</v>
      </c>
    </row>
    <row r="46" spans="1:38" ht="15.95" outlineLevel="2">
      <c r="A46" s="31"/>
      <c r="C46" s="33" t="s">
        <v>287</v>
      </c>
      <c r="D46" s="46"/>
      <c r="E46" s="47"/>
      <c r="F46" s="47"/>
      <c r="G46" s="47"/>
      <c r="H46" s="48">
        <f t="shared" si="56"/>
        <v>0</v>
      </c>
      <c r="I46" s="46"/>
      <c r="J46" s="47"/>
      <c r="K46" s="47"/>
      <c r="L46" s="47"/>
      <c r="M46" s="48">
        <f t="shared" si="57"/>
        <v>0</v>
      </c>
      <c r="N46" s="46"/>
      <c r="O46" s="47"/>
      <c r="P46" s="47"/>
      <c r="Q46" s="47"/>
      <c r="R46" s="48">
        <f t="shared" si="58"/>
        <v>0</v>
      </c>
      <c r="S46" s="46"/>
      <c r="T46" s="47"/>
      <c r="U46" s="47"/>
      <c r="V46" s="47"/>
      <c r="W46" s="48">
        <f t="shared" si="59"/>
        <v>0</v>
      </c>
      <c r="X46" s="46"/>
      <c r="Y46" s="47"/>
      <c r="Z46" s="47"/>
      <c r="AA46" s="47"/>
      <c r="AB46" s="48">
        <f t="shared" si="60"/>
        <v>0</v>
      </c>
      <c r="AC46" s="46"/>
      <c r="AD46" s="47"/>
      <c r="AE46" s="47"/>
      <c r="AF46" s="47"/>
      <c r="AG46" s="48">
        <f t="shared" si="61"/>
        <v>0</v>
      </c>
      <c r="AH46" s="46"/>
      <c r="AI46" s="47"/>
      <c r="AJ46" s="47"/>
      <c r="AK46" s="47"/>
      <c r="AL46" s="48">
        <f t="shared" si="62"/>
        <v>0</v>
      </c>
    </row>
    <row r="47" spans="1:38" ht="15.95" outlineLevel="1">
      <c r="A47" s="31"/>
      <c r="B47" s="34" t="s">
        <v>287</v>
      </c>
      <c r="C47" s="35"/>
      <c r="D47" s="49"/>
      <c r="E47" s="50"/>
      <c r="F47" s="50"/>
      <c r="G47" s="50"/>
      <c r="H47" s="51">
        <f>IF(H45&gt;0,H45*-Assumptions!$G$62,0)</f>
        <v>0</v>
      </c>
      <c r="I47" s="49"/>
      <c r="J47" s="50"/>
      <c r="K47" s="50"/>
      <c r="L47" s="50"/>
      <c r="M47" s="51">
        <f>M45*-Assumptions!$G$62</f>
        <v>-57527423.348214298</v>
      </c>
      <c r="N47" s="49"/>
      <c r="O47" s="50"/>
      <c r="P47" s="50"/>
      <c r="Q47" s="50"/>
      <c r="R47" s="51">
        <f>R45*-Assumptions!$G$62</f>
        <v>-103303677.99107142</v>
      </c>
      <c r="S47" s="49"/>
      <c r="T47" s="50"/>
      <c r="U47" s="50"/>
      <c r="V47" s="50"/>
      <c r="W47" s="51">
        <f>W45*-Assumptions!$G$62</f>
        <v>-139687394.0625</v>
      </c>
      <c r="X47" s="49"/>
      <c r="Y47" s="50"/>
      <c r="Z47" s="50"/>
      <c r="AA47" s="50"/>
      <c r="AB47" s="51">
        <f>AB45*-Assumptions!$G$62</f>
        <v>-173839607.27678573</v>
      </c>
      <c r="AC47" s="49"/>
      <c r="AD47" s="50"/>
      <c r="AE47" s="50"/>
      <c r="AF47" s="50"/>
      <c r="AG47" s="51">
        <f>AG45*-Assumptions!$G$62</f>
        <v>-176582629.46428573</v>
      </c>
      <c r="AH47" s="49"/>
      <c r="AI47" s="50"/>
      <c r="AJ47" s="50"/>
      <c r="AK47" s="50"/>
      <c r="AL47" s="51">
        <f>AL45*-Assumptions!$G$62</f>
        <v>-170876015.17857146</v>
      </c>
    </row>
    <row r="48" spans="1:38" ht="17.100000000000001" thickBot="1">
      <c r="A48" s="39" t="s">
        <v>288</v>
      </c>
      <c r="B48" s="40"/>
      <c r="C48" s="41"/>
      <c r="D48" s="52"/>
      <c r="E48" s="45"/>
      <c r="F48" s="45"/>
      <c r="G48" s="45"/>
      <c r="H48" s="53">
        <f>H45+H47</f>
        <v>-73958698.660714269</v>
      </c>
      <c r="I48" s="52"/>
      <c r="J48" s="45"/>
      <c r="K48" s="45"/>
      <c r="L48" s="45"/>
      <c r="M48" s="53">
        <f>M45+M47</f>
        <v>517746810.13392866</v>
      </c>
      <c r="N48" s="52"/>
      <c r="O48" s="45"/>
      <c r="P48" s="45"/>
      <c r="Q48" s="45"/>
      <c r="R48" s="53">
        <f>R45+R47</f>
        <v>929733101.91964269</v>
      </c>
      <c r="S48" s="52"/>
      <c r="T48" s="45"/>
      <c r="U48" s="45"/>
      <c r="V48" s="45"/>
      <c r="W48" s="53">
        <f>W45+W47</f>
        <v>1257186546.5625</v>
      </c>
      <c r="X48" s="52"/>
      <c r="Y48" s="45"/>
      <c r="Z48" s="45"/>
      <c r="AA48" s="45"/>
      <c r="AB48" s="53">
        <f>AB45+AB47</f>
        <v>1564556465.4910712</v>
      </c>
      <c r="AC48" s="52"/>
      <c r="AD48" s="45"/>
      <c r="AE48" s="45"/>
      <c r="AF48" s="45"/>
      <c r="AG48" s="53">
        <f>AG45+AG47</f>
        <v>1589243665.1785712</v>
      </c>
      <c r="AH48" s="52"/>
      <c r="AI48" s="45"/>
      <c r="AJ48" s="45"/>
      <c r="AK48" s="45"/>
      <c r="AL48" s="53">
        <f>AL45+AL47</f>
        <v>1537884136.6071429</v>
      </c>
    </row>
    <row r="49" spans="1:38" ht="18.95">
      <c r="A49" s="42" t="s">
        <v>289</v>
      </c>
      <c r="B49" s="42"/>
      <c r="C49" s="42"/>
      <c r="D49" s="54"/>
      <c r="E49" s="54"/>
      <c r="F49" s="54"/>
      <c r="G49" s="54"/>
      <c r="H49" s="54">
        <f>H48</f>
        <v>-73958698.660714269</v>
      </c>
      <c r="I49" s="54"/>
      <c r="J49" s="54"/>
      <c r="K49" s="54"/>
      <c r="L49" s="54"/>
      <c r="M49" s="54">
        <f>H49+M48</f>
        <v>443788111.47321439</v>
      </c>
      <c r="N49" s="54"/>
      <c r="O49" s="54"/>
      <c r="P49" s="54"/>
      <c r="Q49" s="54"/>
      <c r="R49" s="54">
        <f>M49+R48</f>
        <v>1373521213.3928571</v>
      </c>
      <c r="S49" s="54"/>
      <c r="T49" s="54"/>
      <c r="U49" s="54"/>
      <c r="V49" s="54"/>
      <c r="W49" s="54">
        <f>R49+W48</f>
        <v>2630707759.9553571</v>
      </c>
      <c r="X49" s="54"/>
      <c r="Y49" s="54"/>
      <c r="Z49" s="54"/>
      <c r="AA49" s="54"/>
      <c r="AB49" s="54">
        <f>W49+AB48</f>
        <v>4195264225.4464283</v>
      </c>
      <c r="AC49" s="54"/>
      <c r="AD49" s="54"/>
      <c r="AE49" s="54"/>
      <c r="AF49" s="54"/>
      <c r="AG49" s="54">
        <f>AB49+AG48</f>
        <v>5784507890.625</v>
      </c>
      <c r="AH49" s="54"/>
      <c r="AI49" s="54"/>
      <c r="AJ49" s="54"/>
      <c r="AK49" s="54"/>
      <c r="AL49" s="54">
        <f>AG49+AL48</f>
        <v>7322392027.2321434</v>
      </c>
    </row>
    <row r="50" spans="1:38" ht="17.100000000000001" thickBot="1">
      <c r="A50" s="56"/>
      <c r="C50" s="56"/>
      <c r="D50" s="67"/>
      <c r="E50" s="67"/>
      <c r="F50" s="67"/>
      <c r="G50" s="67"/>
      <c r="H50" s="58"/>
      <c r="I50" s="67"/>
      <c r="J50" s="67"/>
      <c r="K50" s="67"/>
      <c r="L50" s="67"/>
      <c r="M50" s="58"/>
      <c r="N50" s="67"/>
      <c r="O50" s="67"/>
      <c r="P50" s="67"/>
      <c r="Q50" s="67"/>
      <c r="R50" s="58"/>
      <c r="S50" s="67"/>
      <c r="T50" s="67"/>
      <c r="U50" s="67"/>
      <c r="V50" s="67"/>
      <c r="W50" s="58"/>
      <c r="X50" s="67"/>
      <c r="Y50" s="67"/>
      <c r="Z50" s="67"/>
      <c r="AA50" s="67"/>
      <c r="AB50" s="58"/>
      <c r="AC50" s="67"/>
      <c r="AD50" s="67"/>
      <c r="AE50" s="67"/>
      <c r="AF50" s="67"/>
      <c r="AG50" s="58"/>
      <c r="AH50" s="67"/>
      <c r="AI50" s="67"/>
      <c r="AJ50" s="67"/>
      <c r="AK50" s="67"/>
      <c r="AL50" s="58"/>
    </row>
    <row r="51" spans="1:38" ht="17.100000000000001" thickBot="1">
      <c r="A51" s="28" t="s">
        <v>290</v>
      </c>
      <c r="B51" s="28"/>
      <c r="C51" s="28"/>
      <c r="D51" s="103" t="s">
        <v>214</v>
      </c>
      <c r="E51" s="104" t="s">
        <v>215</v>
      </c>
      <c r="F51" s="104" t="s">
        <v>216</v>
      </c>
      <c r="G51" s="104" t="s">
        <v>217</v>
      </c>
      <c r="H51" s="43" t="s">
        <v>218</v>
      </c>
      <c r="I51" s="103" t="s">
        <v>219</v>
      </c>
      <c r="J51" s="104" t="s">
        <v>220</v>
      </c>
      <c r="K51" s="104" t="s">
        <v>221</v>
      </c>
      <c r="L51" s="104" t="s">
        <v>222</v>
      </c>
      <c r="M51" s="43" t="s">
        <v>223</v>
      </c>
      <c r="N51" s="103" t="s">
        <v>224</v>
      </c>
      <c r="O51" s="104" t="s">
        <v>225</v>
      </c>
      <c r="P51" s="104" t="s">
        <v>226</v>
      </c>
      <c r="Q51" s="104" t="s">
        <v>227</v>
      </c>
      <c r="R51" s="43" t="s">
        <v>228</v>
      </c>
      <c r="S51" s="103" t="s">
        <v>229</v>
      </c>
      <c r="T51" s="104" t="s">
        <v>230</v>
      </c>
      <c r="U51" s="104" t="s">
        <v>231</v>
      </c>
      <c r="V51" s="104" t="s">
        <v>232</v>
      </c>
      <c r="W51" s="43" t="s">
        <v>233</v>
      </c>
      <c r="X51" s="103" t="s">
        <v>234</v>
      </c>
      <c r="Y51" s="104" t="s">
        <v>235</v>
      </c>
      <c r="Z51" s="104" t="s">
        <v>236</v>
      </c>
      <c r="AA51" s="104" t="s">
        <v>237</v>
      </c>
      <c r="AB51" s="43" t="s">
        <v>238</v>
      </c>
      <c r="AC51" s="103" t="s">
        <v>239</v>
      </c>
      <c r="AD51" s="104" t="s">
        <v>240</v>
      </c>
      <c r="AE51" s="104" t="s">
        <v>241</v>
      </c>
      <c r="AF51" s="104" t="s">
        <v>242</v>
      </c>
      <c r="AG51" s="43" t="s">
        <v>243</v>
      </c>
      <c r="AH51" s="103" t="s">
        <v>244</v>
      </c>
      <c r="AI51" s="104" t="s">
        <v>245</v>
      </c>
      <c r="AJ51" s="104" t="s">
        <v>246</v>
      </c>
      <c r="AK51" s="104" t="s">
        <v>247</v>
      </c>
      <c r="AL51" s="43" t="s">
        <v>248</v>
      </c>
    </row>
    <row r="52" spans="1:38" ht="15.95">
      <c r="A52" s="36"/>
      <c r="B52" s="34" t="s">
        <v>255</v>
      </c>
      <c r="C52" s="56"/>
      <c r="D52" s="105">
        <f>D12</f>
        <v>15916148.4375</v>
      </c>
      <c r="E52" s="106">
        <f>E12</f>
        <v>31632093.75</v>
      </c>
      <c r="F52" s="106">
        <f>F12</f>
        <v>47147835.937500007</v>
      </c>
      <c r="G52" s="107">
        <f>G12</f>
        <v>62463375</v>
      </c>
      <c r="H52" s="97">
        <f>SUM(D52:G52)</f>
        <v>157159453.125</v>
      </c>
      <c r="I52" s="105">
        <f>I12</f>
        <v>77578710.9375</v>
      </c>
      <c r="J52" s="106">
        <f>J12</f>
        <v>92493843.750000015</v>
      </c>
      <c r="K52" s="106">
        <f>K12</f>
        <v>107208773.43750001</v>
      </c>
      <c r="L52" s="107">
        <f>L12</f>
        <v>121723500</v>
      </c>
      <c r="M52" s="97">
        <f>SUM(I52:L52)</f>
        <v>399004828.125</v>
      </c>
      <c r="N52" s="105">
        <f>N12</f>
        <v>136038023.4375</v>
      </c>
      <c r="O52" s="106">
        <f>O12</f>
        <v>150152343.75</v>
      </c>
      <c r="P52" s="106">
        <f>P12</f>
        <v>164066460.93750003</v>
      </c>
      <c r="Q52" s="107">
        <f>Q12</f>
        <v>177780375.00000003</v>
      </c>
      <c r="R52" s="97">
        <f>SUM(N52:Q52)</f>
        <v>628037203.125</v>
      </c>
      <c r="S52" s="105">
        <f>S12</f>
        <v>191294085.93750003</v>
      </c>
      <c r="T52" s="106">
        <f>T12</f>
        <v>204607593.75000003</v>
      </c>
      <c r="U52" s="106">
        <f>U12</f>
        <v>217720898.43750003</v>
      </c>
      <c r="V52" s="107">
        <f>V12</f>
        <v>230634000</v>
      </c>
      <c r="W52" s="97">
        <f>SUM(S52:V52)</f>
        <v>844256578.12500012</v>
      </c>
      <c r="X52" s="105">
        <f>X12</f>
        <v>243346898.4375</v>
      </c>
      <c r="Y52" s="106">
        <f>Y12</f>
        <v>255859593.75</v>
      </c>
      <c r="Z52" s="106">
        <f>Z12</f>
        <v>268172085.9375</v>
      </c>
      <c r="AA52" s="107">
        <f>AA12</f>
        <v>280284375</v>
      </c>
      <c r="AB52" s="97">
        <f>SUM(X52:AA52)</f>
        <v>1047662953.125</v>
      </c>
      <c r="AC52" s="105">
        <f>AC12</f>
        <v>278282343.75</v>
      </c>
      <c r="AD52" s="106">
        <f>AD12</f>
        <v>276280312.5</v>
      </c>
      <c r="AE52" s="106">
        <f>AE12</f>
        <v>274278281.25</v>
      </c>
      <c r="AF52" s="107">
        <f>AF12</f>
        <v>272276250</v>
      </c>
      <c r="AG52" s="97">
        <f>SUM(AC52:AF52)</f>
        <v>1101117187.5</v>
      </c>
      <c r="AH52" s="105">
        <f>AH12</f>
        <v>270274218.75</v>
      </c>
      <c r="AI52" s="106">
        <f>AI12</f>
        <v>268272187.5</v>
      </c>
      <c r="AJ52" s="106">
        <f>AJ12</f>
        <v>266270156.25</v>
      </c>
      <c r="AK52" s="107">
        <f>AK12</f>
        <v>264268125</v>
      </c>
      <c r="AL52" s="60">
        <f>SUM(AH52:AK52)</f>
        <v>1069084687.5</v>
      </c>
    </row>
    <row r="53" spans="1:38" ht="15.95">
      <c r="A53" s="36"/>
      <c r="B53" s="34" t="s">
        <v>261</v>
      </c>
      <c r="C53" s="56"/>
      <c r="D53" s="63">
        <f>D18</f>
        <v>33827995.3125</v>
      </c>
      <c r="E53" s="64">
        <f>E18</f>
        <v>42183012.5</v>
      </c>
      <c r="F53" s="64">
        <f>F18</f>
        <v>50427582.8125</v>
      </c>
      <c r="G53" s="108">
        <f>G18</f>
        <v>58561706.25</v>
      </c>
      <c r="H53" s="97">
        <f t="shared" ref="H53:H60" si="63">SUM(D53:G53)</f>
        <v>185000296.875</v>
      </c>
      <c r="I53" s="63">
        <f>I18</f>
        <v>66585382.8125</v>
      </c>
      <c r="J53" s="64">
        <f>J18</f>
        <v>74498612.5</v>
      </c>
      <c r="K53" s="64">
        <f>K18</f>
        <v>82301395.3125</v>
      </c>
      <c r="L53" s="108">
        <f>L18</f>
        <v>89993731.25</v>
      </c>
      <c r="M53" s="97">
        <f t="shared" ref="M53:M60" si="64">SUM(I53:L53)</f>
        <v>313379121.875</v>
      </c>
      <c r="N53" s="63">
        <f>N18</f>
        <v>97575620.3125</v>
      </c>
      <c r="O53" s="64">
        <f>O18</f>
        <v>105047062.5</v>
      </c>
      <c r="P53" s="64">
        <f>P18</f>
        <v>112408057.8125</v>
      </c>
      <c r="Q53" s="108">
        <f>Q18</f>
        <v>119658606.25</v>
      </c>
      <c r="R53" s="97">
        <f t="shared" ref="R53:R60" si="65">SUM(N53:Q53)</f>
        <v>434689346.875</v>
      </c>
      <c r="S53" s="63">
        <f>S18</f>
        <v>126798707.8125</v>
      </c>
      <c r="T53" s="64">
        <f>T18</f>
        <v>133828362.5</v>
      </c>
      <c r="U53" s="64">
        <f>U18</f>
        <v>140747570.3125</v>
      </c>
      <c r="V53" s="108">
        <f>V18</f>
        <v>147556331.25</v>
      </c>
      <c r="W53" s="97">
        <f t="shared" ref="W53:W60" si="66">SUM(S53:V53)</f>
        <v>548930971.875</v>
      </c>
      <c r="X53" s="63">
        <f>X18</f>
        <v>154254645.3125</v>
      </c>
      <c r="Y53" s="64">
        <f>Y18</f>
        <v>160842512.5</v>
      </c>
      <c r="Z53" s="64">
        <f>Z18</f>
        <v>167319932.8125</v>
      </c>
      <c r="AA53" s="108">
        <f>AA18</f>
        <v>173686906.25</v>
      </c>
      <c r="AB53" s="97">
        <f t="shared" ref="AB53:AB60" si="67">SUM(X53:AA53)</f>
        <v>656103996.875</v>
      </c>
      <c r="AC53" s="63">
        <f>AC18</f>
        <v>150370531.25</v>
      </c>
      <c r="AD53" s="64">
        <f>AD18</f>
        <v>149266062.5</v>
      </c>
      <c r="AE53" s="64">
        <f>AE18</f>
        <v>148161593.75</v>
      </c>
      <c r="AF53" s="108">
        <f>AF18</f>
        <v>147057125</v>
      </c>
      <c r="AG53" s="97">
        <f t="shared" ref="AG53:AG60" si="68">SUM(AC53:AF53)</f>
        <v>594855312.5</v>
      </c>
      <c r="AH53" s="63">
        <f>AH18</f>
        <v>145952656.25</v>
      </c>
      <c r="AI53" s="64">
        <f>AI18</f>
        <v>144848187.5</v>
      </c>
      <c r="AJ53" s="64">
        <f>AJ18</f>
        <v>143743718.75</v>
      </c>
      <c r="AK53" s="108">
        <f>AK18</f>
        <v>142639250</v>
      </c>
      <c r="AL53" s="60">
        <f t="shared" ref="AL53:AL60" si="69">SUM(AH53:AK53)</f>
        <v>577183812.5</v>
      </c>
    </row>
    <row r="54" spans="1:38" ht="15.95">
      <c r="A54" s="36"/>
      <c r="B54" s="34" t="s">
        <v>291</v>
      </c>
      <c r="C54" s="56"/>
      <c r="D54" s="63">
        <f>D23</f>
        <v>1988906.25</v>
      </c>
      <c r="E54" s="64">
        <f>E23</f>
        <v>7655625</v>
      </c>
      <c r="F54" s="64">
        <f>F23</f>
        <v>13250156.25</v>
      </c>
      <c r="G54" s="108">
        <f>G23</f>
        <v>18772500</v>
      </c>
      <c r="H54" s="97">
        <f t="shared" si="63"/>
        <v>41667187.5</v>
      </c>
      <c r="I54" s="63">
        <f>I23</f>
        <v>24222656.25</v>
      </c>
      <c r="J54" s="64">
        <f>J23</f>
        <v>29600625</v>
      </c>
      <c r="K54" s="64">
        <f>K23</f>
        <v>34906406.25</v>
      </c>
      <c r="L54" s="108">
        <f>L23</f>
        <v>40140000</v>
      </c>
      <c r="M54" s="97">
        <f t="shared" si="64"/>
        <v>128869687.5</v>
      </c>
      <c r="N54" s="63">
        <f>N23</f>
        <v>45301406.25</v>
      </c>
      <c r="O54" s="64">
        <f>O23</f>
        <v>50390625</v>
      </c>
      <c r="P54" s="64">
        <f>P23</f>
        <v>55407656.25</v>
      </c>
      <c r="Q54" s="108">
        <f>Q23</f>
        <v>60352500</v>
      </c>
      <c r="R54" s="97">
        <f t="shared" si="65"/>
        <v>211452187.5</v>
      </c>
      <c r="S54" s="63">
        <f>S23</f>
        <v>65225156.25</v>
      </c>
      <c r="T54" s="64">
        <f>T23</f>
        <v>70025625</v>
      </c>
      <c r="U54" s="64">
        <f>U23</f>
        <v>74753906.25</v>
      </c>
      <c r="V54" s="108">
        <f>V23</f>
        <v>79410000</v>
      </c>
      <c r="W54" s="97">
        <f t="shared" si="66"/>
        <v>289414687.5</v>
      </c>
      <c r="X54" s="63">
        <f>X23</f>
        <v>83993906.25</v>
      </c>
      <c r="Y54" s="64">
        <f>Y23</f>
        <v>88505625</v>
      </c>
      <c r="Z54" s="64">
        <f>Z23</f>
        <v>92945156.25</v>
      </c>
      <c r="AA54" s="108">
        <f>AA23</f>
        <v>97312500</v>
      </c>
      <c r="AB54" s="97">
        <f t="shared" si="67"/>
        <v>362757187.5</v>
      </c>
      <c r="AC54" s="63">
        <f>AC23</f>
        <v>96590625</v>
      </c>
      <c r="AD54" s="64">
        <f>AD23</f>
        <v>95868750</v>
      </c>
      <c r="AE54" s="64">
        <f>AE23</f>
        <v>95146875</v>
      </c>
      <c r="AF54" s="108">
        <f>AF23</f>
        <v>94425000</v>
      </c>
      <c r="AG54" s="97">
        <f t="shared" si="68"/>
        <v>382031250</v>
      </c>
      <c r="AH54" s="63">
        <f>AH23</f>
        <v>93703125</v>
      </c>
      <c r="AI54" s="64">
        <f>AI23</f>
        <v>92981250</v>
      </c>
      <c r="AJ54" s="64">
        <f>AJ23</f>
        <v>92259375</v>
      </c>
      <c r="AK54" s="108">
        <f>AK23</f>
        <v>91537500</v>
      </c>
      <c r="AL54" s="60">
        <f t="shared" si="69"/>
        <v>370481250</v>
      </c>
    </row>
    <row r="55" spans="1:38" ht="15.95">
      <c r="A55" s="36"/>
      <c r="B55" s="34" t="s">
        <v>292</v>
      </c>
      <c r="C55" s="56"/>
      <c r="D55" s="63">
        <f>D27</f>
        <v>-6261867.1875</v>
      </c>
      <c r="E55" s="64">
        <f>E27</f>
        <v>-12444968.75</v>
      </c>
      <c r="F55" s="64">
        <f>F27</f>
        <v>-18549304.6875</v>
      </c>
      <c r="G55" s="108">
        <f>G27</f>
        <v>-24574875</v>
      </c>
      <c r="H55" s="97">
        <f t="shared" si="63"/>
        <v>-61831015.625</v>
      </c>
      <c r="I55" s="63">
        <f>I27</f>
        <v>-30521679.6875</v>
      </c>
      <c r="J55" s="64">
        <f>J27</f>
        <v>-36389718.75</v>
      </c>
      <c r="K55" s="64">
        <f>K27</f>
        <v>-42178992.1875</v>
      </c>
      <c r="L55" s="108">
        <f>L27</f>
        <v>-47889500</v>
      </c>
      <c r="M55" s="97">
        <f t="shared" si="64"/>
        <v>-156979890.625</v>
      </c>
      <c r="N55" s="63">
        <f>N27</f>
        <v>-53521242.1875</v>
      </c>
      <c r="O55" s="64">
        <f>O27</f>
        <v>-59074218.75</v>
      </c>
      <c r="P55" s="64">
        <f>P27</f>
        <v>-64548429.6875</v>
      </c>
      <c r="Q55" s="108">
        <f>Q27</f>
        <v>-69943875</v>
      </c>
      <c r="R55" s="97">
        <f t="shared" si="65"/>
        <v>-247087765.625</v>
      </c>
      <c r="S55" s="63">
        <f>S27</f>
        <v>-75260554.6875</v>
      </c>
      <c r="T55" s="64">
        <f>T27</f>
        <v>-80498468.75</v>
      </c>
      <c r="U55" s="64">
        <f>U27</f>
        <v>-85657617.1875</v>
      </c>
      <c r="V55" s="108">
        <f>V27</f>
        <v>-90738000</v>
      </c>
      <c r="W55" s="97">
        <f t="shared" si="66"/>
        <v>-332154640.625</v>
      </c>
      <c r="X55" s="63">
        <f>X27</f>
        <v>-95739617.1875</v>
      </c>
      <c r="Y55" s="64">
        <f>Y27</f>
        <v>-100662468.75</v>
      </c>
      <c r="Z55" s="64">
        <f>Z27</f>
        <v>-105506554.6875</v>
      </c>
      <c r="AA55" s="108">
        <f>AA27</f>
        <v>-110271875</v>
      </c>
      <c r="AB55" s="97">
        <f t="shared" si="67"/>
        <v>-412180515.625</v>
      </c>
      <c r="AC55" s="63">
        <f>AC27</f>
        <v>-109484218.75</v>
      </c>
      <c r="AD55" s="64">
        <f>AD27</f>
        <v>-108696562.5</v>
      </c>
      <c r="AE55" s="64">
        <f>AE27</f>
        <v>-107908906.25</v>
      </c>
      <c r="AF55" s="108">
        <f>AF27</f>
        <v>-107121250</v>
      </c>
      <c r="AG55" s="97">
        <f t="shared" si="68"/>
        <v>-433210937.5</v>
      </c>
      <c r="AH55" s="63">
        <f>AH27</f>
        <v>-106333593.75</v>
      </c>
      <c r="AI55" s="64">
        <f>AI27</f>
        <v>-105545937.5</v>
      </c>
      <c r="AJ55" s="64">
        <f>AJ27</f>
        <v>-104758281.25</v>
      </c>
      <c r="AK55" s="108">
        <f>AK27</f>
        <v>-103970625</v>
      </c>
      <c r="AL55" s="60">
        <f t="shared" si="69"/>
        <v>-420608437.5</v>
      </c>
    </row>
    <row r="56" spans="1:38" ht="15.95">
      <c r="A56" s="36"/>
      <c r="B56" s="34" t="s">
        <v>293</v>
      </c>
      <c r="C56" s="56"/>
      <c r="D56" s="63">
        <f>D33</f>
        <v>-7750000</v>
      </c>
      <c r="E56" s="64">
        <f>E33</f>
        <v>-13500000</v>
      </c>
      <c r="F56" s="64">
        <f>F33</f>
        <v>-19250000</v>
      </c>
      <c r="G56" s="108">
        <f>G33</f>
        <v>-26125000</v>
      </c>
      <c r="H56" s="97">
        <f t="shared" si="63"/>
        <v>-66625000</v>
      </c>
      <c r="I56" s="63">
        <f>I33</f>
        <v>-32000000</v>
      </c>
      <c r="J56" s="64">
        <f>J33</f>
        <v>-37750000</v>
      </c>
      <c r="K56" s="64">
        <f>K33</f>
        <v>-43125000</v>
      </c>
      <c r="L56" s="108">
        <f>L33</f>
        <v>-48500000</v>
      </c>
      <c r="M56" s="97">
        <f t="shared" si="64"/>
        <v>-161375000</v>
      </c>
      <c r="N56" s="63">
        <f>N33</f>
        <v>-54250000</v>
      </c>
      <c r="O56" s="64">
        <f>O33</f>
        <v>-59625000</v>
      </c>
      <c r="P56" s="64">
        <f>P33</f>
        <v>-65500000</v>
      </c>
      <c r="Q56" s="108">
        <f>Q33</f>
        <v>-70875000</v>
      </c>
      <c r="R56" s="97">
        <f t="shared" si="65"/>
        <v>-250250000</v>
      </c>
      <c r="S56" s="63">
        <f>S33</f>
        <v>-75875000</v>
      </c>
      <c r="T56" s="64">
        <f>T33</f>
        <v>-81250000</v>
      </c>
      <c r="U56" s="64">
        <f>U33</f>
        <v>-86625000</v>
      </c>
      <c r="V56" s="108">
        <f>V33</f>
        <v>-92000000</v>
      </c>
      <c r="W56" s="97">
        <f t="shared" si="66"/>
        <v>-335750000</v>
      </c>
      <c r="X56" s="63">
        <f>X33</f>
        <v>-97000000</v>
      </c>
      <c r="Y56" s="64">
        <f>Y33</f>
        <v>-100875000</v>
      </c>
      <c r="Z56" s="64">
        <f>Z33</f>
        <v>-105875000</v>
      </c>
      <c r="AA56" s="108">
        <f>AA33</f>
        <v>-111250000</v>
      </c>
      <c r="AB56" s="97">
        <f t="shared" si="67"/>
        <v>-415000000</v>
      </c>
      <c r="AC56" s="63">
        <f>AC33</f>
        <v>-110875000</v>
      </c>
      <c r="AD56" s="64">
        <f>AD33</f>
        <v>-108500000</v>
      </c>
      <c r="AE56" s="64">
        <f>AE33</f>
        <v>-108125000</v>
      </c>
      <c r="AF56" s="108">
        <f>AF33</f>
        <v>-108125000</v>
      </c>
      <c r="AG56" s="97">
        <f t="shared" si="68"/>
        <v>-435625000</v>
      </c>
      <c r="AH56" s="63">
        <f>AH33</f>
        <v>-106250000</v>
      </c>
      <c r="AI56" s="64">
        <f>AI33</f>
        <v>-105875000</v>
      </c>
      <c r="AJ56" s="64">
        <f>AJ33</f>
        <v>-105875000</v>
      </c>
      <c r="AK56" s="108">
        <f>AK33</f>
        <v>-105000000</v>
      </c>
      <c r="AL56" s="60">
        <f t="shared" si="69"/>
        <v>-423000000</v>
      </c>
    </row>
    <row r="57" spans="1:38" ht="15.95">
      <c r="A57" s="36"/>
      <c r="B57" s="34" t="s">
        <v>294</v>
      </c>
      <c r="C57" s="56"/>
      <c r="D57" s="63">
        <f>D44</f>
        <v>-124967781.25</v>
      </c>
      <c r="E57" s="64">
        <f>E44</f>
        <v>-108076125</v>
      </c>
      <c r="F57" s="64">
        <f>F44</f>
        <v>-95555031.25</v>
      </c>
      <c r="G57" s="108">
        <f>G44</f>
        <v>-83019500</v>
      </c>
      <c r="H57" s="97">
        <f t="shared" si="63"/>
        <v>-411618437.5</v>
      </c>
      <c r="I57" s="63">
        <f>I44</f>
        <v>-70469531.25</v>
      </c>
      <c r="J57" s="64">
        <f>J44</f>
        <v>-57905125</v>
      </c>
      <c r="K57" s="64">
        <f>K44</f>
        <v>-45326281.25</v>
      </c>
      <c r="L57" s="108">
        <f>L44</f>
        <v>-39853000</v>
      </c>
      <c r="M57" s="97">
        <f t="shared" si="64"/>
        <v>-213553937.5</v>
      </c>
      <c r="N57" s="63">
        <f>N44</f>
        <v>-42260281.25</v>
      </c>
      <c r="O57" s="64">
        <f>O44</f>
        <v>-44653125</v>
      </c>
      <c r="P57" s="64">
        <f>P44</f>
        <v>-47031531.25</v>
      </c>
      <c r="Q57" s="108">
        <f>Q44</f>
        <v>-49395500</v>
      </c>
      <c r="R57" s="97">
        <f t="shared" si="65"/>
        <v>-183340437.5</v>
      </c>
      <c r="S57" s="63">
        <f>S44</f>
        <v>-51745031.25</v>
      </c>
      <c r="T57" s="64">
        <f>T44</f>
        <v>-54080125</v>
      </c>
      <c r="U57" s="64">
        <f>U44</f>
        <v>-56400781.25</v>
      </c>
      <c r="V57" s="108">
        <f>V44</f>
        <v>-58707000</v>
      </c>
      <c r="W57" s="97">
        <f t="shared" si="66"/>
        <v>-220932937.5</v>
      </c>
      <c r="X57" s="63">
        <f>X44</f>
        <v>-60998781.25</v>
      </c>
      <c r="Y57" s="64">
        <f>Y44</f>
        <v>-63276125</v>
      </c>
      <c r="Z57" s="64">
        <f>Z44</f>
        <v>-65539031.25</v>
      </c>
      <c r="AA57" s="108">
        <f>AA44</f>
        <v>-67787500</v>
      </c>
      <c r="AB57" s="97">
        <f t="shared" si="67"/>
        <v>-257601437.5</v>
      </c>
      <c r="AC57" s="63">
        <f>AC44</f>
        <v>-61443125</v>
      </c>
      <c r="AD57" s="64">
        <f>AD44</f>
        <v>-59923750</v>
      </c>
      <c r="AE57" s="64">
        <f>AE44</f>
        <v>-59779375</v>
      </c>
      <c r="AF57" s="108">
        <f>AF44</f>
        <v>-59635000</v>
      </c>
      <c r="AG57" s="97">
        <f t="shared" si="68"/>
        <v>-240781250</v>
      </c>
      <c r="AH57" s="63">
        <f>AH44</f>
        <v>-59490625</v>
      </c>
      <c r="AI57" s="64">
        <f>AI44</f>
        <v>-59346250</v>
      </c>
      <c r="AJ57" s="64">
        <f>AJ44</f>
        <v>-59201875</v>
      </c>
      <c r="AK57" s="108">
        <f>AK44</f>
        <v>-59057500</v>
      </c>
      <c r="AL57" s="60">
        <f t="shared" si="69"/>
        <v>-237096250</v>
      </c>
    </row>
    <row r="58" spans="1:38" ht="15.95">
      <c r="A58" s="36"/>
      <c r="B58" s="34" t="s">
        <v>295</v>
      </c>
      <c r="C58" s="56"/>
      <c r="D58" s="63">
        <f>(SUM(D87:D90)*-Assumptions!$G$80+D86*-Assumptions!$G$79+-Assumptions!$G$81)/VLOOKUP(Assumptions!$D$7, Lists!$B$7:$C$10, 2, FALSE)</f>
        <v>-272100000</v>
      </c>
      <c r="E58" s="64">
        <f>((SUM(E87:E90)-SUM(D87:D90))*-Assumptions!$G$80+(E86-D86)*-Assumptions!$G$79)/VLOOKUP(Assumptions!$D$7, Lists!$B$7:$C$10, 2, FALSE)</f>
        <v>-11650000</v>
      </c>
      <c r="F58" s="64">
        <f>((SUM(F87:F90)-SUM(E87:E90))*-Assumptions!$G$80+(F86-E86)*-Assumptions!$G$79)/VLOOKUP(Assumptions!$D$7, Lists!$B$7:$C$10, 2, FALSE)</f>
        <v>-11650000</v>
      </c>
      <c r="G58" s="108">
        <f>((SUM(G87:G90)-SUM(F87:F90))*-Assumptions!$G$80+(G86-F86)*-Assumptions!$G$79)/VLOOKUP(Assumptions!$D$7, Lists!$B$7:$C$10, 2, FALSE)</f>
        <v>-11800000</v>
      </c>
      <c r="H58" s="97">
        <f t="shared" si="63"/>
        <v>-307200000</v>
      </c>
      <c r="I58" s="63">
        <f>((SUM(I87:I90)-SUM(G87:G90))*-Assumptions!$G$80+(I86-G86)*-Assumptions!$G$79)/VLOOKUP(Assumptions!$D$7, Lists!$B$7:$C$10, 2, FALSE)</f>
        <v>-11650000</v>
      </c>
      <c r="J58" s="64">
        <f>((SUM(J87:J90)-SUM(I87:I90))*-Assumptions!$G$80+(J86-I86)*-Assumptions!$G$79)/VLOOKUP(Assumptions!$D$7, Lists!$B$7:$C$10, 2, FALSE)</f>
        <v>-11650000</v>
      </c>
      <c r="K58" s="64">
        <f>((SUM(K87:K90)-SUM(J87:J90))*-Assumptions!$G$80+(K86-J86)*-Assumptions!$G$79)/VLOOKUP(Assumptions!$D$7, Lists!$B$7:$C$10, 2, FALSE)</f>
        <v>-11500000</v>
      </c>
      <c r="L58" s="108">
        <f>((SUM(L87:L90)-SUM(K87:K90))*-Assumptions!$G$80+(L86-K86)*-Assumptions!$G$79)/VLOOKUP(Assumptions!$D$7, Lists!$B$7:$C$10, 2, FALSE)</f>
        <v>-11500000</v>
      </c>
      <c r="M58" s="97">
        <f t="shared" si="64"/>
        <v>-46300000</v>
      </c>
      <c r="N58" s="63">
        <f>((SUM(N87:N90)-SUM(L87:L90))*-Assumptions!$G$80+(N86-L86)*-Assumptions!$G$79)/VLOOKUP(Assumptions!$D$7, Lists!$B$7:$C$10, 2, FALSE)</f>
        <v>-11650000</v>
      </c>
      <c r="O58" s="64">
        <f>((SUM(O87:O90)-SUM(N87:N90))*-Assumptions!$G$80+(O86-N86)*-Assumptions!$G$79)/VLOOKUP(Assumptions!$D$7, Lists!$B$7:$C$10, 2, FALSE)</f>
        <v>-11500000</v>
      </c>
      <c r="P58" s="64">
        <f>((SUM(P87:P90)-SUM(O87:O90))*-Assumptions!$G$80+(P86-O86)*-Assumptions!$G$79)/VLOOKUP(Assumptions!$D$7, Lists!$B$7:$C$10, 2, FALSE)</f>
        <v>-11650000</v>
      </c>
      <c r="Q58" s="108">
        <f>((SUM(Q87:Q90)-SUM(P87:P90))*-Assumptions!$G$80+(Q86-P86)*-Assumptions!$G$79)/VLOOKUP(Assumptions!$D$7, Lists!$B$7:$C$10, 2, FALSE)</f>
        <v>-11500000</v>
      </c>
      <c r="R58" s="97">
        <f t="shared" si="65"/>
        <v>-46300000</v>
      </c>
      <c r="S58" s="63">
        <f>((SUM(S87:S90)-SUM(Q87:Q90))*-Assumptions!$G$80+(S86-Q86)*-Assumptions!$G$79)/VLOOKUP(Assumptions!$D$7, Lists!$B$7:$C$10, 2, FALSE)</f>
        <v>-11350000</v>
      </c>
      <c r="T58" s="64">
        <f>((SUM(T87:T90)-SUM(S87:S90))*-Assumptions!$G$80+(T86-S86)*-Assumptions!$G$79)/VLOOKUP(Assumptions!$D$7, Lists!$B$7:$C$10, 2, FALSE)</f>
        <v>-11500000</v>
      </c>
      <c r="U58" s="64">
        <f>((SUM(U87:U90)-SUM(T87:T90))*-Assumptions!$G$80+(U86-T86)*-Assumptions!$G$79)/VLOOKUP(Assumptions!$D$7, Lists!$B$7:$C$10, 2, FALSE)</f>
        <v>-11500000</v>
      </c>
      <c r="V58" s="108">
        <f>((SUM(V87:V90)-SUM(U87:U90))*-Assumptions!$G$80+(V86-U86)*-Assumptions!$G$79)/VLOOKUP(Assumptions!$D$7, Lists!$B$7:$C$10, 2, FALSE)</f>
        <v>-11500000</v>
      </c>
      <c r="W58" s="97">
        <f t="shared" si="66"/>
        <v>-45850000</v>
      </c>
      <c r="X58" s="63">
        <f>((SUM(X87:X90)-SUM(V87:V90))*-Assumptions!$G$80+(X86-V86)*-Assumptions!$G$79)/VLOOKUP(Assumptions!$D$7, Lists!$B$7:$C$10, 2, FALSE)</f>
        <v>-11350000</v>
      </c>
      <c r="Y58" s="64">
        <f>((SUM(Y87:Y90)-SUM(X87:X90))*-Assumptions!$G$80+(Y86-X86)*-Assumptions!$G$79)/VLOOKUP(Assumptions!$D$7, Lists!$B$7:$C$10, 2, FALSE)</f>
        <v>-11200000</v>
      </c>
      <c r="Z58" s="64">
        <f>((SUM(Z87:Z90)-SUM(Y87:Y90))*-Assumptions!$G$80+(Z86-Y86)*-Assumptions!$G$79)/VLOOKUP(Assumptions!$D$7, Lists!$B$7:$C$10, 2, FALSE)</f>
        <v>-11350000</v>
      </c>
      <c r="AA58" s="108">
        <f>((SUM(AA87:AA90)-SUM(Z87:Z90))*-Assumptions!$G$80+(AA86-Z86)*-Assumptions!$G$79)/VLOOKUP(Assumptions!$D$7, Lists!$B$7:$C$10, 2, FALSE)</f>
        <v>-11500000</v>
      </c>
      <c r="AB58" s="97">
        <f t="shared" si="67"/>
        <v>-45400000</v>
      </c>
      <c r="AC58" s="63">
        <f>((SUM(AC87:AC90)-SUM(AA87:AA90))*-Assumptions!$G$80+(AC86-AA86)*-Assumptions!$G$79)/VLOOKUP(Assumptions!$D$7, Lists!$B$7:$C$10, 2, FALSE)</f>
        <v>150000</v>
      </c>
      <c r="AD58" s="64">
        <f>((SUM(AD87:AD90)-SUM(AC87:AC90))*-Assumptions!$G$80+(AD86-AC86)*-Assumptions!$G$79)/VLOOKUP(Assumptions!$D$7, Lists!$B$7:$C$10, 2, FALSE)</f>
        <v>10600000</v>
      </c>
      <c r="AE58" s="64">
        <f>((SUM(AE87:AE90)-SUM(AD87:AD90))*-Assumptions!$G$80+(AE86-AD86)*-Assumptions!$G$79)/VLOOKUP(Assumptions!$D$7, Lists!$B$7:$C$10, 2, FALSE)</f>
        <v>150000</v>
      </c>
      <c r="AF58" s="108">
        <f>((SUM(AF87:AF90)-SUM(AE87:AE90))*-Assumptions!$G$80+(AF86-AE86)*-Assumptions!$G$79)/VLOOKUP(Assumptions!$D$7, Lists!$B$7:$C$10, 2, FALSE)</f>
        <v>0</v>
      </c>
      <c r="AG58" s="97">
        <f t="shared" si="68"/>
        <v>10900000</v>
      </c>
      <c r="AH58" s="63">
        <f>((SUM(AH87:AH90)-SUM(AF87:AF90))*-Assumptions!$G$80+(AH86-AF86)*-Assumptions!$G$79)/VLOOKUP(Assumptions!$D$7, Lists!$B$7:$C$10, 2, FALSE)</f>
        <v>450000</v>
      </c>
      <c r="AI58" s="64">
        <f>((SUM(AI87:AI90)-SUM(AH87:AH90))*-Assumptions!$G$80+(AI86-AH86)*-Assumptions!$G$79)/VLOOKUP(Assumptions!$D$7, Lists!$B$7:$C$10, 2, FALSE)</f>
        <v>150000</v>
      </c>
      <c r="AJ58" s="64">
        <f>((SUM(AJ87:AJ90)-SUM(AI87:AI90))*-Assumptions!$G$80+(AJ86-AI86)*-Assumptions!$G$79)/VLOOKUP(Assumptions!$D$7, Lists!$B$7:$C$10, 2, FALSE)</f>
        <v>0</v>
      </c>
      <c r="AK58" s="108">
        <f>((SUM(AK87:AK90)-SUM(AJ87:AJ90))*-Assumptions!$G$80+(AK86-AJ86)*-Assumptions!$G$79)/VLOOKUP(Assumptions!$D$7, Lists!$B$7:$C$10, 2, FALSE)</f>
        <v>300000</v>
      </c>
      <c r="AL58" s="60">
        <f t="shared" si="69"/>
        <v>900000</v>
      </c>
    </row>
    <row r="59" spans="1:38" ht="15.95">
      <c r="A59" s="36"/>
      <c r="B59" s="34" t="s">
        <v>296</v>
      </c>
      <c r="C59" s="56"/>
      <c r="D59" s="63"/>
      <c r="E59" s="64"/>
      <c r="F59" s="64"/>
      <c r="G59" s="108"/>
      <c r="H59" s="97">
        <f t="shared" si="63"/>
        <v>0</v>
      </c>
      <c r="I59" s="63">
        <f>-H47</f>
        <v>0</v>
      </c>
      <c r="J59" s="64"/>
      <c r="K59" s="64"/>
      <c r="L59" s="108"/>
      <c r="M59" s="97">
        <f t="shared" si="64"/>
        <v>0</v>
      </c>
      <c r="N59" s="63">
        <f>-M47</f>
        <v>57527423.348214298</v>
      </c>
      <c r="O59" s="64"/>
      <c r="P59" s="64"/>
      <c r="Q59" s="108"/>
      <c r="R59" s="97">
        <f t="shared" si="65"/>
        <v>57527423.348214298</v>
      </c>
      <c r="S59" s="63">
        <f>-R47</f>
        <v>103303677.99107142</v>
      </c>
      <c r="T59" s="64"/>
      <c r="U59" s="64"/>
      <c r="V59" s="108"/>
      <c r="W59" s="97">
        <f t="shared" si="66"/>
        <v>103303677.99107142</v>
      </c>
      <c r="X59" s="63">
        <f>-W47</f>
        <v>139687394.0625</v>
      </c>
      <c r="Y59" s="64"/>
      <c r="Z59" s="64"/>
      <c r="AA59" s="108"/>
      <c r="AB59" s="97">
        <f t="shared" si="67"/>
        <v>139687394.0625</v>
      </c>
      <c r="AC59" s="63">
        <f>-AB47</f>
        <v>173839607.27678573</v>
      </c>
      <c r="AD59" s="64"/>
      <c r="AE59" s="64"/>
      <c r="AF59" s="108"/>
      <c r="AG59" s="97">
        <f t="shared" si="68"/>
        <v>173839607.27678573</v>
      </c>
      <c r="AH59" s="63">
        <f>-AG47</f>
        <v>176582629.46428573</v>
      </c>
      <c r="AI59" s="64"/>
      <c r="AJ59" s="64"/>
      <c r="AK59" s="108"/>
      <c r="AL59" s="60">
        <f t="shared" si="69"/>
        <v>176582629.46428573</v>
      </c>
    </row>
    <row r="60" spans="1:38" ht="17.100000000000001" thickBot="1">
      <c r="A60" s="102" t="s">
        <v>297</v>
      </c>
      <c r="B60" s="34"/>
      <c r="C60" s="56"/>
      <c r="D60" s="142">
        <f>SUM(D52:D59)</f>
        <v>-359346598.4375</v>
      </c>
      <c r="E60" s="143">
        <f>SUM(E52:E59)</f>
        <v>-64200362.5</v>
      </c>
      <c r="F60" s="143">
        <f>SUM(F52:F59)</f>
        <v>-34178760.9375</v>
      </c>
      <c r="G60" s="144">
        <f>SUM(G52:G59)</f>
        <v>-5721793.75</v>
      </c>
      <c r="H60" s="112">
        <f t="shared" si="63"/>
        <v>-463447515.625</v>
      </c>
      <c r="I60" s="142">
        <f>SUM(I52:I59)</f>
        <v>23745539.0625</v>
      </c>
      <c r="J60" s="143">
        <f>SUM(J52:J59)</f>
        <v>52898237.5</v>
      </c>
      <c r="K60" s="143">
        <f>SUM(K52:K59)</f>
        <v>82286301.5625</v>
      </c>
      <c r="L60" s="144">
        <f>SUM(L52:L59)</f>
        <v>104114731.25</v>
      </c>
      <c r="M60" s="112">
        <f t="shared" si="64"/>
        <v>263044809.375</v>
      </c>
      <c r="N60" s="142">
        <f>SUM(N52:N59)</f>
        <v>174760949.9107143</v>
      </c>
      <c r="O60" s="143">
        <f>SUM(O52:O59)</f>
        <v>130737687.5</v>
      </c>
      <c r="P60" s="143">
        <f>SUM(P52:P59)</f>
        <v>143152214.0625</v>
      </c>
      <c r="Q60" s="144">
        <f>SUM(Q52:Q59)</f>
        <v>156077106.25</v>
      </c>
      <c r="R60" s="112">
        <f t="shared" si="65"/>
        <v>604727957.72321427</v>
      </c>
      <c r="S60" s="142">
        <f>SUM(S52:S59)</f>
        <v>272391042.0535714</v>
      </c>
      <c r="T60" s="143">
        <f>SUM(T52:T59)</f>
        <v>181132987.5</v>
      </c>
      <c r="U60" s="143">
        <f>SUM(U52:U59)</f>
        <v>193038976.5625</v>
      </c>
      <c r="V60" s="144">
        <f>SUM(V52:V59)</f>
        <v>204655331.25</v>
      </c>
      <c r="W60" s="112">
        <f t="shared" si="66"/>
        <v>851218337.36607146</v>
      </c>
      <c r="X60" s="142">
        <f>SUM(X52:X59)</f>
        <v>356194445.625</v>
      </c>
      <c r="Y60" s="143">
        <f>SUM(Y52:Y59)</f>
        <v>229194137.5</v>
      </c>
      <c r="Z60" s="143">
        <f>SUM(Z52:Z59)</f>
        <v>240166589.0625</v>
      </c>
      <c r="AA60" s="144">
        <f>SUM(AA52:AA59)</f>
        <v>250474406.25</v>
      </c>
      <c r="AB60" s="112">
        <f t="shared" si="67"/>
        <v>1076029578.4375</v>
      </c>
      <c r="AC60" s="142">
        <f>SUM(AC52:AC59)</f>
        <v>417430763.52678573</v>
      </c>
      <c r="AD60" s="143">
        <f>SUM(AD52:AD59)</f>
        <v>254894812.5</v>
      </c>
      <c r="AE60" s="143">
        <f>SUM(AE52:AE59)</f>
        <v>241923468.75</v>
      </c>
      <c r="AF60" s="144">
        <f>SUM(AF52:AF59)</f>
        <v>238877125</v>
      </c>
      <c r="AG60" s="112">
        <f t="shared" si="68"/>
        <v>1153126169.7767859</v>
      </c>
      <c r="AH60" s="142">
        <f>SUM(AH52:AH59)</f>
        <v>414888410.71428573</v>
      </c>
      <c r="AI60" s="143">
        <f>SUM(AI52:AI59)</f>
        <v>235484437.5</v>
      </c>
      <c r="AJ60" s="143">
        <f>SUM(AJ52:AJ59)</f>
        <v>232438093.75</v>
      </c>
      <c r="AK60" s="144">
        <f>SUM(AK52:AK59)</f>
        <v>230716750</v>
      </c>
      <c r="AL60" s="61">
        <f t="shared" si="69"/>
        <v>1113527691.9642859</v>
      </c>
    </row>
    <row r="61" spans="1:38" s="109" customFormat="1" ht="20.100000000000001" thickBot="1">
      <c r="A61" s="197" t="s">
        <v>298</v>
      </c>
      <c r="B61" s="198"/>
      <c r="C61" s="199"/>
      <c r="D61" s="145">
        <f>D60</f>
        <v>-359346598.4375</v>
      </c>
      <c r="E61" s="146">
        <f>D61+E60</f>
        <v>-423546960.9375</v>
      </c>
      <c r="F61" s="146">
        <f>E61+F60</f>
        <v>-457725721.875</v>
      </c>
      <c r="G61" s="147">
        <f>F61+G60</f>
        <v>-463447515.625</v>
      </c>
      <c r="H61" s="193">
        <f>G61</f>
        <v>-463447515.625</v>
      </c>
      <c r="I61" s="194">
        <f>G61+I60</f>
        <v>-439701976.5625</v>
      </c>
      <c r="J61" s="195">
        <f>I61+J60</f>
        <v>-386803739.0625</v>
      </c>
      <c r="K61" s="195">
        <f>J61+K60</f>
        <v>-304517437.5</v>
      </c>
      <c r="L61" s="196">
        <f>K61+L60</f>
        <v>-200402706.25</v>
      </c>
      <c r="M61" s="110">
        <f>L61</f>
        <v>-200402706.25</v>
      </c>
      <c r="N61" s="194">
        <f>L61+N60</f>
        <v>-25641756.339285702</v>
      </c>
      <c r="O61" s="195">
        <f>N61+O60</f>
        <v>105095931.1607143</v>
      </c>
      <c r="P61" s="195">
        <f>O61+P60</f>
        <v>248248145.2232143</v>
      </c>
      <c r="Q61" s="196">
        <f>P61+Q60</f>
        <v>404325251.47321427</v>
      </c>
      <c r="R61" s="110">
        <f>Q61</f>
        <v>404325251.47321427</v>
      </c>
      <c r="S61" s="194">
        <f>Q61+S60</f>
        <v>676716293.52678561</v>
      </c>
      <c r="T61" s="195">
        <f>S61+T60</f>
        <v>857849281.02678561</v>
      </c>
      <c r="U61" s="195">
        <f>T61+U60</f>
        <v>1050888257.5892856</v>
      </c>
      <c r="V61" s="196">
        <f>U61+V60</f>
        <v>1255543588.8392856</v>
      </c>
      <c r="W61" s="110">
        <f>V61</f>
        <v>1255543588.8392856</v>
      </c>
      <c r="X61" s="194">
        <f>V61+X60</f>
        <v>1611738034.4642856</v>
      </c>
      <c r="Y61" s="195">
        <f>X61+Y60</f>
        <v>1840932171.9642856</v>
      </c>
      <c r="Z61" s="195">
        <f>Y61+Z60</f>
        <v>2081098761.0267856</v>
      </c>
      <c r="AA61" s="196">
        <f>Z61+AA60</f>
        <v>2331573167.2767859</v>
      </c>
      <c r="AB61" s="110">
        <f>AA61</f>
        <v>2331573167.2767859</v>
      </c>
      <c r="AC61" s="194">
        <f>AA61+AC60</f>
        <v>2749003930.8035717</v>
      </c>
      <c r="AD61" s="195">
        <f>AC61+AD60</f>
        <v>3003898743.3035717</v>
      </c>
      <c r="AE61" s="195">
        <f>AD61+AE60</f>
        <v>3245822212.0535717</v>
      </c>
      <c r="AF61" s="196">
        <f>AE61+AF60</f>
        <v>3484699337.0535717</v>
      </c>
      <c r="AG61" s="110">
        <f>AF61</f>
        <v>3484699337.0535717</v>
      </c>
      <c r="AH61" s="194">
        <f>AF61+AH60</f>
        <v>3899587747.7678576</v>
      </c>
      <c r="AI61" s="195">
        <f>AH61+AI60</f>
        <v>4135072185.2678576</v>
      </c>
      <c r="AJ61" s="195">
        <f>AI61+AJ60</f>
        <v>4367510279.0178576</v>
      </c>
      <c r="AK61" s="196">
        <f>AJ61+AK60</f>
        <v>4598227029.0178576</v>
      </c>
      <c r="AL61" s="111">
        <f>AK61</f>
        <v>4598227029.0178576</v>
      </c>
    </row>
    <row r="62" spans="1:38" ht="15.95" thickBot="1"/>
    <row r="63" spans="1:38" ht="17.100000000000001" thickBot="1">
      <c r="A63" s="28" t="s">
        <v>299</v>
      </c>
      <c r="B63" s="28"/>
      <c r="C63" s="28"/>
      <c r="D63" s="148" t="s">
        <v>214</v>
      </c>
      <c r="E63" s="149" t="s">
        <v>215</v>
      </c>
      <c r="F63" s="149" t="s">
        <v>216</v>
      </c>
      <c r="G63" s="149" t="s">
        <v>217</v>
      </c>
      <c r="H63" s="43" t="s">
        <v>218</v>
      </c>
      <c r="I63" s="148" t="s">
        <v>219</v>
      </c>
      <c r="J63" s="149" t="s">
        <v>220</v>
      </c>
      <c r="K63" s="149" t="s">
        <v>221</v>
      </c>
      <c r="L63" s="149" t="s">
        <v>222</v>
      </c>
      <c r="M63" s="43" t="s">
        <v>223</v>
      </c>
      <c r="N63" s="148" t="s">
        <v>224</v>
      </c>
      <c r="O63" s="149" t="s">
        <v>225</v>
      </c>
      <c r="P63" s="149" t="s">
        <v>226</v>
      </c>
      <c r="Q63" s="149" t="s">
        <v>227</v>
      </c>
      <c r="R63" s="43" t="s">
        <v>228</v>
      </c>
      <c r="S63" s="148" t="s">
        <v>229</v>
      </c>
      <c r="T63" s="149" t="s">
        <v>230</v>
      </c>
      <c r="U63" s="149" t="s">
        <v>231</v>
      </c>
      <c r="V63" s="149" t="s">
        <v>232</v>
      </c>
      <c r="W63" s="43" t="s">
        <v>233</v>
      </c>
      <c r="X63" s="148" t="s">
        <v>234</v>
      </c>
      <c r="Y63" s="149" t="s">
        <v>235</v>
      </c>
      <c r="Z63" s="149" t="s">
        <v>236</v>
      </c>
      <c r="AA63" s="149" t="s">
        <v>237</v>
      </c>
      <c r="AB63" s="43" t="s">
        <v>238</v>
      </c>
      <c r="AC63" s="148" t="s">
        <v>239</v>
      </c>
      <c r="AD63" s="149" t="s">
        <v>240</v>
      </c>
      <c r="AE63" s="149" t="s">
        <v>241</v>
      </c>
      <c r="AF63" s="149" t="s">
        <v>242</v>
      </c>
      <c r="AG63" s="43" t="s">
        <v>243</v>
      </c>
      <c r="AH63" s="148" t="s">
        <v>244</v>
      </c>
      <c r="AI63" s="149" t="s">
        <v>245</v>
      </c>
      <c r="AJ63" s="149" t="s">
        <v>246</v>
      </c>
      <c r="AK63" s="149" t="s">
        <v>247</v>
      </c>
      <c r="AL63" s="43" t="s">
        <v>248</v>
      </c>
    </row>
    <row r="64" spans="1:38" ht="15.95">
      <c r="A64" s="188"/>
      <c r="B64" s="29"/>
      <c r="C64" s="30" t="s">
        <v>300</v>
      </c>
      <c r="D64" s="130">
        <f>IFERROR(D72/(_xlfn.XLOOKUP(Assumptions!$D$5, 'Baseline Headcount Estimates'!$B$13:$B$180, 'Baseline Headcount Estimates'!$R$13:$R$180, "")*1000), "N/A")</f>
        <v>3.4927718458987911E-3</v>
      </c>
      <c r="E64" s="150">
        <f>IFERROR(E72/(_xlfn.XLOOKUP(Assumptions!$D$5, 'Baseline Headcount Estimates'!$B$13:$B$180, 'Baseline Headcount Estimates'!$R$13:$R$180, "")*1000), "N/A")</f>
        <v>6.9416094547422513E-3</v>
      </c>
      <c r="F64" s="150">
        <f>IFERROR(F72/(_xlfn.XLOOKUP(Assumptions!$D$5, 'Baseline Headcount Estimates'!$B$13:$B$180, 'Baseline Headcount Estimates'!$R$13:$R$180, "")*1000), "N/A")</f>
        <v>1.0346512826530381E-2</v>
      </c>
      <c r="G64" s="151">
        <f>IFERROR(G72/(_xlfn.XLOOKUP(Assumptions!$D$5, 'Baseline Headcount Estimates'!$B$13:$B$180, 'Baseline Headcount Estimates'!$R$13:$R$180, "")*1000), "N/A")</f>
        <v>1.3707481961263179E-2</v>
      </c>
      <c r="H64" s="129">
        <f t="shared" ref="H64:H81" si="70">G64</f>
        <v>1.3707481961263179E-2</v>
      </c>
      <c r="I64" s="130">
        <f>IFERROR(I72/(_xlfn.XLOOKUP(Assumptions!$D$5, 'Baseline Headcount Estimates'!$B$13:$B$180, 'Baseline Headcount Estimates'!$R$13:$R$180, "")*1000), "N/A")</f>
        <v>1.7024516858940648E-2</v>
      </c>
      <c r="J64" s="150">
        <f>IFERROR(J72/(_xlfn.XLOOKUP(Assumptions!$D$5, 'Baseline Headcount Estimates'!$B$13:$B$180, 'Baseline Headcount Estimates'!$R$13:$R$180, "")*1000), "N/A")</f>
        <v>2.0297617519562786E-2</v>
      </c>
      <c r="K64" s="150">
        <f>IFERROR(K72/(_xlfn.XLOOKUP(Assumptions!$D$5, 'Baseline Headcount Estimates'!$B$13:$B$180, 'Baseline Headcount Estimates'!$R$13:$R$180, "")*1000), "N/A")</f>
        <v>2.3526783943129591E-2</v>
      </c>
      <c r="L64" s="151">
        <f>IFERROR(L72/(_xlfn.XLOOKUP(Assumptions!$D$5, 'Baseline Headcount Estimates'!$B$13:$B$180, 'Baseline Headcount Estimates'!$R$13:$R$180, "")*1000), "N/A")</f>
        <v>2.6712016129641067E-2</v>
      </c>
      <c r="M64" s="129">
        <f t="shared" ref="M64:M81" si="71">L64</f>
        <v>2.6712016129641067E-2</v>
      </c>
      <c r="N64" s="130">
        <f>IFERROR(N72/(_xlfn.XLOOKUP(Assumptions!$D$5, 'Baseline Headcount Estimates'!$B$13:$B$180, 'Baseline Headcount Estimates'!$R$13:$R$180, "")*1000), "N/A")</f>
        <v>2.9853314079097214E-2</v>
      </c>
      <c r="O64" s="150">
        <f>IFERROR(O72/(_xlfn.XLOOKUP(Assumptions!$D$5, 'Baseline Headcount Estimates'!$B$13:$B$180, 'Baseline Headcount Estimates'!$R$13:$R$180, "")*1000), "N/A")</f>
        <v>3.2950677791498025E-2</v>
      </c>
      <c r="P64" s="150">
        <f>IFERROR(P72/(_xlfn.XLOOKUP(Assumptions!$D$5, 'Baseline Headcount Estimates'!$B$13:$B$180, 'Baseline Headcount Estimates'!$R$13:$R$180, "")*1000), "N/A")</f>
        <v>3.6004107266843513E-2</v>
      </c>
      <c r="Q64" s="151">
        <f>IFERROR(Q72/(_xlfn.XLOOKUP(Assumptions!$D$5, 'Baseline Headcount Estimates'!$B$13:$B$180, 'Baseline Headcount Estimates'!$R$13:$R$180, "")*1000), "N/A")</f>
        <v>3.9013602505133665E-2</v>
      </c>
      <c r="R64" s="129">
        <f t="shared" ref="R64:R81" si="72">Q64</f>
        <v>3.9013602505133665E-2</v>
      </c>
      <c r="S64" s="130">
        <f>IFERROR(S72/(_xlfn.XLOOKUP(Assumptions!$D$5, 'Baseline Headcount Estimates'!$B$13:$B$180, 'Baseline Headcount Estimates'!$R$13:$R$180, "")*1000), "N/A")</f>
        <v>4.1979163506368489E-2</v>
      </c>
      <c r="T64" s="150">
        <f>IFERROR(T72/(_xlfn.XLOOKUP(Assumptions!$D$5, 'Baseline Headcount Estimates'!$B$13:$B$180, 'Baseline Headcount Estimates'!$R$13:$R$180, "")*1000), "N/A")</f>
        <v>4.4900790270547976E-2</v>
      </c>
      <c r="U64" s="150">
        <f>IFERROR(U72/(_xlfn.XLOOKUP(Assumptions!$D$5, 'Baseline Headcount Estimates'!$B$13:$B$180, 'Baseline Headcount Estimates'!$R$13:$R$180, "")*1000), "N/A")</f>
        <v>4.7778482797672141E-2</v>
      </c>
      <c r="V64" s="151">
        <f>IFERROR(V72/(_xlfn.XLOOKUP(Assumptions!$D$5, 'Baseline Headcount Estimates'!$B$13:$B$180, 'Baseline Headcount Estimates'!$R$13:$R$180, "")*1000), "N/A")</f>
        <v>5.061224108774097E-2</v>
      </c>
      <c r="W64" s="129">
        <f t="shared" ref="W64:W81" si="73">V64</f>
        <v>5.061224108774097E-2</v>
      </c>
      <c r="X64" s="130">
        <f>IFERROR(X72/(_xlfn.XLOOKUP(Assumptions!$D$5, 'Baseline Headcount Estimates'!$B$13:$B$180, 'Baseline Headcount Estimates'!$R$13:$R$180, "")*1000), "N/A")</f>
        <v>5.3402065140754469E-2</v>
      </c>
      <c r="Y64" s="150">
        <f>IFERROR(Y72/(_xlfn.XLOOKUP(Assumptions!$D$5, 'Baseline Headcount Estimates'!$B$13:$B$180, 'Baseline Headcount Estimates'!$R$13:$R$180, "")*1000), "N/A")</f>
        <v>5.614795495671264E-2</v>
      </c>
      <c r="Z64" s="150">
        <f>IFERROR(Z72/(_xlfn.XLOOKUP(Assumptions!$D$5, 'Baseline Headcount Estimates'!$B$13:$B$180, 'Baseline Headcount Estimates'!$R$13:$R$180, "")*1000), "N/A")</f>
        <v>5.8849910535615474E-2</v>
      </c>
      <c r="AA64" s="151">
        <f>IFERROR(AA72/(_xlfn.XLOOKUP(Assumptions!$D$5, 'Baseline Headcount Estimates'!$B$13:$B$180, 'Baseline Headcount Estimates'!$R$13:$R$180, "")*1000), "N/A")</f>
        <v>6.1507931877462986E-2</v>
      </c>
      <c r="AB64" s="180">
        <f>AA64</f>
        <v>6.1507931877462986E-2</v>
      </c>
      <c r="AC64" s="130">
        <f>IFERROR(AC72/(_xlfn.XLOOKUP(Assumptions!$D$5, 'Baseline Headcount Estimates'!$B$13:$B$180, 'Baseline Headcount Estimates'!$R$13:$R$180, "")*1000), "N/A")</f>
        <v>6.106858950690968E-2</v>
      </c>
      <c r="AD64" s="150">
        <f>IFERROR(AD72/(_xlfn.XLOOKUP(Assumptions!$D$5, 'Baseline Headcount Estimates'!$B$13:$B$180, 'Baseline Headcount Estimates'!$R$13:$R$180, "")*1000), "N/A")</f>
        <v>6.0629247136356368E-2</v>
      </c>
      <c r="AE64" s="150">
        <f>IFERROR(AE72/(_xlfn.XLOOKUP(Assumptions!$D$5, 'Baseline Headcount Estimates'!$B$13:$B$180, 'Baseline Headcount Estimates'!$R$13:$R$180, "")*1000), "N/A")</f>
        <v>6.0189904765803062E-2</v>
      </c>
      <c r="AF64" s="151">
        <f>IFERROR(AF72/(_xlfn.XLOOKUP(Assumptions!$D$5, 'Baseline Headcount Estimates'!$B$13:$B$180, 'Baseline Headcount Estimates'!$R$13:$R$180, "")*1000), "N/A")</f>
        <v>5.9750562395249757E-2</v>
      </c>
      <c r="AG64" s="180">
        <f>AF64</f>
        <v>5.9750562395249757E-2</v>
      </c>
      <c r="AH64" s="130">
        <f>IFERROR(AH72/(_xlfn.XLOOKUP(Assumptions!$D$5, 'Baseline Headcount Estimates'!$B$13:$B$180, 'Baseline Headcount Estimates'!$R$13:$R$180, "")*1000), "N/A")</f>
        <v>5.9311220024696451E-2</v>
      </c>
      <c r="AI64" s="150">
        <f>IFERROR(AI72/(_xlfn.XLOOKUP(Assumptions!$D$5, 'Baseline Headcount Estimates'!$B$13:$B$180, 'Baseline Headcount Estimates'!$R$13:$R$180, "")*1000), "N/A")</f>
        <v>5.8871877654143145E-2</v>
      </c>
      <c r="AJ64" s="150">
        <f>IFERROR(AJ72/(_xlfn.XLOOKUP(Assumptions!$D$5, 'Baseline Headcount Estimates'!$B$13:$B$180, 'Baseline Headcount Estimates'!$R$13:$R$180, "")*1000), "N/A")</f>
        <v>5.8432535283589833E-2</v>
      </c>
      <c r="AK64" s="151">
        <f>IFERROR(AK72/(_xlfn.XLOOKUP(Assumptions!$D$5, 'Baseline Headcount Estimates'!$B$13:$B$180, 'Baseline Headcount Estimates'!$R$13:$R$180, "")*1000), "N/A")</f>
        <v>5.7993192913036527E-2</v>
      </c>
      <c r="AL64" s="129">
        <f>AK64</f>
        <v>5.7993192913036527E-2</v>
      </c>
    </row>
    <row r="65" spans="1:38" ht="15.95">
      <c r="A65" s="31"/>
      <c r="C65" s="33" t="s">
        <v>301</v>
      </c>
      <c r="D65" s="132">
        <f>IFERROR(D73/(_xlfn.XLOOKUP(Assumptions!$D$5, 'Baseline Headcount Estimates'!$B$13:$B$180, 'Baseline Headcount Estimates'!$Q$13:$Q$180, "")*1000), "N/A")</f>
        <v>5.971471512259836E-3</v>
      </c>
      <c r="E65" s="131">
        <f>IFERROR(E73/(_xlfn.XLOOKUP(Assumptions!$D$5, 'Baseline Headcount Estimates'!$B$13:$B$180, 'Baseline Headcount Estimates'!$Q$13:$Q$180, "")*1000), "N/A")</f>
        <v>1.1867830175308857E-2</v>
      </c>
      <c r="F65" s="131">
        <f>IFERROR(F73/(_xlfn.XLOOKUP(Assumptions!$D$5, 'Baseline Headcount Estimates'!$B$13:$B$180, 'Baseline Headcount Estimates'!$Q$13:$Q$180, "")*1000), "N/A")</f>
        <v>1.7689075989147061E-2</v>
      </c>
      <c r="G65" s="133">
        <f>IFERROR(G73/(_xlfn.XLOOKUP(Assumptions!$D$5, 'Baseline Headcount Estimates'!$B$13:$B$180, 'Baseline Headcount Estimates'!$Q$13:$Q$180, "")*1000), "N/A")</f>
        <v>2.3435208953774451E-2</v>
      </c>
      <c r="H65" s="129">
        <f t="shared" si="70"/>
        <v>2.3435208953774451E-2</v>
      </c>
      <c r="I65" s="132">
        <f>IFERROR(I73/(_xlfn.XLOOKUP(Assumptions!$D$5, 'Baseline Headcount Estimates'!$B$13:$B$180, 'Baseline Headcount Estimates'!$Q$13:$Q$180, "")*1000), "N/A")</f>
        <v>2.9106229069191025E-2</v>
      </c>
      <c r="J65" s="131">
        <f>IFERROR(J73/(_xlfn.XLOOKUP(Assumptions!$D$5, 'Baseline Headcount Estimates'!$B$13:$B$180, 'Baseline Headcount Estimates'!$Q$13:$Q$180, "")*1000), "N/A")</f>
        <v>3.4702136335396781E-2</v>
      </c>
      <c r="K65" s="131">
        <f>IFERROR(K73/(_xlfn.XLOOKUP(Assumptions!$D$5, 'Baseline Headcount Estimates'!$B$13:$B$180, 'Baseline Headcount Estimates'!$Q$13:$Q$180, "")*1000), "N/A")</f>
        <v>4.0222930752391722E-2</v>
      </c>
      <c r="L65" s="133">
        <f>IFERROR(L73/(_xlfn.XLOOKUP(Assumptions!$D$5, 'Baseline Headcount Estimates'!$B$13:$B$180, 'Baseline Headcount Estimates'!$Q$13:$Q$180, "")*1000), "N/A")</f>
        <v>4.5668612320175855E-2</v>
      </c>
      <c r="M65" s="129">
        <f t="shared" si="71"/>
        <v>4.5668612320175855E-2</v>
      </c>
      <c r="N65" s="132">
        <f>IFERROR(N73/(_xlfn.XLOOKUP(Assumptions!$D$5, 'Baseline Headcount Estimates'!$B$13:$B$180, 'Baseline Headcount Estimates'!$Q$13:$Q$180, "")*1000), "N/A")</f>
        <v>5.1039181038749167E-2</v>
      </c>
      <c r="O65" s="131">
        <f>IFERROR(O73/(_xlfn.XLOOKUP(Assumptions!$D$5, 'Baseline Headcount Estimates'!$B$13:$B$180, 'Baseline Headcount Estimates'!$Q$13:$Q$180, "")*1000), "N/A")</f>
        <v>5.6334636908111663E-2</v>
      </c>
      <c r="P65" s="131">
        <f>IFERROR(P73/(_xlfn.XLOOKUP(Assumptions!$D$5, 'Baseline Headcount Estimates'!$B$13:$B$180, 'Baseline Headcount Estimates'!$Q$13:$Q$180, "")*1000), "N/A")</f>
        <v>6.1554979928263344E-2</v>
      </c>
      <c r="Q65" s="133">
        <f>IFERROR(Q73/(_xlfn.XLOOKUP(Assumptions!$D$5, 'Baseline Headcount Estimates'!$B$13:$B$180, 'Baseline Headcount Estimates'!$Q$13:$Q$180, "")*1000), "N/A")</f>
        <v>6.670021009920421E-2</v>
      </c>
      <c r="R65" s="129">
        <f t="shared" si="72"/>
        <v>6.670021009920421E-2</v>
      </c>
      <c r="S65" s="132">
        <f>IFERROR(S73/(_xlfn.XLOOKUP(Assumptions!$D$5, 'Baseline Headcount Estimates'!$B$13:$B$180, 'Baseline Headcount Estimates'!$Q$13:$Q$180, "")*1000), "N/A")</f>
        <v>7.1770327420934255E-2</v>
      </c>
      <c r="T65" s="131">
        <f>IFERROR(T73/(_xlfn.XLOOKUP(Assumptions!$D$5, 'Baseline Headcount Estimates'!$B$13:$B$180, 'Baseline Headcount Estimates'!$Q$13:$Q$180, "")*1000), "N/A")</f>
        <v>7.6765331893453484E-2</v>
      </c>
      <c r="U65" s="131">
        <f>IFERROR(U73/(_xlfn.XLOOKUP(Assumptions!$D$5, 'Baseline Headcount Estimates'!$B$13:$B$180, 'Baseline Headcount Estimates'!$Q$13:$Q$180, "")*1000), "N/A")</f>
        <v>8.1685223516761912E-2</v>
      </c>
      <c r="V65" s="133">
        <f>IFERROR(V73/(_xlfn.XLOOKUP(Assumptions!$D$5, 'Baseline Headcount Estimates'!$B$13:$B$180, 'Baseline Headcount Estimates'!$Q$13:$Q$180, "")*1000), "N/A")</f>
        <v>8.6530002290859512E-2</v>
      </c>
      <c r="W65" s="129">
        <f t="shared" si="73"/>
        <v>8.6530002290859512E-2</v>
      </c>
      <c r="X65" s="132">
        <f>IFERROR(X73/(_xlfn.XLOOKUP(Assumptions!$D$5, 'Baseline Headcount Estimates'!$B$13:$B$180, 'Baseline Headcount Estimates'!$Q$13:$Q$180, "")*1000), "N/A")</f>
        <v>9.1299668215746296E-2</v>
      </c>
      <c r="Y65" s="131">
        <f>IFERROR(Y73/(_xlfn.XLOOKUP(Assumptions!$D$5, 'Baseline Headcount Estimates'!$B$13:$B$180, 'Baseline Headcount Estimates'!$Q$13:$Q$180, "")*1000), "N/A")</f>
        <v>9.5994221291422266E-2</v>
      </c>
      <c r="Z65" s="131">
        <f>IFERROR(Z73/(_xlfn.XLOOKUP(Assumptions!$D$5, 'Baseline Headcount Estimates'!$B$13:$B$180, 'Baseline Headcount Estimates'!$Q$13:$Q$180, "")*1000), "N/A")</f>
        <v>0.10061366151788742</v>
      </c>
      <c r="AA65" s="133">
        <f>IFERROR(AA73/(_xlfn.XLOOKUP(Assumptions!$D$5, 'Baseline Headcount Estimates'!$B$13:$B$180, 'Baseline Headcount Estimates'!$Q$13:$Q$180, "")*1000), "N/A")</f>
        <v>0.10515798889514176</v>
      </c>
      <c r="AB65" s="181">
        <f>AA65</f>
        <v>0.10515798889514176</v>
      </c>
      <c r="AC65" s="132">
        <f>IFERROR(AC73/(_xlfn.XLOOKUP(Assumptions!$D$5, 'Baseline Headcount Estimates'!$B$13:$B$180, 'Baseline Headcount Estimates'!$Q$13:$Q$180, "")*1000), "N/A")</f>
        <v>0.10440686040303361</v>
      </c>
      <c r="AD65" s="131">
        <f>IFERROR(AD73/(_xlfn.XLOOKUP(Assumptions!$D$5, 'Baseline Headcount Estimates'!$B$13:$B$180, 'Baseline Headcount Estimates'!$Q$13:$Q$180, "")*1000), "N/A")</f>
        <v>0.10365573191092546</v>
      </c>
      <c r="AE65" s="131">
        <f>IFERROR(AE73/(_xlfn.XLOOKUP(Assumptions!$D$5, 'Baseline Headcount Estimates'!$B$13:$B$180, 'Baseline Headcount Estimates'!$Q$13:$Q$180, "")*1000), "N/A")</f>
        <v>0.1029046034188173</v>
      </c>
      <c r="AF65" s="133">
        <f>IFERROR(AF73/(_xlfn.XLOOKUP(Assumptions!$D$5, 'Baseline Headcount Estimates'!$B$13:$B$180, 'Baseline Headcount Estimates'!$Q$13:$Q$180, "")*1000), "N/A")</f>
        <v>0.10215347492670915</v>
      </c>
      <c r="AG65" s="181">
        <f>AF65</f>
        <v>0.10215347492670915</v>
      </c>
      <c r="AH65" s="132">
        <f>IFERROR(AH73/(_xlfn.XLOOKUP(Assumptions!$D$5, 'Baseline Headcount Estimates'!$B$13:$B$180, 'Baseline Headcount Estimates'!$Q$13:$Q$180, "")*1000), "N/A")</f>
        <v>0.10140234643460098</v>
      </c>
      <c r="AI65" s="131">
        <f>IFERROR(AI73/(_xlfn.XLOOKUP(Assumptions!$D$5, 'Baseline Headcount Estimates'!$B$13:$B$180, 'Baseline Headcount Estimates'!$Q$13:$Q$180, "")*1000), "N/A")</f>
        <v>0.10065121794249283</v>
      </c>
      <c r="AJ65" s="131">
        <f>IFERROR(AJ73/(_xlfn.XLOOKUP(Assumptions!$D$5, 'Baseline Headcount Estimates'!$B$13:$B$180, 'Baseline Headcount Estimates'!$Q$13:$Q$180, "")*1000), "N/A")</f>
        <v>9.9900089450384671E-2</v>
      </c>
      <c r="AK65" s="133">
        <f>IFERROR(AK73/(_xlfn.XLOOKUP(Assumptions!$D$5, 'Baseline Headcount Estimates'!$B$13:$B$180, 'Baseline Headcount Estimates'!$Q$13:$Q$180, "")*1000), "N/A")</f>
        <v>9.9148960958276522E-2</v>
      </c>
      <c r="AL65" s="129">
        <f>AK65</f>
        <v>9.9148960958276522E-2</v>
      </c>
    </row>
    <row r="66" spans="1:38" ht="15.95">
      <c r="A66" s="31"/>
      <c r="C66" s="33" t="s">
        <v>302</v>
      </c>
      <c r="D66" s="132">
        <f>IFERROR(D74/(_xlfn.XLOOKUP(Assumptions!$D$5, 'Baseline Headcount Estimates'!$B$13:$B$180, 'Baseline Headcount Estimates'!$P$13:$P$180, "")*1000), "N/A")</f>
        <v>9.8181020050228194E-3</v>
      </c>
      <c r="E66" s="131">
        <f>IFERROR(E74/(_xlfn.XLOOKUP(Assumptions!$D$5, 'Baseline Headcount Estimates'!$B$13:$B$180, 'Baseline Headcount Estimates'!$P$13:$P$180, "")*1000), "N/A")</f>
        <v>1.9512705871617679E-2</v>
      </c>
      <c r="F66" s="131">
        <f>IFERROR(F74/(_xlfn.XLOOKUP(Assumptions!$D$5, 'Baseline Headcount Estimates'!$B$13:$B$180, 'Baseline Headcount Estimates'!$P$13:$P$180, "")*1000), "N/A")</f>
        <v>2.9083811599784577E-2</v>
      </c>
      <c r="G66" s="133">
        <f>IFERROR(G74/(_xlfn.XLOOKUP(Assumptions!$D$5, 'Baseline Headcount Estimates'!$B$13:$B$180, 'Baseline Headcount Estimates'!$P$13:$P$180, "")*1000), "N/A")</f>
        <v>3.8531419189523519E-2</v>
      </c>
      <c r="H66" s="129">
        <f t="shared" si="70"/>
        <v>3.8531419189523519E-2</v>
      </c>
      <c r="I66" s="132">
        <f>IFERROR(I74/(_xlfn.XLOOKUP(Assumptions!$D$5, 'Baseline Headcount Estimates'!$B$13:$B$180, 'Baseline Headcount Estimates'!$P$13:$P$180, "")*1000), "N/A")</f>
        <v>4.7855528640834498E-2</v>
      </c>
      <c r="J66" s="131">
        <f>IFERROR(J74/(_xlfn.XLOOKUP(Assumptions!$D$5, 'Baseline Headcount Estimates'!$B$13:$B$180, 'Baseline Headcount Estimates'!$P$13:$P$180, "")*1000), "N/A")</f>
        <v>5.7056139953717513E-2</v>
      </c>
      <c r="K66" s="131">
        <f>IFERROR(K74/(_xlfn.XLOOKUP(Assumptions!$D$5, 'Baseline Headcount Estimates'!$B$13:$B$180, 'Baseline Headcount Estimates'!$P$13:$P$180, "")*1000), "N/A")</f>
        <v>6.6133253128172573E-2</v>
      </c>
      <c r="L66" s="133">
        <f>IFERROR(L74/(_xlfn.XLOOKUP(Assumptions!$D$5, 'Baseline Headcount Estimates'!$B$13:$B$180, 'Baseline Headcount Estimates'!$P$13:$P$180, "")*1000), "N/A")</f>
        <v>7.5086868164199669E-2</v>
      </c>
      <c r="M66" s="129">
        <f t="shared" si="71"/>
        <v>7.5086868164199669E-2</v>
      </c>
      <c r="N66" s="132">
        <f>IFERROR(N74/(_xlfn.XLOOKUP(Assumptions!$D$5, 'Baseline Headcount Estimates'!$B$13:$B$180, 'Baseline Headcount Estimates'!$P$13:$P$180, "")*1000), "N/A")</f>
        <v>8.3916985061798816E-2</v>
      </c>
      <c r="O66" s="131">
        <f>IFERROR(O74/(_xlfn.XLOOKUP(Assumptions!$D$5, 'Baseline Headcount Estimates'!$B$13:$B$180, 'Baseline Headcount Estimates'!$P$13:$P$180, "")*1000), "N/A")</f>
        <v>9.2623603820969999E-2</v>
      </c>
      <c r="P66" s="131">
        <f>IFERROR(P74/(_xlfn.XLOOKUP(Assumptions!$D$5, 'Baseline Headcount Estimates'!$B$13:$B$180, 'Baseline Headcount Estimates'!$P$13:$P$180, "")*1000), "N/A")</f>
        <v>0.10120672444171321</v>
      </c>
      <c r="Q66" s="133">
        <f>IFERROR(Q74/(_xlfn.XLOOKUP(Assumptions!$D$5, 'Baseline Headcount Estimates'!$B$13:$B$180, 'Baseline Headcount Estimates'!$P$13:$P$180, "")*1000), "N/A")</f>
        <v>0.10966634692402848</v>
      </c>
      <c r="R66" s="129">
        <f t="shared" si="72"/>
        <v>0.10966634692402848</v>
      </c>
      <c r="S66" s="132">
        <f>IFERROR(S74/(_xlfn.XLOOKUP(Assumptions!$D$5, 'Baseline Headcount Estimates'!$B$13:$B$180, 'Baseline Headcount Estimates'!$P$13:$P$180, "")*1000), "N/A")</f>
        <v>0.11800247126791577</v>
      </c>
      <c r="T66" s="131">
        <f>IFERROR(T74/(_xlfn.XLOOKUP(Assumptions!$D$5, 'Baseline Headcount Estimates'!$B$13:$B$180, 'Baseline Headcount Estimates'!$P$13:$P$180, "")*1000), "N/A")</f>
        <v>0.12621509747337512</v>
      </c>
      <c r="U66" s="131">
        <f>IFERROR(U74/(_xlfn.XLOOKUP(Assumptions!$D$5, 'Baseline Headcount Estimates'!$B$13:$B$180, 'Baseline Headcount Estimates'!$P$13:$P$180, "")*1000), "N/A")</f>
        <v>0.1343042255404065</v>
      </c>
      <c r="V66" s="133">
        <f>IFERROR(V74/(_xlfn.XLOOKUP(Assumptions!$D$5, 'Baseline Headcount Estimates'!$B$13:$B$180, 'Baseline Headcount Estimates'!$P$13:$P$180, "")*1000), "N/A")</f>
        <v>0.14226985546900991</v>
      </c>
      <c r="W66" s="129">
        <f t="shared" si="73"/>
        <v>0.14226985546900991</v>
      </c>
      <c r="X66" s="132">
        <f>IFERROR(X74/(_xlfn.XLOOKUP(Assumptions!$D$5, 'Baseline Headcount Estimates'!$B$13:$B$180, 'Baseline Headcount Estimates'!$P$13:$P$180, "")*1000), "N/A")</f>
        <v>0.15011198725918537</v>
      </c>
      <c r="Y66" s="131">
        <f>IFERROR(Y74/(_xlfn.XLOOKUP(Assumptions!$D$5, 'Baseline Headcount Estimates'!$B$13:$B$180, 'Baseline Headcount Estimates'!$P$13:$P$180, "")*1000), "N/A")</f>
        <v>0.15783062091093286</v>
      </c>
      <c r="Z66" s="131">
        <f>IFERROR(Z74/(_xlfn.XLOOKUP(Assumptions!$D$5, 'Baseline Headcount Estimates'!$B$13:$B$180, 'Baseline Headcount Estimates'!$P$13:$P$180, "")*1000), "N/A")</f>
        <v>0.16542575642425242</v>
      </c>
      <c r="AA66" s="133">
        <f>IFERROR(AA74/(_xlfn.XLOOKUP(Assumptions!$D$5, 'Baseline Headcount Estimates'!$B$13:$B$180, 'Baseline Headcount Estimates'!$P$13:$P$180, "")*1000), "N/A")</f>
        <v>0.17289739379914398</v>
      </c>
      <c r="AB66" s="181">
        <f>AA66</f>
        <v>0.17289739379914398</v>
      </c>
      <c r="AC66" s="132">
        <f>IFERROR(AC74/(_xlfn.XLOOKUP(Assumptions!$D$5, 'Baseline Headcount Estimates'!$B$13:$B$180, 'Baseline Headcount Estimates'!$P$13:$P$180, "")*1000), "N/A")</f>
        <v>0.17166241241486438</v>
      </c>
      <c r="AD66" s="131">
        <f>IFERROR(AD74/(_xlfn.XLOOKUP(Assumptions!$D$5, 'Baseline Headcount Estimates'!$B$13:$B$180, 'Baseline Headcount Estimates'!$P$13:$P$180, "")*1000), "N/A")</f>
        <v>0.17042743103058478</v>
      </c>
      <c r="AE66" s="131">
        <f>IFERROR(AE74/(_xlfn.XLOOKUP(Assumptions!$D$5, 'Baseline Headcount Estimates'!$B$13:$B$180, 'Baseline Headcount Estimates'!$P$13:$P$180, "")*1000), "N/A")</f>
        <v>0.1691924496463052</v>
      </c>
      <c r="AF66" s="133">
        <f>IFERROR(AF74/(_xlfn.XLOOKUP(Assumptions!$D$5, 'Baseline Headcount Estimates'!$B$13:$B$180, 'Baseline Headcount Estimates'!$P$13:$P$180, "")*1000), "N/A")</f>
        <v>0.16795746826202559</v>
      </c>
      <c r="AG66" s="181">
        <f>AF66</f>
        <v>0.16795746826202559</v>
      </c>
      <c r="AH66" s="132">
        <f>IFERROR(AH74/(_xlfn.XLOOKUP(Assumptions!$D$5, 'Baseline Headcount Estimates'!$B$13:$B$180, 'Baseline Headcount Estimates'!$P$13:$P$180, "")*1000), "N/A")</f>
        <v>0.16672248687774599</v>
      </c>
      <c r="AI66" s="131">
        <f>IFERROR(AI74/(_xlfn.XLOOKUP(Assumptions!$D$5, 'Baseline Headcount Estimates'!$B$13:$B$180, 'Baseline Headcount Estimates'!$P$13:$P$180, "")*1000), "N/A")</f>
        <v>0.16548750549346639</v>
      </c>
      <c r="AJ66" s="131">
        <f>IFERROR(AJ74/(_xlfn.XLOOKUP(Assumptions!$D$5, 'Baseline Headcount Estimates'!$B$13:$B$180, 'Baseline Headcount Estimates'!$P$13:$P$180, "")*1000), "N/A")</f>
        <v>0.16425252410918678</v>
      </c>
      <c r="AK66" s="133">
        <f>IFERROR(AK74/(_xlfn.XLOOKUP(Assumptions!$D$5, 'Baseline Headcount Estimates'!$B$13:$B$180, 'Baseline Headcount Estimates'!$P$13:$P$180, "")*1000), "N/A")</f>
        <v>0.16301754272490718</v>
      </c>
      <c r="AL66" s="129">
        <f>AK66</f>
        <v>0.16301754272490718</v>
      </c>
    </row>
    <row r="67" spans="1:38" ht="15.95">
      <c r="A67" s="31"/>
      <c r="C67" s="33" t="s">
        <v>303</v>
      </c>
      <c r="D67" s="132">
        <f>IFERROR(D75/(_xlfn.XLOOKUP(Assumptions!$D$5, 'Baseline Headcount Estimates'!$B$13:$B$180, 'Baseline Headcount Estimates'!$O$13:$O$180, "")*1000), "N/A")</f>
        <v>9.4418130698424082E-3</v>
      </c>
      <c r="E67" s="131">
        <f>IFERROR(E75/(_xlfn.XLOOKUP(Assumptions!$D$5, 'Baseline Headcount Estimates'!$B$13:$B$180, 'Baseline Headcount Estimates'!$O$13:$O$180, "")*1000), "N/A")</f>
        <v>1.8764861195410067E-2</v>
      </c>
      <c r="F67" s="131">
        <f>IFERROR(F75/(_xlfn.XLOOKUP(Assumptions!$D$5, 'Baseline Headcount Estimates'!$B$13:$B$180, 'Baseline Headcount Estimates'!$O$13:$O$180, "")*1000), "N/A")</f>
        <v>2.7969144376702979E-2</v>
      </c>
      <c r="G67" s="133">
        <f>IFERROR(G75/(_xlfn.XLOOKUP(Assumptions!$D$5, 'Baseline Headcount Estimates'!$B$13:$B$180, 'Baseline Headcount Estimates'!$O$13:$O$180, "")*1000), "N/A")</f>
        <v>3.7054662613721145E-2</v>
      </c>
      <c r="H67" s="129">
        <f t="shared" si="70"/>
        <v>3.7054662613721145E-2</v>
      </c>
      <c r="I67" s="132">
        <f>IFERROR(I75/(_xlfn.XLOOKUP(Assumptions!$D$5, 'Baseline Headcount Estimates'!$B$13:$B$180, 'Baseline Headcount Estimates'!$O$13:$O$180, "")*1000), "N/A")</f>
        <v>4.6021415906464566E-2</v>
      </c>
      <c r="J67" s="131">
        <f>IFERROR(J75/(_xlfn.XLOOKUP(Assumptions!$D$5, 'Baseline Headcount Estimates'!$B$13:$B$180, 'Baseline Headcount Estimates'!$O$13:$O$180, "")*1000), "N/A")</f>
        <v>5.4869404254933238E-2</v>
      </c>
      <c r="K67" s="131">
        <f>IFERROR(K75/(_xlfn.XLOOKUP(Assumptions!$D$5, 'Baseline Headcount Estimates'!$B$13:$B$180, 'Baseline Headcount Estimates'!$O$13:$O$180, "")*1000), "N/A")</f>
        <v>6.359862765912716E-2</v>
      </c>
      <c r="L67" s="133">
        <f>IFERROR(L75/(_xlfn.XLOOKUP(Assumptions!$D$5, 'Baseline Headcount Estimates'!$B$13:$B$180, 'Baseline Headcount Estimates'!$O$13:$O$180, "")*1000), "N/A")</f>
        <v>7.2209086119046334E-2</v>
      </c>
      <c r="M67" s="129">
        <f t="shared" si="71"/>
        <v>7.2209086119046334E-2</v>
      </c>
      <c r="N67" s="132">
        <f>IFERROR(N75/(_xlfn.XLOOKUP(Assumptions!$D$5, 'Baseline Headcount Estimates'!$B$13:$B$180, 'Baseline Headcount Estimates'!$O$13:$O$180, "")*1000), "N/A")</f>
        <v>8.0700779634690772E-2</v>
      </c>
      <c r="O67" s="131">
        <f>IFERROR(O75/(_xlfn.XLOOKUP(Assumptions!$D$5, 'Baseline Headcount Estimates'!$B$13:$B$180, 'Baseline Headcount Estimates'!$O$13:$O$180, "")*1000), "N/A")</f>
        <v>8.9073708206060448E-2</v>
      </c>
      <c r="P67" s="131">
        <f>IFERROR(P75/(_xlfn.XLOOKUP(Assumptions!$D$5, 'Baseline Headcount Estimates'!$B$13:$B$180, 'Baseline Headcount Estimates'!$O$13:$O$180, "")*1000), "N/A")</f>
        <v>9.7327871833155388E-2</v>
      </c>
      <c r="Q67" s="133">
        <f>IFERROR(Q75/(_xlfn.XLOOKUP(Assumptions!$D$5, 'Baseline Headcount Estimates'!$B$13:$B$180, 'Baseline Headcount Estimates'!$O$13:$O$180, "")*1000), "N/A")</f>
        <v>0.10546327051597557</v>
      </c>
      <c r="R67" s="129">
        <f t="shared" si="72"/>
        <v>0.10546327051597557</v>
      </c>
      <c r="S67" s="132">
        <f>IFERROR(S75/(_xlfn.XLOOKUP(Assumptions!$D$5, 'Baseline Headcount Estimates'!$B$13:$B$180, 'Baseline Headcount Estimates'!$O$13:$O$180, "")*1000), "N/A")</f>
        <v>0.11347990425452101</v>
      </c>
      <c r="T67" s="131">
        <f>IFERROR(T75/(_xlfn.XLOOKUP(Assumptions!$D$5, 'Baseline Headcount Estimates'!$B$13:$B$180, 'Baseline Headcount Estimates'!$O$13:$O$180, "")*1000), "N/A")</f>
        <v>0.1213777730487917</v>
      </c>
      <c r="U67" s="131">
        <f>IFERROR(U75/(_xlfn.XLOOKUP(Assumptions!$D$5, 'Baseline Headcount Estimates'!$B$13:$B$180, 'Baseline Headcount Estimates'!$O$13:$O$180, "")*1000), "N/A")</f>
        <v>0.12915687689878766</v>
      </c>
      <c r="V67" s="133">
        <f>IFERROR(V75/(_xlfn.XLOOKUP(Assumptions!$D$5, 'Baseline Headcount Estimates'!$B$13:$B$180, 'Baseline Headcount Estimates'!$O$13:$O$180, "")*1000), "N/A")</f>
        <v>0.13681721580450884</v>
      </c>
      <c r="W67" s="129">
        <f t="shared" si="73"/>
        <v>0.13681721580450884</v>
      </c>
      <c r="X67" s="132">
        <f>IFERROR(X75/(_xlfn.XLOOKUP(Assumptions!$D$5, 'Baseline Headcount Estimates'!$B$13:$B$180, 'Baseline Headcount Estimates'!$O$13:$O$180, "")*1000), "N/A")</f>
        <v>0.14435878976595529</v>
      </c>
      <c r="Y67" s="131">
        <f>IFERROR(Y75/(_xlfn.XLOOKUP(Assumptions!$D$5, 'Baseline Headcount Estimates'!$B$13:$B$180, 'Baseline Headcount Estimates'!$O$13:$O$180, "")*1000), "N/A")</f>
        <v>0.151781598783127</v>
      </c>
      <c r="Z67" s="131">
        <f>IFERROR(Z75/(_xlfn.XLOOKUP(Assumptions!$D$5, 'Baseline Headcount Estimates'!$B$13:$B$180, 'Baseline Headcount Estimates'!$O$13:$O$180, "")*1000), "N/A")</f>
        <v>0.15908564285602397</v>
      </c>
      <c r="AA67" s="133">
        <f>IFERROR(AA75/(_xlfn.XLOOKUP(Assumptions!$D$5, 'Baseline Headcount Estimates'!$B$13:$B$180, 'Baseline Headcount Estimates'!$O$13:$O$180, "")*1000), "N/A")</f>
        <v>0.16627092198464616</v>
      </c>
      <c r="AB67" s="181">
        <f>AA67</f>
        <v>0.16627092198464616</v>
      </c>
      <c r="AC67" s="132">
        <f>IFERROR(AC75/(_xlfn.XLOOKUP(Assumptions!$D$5, 'Baseline Headcount Estimates'!$B$13:$B$180, 'Baseline Headcount Estimates'!$O$13:$O$180, "")*1000), "N/A")</f>
        <v>0.1650832725418987</v>
      </c>
      <c r="AD67" s="131">
        <f>IFERROR(AD75/(_xlfn.XLOOKUP(Assumptions!$D$5, 'Baseline Headcount Estimates'!$B$13:$B$180, 'Baseline Headcount Estimates'!$O$13:$O$180, "")*1000), "N/A")</f>
        <v>0.16389562309915123</v>
      </c>
      <c r="AE67" s="131">
        <f>IFERROR(AE75/(_xlfn.XLOOKUP(Assumptions!$D$5, 'Baseline Headcount Estimates'!$B$13:$B$180, 'Baseline Headcount Estimates'!$O$13:$O$180, "")*1000), "N/A")</f>
        <v>0.16270797365640374</v>
      </c>
      <c r="AF67" s="133">
        <f>IFERROR(AF75/(_xlfn.XLOOKUP(Assumptions!$D$5, 'Baseline Headcount Estimates'!$B$13:$B$180, 'Baseline Headcount Estimates'!$O$13:$O$180, "")*1000), "N/A")</f>
        <v>0.16152032421365628</v>
      </c>
      <c r="AG67" s="181">
        <f>AF67</f>
        <v>0.16152032421365628</v>
      </c>
      <c r="AH67" s="132">
        <f>IFERROR(AH75/(_xlfn.XLOOKUP(Assumptions!$D$5, 'Baseline Headcount Estimates'!$B$13:$B$180, 'Baseline Headcount Estimates'!$O$13:$O$180, "")*1000), "N/A")</f>
        <v>0.16033267477090882</v>
      </c>
      <c r="AI67" s="131">
        <f>IFERROR(AI75/(_xlfn.XLOOKUP(Assumptions!$D$5, 'Baseline Headcount Estimates'!$B$13:$B$180, 'Baseline Headcount Estimates'!$O$13:$O$180, "")*1000), "N/A")</f>
        <v>0.15914502532816133</v>
      </c>
      <c r="AJ67" s="131">
        <f>IFERROR(AJ75/(_xlfn.XLOOKUP(Assumptions!$D$5, 'Baseline Headcount Estimates'!$B$13:$B$180, 'Baseline Headcount Estimates'!$O$13:$O$180, "")*1000), "N/A")</f>
        <v>0.15795737588541386</v>
      </c>
      <c r="AK67" s="133">
        <f>IFERROR(AK75/(_xlfn.XLOOKUP(Assumptions!$D$5, 'Baseline Headcount Estimates'!$B$13:$B$180, 'Baseline Headcount Estimates'!$O$13:$O$180, "")*1000), "N/A")</f>
        <v>0.1567697264426664</v>
      </c>
      <c r="AL67" s="129">
        <f>AK67</f>
        <v>0.1567697264426664</v>
      </c>
    </row>
    <row r="68" spans="1:38" ht="15.95">
      <c r="A68" s="55"/>
      <c r="C68" s="189" t="s">
        <v>304</v>
      </c>
      <c r="D68" s="68">
        <f>Assumptions!$G$12*(1/(Assumptions!$G$16*4))</f>
        <v>10</v>
      </c>
      <c r="E68" s="69">
        <f>D68+Assumptions!$G$12*(1/(Assumptions!$G$16*4))</f>
        <v>20</v>
      </c>
      <c r="F68" s="69">
        <f>E68+Assumptions!$G$12*(1/(Assumptions!$G$16*4))</f>
        <v>30</v>
      </c>
      <c r="G68" s="92">
        <f>F68+Assumptions!$G$12*(1/(Assumptions!$G$16*4))</f>
        <v>40</v>
      </c>
      <c r="H68" s="91">
        <f t="shared" si="70"/>
        <v>40</v>
      </c>
      <c r="I68" s="68">
        <f>IF($H$68&lt;Assumptions!$G$12,(H68+Assumptions!$G$12*(1/(Assumptions!$G$16*4))),$H$68)</f>
        <v>50</v>
      </c>
      <c r="J68" s="69">
        <f>IF($H$68&lt;Assumptions!$G$12,(I68+Assumptions!$G$12*(1/(Assumptions!$G$16*4))),$H$68)</f>
        <v>60</v>
      </c>
      <c r="K68" s="69">
        <f>IF($H$68&lt;Assumptions!$G$12,(J68+Assumptions!$G$12*(1/(Assumptions!$G$16*4))),$H$68)</f>
        <v>70</v>
      </c>
      <c r="L68" s="92">
        <f>IF($H$68&lt;Assumptions!$G$12,(K68+Assumptions!$G$12*(1/(Assumptions!$G$16*4))),$H$68)</f>
        <v>80</v>
      </c>
      <c r="M68" s="57">
        <f t="shared" si="71"/>
        <v>80</v>
      </c>
      <c r="N68" s="68">
        <f>IF($M$68&lt;Assumptions!$G$12,(M68+Assumptions!$G$12*(1/(Assumptions!$G$16*4))),$M$68)</f>
        <v>90</v>
      </c>
      <c r="O68" s="69">
        <f>IF($M$68&lt;Assumptions!$G$12,(N68+Assumptions!$G$12*(1/(Assumptions!$G$16*4))),$M$68)</f>
        <v>100</v>
      </c>
      <c r="P68" s="69">
        <f>IF($M$68&lt;Assumptions!$G$12,(O68+Assumptions!$G$12*(1/(Assumptions!$G$16*4))),$M$68)</f>
        <v>110</v>
      </c>
      <c r="Q68" s="92">
        <f>IF($M$68&lt;Assumptions!$G$12,(P68+Assumptions!$G$12*(1/(Assumptions!$G$16*4))),$M$68)</f>
        <v>120</v>
      </c>
      <c r="R68" s="57">
        <f t="shared" si="72"/>
        <v>120</v>
      </c>
      <c r="S68" s="68">
        <f>IF($R$68&lt;Assumptions!$G$12,(R68+Assumptions!$G$12*(1/(Assumptions!$G$16*4))),$R$68)</f>
        <v>130</v>
      </c>
      <c r="T68" s="69">
        <f>IF($R$68&lt;Assumptions!$G$12,(S68+Assumptions!$G$12*(1/(Assumptions!$G$16*4))),$R$68)</f>
        <v>140</v>
      </c>
      <c r="U68" s="69">
        <f>IF($R$68&lt;Assumptions!$G$12,(T68+Assumptions!$G$12*(1/(Assumptions!$G$16*4))),$R$68)</f>
        <v>150</v>
      </c>
      <c r="V68" s="92">
        <f>IF($R$68&lt;Assumptions!$G$12,(U68+Assumptions!$G$12*(1/(Assumptions!$G$16*4))),$R$68)</f>
        <v>160</v>
      </c>
      <c r="W68" s="57">
        <f t="shared" si="73"/>
        <v>160</v>
      </c>
      <c r="X68" s="68">
        <f>IF($W$68&lt;Assumptions!$G$12,(W68+Assumptions!$G$12*(1/(Assumptions!$G$16*4))),$W$68)</f>
        <v>170</v>
      </c>
      <c r="Y68" s="69">
        <f>IF($W$68&lt;Assumptions!$G$12,(X68+Assumptions!$G$12*(1/(Assumptions!$G$16*4))),$W$68)</f>
        <v>180</v>
      </c>
      <c r="Z68" s="69">
        <f>IF($W$68&lt;Assumptions!$G$12,(Y68+Assumptions!$G$12*(1/(Assumptions!$G$16*4))),$W$68)</f>
        <v>190</v>
      </c>
      <c r="AA68" s="92">
        <f>IF($W$68&lt;Assumptions!$G$12,(Z68+Assumptions!$G$12*(1/(Assumptions!$G$16*4))),$W$68)</f>
        <v>200</v>
      </c>
      <c r="AB68" s="57">
        <f t="shared" ref="AB68:AL71" si="74">AA68</f>
        <v>200</v>
      </c>
      <c r="AC68" s="68">
        <f>IF($AB$68&lt;Assumptions!$G$12,(AB68+Assumptions!$G$12*(1/(Assumptions!$G$16*4))),$AB$68)</f>
        <v>200</v>
      </c>
      <c r="AD68" s="69">
        <f>IF($AB$68&lt;Assumptions!$G$12,(AC68+Assumptions!$G$12*(1/(Assumptions!$G$16*4))),$AB$68)</f>
        <v>200</v>
      </c>
      <c r="AE68" s="69">
        <f>IF($AB$68&lt;Assumptions!$G$12,(AD68+Assumptions!$G$12*(1/(Assumptions!$G$16*4))),$AB$68)</f>
        <v>200</v>
      </c>
      <c r="AF68" s="92">
        <f>IF($AB$68&lt;Assumptions!$G$12,(AE68+Assumptions!$G$12*(1/(Assumptions!$G$16*4))),$AB$68)</f>
        <v>200</v>
      </c>
      <c r="AG68" s="57">
        <f t="shared" si="74"/>
        <v>200</v>
      </c>
      <c r="AH68" s="68">
        <f>IF($AB$68&lt;Assumptions!$G$12,(AG68+Assumptions!$G$12*(1/(Assumptions!$G$16*4))),$AB$68)</f>
        <v>200</v>
      </c>
      <c r="AI68" s="69">
        <f>IF($AB$68&lt;Assumptions!$G$12,(AH68+Assumptions!$G$12*(1/(Assumptions!$G$16*4))),$AB$68)</f>
        <v>200</v>
      </c>
      <c r="AJ68" s="69">
        <f>IF($AB$68&lt;Assumptions!$G$12,(AI68+Assumptions!$G$12*(1/(Assumptions!$G$16*4))),$AB$68)</f>
        <v>200</v>
      </c>
      <c r="AK68" s="92">
        <f>IF($AB$68&lt;Assumptions!$G$12,(AJ68+Assumptions!$G$12*(1/(Assumptions!$G$16*4))),$AB$68)</f>
        <v>200</v>
      </c>
      <c r="AL68" s="91">
        <f t="shared" si="74"/>
        <v>200</v>
      </c>
    </row>
    <row r="69" spans="1:38" ht="15.95">
      <c r="A69" s="55"/>
      <c r="C69" s="189" t="s">
        <v>305</v>
      </c>
      <c r="D69" s="68">
        <f>Assumptions!$G$13*(1/(Assumptions!$G$16*4))</f>
        <v>50</v>
      </c>
      <c r="E69" s="69">
        <f>D69+Assumptions!$G$13*(1/(Assumptions!$G$16*4))</f>
        <v>100</v>
      </c>
      <c r="F69" s="69">
        <f>E69+Assumptions!$G$13*(1/(Assumptions!$G$16*4))</f>
        <v>150</v>
      </c>
      <c r="G69" s="92">
        <f>F69+Assumptions!$G$13*(1/(Assumptions!$G$16*4))</f>
        <v>200</v>
      </c>
      <c r="H69" s="91">
        <f t="shared" si="70"/>
        <v>200</v>
      </c>
      <c r="I69" s="68">
        <f>IF($H$69&lt;Assumptions!$G$13,(H69+Assumptions!$G$13*(1/(Assumptions!$G$16*4))),$H$69)</f>
        <v>250</v>
      </c>
      <c r="J69" s="69">
        <f>IF($H$69&lt;Assumptions!$G$13,(I69+Assumptions!$G$13*(1/(Assumptions!$G$16*4))),$H$69)</f>
        <v>300</v>
      </c>
      <c r="K69" s="69">
        <f>IF($H$69&lt;Assumptions!$G$13,(J69+Assumptions!$G$13*(1/(Assumptions!$G$16*4))),$H$69)</f>
        <v>350</v>
      </c>
      <c r="L69" s="92">
        <f>IF($H$69&lt;Assumptions!$G$13,(K69+Assumptions!$G$13*(1/(Assumptions!$G$16*4))),$H$69)</f>
        <v>400</v>
      </c>
      <c r="M69" s="57">
        <f t="shared" si="71"/>
        <v>400</v>
      </c>
      <c r="N69" s="68">
        <f>IF($M$69&lt;Assumptions!$G$13,(M69+Assumptions!$G$13*(1/(Assumptions!$G$16*4))),$M$69)</f>
        <v>450</v>
      </c>
      <c r="O69" s="69">
        <f>IF($M$69&lt;Assumptions!$G$13,(N69+Assumptions!$G$13*(1/(Assumptions!$G$16*4))),$M$69)</f>
        <v>500</v>
      </c>
      <c r="P69" s="69">
        <f>IF($M$69&lt;Assumptions!$G$13,(O69+Assumptions!$G$13*(1/(Assumptions!$G$16*4))),$M$69)</f>
        <v>550</v>
      </c>
      <c r="Q69" s="92">
        <f>IF($M$69&lt;Assumptions!$G$13,(P69+Assumptions!$G$13*(1/(Assumptions!$G$16*4))),$M$69)</f>
        <v>600</v>
      </c>
      <c r="R69" s="57">
        <f t="shared" si="72"/>
        <v>600</v>
      </c>
      <c r="S69" s="68">
        <f>IF($R$69&lt;Assumptions!$G$13,(R69+Assumptions!$G$13*(1/(Assumptions!$G$16*4))),$R$69)</f>
        <v>650</v>
      </c>
      <c r="T69" s="69">
        <f>IF($R$69&lt;Assumptions!$G$13,(S69+Assumptions!$G$13*(1/(Assumptions!$G$16*4))),$R$69)</f>
        <v>700</v>
      </c>
      <c r="U69" s="69">
        <f>IF($R$69&lt;Assumptions!$G$13,(T69+Assumptions!$G$13*(1/(Assumptions!$G$16*4))),$R$69)</f>
        <v>750</v>
      </c>
      <c r="V69" s="92">
        <f>IF($R$69&lt;Assumptions!$G$13,(U69+Assumptions!$G$13*(1/(Assumptions!$G$16*4))),$R$69)</f>
        <v>800</v>
      </c>
      <c r="W69" s="57">
        <f t="shared" si="73"/>
        <v>800</v>
      </c>
      <c r="X69" s="68">
        <f>IF($W$69&lt;Assumptions!$G$13,(W69+Assumptions!$G$13*(1/(Assumptions!$G$16*4))),$W$69)</f>
        <v>850</v>
      </c>
      <c r="Y69" s="69">
        <f>IF($W$69&lt;Assumptions!$G$13,(X69+Assumptions!$G$13*(1/(Assumptions!$G$16*4))),$W$69)</f>
        <v>900</v>
      </c>
      <c r="Z69" s="69">
        <f>IF($W$69&lt;Assumptions!$G$13,(Y69+Assumptions!$G$13*(1/(Assumptions!$G$16*4))),$W$69)</f>
        <v>950</v>
      </c>
      <c r="AA69" s="92">
        <f>IF($W$69&lt;Assumptions!$G$13,(Z69+Assumptions!$G$13*(1/(Assumptions!$G$16*4))),$W$69)</f>
        <v>1000</v>
      </c>
      <c r="AB69" s="57">
        <f t="shared" si="74"/>
        <v>1000</v>
      </c>
      <c r="AC69" s="68">
        <f>IF($AB$69&lt;Assumptions!$G$13,(AB69+Assumptions!$G$13*(1/(Assumptions!$G$16*4))),$AB$69)</f>
        <v>1000</v>
      </c>
      <c r="AD69" s="69">
        <f>IF($AB$69&lt;Assumptions!$G$13,(AC69+Assumptions!$G$13*(1/(Assumptions!$G$16*4))),$AB$69)</f>
        <v>1000</v>
      </c>
      <c r="AE69" s="69">
        <f>IF($AB$69&lt;Assumptions!$G$13,(AD69+Assumptions!$G$13*(1/(Assumptions!$G$16*4))),$AB$69)</f>
        <v>1000</v>
      </c>
      <c r="AF69" s="92">
        <f>IF($AB$69&lt;Assumptions!$G$13,(AE69+Assumptions!$G$13*(1/(Assumptions!$G$16*4))),$AB$69)</f>
        <v>1000</v>
      </c>
      <c r="AG69" s="57">
        <f t="shared" si="74"/>
        <v>1000</v>
      </c>
      <c r="AH69" s="68">
        <f>IF($AB$69&lt;Assumptions!$G$13,(AG69+Assumptions!$G$13*(1/(Assumptions!$G$16*4))),$AB$69)</f>
        <v>1000</v>
      </c>
      <c r="AI69" s="69">
        <f>IF($AB$69&lt;Assumptions!$G$13,(AH69+Assumptions!$G$13*(1/(Assumptions!$G$16*4))),$AB$69)</f>
        <v>1000</v>
      </c>
      <c r="AJ69" s="69">
        <f>IF($AB$69&lt;Assumptions!$G$13,(AI69+Assumptions!$G$13*(1/(Assumptions!$G$16*4))),$AB$69)</f>
        <v>1000</v>
      </c>
      <c r="AK69" s="92">
        <f>IF($AB$69&lt;Assumptions!$G$13,(AJ69+Assumptions!$G$13*(1/(Assumptions!$G$16*4))),$AB$69)</f>
        <v>1000</v>
      </c>
      <c r="AL69" s="91">
        <f t="shared" si="74"/>
        <v>1000</v>
      </c>
    </row>
    <row r="70" spans="1:38" ht="15.95">
      <c r="A70" s="55"/>
      <c r="C70" s="189" t="s">
        <v>306</v>
      </c>
      <c r="D70" s="68">
        <f>Assumptions!$G$14*(1/(Assumptions!$G$16*4))</f>
        <v>250</v>
      </c>
      <c r="E70" s="69">
        <f>D70+Assumptions!$G$14*(1/(Assumptions!$G$16*4))</f>
        <v>500</v>
      </c>
      <c r="F70" s="69">
        <f>E70+Assumptions!$G$14*(1/(Assumptions!$G$16*4))</f>
        <v>750</v>
      </c>
      <c r="G70" s="92">
        <f>F70+Assumptions!$G$14*(1/(Assumptions!$G$16*4))</f>
        <v>1000</v>
      </c>
      <c r="H70" s="91">
        <f t="shared" si="70"/>
        <v>1000</v>
      </c>
      <c r="I70" s="68">
        <f>IF($H$70&lt;Assumptions!$G$14,(H70+Assumptions!$G$14*(1/(Assumptions!$G$16*4))),$H$70)</f>
        <v>1250</v>
      </c>
      <c r="J70" s="69">
        <f>IF($H$70&lt;Assumptions!$G$14,(I70+Assumptions!$G$14*(1/(Assumptions!$G$16*4))),$H$70)</f>
        <v>1500</v>
      </c>
      <c r="K70" s="69">
        <f>IF($H$70&lt;Assumptions!$G$14,(J70+Assumptions!$G$14*(1/(Assumptions!$G$16*4))),$H$70)</f>
        <v>1750</v>
      </c>
      <c r="L70" s="92">
        <f>IF($H$70&lt;Assumptions!$G$14,(K70+Assumptions!$G$14*(1/(Assumptions!$G$16*4))),$H$70)</f>
        <v>2000</v>
      </c>
      <c r="M70" s="57">
        <f t="shared" si="71"/>
        <v>2000</v>
      </c>
      <c r="N70" s="68">
        <f>IF($M$70&lt;Assumptions!$G$14,(M70+Assumptions!$G$14*(1/(Assumptions!$G$16*4))),$M$70)</f>
        <v>2250</v>
      </c>
      <c r="O70" s="69">
        <f>IF($M$70&lt;Assumptions!$G$14,(N70+Assumptions!$G$14*(1/(Assumptions!$G$16*4))),$M$70)</f>
        <v>2500</v>
      </c>
      <c r="P70" s="69">
        <f>IF($M$70&lt;Assumptions!$G$14,(O70+Assumptions!$G$14*(1/(Assumptions!$G$16*4))),$M$70)</f>
        <v>2750</v>
      </c>
      <c r="Q70" s="92">
        <f>IF($M$70&lt;Assumptions!$G$14,(P70+Assumptions!$G$14*(1/(Assumptions!$G$16*4))),$M$70)</f>
        <v>3000</v>
      </c>
      <c r="R70" s="57">
        <f t="shared" si="72"/>
        <v>3000</v>
      </c>
      <c r="S70" s="68">
        <f>IF($R$70&lt;Assumptions!$G$14,(R70+Assumptions!$G$14*(1/(Assumptions!$G$16*4))),$R$70)</f>
        <v>3250</v>
      </c>
      <c r="T70" s="69">
        <f>IF($R$70&lt;Assumptions!$G$14,(S70+Assumptions!$G$14*(1/(Assumptions!$G$16*4))),$R$70)</f>
        <v>3500</v>
      </c>
      <c r="U70" s="69">
        <f>IF($R$70&lt;Assumptions!$G$14,(T70+Assumptions!$G$14*(1/(Assumptions!$G$16*4))),$R$70)</f>
        <v>3750</v>
      </c>
      <c r="V70" s="92">
        <f>IF($R$70&lt;Assumptions!$G$14,(U70+Assumptions!$G$14*(1/(Assumptions!$G$16*4))),$R$70)</f>
        <v>4000</v>
      </c>
      <c r="W70" s="57">
        <f t="shared" si="73"/>
        <v>4000</v>
      </c>
      <c r="X70" s="68">
        <f>IF($W$70&lt;Assumptions!$G$14,(W70+Assumptions!$G$14*(1/(Assumptions!$G$16*4))),$W$70)</f>
        <v>4250</v>
      </c>
      <c r="Y70" s="69">
        <f>IF($W$70&lt;Assumptions!$G$14,(X70+Assumptions!$G$14*(1/(Assumptions!$G$16*4))),$W$70)</f>
        <v>4500</v>
      </c>
      <c r="Z70" s="69">
        <f>IF($W$70&lt;Assumptions!$G$14,(Y70+Assumptions!$G$14*(1/(Assumptions!$G$16*4))),$W$70)</f>
        <v>4750</v>
      </c>
      <c r="AA70" s="92">
        <f>IF($W$70&lt;Assumptions!$G$14,(Z70+Assumptions!$G$14*(1/(Assumptions!$G$16*4))),$W$70)</f>
        <v>5000</v>
      </c>
      <c r="AB70" s="57">
        <f t="shared" si="74"/>
        <v>5000</v>
      </c>
      <c r="AC70" s="68">
        <f>IF($AB$70&lt;Assumptions!$G$14,(AB70+Assumptions!$G$14*(1/(Assumptions!$G$16*4))),$AB$70)</f>
        <v>5000</v>
      </c>
      <c r="AD70" s="69">
        <f>IF($AB$70&lt;Assumptions!$G$14,(AC70+Assumptions!$G$14*(1/(Assumptions!$G$16*4))),$AB$70)</f>
        <v>5000</v>
      </c>
      <c r="AE70" s="69">
        <f>IF($AB$70&lt;Assumptions!$G$14,(AD70+Assumptions!$G$14*(1/(Assumptions!$G$16*4))),$AB$70)</f>
        <v>5000</v>
      </c>
      <c r="AF70" s="92">
        <f>IF($AB$70&lt;Assumptions!$G$14,(AE70+Assumptions!$G$14*(1/(Assumptions!$G$16*4))),$AB$70)</f>
        <v>5000</v>
      </c>
      <c r="AG70" s="57">
        <f t="shared" si="74"/>
        <v>5000</v>
      </c>
      <c r="AH70" s="68">
        <f>IF($AB$70&lt;Assumptions!$G$14,(AG70+Assumptions!$G$14*(1/(Assumptions!$G$16*4))),$AB$70)</f>
        <v>5000</v>
      </c>
      <c r="AI70" s="69">
        <f>IF($AB$70&lt;Assumptions!$G$14,(AH70+Assumptions!$G$14*(1/(Assumptions!$G$16*4))),$AB$70)</f>
        <v>5000</v>
      </c>
      <c r="AJ70" s="69">
        <f>IF($AB$70&lt;Assumptions!$G$14,(AI70+Assumptions!$G$14*(1/(Assumptions!$G$16*4))),$AB$70)</f>
        <v>5000</v>
      </c>
      <c r="AK70" s="92">
        <f>IF($AB$70&lt;Assumptions!$G$14,(AJ70+Assumptions!$G$14*(1/(Assumptions!$G$16*4))),$AB$70)</f>
        <v>5000</v>
      </c>
      <c r="AL70" s="91">
        <f t="shared" si="74"/>
        <v>5000</v>
      </c>
    </row>
    <row r="71" spans="1:38" ht="15.95">
      <c r="A71" s="55"/>
      <c r="C71" s="189" t="s">
        <v>307</v>
      </c>
      <c r="D71" s="68">
        <f>Assumptions!$G$15*(1/(Assumptions!$G$16*4))</f>
        <v>2000</v>
      </c>
      <c r="E71" s="69">
        <f>D71+Assumptions!$G$15*(1/(Assumptions!$G$16*4))</f>
        <v>4000</v>
      </c>
      <c r="F71" s="69">
        <f>E71+Assumptions!$G$15*(1/(Assumptions!$G$16*4))</f>
        <v>6000</v>
      </c>
      <c r="G71" s="92">
        <f>F71+Assumptions!$G$15*(1/(Assumptions!$G$16*4))</f>
        <v>8000</v>
      </c>
      <c r="H71" s="91">
        <f t="shared" si="70"/>
        <v>8000</v>
      </c>
      <c r="I71" s="68">
        <f>IF($H$71&lt;Assumptions!$G$15,(H71+Assumptions!$G$15*(1/(Assumptions!$G$16*4))),$H$71)</f>
        <v>10000</v>
      </c>
      <c r="J71" s="69">
        <f>IF($H$71&lt;Assumptions!$G$15,(I71+Assumptions!$G$15*(1/(Assumptions!$G$16*4))),$H$71)</f>
        <v>12000</v>
      </c>
      <c r="K71" s="69">
        <f>IF($H$71&lt;Assumptions!$G$15,(J71+Assumptions!$G$15*(1/(Assumptions!$G$16*4))),$H$71)</f>
        <v>14000</v>
      </c>
      <c r="L71" s="92">
        <f>IF($H$71&lt;Assumptions!$G$15,(K71+Assumptions!$G$15*(1/(Assumptions!$G$16*4))),$H$71)</f>
        <v>16000</v>
      </c>
      <c r="M71" s="57">
        <f t="shared" si="71"/>
        <v>16000</v>
      </c>
      <c r="N71" s="68">
        <f>IF($M$71&lt;Assumptions!$G$15,(M71+Assumptions!$G$15*(1/(Assumptions!$G$16*4))),$M$71)</f>
        <v>18000</v>
      </c>
      <c r="O71" s="69">
        <f>IF($M$71&lt;Assumptions!$G$15,(N71+Assumptions!$G$15*(1/(Assumptions!$G$16*4))),$M$71)</f>
        <v>20000</v>
      </c>
      <c r="P71" s="69">
        <f>IF($M$71&lt;Assumptions!$G$15,(O71+Assumptions!$G$15*(1/(Assumptions!$G$16*4))),$M$71)</f>
        <v>22000</v>
      </c>
      <c r="Q71" s="92">
        <f>IF($M$71&lt;Assumptions!$G$15,(P71+Assumptions!$G$15*(1/(Assumptions!$G$16*4))),$M$71)</f>
        <v>24000</v>
      </c>
      <c r="R71" s="57">
        <f t="shared" si="72"/>
        <v>24000</v>
      </c>
      <c r="S71" s="68">
        <f>IF($R$71&lt;Assumptions!$G$15,(R71+Assumptions!$G$15*(1/(Assumptions!$G$16*4))),$R$71)</f>
        <v>26000</v>
      </c>
      <c r="T71" s="69">
        <f>IF($R$71&lt;Assumptions!$G$15,(S71+Assumptions!$G$15*(1/(Assumptions!$G$16*4))),$R$71)</f>
        <v>28000</v>
      </c>
      <c r="U71" s="69">
        <f>IF($R$71&lt;Assumptions!$G$15,(T71+Assumptions!$G$15*(1/(Assumptions!$G$16*4))),$R$71)</f>
        <v>30000</v>
      </c>
      <c r="V71" s="92">
        <f>IF($R$71&lt;Assumptions!$G$15,(U71+Assumptions!$G$15*(1/(Assumptions!$G$16*4))),$R$71)</f>
        <v>32000</v>
      </c>
      <c r="W71" s="57">
        <f t="shared" si="73"/>
        <v>32000</v>
      </c>
      <c r="X71" s="68">
        <f>IF($W$71&lt;Assumptions!$G$15,(W71+Assumptions!$G$15*(1/(Assumptions!$G$16*4))),$W$71)</f>
        <v>34000</v>
      </c>
      <c r="Y71" s="69">
        <f>IF($W$71&lt;Assumptions!$G$15,(X71+Assumptions!$G$15*(1/(Assumptions!$G$16*4))),$W$71)</f>
        <v>36000</v>
      </c>
      <c r="Z71" s="69">
        <f>IF($W$71&lt;Assumptions!$G$15,(Y71+Assumptions!$G$15*(1/(Assumptions!$G$16*4))),$W$71)</f>
        <v>38000</v>
      </c>
      <c r="AA71" s="92">
        <f>IF($W$71&lt;Assumptions!$G$15,(Z71+Assumptions!$G$15*(1/(Assumptions!$G$16*4))),$W$71)</f>
        <v>40000</v>
      </c>
      <c r="AB71" s="57">
        <f t="shared" si="74"/>
        <v>40000</v>
      </c>
      <c r="AC71" s="68">
        <f>IF($AB$71&lt;Assumptions!$G$15,(AB71+Assumptions!$G$15*(1/(Assumptions!$G$16*4))),$AB$71)</f>
        <v>40000</v>
      </c>
      <c r="AD71" s="69">
        <f>IF($AB$71&lt;Assumptions!$G$15,(AC71+Assumptions!$G$15*(1/(Assumptions!$G$16*4))),$AB$71)</f>
        <v>40000</v>
      </c>
      <c r="AE71" s="69">
        <f>IF($AB$71&lt;Assumptions!$G$15,(AD71+Assumptions!$G$15*(1/(Assumptions!$G$16*4))),$AB$71)</f>
        <v>40000</v>
      </c>
      <c r="AF71" s="92">
        <f>IF($AB$71&lt;Assumptions!$G$15,(AE71+Assumptions!$G$15*(1/(Assumptions!$G$16*4))),$AB$71)</f>
        <v>40000</v>
      </c>
      <c r="AG71" s="57">
        <f t="shared" si="74"/>
        <v>40000</v>
      </c>
      <c r="AH71" s="68">
        <f>IF($AB$71&lt;Assumptions!$G$15,(AG71+Assumptions!$G$15*(1/(Assumptions!$G$16*4))),$AB$71)</f>
        <v>40000</v>
      </c>
      <c r="AI71" s="69">
        <f>IF($AB$71&lt;Assumptions!$G$15,(AH71+Assumptions!$G$15*(1/(Assumptions!$G$16*4))),$AB$71)</f>
        <v>40000</v>
      </c>
      <c r="AJ71" s="69">
        <f>IF($AB$71&lt;Assumptions!$G$15,(AI71+Assumptions!$G$15*(1/(Assumptions!$G$16*4))),$AB$71)</f>
        <v>40000</v>
      </c>
      <c r="AK71" s="92">
        <f>IF($AB$71&lt;Assumptions!$G$15,(AJ71+Assumptions!$G$15*(1/(Assumptions!$G$16*4))),$AB$71)</f>
        <v>40000</v>
      </c>
      <c r="AL71" s="91">
        <f t="shared" si="74"/>
        <v>40000</v>
      </c>
    </row>
    <row r="72" spans="1:38" s="56" customFormat="1" ht="15.95">
      <c r="A72" s="55"/>
      <c r="C72" s="189" t="s">
        <v>308</v>
      </c>
      <c r="D72" s="68">
        <f>D68*(1-(Assumptions!$G$85/4))</f>
        <v>9.9375</v>
      </c>
      <c r="E72" s="69">
        <f>E68*(1-2*(Assumptions!$G$85/4))</f>
        <v>19.75</v>
      </c>
      <c r="F72" s="69">
        <f>F68*(1-3*(Assumptions!$G$85/4))</f>
        <v>29.4375</v>
      </c>
      <c r="G72" s="92">
        <f>G68*(1-4*(Assumptions!$G$85/4))</f>
        <v>39</v>
      </c>
      <c r="H72" s="91">
        <f t="shared" si="70"/>
        <v>39</v>
      </c>
      <c r="I72" s="68">
        <f>I68*(1-5*(Assumptions!$G$85/4))</f>
        <v>48.4375</v>
      </c>
      <c r="J72" s="69">
        <f>J68*(1-6*(Assumptions!$G$85/4))</f>
        <v>57.75</v>
      </c>
      <c r="K72" s="69">
        <f>K68*(1-7*(Assumptions!$G$85/4))</f>
        <v>66.9375</v>
      </c>
      <c r="L72" s="92">
        <f>L68*(1-8*(Assumptions!$G$85/4))</f>
        <v>76</v>
      </c>
      <c r="M72" s="57">
        <f t="shared" si="71"/>
        <v>76</v>
      </c>
      <c r="N72" s="68">
        <f>N68*(1-9*(Assumptions!$G$85/4))</f>
        <v>84.9375</v>
      </c>
      <c r="O72" s="69">
        <f>O68*(1-10*(Assumptions!$G$85/4))</f>
        <v>93.75</v>
      </c>
      <c r="P72" s="69">
        <f>P68*(1-11*(Assumptions!$G$85/4))</f>
        <v>102.4375</v>
      </c>
      <c r="Q72" s="92">
        <f>Q68*(1-12*(Assumptions!$G$85/4))</f>
        <v>111</v>
      </c>
      <c r="R72" s="57">
        <f t="shared" si="72"/>
        <v>111</v>
      </c>
      <c r="S72" s="68">
        <f>S68*(1-13*(Assumptions!$G$85/4))</f>
        <v>119.4375</v>
      </c>
      <c r="T72" s="69">
        <f>T68*(1-14*(Assumptions!$G$85/4))</f>
        <v>127.75</v>
      </c>
      <c r="U72" s="69">
        <f>U68*(1-15*(Assumptions!$G$85/4))</f>
        <v>135.9375</v>
      </c>
      <c r="V72" s="92">
        <f>V68*(1-16*(Assumptions!$G$85/4))</f>
        <v>144</v>
      </c>
      <c r="W72" s="57">
        <f t="shared" si="73"/>
        <v>144</v>
      </c>
      <c r="X72" s="68">
        <f>X68*(1-17*(Assumptions!$G$85/4))</f>
        <v>151.9375</v>
      </c>
      <c r="Y72" s="69">
        <f>Y68*(1-18*(Assumptions!$G$85/4))</f>
        <v>159.75</v>
      </c>
      <c r="Z72" s="69">
        <f>Z68*(1-19*(Assumptions!$G$85/4))</f>
        <v>167.4375</v>
      </c>
      <c r="AA72" s="92">
        <f>AA68*(1-20*(Assumptions!$G$85/4))</f>
        <v>175</v>
      </c>
      <c r="AB72" s="57">
        <f>AA72</f>
        <v>175</v>
      </c>
      <c r="AC72" s="68">
        <f>AC68*(1-21*(Assumptions!$G$85/4))</f>
        <v>173.75</v>
      </c>
      <c r="AD72" s="69">
        <f>AD68*(1-22*(Assumptions!$G$85/4))</f>
        <v>172.5</v>
      </c>
      <c r="AE72" s="69">
        <f>AE68*(1-23*(Assumptions!$G$85/4))</f>
        <v>171.25</v>
      </c>
      <c r="AF72" s="92">
        <f>AF68*(1-24*(Assumptions!$G$85/4))</f>
        <v>170</v>
      </c>
      <c r="AG72" s="57">
        <f>AF72</f>
        <v>170</v>
      </c>
      <c r="AH72" s="68">
        <f>AH68*(1-25*(Assumptions!$G$85/4))</f>
        <v>168.75</v>
      </c>
      <c r="AI72" s="69">
        <f>AI68*(1-26*(Assumptions!$G$85/4))</f>
        <v>167.5</v>
      </c>
      <c r="AJ72" s="69">
        <f>AJ68*(1-27*(Assumptions!$G$85/4))</f>
        <v>166.25</v>
      </c>
      <c r="AK72" s="92">
        <f>AK68*(1-28*(Assumptions!$G$85/4))</f>
        <v>165</v>
      </c>
      <c r="AL72" s="91">
        <f>AK72</f>
        <v>165</v>
      </c>
    </row>
    <row r="73" spans="1:38" s="56" customFormat="1" ht="15.95">
      <c r="A73" s="55"/>
      <c r="C73" s="189" t="s">
        <v>309</v>
      </c>
      <c r="D73" s="68">
        <f>D69*(1-(Assumptions!$G$85/4))</f>
        <v>49.6875</v>
      </c>
      <c r="E73" s="69">
        <f>E69*(1-2*(Assumptions!$G$85/4))</f>
        <v>98.75</v>
      </c>
      <c r="F73" s="69">
        <f>F69*(1-3*(Assumptions!$G$85/4))</f>
        <v>147.1875</v>
      </c>
      <c r="G73" s="92">
        <f>G69*(1-4*(Assumptions!$G$85/4))</f>
        <v>195</v>
      </c>
      <c r="H73" s="91">
        <f t="shared" si="70"/>
        <v>195</v>
      </c>
      <c r="I73" s="68">
        <f>I69*(1-5*(Assumptions!$G$85/4))</f>
        <v>242.1875</v>
      </c>
      <c r="J73" s="69">
        <f>J69*(1-6*(Assumptions!$G$85/4))</f>
        <v>288.75</v>
      </c>
      <c r="K73" s="69">
        <f>K69*(1-7*(Assumptions!$G$85/4))</f>
        <v>334.6875</v>
      </c>
      <c r="L73" s="92">
        <f>L69*(1-8*(Assumptions!$G$85/4))</f>
        <v>380</v>
      </c>
      <c r="M73" s="57">
        <f t="shared" si="71"/>
        <v>380</v>
      </c>
      <c r="N73" s="68">
        <f>N69*(1-9*(Assumptions!$G$85/4))</f>
        <v>424.6875</v>
      </c>
      <c r="O73" s="69">
        <f>O69*(1-10*(Assumptions!$G$85/4))</f>
        <v>468.75</v>
      </c>
      <c r="P73" s="69">
        <f>P69*(1-11*(Assumptions!$G$85/4))</f>
        <v>512.1875</v>
      </c>
      <c r="Q73" s="92">
        <f>Q69*(1-12*(Assumptions!$G$85/4))</f>
        <v>555</v>
      </c>
      <c r="R73" s="57">
        <f t="shared" si="72"/>
        <v>555</v>
      </c>
      <c r="S73" s="68">
        <f>S69*(1-13*(Assumptions!$G$85/4))</f>
        <v>597.1875</v>
      </c>
      <c r="T73" s="69">
        <f>T69*(1-14*(Assumptions!$G$85/4))</f>
        <v>638.75</v>
      </c>
      <c r="U73" s="69">
        <f>U69*(1-15*(Assumptions!$G$85/4))</f>
        <v>679.6875</v>
      </c>
      <c r="V73" s="92">
        <f>V69*(1-16*(Assumptions!$G$85/4))</f>
        <v>720</v>
      </c>
      <c r="W73" s="57">
        <f t="shared" si="73"/>
        <v>720</v>
      </c>
      <c r="X73" s="68">
        <f>X69*(1-17*(Assumptions!$G$85/4))</f>
        <v>759.6875</v>
      </c>
      <c r="Y73" s="69">
        <f>Y69*(1-18*(Assumptions!$G$85/4))</f>
        <v>798.75</v>
      </c>
      <c r="Z73" s="69">
        <f>Z69*(1-19*(Assumptions!$G$85/4))</f>
        <v>837.1875</v>
      </c>
      <c r="AA73" s="92">
        <f>AA69*(1-20*(Assumptions!$G$85/4))</f>
        <v>875</v>
      </c>
      <c r="AB73" s="57">
        <f t="shared" ref="AB73:AB81" si="75">AA73</f>
        <v>875</v>
      </c>
      <c r="AC73" s="68">
        <f>AC69*(1-21*(Assumptions!$G$85/4))</f>
        <v>868.75</v>
      </c>
      <c r="AD73" s="69">
        <f>AD69*(1-22*(Assumptions!$G$85/4))</f>
        <v>862.5</v>
      </c>
      <c r="AE73" s="69">
        <f>AE69*(1-23*(Assumptions!$G$85/4))</f>
        <v>856.25</v>
      </c>
      <c r="AF73" s="92">
        <f>AF69*(1-24*(Assumptions!$G$85/4))</f>
        <v>850</v>
      </c>
      <c r="AG73" s="57">
        <f t="shared" ref="AG73:AG81" si="76">AF73</f>
        <v>850</v>
      </c>
      <c r="AH73" s="68">
        <f>AH69*(1-25*(Assumptions!$G$85/4))</f>
        <v>843.75</v>
      </c>
      <c r="AI73" s="69">
        <f>AI69*(1-26*(Assumptions!$G$85/4))</f>
        <v>837.5</v>
      </c>
      <c r="AJ73" s="69">
        <f>AJ69*(1-27*(Assumptions!$G$85/4))</f>
        <v>831.25</v>
      </c>
      <c r="AK73" s="92">
        <f>AK69*(1-28*(Assumptions!$G$85/4))</f>
        <v>825</v>
      </c>
      <c r="AL73" s="91">
        <f t="shared" ref="AL73:AL81" si="77">AK73</f>
        <v>825</v>
      </c>
    </row>
    <row r="74" spans="1:38" s="56" customFormat="1" ht="15.95">
      <c r="A74" s="55"/>
      <c r="C74" s="189" t="s">
        <v>310</v>
      </c>
      <c r="D74" s="68">
        <f>D70*(1-(Assumptions!$G$85/4))</f>
        <v>248.4375</v>
      </c>
      <c r="E74" s="69">
        <f>E70*(1-2*(Assumptions!$G$85/4))</f>
        <v>493.75</v>
      </c>
      <c r="F74" s="69">
        <f>F70*(1-3*(Assumptions!$G$85/4))</f>
        <v>735.9375</v>
      </c>
      <c r="G74" s="92">
        <f>G70*(1-4*(Assumptions!$G$85/4))</f>
        <v>975</v>
      </c>
      <c r="H74" s="91">
        <f t="shared" si="70"/>
        <v>975</v>
      </c>
      <c r="I74" s="68">
        <f>I70*(1-5*(Assumptions!$G$85/4))</f>
        <v>1210.9375</v>
      </c>
      <c r="J74" s="69">
        <f>J70*(1-6*(Assumptions!$G$85/4))</f>
        <v>1443.75</v>
      </c>
      <c r="K74" s="69">
        <f>K70*(1-7*(Assumptions!$G$85/4))</f>
        <v>1673.4375</v>
      </c>
      <c r="L74" s="92">
        <f>L70*(1-8*(Assumptions!$G$85/4))</f>
        <v>1900</v>
      </c>
      <c r="M74" s="57">
        <f t="shared" si="71"/>
        <v>1900</v>
      </c>
      <c r="N74" s="68">
        <f>N70*(1-9*(Assumptions!$G$85/4))</f>
        <v>2123.4375</v>
      </c>
      <c r="O74" s="69">
        <f>O70*(1-10*(Assumptions!$G$85/4))</f>
        <v>2343.75</v>
      </c>
      <c r="P74" s="69">
        <f>P70*(1-11*(Assumptions!$G$85/4))</f>
        <v>2560.9375</v>
      </c>
      <c r="Q74" s="92">
        <f>Q70*(1-12*(Assumptions!$G$85/4))</f>
        <v>2775</v>
      </c>
      <c r="R74" s="57">
        <f t="shared" si="72"/>
        <v>2775</v>
      </c>
      <c r="S74" s="68">
        <f>S70*(1-13*(Assumptions!$G$85/4))</f>
        <v>2985.9375</v>
      </c>
      <c r="T74" s="69">
        <f>T70*(1-14*(Assumptions!$G$85/4))</f>
        <v>3193.75</v>
      </c>
      <c r="U74" s="69">
        <f>U70*(1-15*(Assumptions!$G$85/4))</f>
        <v>3398.4375</v>
      </c>
      <c r="V74" s="92">
        <f>V70*(1-16*(Assumptions!$G$85/4))</f>
        <v>3600</v>
      </c>
      <c r="W74" s="57">
        <f t="shared" si="73"/>
        <v>3600</v>
      </c>
      <c r="X74" s="68">
        <f>X70*(1-17*(Assumptions!$G$85/4))</f>
        <v>3798.4375</v>
      </c>
      <c r="Y74" s="69">
        <f>Y70*(1-18*(Assumptions!$G$85/4))</f>
        <v>3993.75</v>
      </c>
      <c r="Z74" s="69">
        <f>Z70*(1-19*(Assumptions!$G$85/4))</f>
        <v>4185.9375</v>
      </c>
      <c r="AA74" s="92">
        <f>AA70*(1-20*(Assumptions!$G$85/4))</f>
        <v>4375</v>
      </c>
      <c r="AB74" s="57">
        <f t="shared" si="75"/>
        <v>4375</v>
      </c>
      <c r="AC74" s="68">
        <f>AC70*(1-21*(Assumptions!$G$85/4))</f>
        <v>4343.75</v>
      </c>
      <c r="AD74" s="69">
        <f>AD70*(1-22*(Assumptions!$G$85/4))</f>
        <v>4312.5</v>
      </c>
      <c r="AE74" s="69">
        <f>AE70*(1-23*(Assumptions!$G$85/4))</f>
        <v>4281.25</v>
      </c>
      <c r="AF74" s="92">
        <f>AF70*(1-24*(Assumptions!$G$85/4))</f>
        <v>4250</v>
      </c>
      <c r="AG74" s="57">
        <f t="shared" si="76"/>
        <v>4250</v>
      </c>
      <c r="AH74" s="68">
        <f>AH70*(1-25*(Assumptions!$G$85/4))</f>
        <v>4218.75</v>
      </c>
      <c r="AI74" s="69">
        <f>AI70*(1-26*(Assumptions!$G$85/4))</f>
        <v>4187.5</v>
      </c>
      <c r="AJ74" s="69">
        <f>AJ70*(1-27*(Assumptions!$G$85/4))</f>
        <v>4156.25</v>
      </c>
      <c r="AK74" s="92">
        <f>AK70*(1-28*(Assumptions!$G$85/4))</f>
        <v>4125</v>
      </c>
      <c r="AL74" s="91">
        <f t="shared" si="77"/>
        <v>4125</v>
      </c>
    </row>
    <row r="75" spans="1:38" s="56" customFormat="1" ht="15.95">
      <c r="A75" s="55"/>
      <c r="C75" s="189" t="s">
        <v>311</v>
      </c>
      <c r="D75" s="68">
        <f>D71*(1-(Assumptions!$G$85/4))</f>
        <v>1987.5</v>
      </c>
      <c r="E75" s="69">
        <f>E71*(1-2*(Assumptions!$G$85/4))</f>
        <v>3950</v>
      </c>
      <c r="F75" s="69">
        <f>F71*(1-3*(Assumptions!$G$85/4))</f>
        <v>5887.5</v>
      </c>
      <c r="G75" s="92">
        <f>G71*(1-4*(Assumptions!$G$85/4))</f>
        <v>7800</v>
      </c>
      <c r="H75" s="91">
        <f t="shared" si="70"/>
        <v>7800</v>
      </c>
      <c r="I75" s="68">
        <f>I71*(1-5*(Assumptions!$G$85/4))</f>
        <v>9687.5</v>
      </c>
      <c r="J75" s="69">
        <f>J71*(1-6*(Assumptions!$G$85/4))</f>
        <v>11550</v>
      </c>
      <c r="K75" s="69">
        <f>K71*(1-7*(Assumptions!$G$85/4))</f>
        <v>13387.5</v>
      </c>
      <c r="L75" s="92">
        <f>L71*(1-8*(Assumptions!$G$85/4))</f>
        <v>15200</v>
      </c>
      <c r="M75" s="57">
        <f t="shared" si="71"/>
        <v>15200</v>
      </c>
      <c r="N75" s="68">
        <f>N71*(1-9*(Assumptions!$G$85/4))</f>
        <v>16987.5</v>
      </c>
      <c r="O75" s="69">
        <f>O71*(1-10*(Assumptions!$G$85/4))</f>
        <v>18750</v>
      </c>
      <c r="P75" s="69">
        <f>P71*(1-11*(Assumptions!$G$85/4))</f>
        <v>20487.5</v>
      </c>
      <c r="Q75" s="92">
        <f>Q71*(1-12*(Assumptions!$G$85/4))</f>
        <v>22200</v>
      </c>
      <c r="R75" s="57">
        <f t="shared" si="72"/>
        <v>22200</v>
      </c>
      <c r="S75" s="68">
        <f>S71*(1-13*(Assumptions!$G$85/4))</f>
        <v>23887.5</v>
      </c>
      <c r="T75" s="69">
        <f>T71*(1-14*(Assumptions!$G$85/4))</f>
        <v>25550</v>
      </c>
      <c r="U75" s="69">
        <f>U71*(1-15*(Assumptions!$G$85/4))</f>
        <v>27187.5</v>
      </c>
      <c r="V75" s="92">
        <f>V71*(1-16*(Assumptions!$G$85/4))</f>
        <v>28800</v>
      </c>
      <c r="W75" s="57">
        <f t="shared" si="73"/>
        <v>28800</v>
      </c>
      <c r="X75" s="68">
        <f>X71*(1-17*(Assumptions!$G$85/4))</f>
        <v>30387.5</v>
      </c>
      <c r="Y75" s="69">
        <f>Y71*(1-18*(Assumptions!$G$85/4))</f>
        <v>31950</v>
      </c>
      <c r="Z75" s="69">
        <f>Z71*(1-19*(Assumptions!$G$85/4))</f>
        <v>33487.5</v>
      </c>
      <c r="AA75" s="92">
        <f>AA71*(1-20*(Assumptions!$G$85/4))</f>
        <v>35000</v>
      </c>
      <c r="AB75" s="57">
        <f t="shared" si="75"/>
        <v>35000</v>
      </c>
      <c r="AC75" s="68">
        <f>AC71*(1-21*(Assumptions!$G$85/4))</f>
        <v>34750</v>
      </c>
      <c r="AD75" s="69">
        <f>AD71*(1-22*(Assumptions!$G$85/4))</f>
        <v>34500</v>
      </c>
      <c r="AE75" s="69">
        <f>AE71*(1-23*(Assumptions!$G$85/4))</f>
        <v>34250</v>
      </c>
      <c r="AF75" s="92">
        <f>AF71*(1-24*(Assumptions!$G$85/4))</f>
        <v>34000</v>
      </c>
      <c r="AG75" s="57">
        <f t="shared" si="76"/>
        <v>34000</v>
      </c>
      <c r="AH75" s="68">
        <f>AH71*(1-25*(Assumptions!$G$85/4))</f>
        <v>33750</v>
      </c>
      <c r="AI75" s="69">
        <f>AI71*(1-26*(Assumptions!$G$85/4))</f>
        <v>33500</v>
      </c>
      <c r="AJ75" s="69">
        <f>AJ71*(1-27*(Assumptions!$G$85/4))</f>
        <v>33250</v>
      </c>
      <c r="AK75" s="92">
        <f>AK71*(1-28*(Assumptions!$G$85/4))</f>
        <v>33000</v>
      </c>
      <c r="AL75" s="91">
        <f t="shared" si="77"/>
        <v>33000</v>
      </c>
    </row>
    <row r="76" spans="1:38" s="56" customFormat="1" ht="15.95">
      <c r="A76" s="55"/>
      <c r="C76" s="189" t="s">
        <v>312</v>
      </c>
      <c r="D76" s="68">
        <f>(D72*Assumptions!$G$37*Assumptions!$G$41+D73*Assumptions!$G$38*Assumptions!$G$42+D74*Assumptions!$G$39*Assumptions!$G$43+D75*Assumptions!$G$40*Assumptions!$G$44)/VLOOKUP(Assumptions!$D$7, Lists!$B$7:$C$10, 2, FALSE)</f>
        <v>1242187500</v>
      </c>
      <c r="E76" s="69">
        <f>(E72*Assumptions!$G$37*Assumptions!$G$41+E73*Assumptions!$G$38*Assumptions!$G$42+E74*Assumptions!$G$39*Assumptions!$G$43+E75*Assumptions!$G$40*Assumptions!$G$44)/VLOOKUP(Assumptions!$D$7, Lists!$B$7:$C$10, 2, FALSE)</f>
        <v>2468750000</v>
      </c>
      <c r="F76" s="69">
        <f>(F72*Assumptions!$G$37*Assumptions!$G$41+F73*Assumptions!$G$38*Assumptions!$G$42+F74*Assumptions!$G$39*Assumptions!$G$43+F75*Assumptions!$G$40*Assumptions!$G$44)/VLOOKUP(Assumptions!$D$7, Lists!$B$7:$C$10, 2, FALSE)</f>
        <v>3679687500</v>
      </c>
      <c r="G76" s="92">
        <f>(G72*Assumptions!$G$37*Assumptions!$G$41+G73*Assumptions!$G$38*Assumptions!$G$42+G74*Assumptions!$G$39*Assumptions!$G$43+G75*Assumptions!$G$40*Assumptions!$G$44)/VLOOKUP(Assumptions!$D$7, Lists!$B$7:$C$10, 2, FALSE)</f>
        <v>4875000000</v>
      </c>
      <c r="H76" s="91">
        <f t="shared" si="70"/>
        <v>4875000000</v>
      </c>
      <c r="I76" s="68">
        <f>(I72*Assumptions!$G$37*Assumptions!$G$41+I73*Assumptions!$G$38*Assumptions!$G$42+I74*Assumptions!$G$39*Assumptions!$G$43+I75*Assumptions!$G$40*Assumptions!$G$44)/VLOOKUP(Assumptions!$D$7, Lists!$B$7:$C$10, 2, FALSE)</f>
        <v>6054687500</v>
      </c>
      <c r="J76" s="69">
        <f>(J72*Assumptions!$G$37*Assumptions!$G$41+J73*Assumptions!$G$38*Assumptions!$G$42+J74*Assumptions!$G$39*Assumptions!$G$43+J75*Assumptions!$G$40*Assumptions!$G$44)/VLOOKUP(Assumptions!$D$7, Lists!$B$7:$C$10, 2, FALSE)</f>
        <v>7218750000</v>
      </c>
      <c r="K76" s="69">
        <f>(K72*Assumptions!$G$37*Assumptions!$G$41+K73*Assumptions!$G$38*Assumptions!$G$42+K74*Assumptions!$G$39*Assumptions!$G$43+K75*Assumptions!$G$40*Assumptions!$G$44)/VLOOKUP(Assumptions!$D$7, Lists!$B$7:$C$10, 2, FALSE)</f>
        <v>8367187500</v>
      </c>
      <c r="L76" s="92">
        <f>(L72*Assumptions!$G$37*Assumptions!$G$41+L73*Assumptions!$G$38*Assumptions!$G$42+L74*Assumptions!$G$39*Assumptions!$G$43+L75*Assumptions!$G$40*Assumptions!$G$44)/VLOOKUP(Assumptions!$D$7, Lists!$B$7:$C$10, 2, FALSE)</f>
        <v>9500000000</v>
      </c>
      <c r="M76" s="48">
        <f t="shared" si="71"/>
        <v>9500000000</v>
      </c>
      <c r="N76" s="68">
        <f>(N72*Assumptions!$G$37*Assumptions!$G$41+N73*Assumptions!$G$38*Assumptions!$G$42+N74*Assumptions!$G$39*Assumptions!$G$43+N75*Assumptions!$G$40*Assumptions!$G$44)/VLOOKUP(Assumptions!$D$7, Lists!$B$7:$C$10, 2, FALSE)</f>
        <v>10617187500</v>
      </c>
      <c r="O76" s="69">
        <f>(O72*Assumptions!$G$37*Assumptions!$G$41+O73*Assumptions!$G$38*Assumptions!$G$42+O74*Assumptions!$G$39*Assumptions!$G$43+O75*Assumptions!$G$40*Assumptions!$G$44)/VLOOKUP(Assumptions!$D$7, Lists!$B$7:$C$10, 2, FALSE)</f>
        <v>11718750000</v>
      </c>
      <c r="P76" s="69">
        <f>(P72*Assumptions!$G$37*Assumptions!$G$41+P73*Assumptions!$G$38*Assumptions!$G$42+P74*Assumptions!$G$39*Assumptions!$G$43+P75*Assumptions!$G$40*Assumptions!$G$44)/VLOOKUP(Assumptions!$D$7, Lists!$B$7:$C$10, 2, FALSE)</f>
        <v>12804687500</v>
      </c>
      <c r="Q76" s="92">
        <f>(Q72*Assumptions!$G$37*Assumptions!$G$41+Q73*Assumptions!$G$38*Assumptions!$G$42+Q74*Assumptions!$G$39*Assumptions!$G$43+Q75*Assumptions!$G$40*Assumptions!$G$44)/VLOOKUP(Assumptions!$D$7, Lists!$B$7:$C$10, 2, FALSE)</f>
        <v>13875000000</v>
      </c>
      <c r="R76" s="48">
        <f t="shared" si="72"/>
        <v>13875000000</v>
      </c>
      <c r="S76" s="68">
        <f>(S72*Assumptions!$G$37*Assumptions!$G$41+S73*Assumptions!$G$38*Assumptions!$G$42+S74*Assumptions!$G$39*Assumptions!$G$43+S75*Assumptions!$G$40*Assumptions!$G$44)/VLOOKUP(Assumptions!$D$7, Lists!$B$7:$C$10, 2, FALSE)</f>
        <v>14929687500</v>
      </c>
      <c r="T76" s="69">
        <f>(T72*Assumptions!$G$37*Assumptions!$G$41+T73*Assumptions!$G$38*Assumptions!$G$42+T74*Assumptions!$G$39*Assumptions!$G$43+T75*Assumptions!$G$40*Assumptions!$G$44)/VLOOKUP(Assumptions!$D$7, Lists!$B$7:$C$10, 2, FALSE)</f>
        <v>15968750000</v>
      </c>
      <c r="U76" s="69">
        <f>(U72*Assumptions!$G$37*Assumptions!$G$41+U73*Assumptions!$G$38*Assumptions!$G$42+U74*Assumptions!$G$39*Assumptions!$G$43+U75*Assumptions!$G$40*Assumptions!$G$44)/VLOOKUP(Assumptions!$D$7, Lists!$B$7:$C$10, 2, FALSE)</f>
        <v>16992187500</v>
      </c>
      <c r="V76" s="92">
        <f>(V72*Assumptions!$G$37*Assumptions!$G$41+V73*Assumptions!$G$38*Assumptions!$G$42+V74*Assumptions!$G$39*Assumptions!$G$43+V75*Assumptions!$G$40*Assumptions!$G$44)/VLOOKUP(Assumptions!$D$7, Lists!$B$7:$C$10, 2, FALSE)</f>
        <v>18000000000</v>
      </c>
      <c r="W76" s="48">
        <f t="shared" si="73"/>
        <v>18000000000</v>
      </c>
      <c r="X76" s="68">
        <f>(X72*Assumptions!$G$37*Assumptions!$G$41+X73*Assumptions!$G$38*Assumptions!$G$42+X74*Assumptions!$G$39*Assumptions!$G$43+X75*Assumptions!$G$40*Assumptions!$G$44)/VLOOKUP(Assumptions!$D$7, Lists!$B$7:$C$10, 2, FALSE)</f>
        <v>18992187500</v>
      </c>
      <c r="Y76" s="69">
        <f>(Y72*Assumptions!$G$37*Assumptions!$G$41+Y73*Assumptions!$G$38*Assumptions!$G$42+Y74*Assumptions!$G$39*Assumptions!$G$43+Y75*Assumptions!$G$40*Assumptions!$G$44)/VLOOKUP(Assumptions!$D$7, Lists!$B$7:$C$10, 2, FALSE)</f>
        <v>19968750000</v>
      </c>
      <c r="Z76" s="69">
        <f>(Z72*Assumptions!$G$37*Assumptions!$G$41+Z73*Assumptions!$G$38*Assumptions!$G$42+Z74*Assumptions!$G$39*Assumptions!$G$43+Z75*Assumptions!$G$40*Assumptions!$G$44)/VLOOKUP(Assumptions!$D$7, Lists!$B$7:$C$10, 2, FALSE)</f>
        <v>20929687500</v>
      </c>
      <c r="AA76" s="92">
        <f>(AA72*Assumptions!$G$37*Assumptions!$G$41+AA73*Assumptions!$G$38*Assumptions!$G$42+AA74*Assumptions!$G$39*Assumptions!$G$43+AA75*Assumptions!$G$40*Assumptions!$G$44)/VLOOKUP(Assumptions!$D$7, Lists!$B$7:$C$10, 2, FALSE)</f>
        <v>21875000000</v>
      </c>
      <c r="AB76" s="48">
        <f t="shared" si="75"/>
        <v>21875000000</v>
      </c>
      <c r="AC76" s="68">
        <f>(AC72*Assumptions!$G$37*Assumptions!$G$41+AC73*Assumptions!$G$38*Assumptions!$G$42+AC74*Assumptions!$G$39*Assumptions!$G$43+AC75*Assumptions!$G$40*Assumptions!$G$44)/VLOOKUP(Assumptions!$D$7, Lists!$B$7:$C$10, 2, FALSE)</f>
        <v>21718750000</v>
      </c>
      <c r="AD76" s="69">
        <f>(AD72*Assumptions!$G$37*Assumptions!$G$41+AD73*Assumptions!$G$38*Assumptions!$G$42+AD74*Assumptions!$G$39*Assumptions!$G$43+AD75*Assumptions!$G$40*Assumptions!$G$44)/VLOOKUP(Assumptions!$D$7, Lists!$B$7:$C$10, 2, FALSE)</f>
        <v>21562500000</v>
      </c>
      <c r="AE76" s="69">
        <f>(AE72*Assumptions!$G$37*Assumptions!$G$41+AE73*Assumptions!$G$38*Assumptions!$G$42+AE74*Assumptions!$G$39*Assumptions!$G$43+AE75*Assumptions!$G$40*Assumptions!$G$44)/VLOOKUP(Assumptions!$D$7, Lists!$B$7:$C$10, 2, FALSE)</f>
        <v>21406250000</v>
      </c>
      <c r="AF76" s="92">
        <f>(AF72*Assumptions!$G$37*Assumptions!$G$41+AF73*Assumptions!$G$38*Assumptions!$G$42+AF74*Assumptions!$G$39*Assumptions!$G$43+AF75*Assumptions!$G$40*Assumptions!$G$44)/VLOOKUP(Assumptions!$D$7, Lists!$B$7:$C$10, 2, FALSE)</f>
        <v>21250000000</v>
      </c>
      <c r="AG76" s="48">
        <f t="shared" si="76"/>
        <v>21250000000</v>
      </c>
      <c r="AH76" s="68">
        <f>(AH72*Assumptions!$G$37*Assumptions!$G$41+AH73*Assumptions!$G$38*Assumptions!$G$42+AH74*Assumptions!$G$39*Assumptions!$G$43+AH75*Assumptions!$G$40*Assumptions!$G$44)/VLOOKUP(Assumptions!$D$7, Lists!$B$7:$C$10, 2, FALSE)</f>
        <v>21093750000</v>
      </c>
      <c r="AI76" s="69">
        <f>(AI72*Assumptions!$G$37*Assumptions!$G$41+AI73*Assumptions!$G$38*Assumptions!$G$42+AI74*Assumptions!$G$39*Assumptions!$G$43+AI75*Assumptions!$G$40*Assumptions!$G$44)/VLOOKUP(Assumptions!$D$7, Lists!$B$7:$C$10, 2, FALSE)</f>
        <v>20937500000</v>
      </c>
      <c r="AJ76" s="69">
        <f>(AJ72*Assumptions!$G$37*Assumptions!$G$41+AJ73*Assumptions!$G$38*Assumptions!$G$42+AJ74*Assumptions!$G$39*Assumptions!$G$43+AJ75*Assumptions!$G$40*Assumptions!$G$44)/VLOOKUP(Assumptions!$D$7, Lists!$B$7:$C$10, 2, FALSE)</f>
        <v>20781250000</v>
      </c>
      <c r="AK76" s="92">
        <f>(AK72*Assumptions!$G$37*Assumptions!$G$41+AK73*Assumptions!$G$38*Assumptions!$G$42+AK74*Assumptions!$G$39*Assumptions!$G$43+AK75*Assumptions!$G$40*Assumptions!$G$44)/VLOOKUP(Assumptions!$D$7, Lists!$B$7:$C$10, 2, FALSE)</f>
        <v>20625000000</v>
      </c>
      <c r="AL76" s="60">
        <f t="shared" si="77"/>
        <v>20625000000</v>
      </c>
    </row>
    <row r="77" spans="1:38" ht="15.95">
      <c r="A77" s="55"/>
      <c r="C77" s="189" t="s">
        <v>313</v>
      </c>
      <c r="D77" s="68">
        <f>SUM(D72:D75)*Assumptions!$G$45*Assumptions!$G$46/VLOOKUP(Assumptions!$D$7, Lists!$B$7:$C$10, 2, FALSE)</f>
        <v>1147781250</v>
      </c>
      <c r="E77" s="69">
        <f>SUM(E72:E75)*Assumptions!$G$45*Assumptions!$G$46/VLOOKUP(Assumptions!$D$7, Lists!$B$7:$C$10, 2, FALSE)</f>
        <v>2281125000</v>
      </c>
      <c r="F77" s="69">
        <f>SUM(F72:F75)*Assumptions!$G$45*Assumptions!$G$46/VLOOKUP(Assumptions!$D$7, Lists!$B$7:$C$10, 2, FALSE)</f>
        <v>3400031250</v>
      </c>
      <c r="G77" s="92">
        <f>SUM(G72:G75)*Assumptions!$G$45*Assumptions!$G$46/VLOOKUP(Assumptions!$D$7, Lists!$B$7:$C$10, 2, FALSE)</f>
        <v>4504500000</v>
      </c>
      <c r="H77" s="91">
        <f t="shared" si="70"/>
        <v>4504500000</v>
      </c>
      <c r="I77" s="68">
        <f>SUM(I72:I75)*Assumptions!$G$45*Assumptions!$G$46/VLOOKUP(Assumptions!$D$7, Lists!$B$7:$C$10, 2, FALSE)</f>
        <v>5594531250</v>
      </c>
      <c r="J77" s="69">
        <f>SUM(J72:J75)*Assumptions!$G$45*Assumptions!$G$46/VLOOKUP(Assumptions!$D$7, Lists!$B$7:$C$10, 2, FALSE)</f>
        <v>6670125000</v>
      </c>
      <c r="K77" s="69">
        <f>SUM(K72:K75)*Assumptions!$G$45*Assumptions!$G$46/VLOOKUP(Assumptions!$D$7, Lists!$B$7:$C$10, 2, FALSE)</f>
        <v>7731281250</v>
      </c>
      <c r="L77" s="92">
        <f>SUM(L72:L75)*Assumptions!$G$45*Assumptions!$G$46/VLOOKUP(Assumptions!$D$7, Lists!$B$7:$C$10, 2, FALSE)</f>
        <v>8778000000</v>
      </c>
      <c r="M77" s="57">
        <f t="shared" si="71"/>
        <v>8778000000</v>
      </c>
      <c r="N77" s="68">
        <f>SUM(N72:N75)*Assumptions!$G$45*Assumptions!$G$46/VLOOKUP(Assumptions!$D$7, Lists!$B$7:$C$10, 2, FALSE)</f>
        <v>9810281250</v>
      </c>
      <c r="O77" s="69">
        <f>SUM(O72:O75)*Assumptions!$G$45*Assumptions!$G$46/VLOOKUP(Assumptions!$D$7, Lists!$B$7:$C$10, 2, FALSE)</f>
        <v>10828125000</v>
      </c>
      <c r="P77" s="69">
        <f>SUM(P72:P75)*Assumptions!$G$45*Assumptions!$G$46/VLOOKUP(Assumptions!$D$7, Lists!$B$7:$C$10, 2, FALSE)</f>
        <v>11831531250</v>
      </c>
      <c r="Q77" s="92">
        <f>SUM(Q72:Q75)*Assumptions!$G$45*Assumptions!$G$46/VLOOKUP(Assumptions!$D$7, Lists!$B$7:$C$10, 2, FALSE)</f>
        <v>12820500000</v>
      </c>
      <c r="R77" s="57">
        <f t="shared" si="72"/>
        <v>12820500000</v>
      </c>
      <c r="S77" s="68">
        <f>SUM(S72:S75)*Assumptions!$G$45*Assumptions!$G$46/VLOOKUP(Assumptions!$D$7, Lists!$B$7:$C$10, 2, FALSE)</f>
        <v>13795031250</v>
      </c>
      <c r="T77" s="69">
        <f>SUM(T72:T75)*Assumptions!$G$45*Assumptions!$G$46/VLOOKUP(Assumptions!$D$7, Lists!$B$7:$C$10, 2, FALSE)</f>
        <v>14755125000</v>
      </c>
      <c r="U77" s="69">
        <f>SUM(U72:U75)*Assumptions!$G$45*Assumptions!$G$46/VLOOKUP(Assumptions!$D$7, Lists!$B$7:$C$10, 2, FALSE)</f>
        <v>15700781250</v>
      </c>
      <c r="V77" s="92">
        <f>SUM(V72:V75)*Assumptions!$G$45*Assumptions!$G$46/VLOOKUP(Assumptions!$D$7, Lists!$B$7:$C$10, 2, FALSE)</f>
        <v>16632000000</v>
      </c>
      <c r="W77" s="57">
        <f t="shared" si="73"/>
        <v>16632000000</v>
      </c>
      <c r="X77" s="68">
        <f>SUM(X72:X75)*Assumptions!$G$45*Assumptions!$G$46/VLOOKUP(Assumptions!$D$7, Lists!$B$7:$C$10, 2, FALSE)</f>
        <v>17548781250</v>
      </c>
      <c r="Y77" s="69">
        <f>SUM(Y72:Y75)*Assumptions!$G$45*Assumptions!$G$46/VLOOKUP(Assumptions!$D$7, Lists!$B$7:$C$10, 2, FALSE)</f>
        <v>18451125000</v>
      </c>
      <c r="Z77" s="69">
        <f>SUM(Z72:Z75)*Assumptions!$G$45*Assumptions!$G$46/VLOOKUP(Assumptions!$D$7, Lists!$B$7:$C$10, 2, FALSE)</f>
        <v>19339031250</v>
      </c>
      <c r="AA77" s="92">
        <f>SUM(AA72:AA75)*Assumptions!$G$45*Assumptions!$G$46/VLOOKUP(Assumptions!$D$7, Lists!$B$7:$C$10, 2, FALSE)</f>
        <v>20212500000</v>
      </c>
      <c r="AB77" s="57">
        <f t="shared" si="75"/>
        <v>20212500000</v>
      </c>
      <c r="AC77" s="68">
        <f>SUM(AC72:AC75)*Assumptions!$G$45*Assumptions!$G$46/VLOOKUP(Assumptions!$D$7, Lists!$B$7:$C$10, 2, FALSE)</f>
        <v>20068125000</v>
      </c>
      <c r="AD77" s="69">
        <f>SUM(AD72:AD75)*Assumptions!$G$45*Assumptions!$G$46/VLOOKUP(Assumptions!$D$7, Lists!$B$7:$C$10, 2, FALSE)</f>
        <v>19923750000</v>
      </c>
      <c r="AE77" s="69">
        <f>SUM(AE72:AE75)*Assumptions!$G$45*Assumptions!$G$46/VLOOKUP(Assumptions!$D$7, Lists!$B$7:$C$10, 2, FALSE)</f>
        <v>19779375000</v>
      </c>
      <c r="AF77" s="92">
        <f>SUM(AF72:AF75)*Assumptions!$G$45*Assumptions!$G$46/VLOOKUP(Assumptions!$D$7, Lists!$B$7:$C$10, 2, FALSE)</f>
        <v>19635000000</v>
      </c>
      <c r="AG77" s="57">
        <f t="shared" si="76"/>
        <v>19635000000</v>
      </c>
      <c r="AH77" s="68">
        <f>SUM(AH72:AH75)*Assumptions!$G$45*Assumptions!$G$46/VLOOKUP(Assumptions!$D$7, Lists!$B$7:$C$10, 2, FALSE)</f>
        <v>19490625000</v>
      </c>
      <c r="AI77" s="69">
        <f>SUM(AI72:AI75)*Assumptions!$G$45*Assumptions!$G$46/VLOOKUP(Assumptions!$D$7, Lists!$B$7:$C$10, 2, FALSE)</f>
        <v>19346250000</v>
      </c>
      <c r="AJ77" s="69">
        <f>SUM(AJ72:AJ75)*Assumptions!$G$45*Assumptions!$G$46/VLOOKUP(Assumptions!$D$7, Lists!$B$7:$C$10, 2, FALSE)</f>
        <v>19201875000</v>
      </c>
      <c r="AK77" s="92">
        <f>SUM(AK72:AK75)*Assumptions!$G$45*Assumptions!$G$46/VLOOKUP(Assumptions!$D$7, Lists!$B$7:$C$10, 2, FALSE)</f>
        <v>19057500000</v>
      </c>
      <c r="AL77" s="91">
        <f t="shared" si="77"/>
        <v>19057500000</v>
      </c>
    </row>
    <row r="78" spans="1:38" s="56" customFormat="1" ht="15.95">
      <c r="A78" s="55"/>
      <c r="C78" s="189" t="s">
        <v>314</v>
      </c>
      <c r="D78" s="68">
        <f>SUM(D72:D75)*Assumptions!$G$47*Assumptions!$G$48/VLOOKUP(Assumptions!$D$7, Lists!$B$7:$C$10, 2, FALSE)</f>
        <v>114778125</v>
      </c>
      <c r="E78" s="69">
        <f>SUM(E72:E75)*Assumptions!$G$47*Assumptions!$G$48/VLOOKUP(Assumptions!$D$7, Lists!$B$7:$C$10, 2, FALSE)</f>
        <v>228112500</v>
      </c>
      <c r="F78" s="69">
        <f>SUM(F72:F75)*Assumptions!$G$47*Assumptions!$G$48/VLOOKUP(Assumptions!$D$7, Lists!$B$7:$C$10, 2, FALSE)</f>
        <v>340003125</v>
      </c>
      <c r="G78" s="92">
        <f>SUM(G72:G75)*Assumptions!$G$47*Assumptions!$G$48/VLOOKUP(Assumptions!$D$7, Lists!$B$7:$C$10, 2, FALSE)</f>
        <v>450450000</v>
      </c>
      <c r="H78" s="91">
        <f t="shared" si="70"/>
        <v>450450000</v>
      </c>
      <c r="I78" s="68">
        <f>SUM(I72:I75)*Assumptions!$G$47*Assumptions!$G$48/VLOOKUP(Assumptions!$D$7, Lists!$B$7:$C$10, 2, FALSE)</f>
        <v>559453125</v>
      </c>
      <c r="J78" s="69">
        <f>SUM(J72:J75)*Assumptions!$G$47*Assumptions!$G$48/VLOOKUP(Assumptions!$D$7, Lists!$B$7:$C$10, 2, FALSE)</f>
        <v>667012500</v>
      </c>
      <c r="K78" s="69">
        <f>SUM(K72:K75)*Assumptions!$G$47*Assumptions!$G$48/VLOOKUP(Assumptions!$D$7, Lists!$B$7:$C$10, 2, FALSE)</f>
        <v>773128125</v>
      </c>
      <c r="L78" s="92">
        <f>SUM(L72:L75)*Assumptions!$G$47*Assumptions!$G$48/VLOOKUP(Assumptions!$D$7, Lists!$B$7:$C$10, 2, FALSE)</f>
        <v>877800000</v>
      </c>
      <c r="M78" s="48">
        <f t="shared" si="71"/>
        <v>877800000</v>
      </c>
      <c r="N78" s="68">
        <f>SUM(N72:N75)*Assumptions!$G$47*Assumptions!$G$48/VLOOKUP(Assumptions!$D$7, Lists!$B$7:$C$10, 2, FALSE)</f>
        <v>981028125</v>
      </c>
      <c r="O78" s="69">
        <f>SUM(O72:O75)*Assumptions!$G$47*Assumptions!$G$48/VLOOKUP(Assumptions!$D$7, Lists!$B$7:$C$10, 2, FALSE)</f>
        <v>1082812500</v>
      </c>
      <c r="P78" s="69">
        <f>SUM(P72:P75)*Assumptions!$G$47*Assumptions!$G$48/VLOOKUP(Assumptions!$D$7, Lists!$B$7:$C$10, 2, FALSE)</f>
        <v>1183153125</v>
      </c>
      <c r="Q78" s="92">
        <f>SUM(Q72:Q75)*Assumptions!$G$47*Assumptions!$G$48/VLOOKUP(Assumptions!$D$7, Lists!$B$7:$C$10, 2, FALSE)</f>
        <v>1282050000</v>
      </c>
      <c r="R78" s="48">
        <f t="shared" si="72"/>
        <v>1282050000</v>
      </c>
      <c r="S78" s="68">
        <f>SUM(S72:S75)*Assumptions!$G$47*Assumptions!$G$48/VLOOKUP(Assumptions!$D$7, Lists!$B$7:$C$10, 2, FALSE)</f>
        <v>1379503125</v>
      </c>
      <c r="T78" s="69">
        <f>SUM(T72:T75)*Assumptions!$G$47*Assumptions!$G$48/VLOOKUP(Assumptions!$D$7, Lists!$B$7:$C$10, 2, FALSE)</f>
        <v>1475512500</v>
      </c>
      <c r="U78" s="69">
        <f>SUM(U72:U75)*Assumptions!$G$47*Assumptions!$G$48/VLOOKUP(Assumptions!$D$7, Lists!$B$7:$C$10, 2, FALSE)</f>
        <v>1570078125</v>
      </c>
      <c r="V78" s="92">
        <f>SUM(V72:V75)*Assumptions!$G$47*Assumptions!$G$48/VLOOKUP(Assumptions!$D$7, Lists!$B$7:$C$10, 2, FALSE)</f>
        <v>1663200000</v>
      </c>
      <c r="W78" s="48">
        <f t="shared" si="73"/>
        <v>1663200000</v>
      </c>
      <c r="X78" s="68">
        <f>SUM(X72:X75)*Assumptions!$G$47*Assumptions!$G$48/VLOOKUP(Assumptions!$D$7, Lists!$B$7:$C$10, 2, FALSE)</f>
        <v>1754878125</v>
      </c>
      <c r="Y78" s="69">
        <f>SUM(Y72:Y75)*Assumptions!$G$47*Assumptions!$G$48/VLOOKUP(Assumptions!$D$7, Lists!$B$7:$C$10, 2, FALSE)</f>
        <v>1845112500</v>
      </c>
      <c r="Z78" s="69">
        <f>SUM(Z72:Z75)*Assumptions!$G$47*Assumptions!$G$48/VLOOKUP(Assumptions!$D$7, Lists!$B$7:$C$10, 2, FALSE)</f>
        <v>1933903125</v>
      </c>
      <c r="AA78" s="92">
        <f>SUM(AA72:AA75)*Assumptions!$G$47*Assumptions!$G$48/VLOOKUP(Assumptions!$D$7, Lists!$B$7:$C$10, 2, FALSE)</f>
        <v>2021250000</v>
      </c>
      <c r="AB78" s="48">
        <f t="shared" si="75"/>
        <v>2021250000</v>
      </c>
      <c r="AC78" s="68">
        <f>SUM(AC72:AC75)*Assumptions!$G$47*Assumptions!$G$48/VLOOKUP(Assumptions!$D$7, Lists!$B$7:$C$10, 2, FALSE)</f>
        <v>2006812500</v>
      </c>
      <c r="AD78" s="69">
        <f>SUM(AD72:AD75)*Assumptions!$G$47*Assumptions!$G$48/VLOOKUP(Assumptions!$D$7, Lists!$B$7:$C$10, 2, FALSE)</f>
        <v>1992375000</v>
      </c>
      <c r="AE78" s="69">
        <f>SUM(AE72:AE75)*Assumptions!$G$47*Assumptions!$G$48/VLOOKUP(Assumptions!$D$7, Lists!$B$7:$C$10, 2, FALSE)</f>
        <v>1977937500</v>
      </c>
      <c r="AF78" s="92">
        <f>SUM(AF72:AF75)*Assumptions!$G$47*Assumptions!$G$48/VLOOKUP(Assumptions!$D$7, Lists!$B$7:$C$10, 2, FALSE)</f>
        <v>1963500000</v>
      </c>
      <c r="AG78" s="48">
        <f t="shared" si="76"/>
        <v>1963500000</v>
      </c>
      <c r="AH78" s="68">
        <f>SUM(AH72:AH75)*Assumptions!$G$47*Assumptions!$G$48/VLOOKUP(Assumptions!$D$7, Lists!$B$7:$C$10, 2, FALSE)</f>
        <v>1949062500</v>
      </c>
      <c r="AI78" s="69">
        <f>SUM(AI72:AI75)*Assumptions!$G$47*Assumptions!$G$48/VLOOKUP(Assumptions!$D$7, Lists!$B$7:$C$10, 2, FALSE)</f>
        <v>1934625000</v>
      </c>
      <c r="AJ78" s="69">
        <f>SUM(AJ72:AJ75)*Assumptions!$G$47*Assumptions!$G$48/VLOOKUP(Assumptions!$D$7, Lists!$B$7:$C$10, 2, FALSE)</f>
        <v>1920187500</v>
      </c>
      <c r="AK78" s="92">
        <f>SUM(AK72:AK75)*Assumptions!$G$47*Assumptions!$G$48/VLOOKUP(Assumptions!$D$7, Lists!$B$7:$C$10, 2, FALSE)</f>
        <v>1905750000</v>
      </c>
      <c r="AL78" s="60">
        <f t="shared" si="77"/>
        <v>1905750000</v>
      </c>
    </row>
    <row r="79" spans="1:38" s="56" customFormat="1" ht="15.95">
      <c r="A79" s="55"/>
      <c r="C79" s="189" t="s">
        <v>315</v>
      </c>
      <c r="D79" s="68">
        <f>SUM(D72:D75)*Assumptions!$G$49*Assumptions!$G$50/VLOOKUP(Assumptions!$D$7, Lists!$B$7:$C$10, 2, FALSE)</f>
        <v>114778125</v>
      </c>
      <c r="E79" s="69">
        <f>SUM(E72:E75)*Assumptions!$G$49*Assumptions!$G$50/VLOOKUP(Assumptions!$D$7, Lists!$B$7:$C$10, 2, FALSE)</f>
        <v>228112500</v>
      </c>
      <c r="F79" s="69">
        <f>SUM(F72:F75)*Assumptions!$G$49*Assumptions!$G$50/VLOOKUP(Assumptions!$D$7, Lists!$B$7:$C$10, 2, FALSE)</f>
        <v>340003125</v>
      </c>
      <c r="G79" s="92">
        <f>SUM(G72:G75)*Assumptions!$G$49*Assumptions!$G$50/VLOOKUP(Assumptions!$D$7, Lists!$B$7:$C$10, 2, FALSE)</f>
        <v>450450000</v>
      </c>
      <c r="H79" s="91">
        <f t="shared" si="70"/>
        <v>450450000</v>
      </c>
      <c r="I79" s="68">
        <f>SUM(I72:I75)*Assumptions!$G$49*Assumptions!$G$50/VLOOKUP(Assumptions!$D$7, Lists!$B$7:$C$10, 2, FALSE)</f>
        <v>559453125</v>
      </c>
      <c r="J79" s="69">
        <f>SUM(J72:J75)*Assumptions!$G$49*Assumptions!$G$50/VLOOKUP(Assumptions!$D$7, Lists!$B$7:$C$10, 2, FALSE)</f>
        <v>667012500</v>
      </c>
      <c r="K79" s="69">
        <f>SUM(K72:K75)*Assumptions!$G$49*Assumptions!$G$50/VLOOKUP(Assumptions!$D$7, Lists!$B$7:$C$10, 2, FALSE)</f>
        <v>773128125</v>
      </c>
      <c r="L79" s="92">
        <f>SUM(L72:L75)*Assumptions!$G$49*Assumptions!$G$50/VLOOKUP(Assumptions!$D$7, Lists!$B$7:$C$10, 2, FALSE)</f>
        <v>877800000</v>
      </c>
      <c r="M79" s="48">
        <f t="shared" si="71"/>
        <v>877800000</v>
      </c>
      <c r="N79" s="68">
        <f>SUM(N72:N75)*Assumptions!$G$49*Assumptions!$G$50/VLOOKUP(Assumptions!$D$7, Lists!$B$7:$C$10, 2, FALSE)</f>
        <v>981028125</v>
      </c>
      <c r="O79" s="69">
        <f>SUM(O72:O75)*Assumptions!$G$49*Assumptions!$G$50/VLOOKUP(Assumptions!$D$7, Lists!$B$7:$C$10, 2, FALSE)</f>
        <v>1082812500</v>
      </c>
      <c r="P79" s="69">
        <f>SUM(P72:P75)*Assumptions!$G$49*Assumptions!$G$50/VLOOKUP(Assumptions!$D$7, Lists!$B$7:$C$10, 2, FALSE)</f>
        <v>1183153125</v>
      </c>
      <c r="Q79" s="92">
        <f>SUM(Q72:Q75)*Assumptions!$G$49*Assumptions!$G$50/VLOOKUP(Assumptions!$D$7, Lists!$B$7:$C$10, 2, FALSE)</f>
        <v>1282050000</v>
      </c>
      <c r="R79" s="48">
        <f t="shared" si="72"/>
        <v>1282050000</v>
      </c>
      <c r="S79" s="68">
        <f>SUM(S72:S75)*Assumptions!$G$49*Assumptions!$G$50/VLOOKUP(Assumptions!$D$7, Lists!$B$7:$C$10, 2, FALSE)</f>
        <v>1379503125</v>
      </c>
      <c r="T79" s="69">
        <f>SUM(T72:T75)*Assumptions!$G$49*Assumptions!$G$50/VLOOKUP(Assumptions!$D$7, Lists!$B$7:$C$10, 2, FALSE)</f>
        <v>1475512500</v>
      </c>
      <c r="U79" s="69">
        <f>SUM(U72:U75)*Assumptions!$G$49*Assumptions!$G$50/VLOOKUP(Assumptions!$D$7, Lists!$B$7:$C$10, 2, FALSE)</f>
        <v>1570078125</v>
      </c>
      <c r="V79" s="92">
        <f>SUM(V72:V75)*Assumptions!$G$49*Assumptions!$G$50/VLOOKUP(Assumptions!$D$7, Lists!$B$7:$C$10, 2, FALSE)</f>
        <v>1663200000</v>
      </c>
      <c r="W79" s="48">
        <f t="shared" si="73"/>
        <v>1663200000</v>
      </c>
      <c r="X79" s="68">
        <f>SUM(X72:X75)*Assumptions!$G$49*Assumptions!$G$50/VLOOKUP(Assumptions!$D$7, Lists!$B$7:$C$10, 2, FALSE)</f>
        <v>1754878125</v>
      </c>
      <c r="Y79" s="69">
        <f>SUM(Y72:Y75)*Assumptions!$G$49*Assumptions!$G$50/VLOOKUP(Assumptions!$D$7, Lists!$B$7:$C$10, 2, FALSE)</f>
        <v>1845112500</v>
      </c>
      <c r="Z79" s="69">
        <f>SUM(Z72:Z75)*Assumptions!$G$49*Assumptions!$G$50/VLOOKUP(Assumptions!$D$7, Lists!$B$7:$C$10, 2, FALSE)</f>
        <v>1933903125</v>
      </c>
      <c r="AA79" s="92">
        <f>SUM(AA72:AA75)*Assumptions!$G$49*Assumptions!$G$50/VLOOKUP(Assumptions!$D$7, Lists!$B$7:$C$10, 2, FALSE)</f>
        <v>2021250000</v>
      </c>
      <c r="AB79" s="48">
        <f t="shared" si="75"/>
        <v>2021250000</v>
      </c>
      <c r="AC79" s="68">
        <f>SUM(AC72:AC75)*Assumptions!$G$49*Assumptions!$G$50/VLOOKUP(Assumptions!$D$7, Lists!$B$7:$C$10, 2, FALSE)</f>
        <v>2006812500</v>
      </c>
      <c r="AD79" s="69">
        <f>SUM(AD72:AD75)*Assumptions!$G$49*Assumptions!$G$50/VLOOKUP(Assumptions!$D$7, Lists!$B$7:$C$10, 2, FALSE)</f>
        <v>1992375000</v>
      </c>
      <c r="AE79" s="69">
        <f>SUM(AE72:AE75)*Assumptions!$G$49*Assumptions!$G$50/VLOOKUP(Assumptions!$D$7, Lists!$B$7:$C$10, 2, FALSE)</f>
        <v>1977937500</v>
      </c>
      <c r="AF79" s="92">
        <f>SUM(AF72:AF75)*Assumptions!$G$49*Assumptions!$G$50/VLOOKUP(Assumptions!$D$7, Lists!$B$7:$C$10, 2, FALSE)</f>
        <v>1963500000</v>
      </c>
      <c r="AG79" s="48">
        <f t="shared" si="76"/>
        <v>1963500000</v>
      </c>
      <c r="AH79" s="68">
        <f>SUM(AH72:AH75)*Assumptions!$G$49*Assumptions!$G$50/VLOOKUP(Assumptions!$D$7, Lists!$B$7:$C$10, 2, FALSE)</f>
        <v>1949062500</v>
      </c>
      <c r="AI79" s="69">
        <f>SUM(AI72:AI75)*Assumptions!$G$49*Assumptions!$G$50/VLOOKUP(Assumptions!$D$7, Lists!$B$7:$C$10, 2, FALSE)</f>
        <v>1934625000</v>
      </c>
      <c r="AJ79" s="69">
        <f>SUM(AJ72:AJ75)*Assumptions!$G$49*Assumptions!$G$50/VLOOKUP(Assumptions!$D$7, Lists!$B$7:$C$10, 2, FALSE)</f>
        <v>1920187500</v>
      </c>
      <c r="AK79" s="92">
        <f>SUM(AK72:AK75)*Assumptions!$G$49*Assumptions!$G$50/VLOOKUP(Assumptions!$D$7, Lists!$B$7:$C$10, 2, FALSE)</f>
        <v>1905750000</v>
      </c>
      <c r="AL79" s="60">
        <f t="shared" si="77"/>
        <v>1905750000</v>
      </c>
    </row>
    <row r="80" spans="1:38" ht="15.95">
      <c r="A80" s="55"/>
      <c r="C80" s="189" t="s">
        <v>316</v>
      </c>
      <c r="D80" s="68">
        <f>SUM(D72:D75)*Assumptions!$G$51/VLOOKUP(Assumptions!$D$7, Lists!$B$7:$C$10, 2, FALSE)</f>
        <v>114778125</v>
      </c>
      <c r="E80" s="69">
        <f>SUM(E72:E75)*Assumptions!$G$51/VLOOKUP(Assumptions!$D$7, Lists!$B$7:$C$10, 2, FALSE)</f>
        <v>228112500</v>
      </c>
      <c r="F80" s="69">
        <f>SUM(F72:F75)*Assumptions!$G$51/VLOOKUP(Assumptions!$D$7, Lists!$B$7:$C$10, 2, FALSE)</f>
        <v>340003125</v>
      </c>
      <c r="G80" s="92">
        <f>SUM(G72:G75)*Assumptions!$G$51/VLOOKUP(Assumptions!$D$7, Lists!$B$7:$C$10, 2, FALSE)</f>
        <v>450450000</v>
      </c>
      <c r="H80" s="91">
        <f t="shared" si="70"/>
        <v>450450000</v>
      </c>
      <c r="I80" s="68">
        <f>SUM(I72:I75)*Assumptions!$G$51/VLOOKUP(Assumptions!$D$7, Lists!$B$7:$C$10, 2, FALSE)</f>
        <v>559453125</v>
      </c>
      <c r="J80" s="69">
        <f>SUM(J72:J75)*Assumptions!$G$51/VLOOKUP(Assumptions!$D$7, Lists!$B$7:$C$10, 2, FALSE)</f>
        <v>667012500</v>
      </c>
      <c r="K80" s="69">
        <f>SUM(K72:K75)*Assumptions!$G$51/VLOOKUP(Assumptions!$D$7, Lists!$B$7:$C$10, 2, FALSE)</f>
        <v>773128125</v>
      </c>
      <c r="L80" s="92">
        <f>SUM(L72:L75)*Assumptions!$G$51/VLOOKUP(Assumptions!$D$7, Lists!$B$7:$C$10, 2, FALSE)</f>
        <v>877800000</v>
      </c>
      <c r="M80" s="57">
        <f t="shared" si="71"/>
        <v>877800000</v>
      </c>
      <c r="N80" s="68">
        <f>SUM(N72:N75)*Assumptions!$G$51/VLOOKUP(Assumptions!$D$7, Lists!$B$7:$C$10, 2, FALSE)</f>
        <v>981028125</v>
      </c>
      <c r="O80" s="69">
        <f>SUM(O72:O75)*Assumptions!$G$51/VLOOKUP(Assumptions!$D$7, Lists!$B$7:$C$10, 2, FALSE)</f>
        <v>1082812500</v>
      </c>
      <c r="P80" s="69">
        <f>SUM(P72:P75)*Assumptions!$G$51/VLOOKUP(Assumptions!$D$7, Lists!$B$7:$C$10, 2, FALSE)</f>
        <v>1183153125</v>
      </c>
      <c r="Q80" s="92">
        <f>SUM(Q72:Q75)*Assumptions!$G$51/VLOOKUP(Assumptions!$D$7, Lists!$B$7:$C$10, 2, FALSE)</f>
        <v>1282050000</v>
      </c>
      <c r="R80" s="57">
        <f t="shared" si="72"/>
        <v>1282050000</v>
      </c>
      <c r="S80" s="68">
        <f>SUM(S72:S75)*Assumptions!$G$51/VLOOKUP(Assumptions!$D$7, Lists!$B$7:$C$10, 2, FALSE)</f>
        <v>1379503125</v>
      </c>
      <c r="T80" s="69">
        <f>SUM(T72:T75)*Assumptions!$G$51/VLOOKUP(Assumptions!$D$7, Lists!$B$7:$C$10, 2, FALSE)</f>
        <v>1475512500</v>
      </c>
      <c r="U80" s="69">
        <f>SUM(U72:U75)*Assumptions!$G$51/VLOOKUP(Assumptions!$D$7, Lists!$B$7:$C$10, 2, FALSE)</f>
        <v>1570078125</v>
      </c>
      <c r="V80" s="92">
        <f>SUM(V72:V75)*Assumptions!$G$51/VLOOKUP(Assumptions!$D$7, Lists!$B$7:$C$10, 2, FALSE)</f>
        <v>1663200000</v>
      </c>
      <c r="W80" s="57">
        <f t="shared" si="73"/>
        <v>1663200000</v>
      </c>
      <c r="X80" s="68">
        <f>SUM(X72:X75)*Assumptions!$G$51/VLOOKUP(Assumptions!$D$7, Lists!$B$7:$C$10, 2, FALSE)</f>
        <v>1754878125</v>
      </c>
      <c r="Y80" s="69">
        <f>SUM(Y72:Y75)*Assumptions!$G$51/VLOOKUP(Assumptions!$D$7, Lists!$B$7:$C$10, 2, FALSE)</f>
        <v>1845112500</v>
      </c>
      <c r="Z80" s="69">
        <f>SUM(Z72:Z75)*Assumptions!$G$51/VLOOKUP(Assumptions!$D$7, Lists!$B$7:$C$10, 2, FALSE)</f>
        <v>1933903125</v>
      </c>
      <c r="AA80" s="92">
        <f>SUM(AA72:AA75)*Assumptions!$G$51/VLOOKUP(Assumptions!$D$7, Lists!$B$7:$C$10, 2, FALSE)</f>
        <v>2021250000</v>
      </c>
      <c r="AB80" s="57">
        <f t="shared" si="75"/>
        <v>2021250000</v>
      </c>
      <c r="AC80" s="68">
        <f>SUM(AC72:AC75)*Assumptions!$G$51/VLOOKUP(Assumptions!$D$7, Lists!$B$7:$C$10, 2, FALSE)</f>
        <v>2006812500</v>
      </c>
      <c r="AD80" s="69">
        <f>SUM(AD72:AD75)*Assumptions!$G$51/VLOOKUP(Assumptions!$D$7, Lists!$B$7:$C$10, 2, FALSE)</f>
        <v>1992375000</v>
      </c>
      <c r="AE80" s="69">
        <f>SUM(AE72:AE75)*Assumptions!$G$51/VLOOKUP(Assumptions!$D$7, Lists!$B$7:$C$10, 2, FALSE)</f>
        <v>1977937500</v>
      </c>
      <c r="AF80" s="92">
        <f>SUM(AF72:AF75)*Assumptions!$G$51/VLOOKUP(Assumptions!$D$7, Lists!$B$7:$C$10, 2, FALSE)</f>
        <v>1963500000</v>
      </c>
      <c r="AG80" s="57">
        <f t="shared" si="76"/>
        <v>1963500000</v>
      </c>
      <c r="AH80" s="68">
        <f>SUM(AH72:AH75)*Assumptions!$G$51/VLOOKUP(Assumptions!$D$7, Lists!$B$7:$C$10, 2, FALSE)</f>
        <v>1949062500</v>
      </c>
      <c r="AI80" s="69">
        <f>SUM(AI72:AI75)*Assumptions!$G$51/VLOOKUP(Assumptions!$D$7, Lists!$B$7:$C$10, 2, FALSE)</f>
        <v>1934625000</v>
      </c>
      <c r="AJ80" s="69">
        <f>SUM(AJ72:AJ75)*Assumptions!$G$51/VLOOKUP(Assumptions!$D$7, Lists!$B$7:$C$10, 2, FALSE)</f>
        <v>1920187500</v>
      </c>
      <c r="AK80" s="92">
        <f>SUM(AK72:AK75)*Assumptions!$G$51/VLOOKUP(Assumptions!$D$7, Lists!$B$7:$C$10, 2, FALSE)</f>
        <v>1905750000</v>
      </c>
      <c r="AL80" s="91">
        <f t="shared" si="77"/>
        <v>1905750000</v>
      </c>
    </row>
    <row r="81" spans="1:38" ht="15.95">
      <c r="A81" s="55"/>
      <c r="C81" s="189" t="s">
        <v>317</v>
      </c>
      <c r="D81" s="68">
        <f>SUM(D72:D75)*Assumptions!$G$52*3/VLOOKUP(Assumptions!$D$7, Lists!$B$7:$C$10, 2, FALSE)</f>
        <v>688668750</v>
      </c>
      <c r="E81" s="69">
        <f>SUM(E72:E75)*Assumptions!$G$52*3/VLOOKUP(Assumptions!$D$7, Lists!$B$7:$C$10, 2, FALSE)</f>
        <v>1368675000</v>
      </c>
      <c r="F81" s="69">
        <f>SUM(F72:F75)*Assumptions!$G$52*3/VLOOKUP(Assumptions!$D$7, Lists!$B$7:$C$10, 2, FALSE)</f>
        <v>2040018750</v>
      </c>
      <c r="G81" s="92">
        <f>SUM(G72:G75)*Assumptions!$G$52*3/VLOOKUP(Assumptions!$D$7, Lists!$B$7:$C$10, 2, FALSE)</f>
        <v>2702700000</v>
      </c>
      <c r="H81" s="91">
        <f t="shared" si="70"/>
        <v>2702700000</v>
      </c>
      <c r="I81" s="68">
        <f>SUM(I72:I75)*Assumptions!$G$52*3/VLOOKUP(Assumptions!$D$7, Lists!$B$7:$C$10, 2, FALSE)</f>
        <v>3356718750</v>
      </c>
      <c r="J81" s="69">
        <f>SUM(J72:J75)*Assumptions!$G$52*3/VLOOKUP(Assumptions!$D$7, Lists!$B$7:$C$10, 2, FALSE)</f>
        <v>4002075000</v>
      </c>
      <c r="K81" s="69">
        <f>SUM(K72:K75)*Assumptions!$G$52*3/VLOOKUP(Assumptions!$D$7, Lists!$B$7:$C$10, 2, FALSE)</f>
        <v>4638768750</v>
      </c>
      <c r="L81" s="92">
        <f>SUM(L72:L75)*Assumptions!$G$52*3/VLOOKUP(Assumptions!$D$7, Lists!$B$7:$C$10, 2, FALSE)</f>
        <v>5266800000</v>
      </c>
      <c r="M81" s="57">
        <f t="shared" si="71"/>
        <v>5266800000</v>
      </c>
      <c r="N81" s="68">
        <f>SUM(N72:N75)*Assumptions!$G$52*3/VLOOKUP(Assumptions!$D$7, Lists!$B$7:$C$10, 2, FALSE)</f>
        <v>5886168750</v>
      </c>
      <c r="O81" s="69">
        <f>SUM(O72:O75)*Assumptions!$G$52*3/VLOOKUP(Assumptions!$D$7, Lists!$B$7:$C$10, 2, FALSE)</f>
        <v>6496875000</v>
      </c>
      <c r="P81" s="69">
        <f>SUM(P72:P75)*Assumptions!$G$52*3/VLOOKUP(Assumptions!$D$7, Lists!$B$7:$C$10, 2, FALSE)</f>
        <v>7098918750</v>
      </c>
      <c r="Q81" s="92">
        <f>SUM(Q72:Q75)*Assumptions!$G$52*3/VLOOKUP(Assumptions!$D$7, Lists!$B$7:$C$10, 2, FALSE)</f>
        <v>7692300000</v>
      </c>
      <c r="R81" s="57">
        <f t="shared" si="72"/>
        <v>7692300000</v>
      </c>
      <c r="S81" s="68">
        <f>SUM(S72:S75)*Assumptions!$G$52*3/VLOOKUP(Assumptions!$D$7, Lists!$B$7:$C$10, 2, FALSE)</f>
        <v>8277018750</v>
      </c>
      <c r="T81" s="69">
        <f>SUM(T72:T75)*Assumptions!$G$52*3/VLOOKUP(Assumptions!$D$7, Lists!$B$7:$C$10, 2, FALSE)</f>
        <v>8853075000</v>
      </c>
      <c r="U81" s="69">
        <f>SUM(U72:U75)*Assumptions!$G$52*3/VLOOKUP(Assumptions!$D$7, Lists!$B$7:$C$10, 2, FALSE)</f>
        <v>9420468750</v>
      </c>
      <c r="V81" s="92">
        <f>SUM(V72:V75)*Assumptions!$G$52*3/VLOOKUP(Assumptions!$D$7, Lists!$B$7:$C$10, 2, FALSE)</f>
        <v>9979200000</v>
      </c>
      <c r="W81" s="57">
        <f t="shared" si="73"/>
        <v>9979200000</v>
      </c>
      <c r="X81" s="68">
        <f>SUM(X72:X75)*Assumptions!$G$52*3/VLOOKUP(Assumptions!$D$7, Lists!$B$7:$C$10, 2, FALSE)</f>
        <v>10529268750</v>
      </c>
      <c r="Y81" s="69">
        <f>SUM(Y72:Y75)*Assumptions!$G$52*3/VLOOKUP(Assumptions!$D$7, Lists!$B$7:$C$10, 2, FALSE)</f>
        <v>11070675000</v>
      </c>
      <c r="Z81" s="69">
        <f>SUM(Z72:Z75)*Assumptions!$G$52*3/VLOOKUP(Assumptions!$D$7, Lists!$B$7:$C$10, 2, FALSE)</f>
        <v>11603418750</v>
      </c>
      <c r="AA81" s="92">
        <f>SUM(AA72:AA75)*Assumptions!$G$52*3/VLOOKUP(Assumptions!$D$7, Lists!$B$7:$C$10, 2, FALSE)</f>
        <v>12127500000</v>
      </c>
      <c r="AB81" s="57">
        <f t="shared" si="75"/>
        <v>12127500000</v>
      </c>
      <c r="AC81" s="68">
        <f>SUM(AC72:AC75)*Assumptions!$G$52*3/VLOOKUP(Assumptions!$D$7, Lists!$B$7:$C$10, 2, FALSE)</f>
        <v>12040875000</v>
      </c>
      <c r="AD81" s="69">
        <f>SUM(AD72:AD75)*Assumptions!$G$52*3/VLOOKUP(Assumptions!$D$7, Lists!$B$7:$C$10, 2, FALSE)</f>
        <v>11954250000</v>
      </c>
      <c r="AE81" s="69">
        <f>SUM(AE72:AE75)*Assumptions!$G$52*3/VLOOKUP(Assumptions!$D$7, Lists!$B$7:$C$10, 2, FALSE)</f>
        <v>11867625000</v>
      </c>
      <c r="AF81" s="92">
        <f>SUM(AF72:AF75)*Assumptions!$G$52*3/VLOOKUP(Assumptions!$D$7, Lists!$B$7:$C$10, 2, FALSE)</f>
        <v>11781000000</v>
      </c>
      <c r="AG81" s="57">
        <f t="shared" si="76"/>
        <v>11781000000</v>
      </c>
      <c r="AH81" s="68">
        <f>SUM(AH72:AH75)*Assumptions!$G$52*3/VLOOKUP(Assumptions!$D$7, Lists!$B$7:$C$10, 2, FALSE)</f>
        <v>11694375000</v>
      </c>
      <c r="AI81" s="69">
        <f>SUM(AI72:AI75)*Assumptions!$G$52*3/VLOOKUP(Assumptions!$D$7, Lists!$B$7:$C$10, 2, FALSE)</f>
        <v>11607750000</v>
      </c>
      <c r="AJ81" s="69">
        <f>SUM(AJ72:AJ75)*Assumptions!$G$52*3/VLOOKUP(Assumptions!$D$7, Lists!$B$7:$C$10, 2, FALSE)</f>
        <v>11521125000</v>
      </c>
      <c r="AK81" s="92">
        <f>SUM(AK72:AK75)*Assumptions!$G$52*3/VLOOKUP(Assumptions!$D$7, Lists!$B$7:$C$10, 2, FALSE)</f>
        <v>11434500000</v>
      </c>
      <c r="AL81" s="91">
        <f t="shared" si="77"/>
        <v>11434500000</v>
      </c>
    </row>
    <row r="82" spans="1:38" s="56" customFormat="1" ht="15.95">
      <c r="A82" s="55"/>
      <c r="C82" s="189" t="s">
        <v>318</v>
      </c>
      <c r="D82" s="68">
        <f>SUM(D72:D75)*Assumptions!$G$53*3/VLOOKUP(Assumptions!$D$7, Lists!$B$7:$C$10, 2, FALSE)</f>
        <v>688668750</v>
      </c>
      <c r="E82" s="69">
        <f>SUM(E72:E75)*Assumptions!$G$53*3/VLOOKUP(Assumptions!$D$7, Lists!$B$7:$C$10, 2, FALSE)</f>
        <v>1368675000</v>
      </c>
      <c r="F82" s="69">
        <f>SUM(F72:F75)*Assumptions!$G$53*3/VLOOKUP(Assumptions!$D$7, Lists!$B$7:$C$10, 2, FALSE)</f>
        <v>2040018750</v>
      </c>
      <c r="G82" s="92">
        <f>SUM(G72:G75)*Assumptions!$G$53*3/VLOOKUP(Assumptions!$D$7, Lists!$B$7:$C$10, 2, FALSE)</f>
        <v>2702700000</v>
      </c>
      <c r="H82" s="91">
        <f>SUM(D82:G82)</f>
        <v>6800062500</v>
      </c>
      <c r="I82" s="68">
        <f>SUM(I72:I75)*Assumptions!$G$53*3/VLOOKUP(Assumptions!$D$7, Lists!$B$7:$C$10, 2, FALSE)</f>
        <v>3356718750</v>
      </c>
      <c r="J82" s="69">
        <f>SUM(J72:J75)*Assumptions!$G$53*3/VLOOKUP(Assumptions!$D$7, Lists!$B$7:$C$10, 2, FALSE)</f>
        <v>4002075000</v>
      </c>
      <c r="K82" s="69">
        <f>SUM(K72:K75)*Assumptions!$G$53*3/VLOOKUP(Assumptions!$D$7, Lists!$B$7:$C$10, 2, FALSE)</f>
        <v>4638768750</v>
      </c>
      <c r="L82" s="92">
        <f>SUM(L72:L75)*Assumptions!$G$53*3/VLOOKUP(Assumptions!$D$7, Lists!$B$7:$C$10, 2, FALSE)</f>
        <v>5266800000</v>
      </c>
      <c r="M82" s="48">
        <f>SUM(I82:L82)</f>
        <v>17264362500</v>
      </c>
      <c r="N82" s="68">
        <f>SUM(N72:N75)*Assumptions!$G$53*3/VLOOKUP(Assumptions!$D$7, Lists!$B$7:$C$10, 2, FALSE)</f>
        <v>5886168750</v>
      </c>
      <c r="O82" s="69">
        <f>SUM(O72:O75)*Assumptions!$G$53*3/VLOOKUP(Assumptions!$D$7, Lists!$B$7:$C$10, 2, FALSE)</f>
        <v>6496875000</v>
      </c>
      <c r="P82" s="69">
        <f>SUM(P72:P75)*Assumptions!$G$53*3/VLOOKUP(Assumptions!$D$7, Lists!$B$7:$C$10, 2, FALSE)</f>
        <v>7098918750</v>
      </c>
      <c r="Q82" s="92">
        <f>SUM(Q72:Q75)*Assumptions!$G$53*3/VLOOKUP(Assumptions!$D$7, Lists!$B$7:$C$10, 2, FALSE)</f>
        <v>7692300000</v>
      </c>
      <c r="R82" s="48">
        <f>SUM(N82:Q82)</f>
        <v>27174262500</v>
      </c>
      <c r="S82" s="68">
        <f>SUM(S72:S75)*Assumptions!$G$53*3/VLOOKUP(Assumptions!$D$7, Lists!$B$7:$C$10, 2, FALSE)</f>
        <v>8277018750</v>
      </c>
      <c r="T82" s="69">
        <f>SUM(T72:T75)*Assumptions!$G$53*3/VLOOKUP(Assumptions!$D$7, Lists!$B$7:$C$10, 2, FALSE)</f>
        <v>8853075000</v>
      </c>
      <c r="U82" s="69">
        <f>SUM(U72:U75)*Assumptions!$G$53*3/VLOOKUP(Assumptions!$D$7, Lists!$B$7:$C$10, 2, FALSE)</f>
        <v>9420468750</v>
      </c>
      <c r="V82" s="92">
        <f>SUM(V72:V75)*Assumptions!$G$53*3/VLOOKUP(Assumptions!$D$7, Lists!$B$7:$C$10, 2, FALSE)</f>
        <v>9979200000</v>
      </c>
      <c r="W82" s="48">
        <f>SUM(S82:V82)</f>
        <v>36529762500</v>
      </c>
      <c r="X82" s="68">
        <f>SUM(X72:X75)*Assumptions!$G$53*3/VLOOKUP(Assumptions!$D$7, Lists!$B$7:$C$10, 2, FALSE)</f>
        <v>10529268750</v>
      </c>
      <c r="Y82" s="69">
        <f>SUM(Y72:Y75)*Assumptions!$G$53*3/VLOOKUP(Assumptions!$D$7, Lists!$B$7:$C$10, 2, FALSE)</f>
        <v>11070675000</v>
      </c>
      <c r="Z82" s="69">
        <f>SUM(Z72:Z75)*Assumptions!$G$53*3/VLOOKUP(Assumptions!$D$7, Lists!$B$7:$C$10, 2, FALSE)</f>
        <v>11603418750</v>
      </c>
      <c r="AA82" s="92">
        <f>SUM(AA72:AA75)*Assumptions!$G$53*3/VLOOKUP(Assumptions!$D$7, Lists!$B$7:$C$10, 2, FALSE)</f>
        <v>12127500000</v>
      </c>
      <c r="AB82" s="48">
        <f>SUM(X82:AA82)</f>
        <v>45330862500</v>
      </c>
      <c r="AC82" s="68">
        <f>SUM(AC72:AC75)*Assumptions!$G$53*3/VLOOKUP(Assumptions!$D$7, Lists!$B$7:$C$10, 2, FALSE)</f>
        <v>12040875000</v>
      </c>
      <c r="AD82" s="69">
        <f>SUM(AD72:AD75)*Assumptions!$G$53*3/VLOOKUP(Assumptions!$D$7, Lists!$B$7:$C$10, 2, FALSE)</f>
        <v>11954250000</v>
      </c>
      <c r="AE82" s="69">
        <f>SUM(AE72:AE75)*Assumptions!$G$53*3/VLOOKUP(Assumptions!$D$7, Lists!$B$7:$C$10, 2, FALSE)</f>
        <v>11867625000</v>
      </c>
      <c r="AF82" s="92">
        <f>SUM(AF72:AF75)*Assumptions!$G$53*3/VLOOKUP(Assumptions!$D$7, Lists!$B$7:$C$10, 2, FALSE)</f>
        <v>11781000000</v>
      </c>
      <c r="AG82" s="48">
        <f>SUM(AC82:AF82)</f>
        <v>47643750000</v>
      </c>
      <c r="AH82" s="68">
        <f>SUM(AH72:AH75)*Assumptions!$G$53*3/VLOOKUP(Assumptions!$D$7, Lists!$B$7:$C$10, 2, FALSE)</f>
        <v>11694375000</v>
      </c>
      <c r="AI82" s="69">
        <f>SUM(AI72:AI75)*Assumptions!$G$53*3/VLOOKUP(Assumptions!$D$7, Lists!$B$7:$C$10, 2, FALSE)</f>
        <v>11607750000</v>
      </c>
      <c r="AJ82" s="69">
        <f>SUM(AJ72:AJ75)*Assumptions!$G$53*3/VLOOKUP(Assumptions!$D$7, Lists!$B$7:$C$10, 2, FALSE)</f>
        <v>11521125000</v>
      </c>
      <c r="AK82" s="92">
        <f>SUM(AK72:AK75)*Assumptions!$G$53*3/VLOOKUP(Assumptions!$D$7, Lists!$B$7:$C$10, 2, FALSE)</f>
        <v>11434500000</v>
      </c>
      <c r="AL82" s="60">
        <f>SUM(AH82:AK82)</f>
        <v>46257750000</v>
      </c>
    </row>
    <row r="83" spans="1:38" s="56" customFormat="1" ht="15.95">
      <c r="A83" s="55"/>
      <c r="C83" s="189" t="s">
        <v>319</v>
      </c>
      <c r="D83" s="68">
        <f>SUM(D72:D75)*Assumptions!$G$54*3/VLOOKUP(Assumptions!$D$7, Lists!$B$7:$C$10, 2, FALSE)</f>
        <v>688668750</v>
      </c>
      <c r="E83" s="69">
        <f>SUM(E72:E75)*Assumptions!$G$54*3/VLOOKUP(Assumptions!$D$7, Lists!$B$7:$C$10, 2, FALSE)</f>
        <v>1368675000</v>
      </c>
      <c r="F83" s="69">
        <f>SUM(F72:F75)*Assumptions!$G$54*3/VLOOKUP(Assumptions!$D$7, Lists!$B$7:$C$10, 2, FALSE)</f>
        <v>2040018750</v>
      </c>
      <c r="G83" s="92">
        <f>SUM(G72:G75)*Assumptions!$G$54*3/VLOOKUP(Assumptions!$D$7, Lists!$B$7:$C$10, 2, FALSE)</f>
        <v>2702700000</v>
      </c>
      <c r="H83" s="91">
        <f>SUM(D83:G83)</f>
        <v>6800062500</v>
      </c>
      <c r="I83" s="68">
        <f>SUM(I72:I75)*Assumptions!$G$54*3/VLOOKUP(Assumptions!$D$7, Lists!$B$7:$C$10, 2, FALSE)</f>
        <v>3356718750</v>
      </c>
      <c r="J83" s="69">
        <f>SUM(J72:J75)*Assumptions!$G$54*3/VLOOKUP(Assumptions!$D$7, Lists!$B$7:$C$10, 2, FALSE)</f>
        <v>4002075000</v>
      </c>
      <c r="K83" s="69">
        <f>SUM(K72:K75)*Assumptions!$G$54*3/VLOOKUP(Assumptions!$D$7, Lists!$B$7:$C$10, 2, FALSE)</f>
        <v>4638768750</v>
      </c>
      <c r="L83" s="92">
        <f>SUM(L72:L75)*Assumptions!$G$54*3/VLOOKUP(Assumptions!$D$7, Lists!$B$7:$C$10, 2, FALSE)</f>
        <v>5266800000</v>
      </c>
      <c r="M83" s="48">
        <f>SUM(I83:L83)</f>
        <v>17264362500</v>
      </c>
      <c r="N83" s="68">
        <f>SUM(N72:N75)*Assumptions!$G$54*3/VLOOKUP(Assumptions!$D$7, Lists!$B$7:$C$10, 2, FALSE)</f>
        <v>5886168750</v>
      </c>
      <c r="O83" s="69">
        <f>SUM(O72:O75)*Assumptions!$G$54*3/VLOOKUP(Assumptions!$D$7, Lists!$B$7:$C$10, 2, FALSE)</f>
        <v>6496875000</v>
      </c>
      <c r="P83" s="69">
        <f>SUM(P72:P75)*Assumptions!$G$54*3/VLOOKUP(Assumptions!$D$7, Lists!$B$7:$C$10, 2, FALSE)</f>
        <v>7098918750</v>
      </c>
      <c r="Q83" s="92">
        <f>SUM(Q72:Q75)*Assumptions!$G$54*3/VLOOKUP(Assumptions!$D$7, Lists!$B$7:$C$10, 2, FALSE)</f>
        <v>7692300000</v>
      </c>
      <c r="R83" s="48">
        <f>SUM(N83:Q83)</f>
        <v>27174262500</v>
      </c>
      <c r="S83" s="68">
        <f>SUM(S72:S75)*Assumptions!$G$54*3/VLOOKUP(Assumptions!$D$7, Lists!$B$7:$C$10, 2, FALSE)</f>
        <v>8277018750</v>
      </c>
      <c r="T83" s="69">
        <f>SUM(T72:T75)*Assumptions!$G$54*3/VLOOKUP(Assumptions!$D$7, Lists!$B$7:$C$10, 2, FALSE)</f>
        <v>8853075000</v>
      </c>
      <c r="U83" s="69">
        <f>SUM(U72:U75)*Assumptions!$G$54*3/VLOOKUP(Assumptions!$D$7, Lists!$B$7:$C$10, 2, FALSE)</f>
        <v>9420468750</v>
      </c>
      <c r="V83" s="92">
        <f>SUM(V72:V75)*Assumptions!$G$54*3/VLOOKUP(Assumptions!$D$7, Lists!$B$7:$C$10, 2, FALSE)</f>
        <v>9979200000</v>
      </c>
      <c r="W83" s="48">
        <f>SUM(S83:V83)</f>
        <v>36529762500</v>
      </c>
      <c r="X83" s="68">
        <f>SUM(X72:X75)*Assumptions!$G$54*3/VLOOKUP(Assumptions!$D$7, Lists!$B$7:$C$10, 2, FALSE)</f>
        <v>10529268750</v>
      </c>
      <c r="Y83" s="69">
        <f>SUM(Y72:Y75)*Assumptions!$G$54*3/VLOOKUP(Assumptions!$D$7, Lists!$B$7:$C$10, 2, FALSE)</f>
        <v>11070675000</v>
      </c>
      <c r="Z83" s="69">
        <f>SUM(Z72:Z75)*Assumptions!$G$54*3/VLOOKUP(Assumptions!$D$7, Lists!$B$7:$C$10, 2, FALSE)</f>
        <v>11603418750</v>
      </c>
      <c r="AA83" s="92">
        <f>SUM(AA72:AA75)*Assumptions!$G$54*3/VLOOKUP(Assumptions!$D$7, Lists!$B$7:$C$10, 2, FALSE)</f>
        <v>12127500000</v>
      </c>
      <c r="AB83" s="48">
        <f>SUM(X83:AA83)</f>
        <v>45330862500</v>
      </c>
      <c r="AC83" s="68">
        <f>SUM(AC72:AC75)*Assumptions!$G$54*3/VLOOKUP(Assumptions!$D$7, Lists!$B$7:$C$10, 2, FALSE)</f>
        <v>12040875000</v>
      </c>
      <c r="AD83" s="69">
        <f>SUM(AD72:AD75)*Assumptions!$G$54*3/VLOOKUP(Assumptions!$D$7, Lists!$B$7:$C$10, 2, FALSE)</f>
        <v>11954250000</v>
      </c>
      <c r="AE83" s="69">
        <f>SUM(AE72:AE75)*Assumptions!$G$54*3/VLOOKUP(Assumptions!$D$7, Lists!$B$7:$C$10, 2, FALSE)</f>
        <v>11867625000</v>
      </c>
      <c r="AF83" s="92">
        <f>SUM(AF72:AF75)*Assumptions!$G$54*3/VLOOKUP(Assumptions!$D$7, Lists!$B$7:$C$10, 2, FALSE)</f>
        <v>11781000000</v>
      </c>
      <c r="AG83" s="48">
        <f>SUM(AC83:AF83)</f>
        <v>47643750000</v>
      </c>
      <c r="AH83" s="68">
        <f>SUM(AH72:AH75)*Assumptions!$G$54*3/VLOOKUP(Assumptions!$D$7, Lists!$B$7:$C$10, 2, FALSE)</f>
        <v>11694375000</v>
      </c>
      <c r="AI83" s="69">
        <f>SUM(AI72:AI75)*Assumptions!$G$54*3/VLOOKUP(Assumptions!$D$7, Lists!$B$7:$C$10, 2, FALSE)</f>
        <v>11607750000</v>
      </c>
      <c r="AJ83" s="69">
        <f>SUM(AJ72:AJ75)*Assumptions!$G$54*3/VLOOKUP(Assumptions!$D$7, Lists!$B$7:$C$10, 2, FALSE)</f>
        <v>11521125000</v>
      </c>
      <c r="AK83" s="92">
        <f>SUM(AK72:AK75)*Assumptions!$G$54*3/VLOOKUP(Assumptions!$D$7, Lists!$B$7:$C$10, 2, FALSE)</f>
        <v>11434500000</v>
      </c>
      <c r="AL83" s="60">
        <f>SUM(AH83:AK83)</f>
        <v>46257750000</v>
      </c>
    </row>
    <row r="84" spans="1:38" s="56" customFormat="1" ht="15.95">
      <c r="A84" s="55"/>
      <c r="C84" s="189" t="s">
        <v>109</v>
      </c>
      <c r="D84" s="68">
        <f>(D79+D80)*Assumptions!$G$35</f>
        <v>22955625</v>
      </c>
      <c r="E84" s="69">
        <f>(E79+E80)*Assumptions!$G$35</f>
        <v>45622500</v>
      </c>
      <c r="F84" s="69">
        <f>(F79+F80)*Assumptions!$G$35</f>
        <v>68000625</v>
      </c>
      <c r="G84" s="92">
        <f>(G79+G80)*Assumptions!$G$35</f>
        <v>90090000</v>
      </c>
      <c r="H84" s="91">
        <f>G84</f>
        <v>90090000</v>
      </c>
      <c r="I84" s="68">
        <f>(I79+I80)*Assumptions!$G$35</f>
        <v>111890625</v>
      </c>
      <c r="J84" s="69">
        <f>(J79+J80)*Assumptions!$G$35</f>
        <v>133402500</v>
      </c>
      <c r="K84" s="69">
        <f>(K79+K80)*Assumptions!$G$35</f>
        <v>154625625</v>
      </c>
      <c r="L84" s="92">
        <f>(L79+L80)*Assumptions!$G$35</f>
        <v>175560000</v>
      </c>
      <c r="M84" s="91">
        <f>L84</f>
        <v>175560000</v>
      </c>
      <c r="N84" s="68">
        <f>(N79+N80)*Assumptions!$G$35</f>
        <v>196205625</v>
      </c>
      <c r="O84" s="69">
        <f>(O79+O80)*Assumptions!$G$35</f>
        <v>216562500</v>
      </c>
      <c r="P84" s="69">
        <f>(P79+P80)*Assumptions!$G$35</f>
        <v>236630625</v>
      </c>
      <c r="Q84" s="92">
        <f>(Q79+Q80)*Assumptions!$G$35</f>
        <v>256410000</v>
      </c>
      <c r="R84" s="91">
        <f>Q84</f>
        <v>256410000</v>
      </c>
      <c r="S84" s="68">
        <f>(S79+S80)*Assumptions!$G$35</f>
        <v>275900625</v>
      </c>
      <c r="T84" s="69">
        <f>(T79+T80)*Assumptions!$G$35</f>
        <v>295102500</v>
      </c>
      <c r="U84" s="69">
        <f>(U79+U80)*Assumptions!$G$35</f>
        <v>314015625</v>
      </c>
      <c r="V84" s="92">
        <f>(V79+V80)*Assumptions!$G$35</f>
        <v>332640000</v>
      </c>
      <c r="W84" s="91">
        <f>V84</f>
        <v>332640000</v>
      </c>
      <c r="X84" s="68">
        <f>(X79+X80)*Assumptions!$G$35</f>
        <v>350975625</v>
      </c>
      <c r="Y84" s="69">
        <f>(Y79+Y80)*Assumptions!$G$35</f>
        <v>369022500</v>
      </c>
      <c r="Z84" s="69">
        <f>(Z79+Z80)*Assumptions!$G$35</f>
        <v>386780625</v>
      </c>
      <c r="AA84" s="92">
        <f>(AA79+AA80)*Assumptions!$G$35</f>
        <v>404250000</v>
      </c>
      <c r="AB84" s="57">
        <f>AA84</f>
        <v>404250000</v>
      </c>
      <c r="AC84" s="68">
        <f>(AC79+AC80)*Assumptions!$G$35</f>
        <v>401362500</v>
      </c>
      <c r="AD84" s="69">
        <f>(AD79+AD80)*Assumptions!$G$35</f>
        <v>398475000</v>
      </c>
      <c r="AE84" s="69">
        <f>(AE79+AE80)*Assumptions!$G$35</f>
        <v>395587500</v>
      </c>
      <c r="AF84" s="92">
        <f>(AF79+AF80)*Assumptions!$G$35</f>
        <v>392700000</v>
      </c>
      <c r="AG84" s="57">
        <f>AF84</f>
        <v>392700000</v>
      </c>
      <c r="AH84" s="68">
        <f>(AH79+AH80)*Assumptions!$G$35</f>
        <v>389812500</v>
      </c>
      <c r="AI84" s="69">
        <f>(AI79+AI80)*Assumptions!$G$35</f>
        <v>386925000</v>
      </c>
      <c r="AJ84" s="69">
        <f>(AJ79+AJ80)*Assumptions!$G$35</f>
        <v>384037500</v>
      </c>
      <c r="AK84" s="92">
        <f>(AK79+AK80)*Assumptions!$G$35</f>
        <v>381150000</v>
      </c>
      <c r="AL84" s="91">
        <f>AK84</f>
        <v>381150000</v>
      </c>
    </row>
    <row r="85" spans="1:38" s="56" customFormat="1" ht="15.95">
      <c r="A85" s="55"/>
      <c r="C85" s="189" t="s">
        <v>320</v>
      </c>
      <c r="D85" s="68">
        <f>SUM(D72:D75)*Assumptions!$G$76/Assumptions!$G$75</f>
        <v>11.477812500000001</v>
      </c>
      <c r="E85" s="69">
        <f>SUM(E72:E75)*Assumptions!$G$76/Assumptions!$G$75</f>
        <v>22.811250000000001</v>
      </c>
      <c r="F85" s="69">
        <f>SUM(F72:F75)*Assumptions!$G$76/Assumptions!$G$75</f>
        <v>34.0003125</v>
      </c>
      <c r="G85" s="92">
        <f>SUM(G72:G75)*Assumptions!$G$76/Assumptions!$G$75</f>
        <v>45.045000000000002</v>
      </c>
      <c r="H85" s="62">
        <f t="shared" ref="H85:H90" si="78">AVERAGE(D85:G85)</f>
        <v>28.333593750000002</v>
      </c>
      <c r="I85" s="68">
        <f>SUM(I72:I75)*Assumptions!$G$76/Assumptions!$G$75</f>
        <v>55.9453125</v>
      </c>
      <c r="J85" s="69">
        <f>SUM(J72:J75)*Assumptions!$G$76/Assumptions!$G$75</f>
        <v>66.701250000000002</v>
      </c>
      <c r="K85" s="69">
        <f>SUM(K72:K75)*Assumptions!$G$76/Assumptions!$G$75</f>
        <v>77.312812500000007</v>
      </c>
      <c r="L85" s="92">
        <f>SUM(L72:L75)*Assumptions!$G$76/Assumptions!$G$75</f>
        <v>87.78</v>
      </c>
      <c r="M85" s="62">
        <f t="shared" ref="M85:M90" si="79">AVERAGE(I85:L85)</f>
        <v>71.934843749999999</v>
      </c>
      <c r="N85" s="68">
        <f>SUM(N72:N75)*Assumptions!$G$76/Assumptions!$G$75</f>
        <v>98.102812499999999</v>
      </c>
      <c r="O85" s="69">
        <f>SUM(O72:O75)*Assumptions!$G$76/Assumptions!$G$75</f>
        <v>108.28125</v>
      </c>
      <c r="P85" s="69">
        <f>SUM(P72:P75)*Assumptions!$G$76/Assumptions!$G$75</f>
        <v>118.3153125</v>
      </c>
      <c r="Q85" s="92">
        <f>SUM(Q72:Q75)*Assumptions!$G$76/Assumptions!$G$75</f>
        <v>128.20500000000001</v>
      </c>
      <c r="R85" s="62">
        <f t="shared" ref="R85:R90" si="80">AVERAGE(N85:Q85)</f>
        <v>113.22609375000002</v>
      </c>
      <c r="S85" s="68">
        <f>SUM(S72:S75)*Assumptions!$G$76/Assumptions!$G$75</f>
        <v>137.9503125</v>
      </c>
      <c r="T85" s="69">
        <f>SUM(T72:T75)*Assumptions!$G$76/Assumptions!$G$75</f>
        <v>147.55125000000001</v>
      </c>
      <c r="U85" s="69">
        <f>SUM(U72:U75)*Assumptions!$G$76/Assumptions!$G$75</f>
        <v>157.0078125</v>
      </c>
      <c r="V85" s="92">
        <f>SUM(V72:V75)*Assumptions!$G$76/Assumptions!$G$75</f>
        <v>166.32</v>
      </c>
      <c r="W85" s="62">
        <f t="shared" ref="W85:W90" si="81">AVERAGE(S85:V85)</f>
        <v>152.20734375000001</v>
      </c>
      <c r="X85" s="68">
        <f>SUM(X72:X75)*Assumptions!$G$76/Assumptions!$G$75</f>
        <v>175.48781249999999</v>
      </c>
      <c r="Y85" s="69">
        <f>SUM(Y72:Y75)*Assumptions!$G$76/Assumptions!$G$75</f>
        <v>184.51124999999999</v>
      </c>
      <c r="Z85" s="69">
        <f>SUM(Z72:Z75)*Assumptions!$G$76/Assumptions!$G$75</f>
        <v>193.39031249999999</v>
      </c>
      <c r="AA85" s="92">
        <f>SUM(AA72:AA75)*Assumptions!$G$76/Assumptions!$G$75</f>
        <v>202.125</v>
      </c>
      <c r="AB85" s="59">
        <f t="shared" ref="AB85:AB90" si="82">AVERAGE(X85:AA85)</f>
        <v>188.87859374999999</v>
      </c>
      <c r="AC85" s="68">
        <f>SUM(AC72:AC75)*Assumptions!$G$76/Assumptions!$G$75</f>
        <v>200.68125000000001</v>
      </c>
      <c r="AD85" s="69">
        <f>SUM(AD72:AD75)*Assumptions!$G$76/Assumptions!$G$75</f>
        <v>199.23750000000001</v>
      </c>
      <c r="AE85" s="69">
        <f>SUM(AE72:AE75)*Assumptions!$G$76/Assumptions!$G$75</f>
        <v>197.79374999999999</v>
      </c>
      <c r="AF85" s="92">
        <f>SUM(AF72:AF75)*Assumptions!$G$76/Assumptions!$G$75</f>
        <v>196.35</v>
      </c>
      <c r="AG85" s="59">
        <f t="shared" ref="AG85:AG90" si="83">AVERAGE(AC85:AF85)</f>
        <v>198.51562500000003</v>
      </c>
      <c r="AH85" s="68">
        <f>SUM(AH72:AH75)*Assumptions!$G$76/Assumptions!$G$75</f>
        <v>194.90625</v>
      </c>
      <c r="AI85" s="69">
        <f>SUM(AI72:AI75)*Assumptions!$G$76/Assumptions!$G$75</f>
        <v>193.46250000000001</v>
      </c>
      <c r="AJ85" s="69">
        <f>SUM(AJ72:AJ75)*Assumptions!$G$76/Assumptions!$G$75</f>
        <v>192.01875000000001</v>
      </c>
      <c r="AK85" s="92">
        <f>SUM(AK72:AK75)*Assumptions!$G$76/Assumptions!$G$75</f>
        <v>190.57499999999999</v>
      </c>
      <c r="AL85" s="62">
        <f t="shared" ref="AL85:AL90" si="84">AVERAGE(AH85:AK85)</f>
        <v>192.74062500000002</v>
      </c>
    </row>
    <row r="86" spans="1:38" s="56" customFormat="1" ht="15.95">
      <c r="A86" s="55"/>
      <c r="C86" s="189" t="s">
        <v>321</v>
      </c>
      <c r="D86" s="68">
        <f>ROUNDUP((SUM(D72:D75)*(1-Assumptions!$G$17))/Assumptions!$G$74,0)</f>
        <v>2</v>
      </c>
      <c r="E86" s="69">
        <f>ROUNDUP((SUM(E72:E75)*(1-Assumptions!$G$17))/Assumptions!$G$74,0)</f>
        <v>3</v>
      </c>
      <c r="F86" s="69">
        <f>ROUNDUP((SUM(F72:F75)*(1-Assumptions!$G$17))/Assumptions!$G$74,0)</f>
        <v>4</v>
      </c>
      <c r="G86" s="92">
        <f>ROUNDUP((SUM(G72:G75)*(1-Assumptions!$G$17))/Assumptions!$G$74,0)</f>
        <v>5</v>
      </c>
      <c r="H86" s="62">
        <f t="shared" si="78"/>
        <v>3.5</v>
      </c>
      <c r="I86" s="68">
        <f>ROUNDUP((SUM(I72:I75)*(1-Assumptions!$G$17))/Assumptions!$G$74,0)</f>
        <v>6</v>
      </c>
      <c r="J86" s="69">
        <f>ROUNDUP((SUM(J72:J75)*(1-Assumptions!$G$17))/Assumptions!$G$74,0)</f>
        <v>7</v>
      </c>
      <c r="K86" s="69">
        <f>ROUNDUP((SUM(K72:K75)*(1-Assumptions!$G$17))/Assumptions!$G$74,0)</f>
        <v>8</v>
      </c>
      <c r="L86" s="92">
        <f>ROUNDUP((SUM(L72:L75)*(1-Assumptions!$G$17))/Assumptions!$G$74,0)</f>
        <v>9</v>
      </c>
      <c r="M86" s="59">
        <f t="shared" si="79"/>
        <v>7.5</v>
      </c>
      <c r="N86" s="68">
        <f>ROUNDUP((SUM(N72:N75)*(1-Assumptions!$G$17))/Assumptions!$G$74,0)</f>
        <v>10</v>
      </c>
      <c r="O86" s="69">
        <f>ROUNDUP((SUM(O72:O75)*(1-Assumptions!$G$17))/Assumptions!$G$74,0)</f>
        <v>11</v>
      </c>
      <c r="P86" s="69">
        <f>ROUNDUP((SUM(P72:P75)*(1-Assumptions!$G$17))/Assumptions!$G$74,0)</f>
        <v>12</v>
      </c>
      <c r="Q86" s="92">
        <f>ROUNDUP((SUM(Q72:Q75)*(1-Assumptions!$G$17))/Assumptions!$G$74,0)</f>
        <v>13</v>
      </c>
      <c r="R86" s="59">
        <f t="shared" si="80"/>
        <v>11.5</v>
      </c>
      <c r="S86" s="68">
        <f>ROUNDUP((SUM(S72:S75)*(1-Assumptions!$G$17))/Assumptions!$G$74,0)</f>
        <v>14</v>
      </c>
      <c r="T86" s="69">
        <f>ROUNDUP((SUM(T72:T75)*(1-Assumptions!$G$17))/Assumptions!$G$74,0)</f>
        <v>15</v>
      </c>
      <c r="U86" s="69">
        <f>ROUNDUP((SUM(U72:U75)*(1-Assumptions!$G$17))/Assumptions!$G$74,0)</f>
        <v>16</v>
      </c>
      <c r="V86" s="92">
        <f>ROUNDUP((SUM(V72:V75)*(1-Assumptions!$G$17))/Assumptions!$G$74,0)</f>
        <v>17</v>
      </c>
      <c r="W86" s="59">
        <f t="shared" si="81"/>
        <v>15.5</v>
      </c>
      <c r="X86" s="68">
        <f>ROUNDUP((SUM(X72:X75)*(1-Assumptions!$G$17))/Assumptions!$G$74,0)</f>
        <v>18</v>
      </c>
      <c r="Y86" s="69">
        <f>ROUNDUP((SUM(Y72:Y75)*(1-Assumptions!$G$17))/Assumptions!$G$74,0)</f>
        <v>19</v>
      </c>
      <c r="Z86" s="69">
        <f>ROUNDUP((SUM(Z72:Z75)*(1-Assumptions!$G$17))/Assumptions!$G$74,0)</f>
        <v>20</v>
      </c>
      <c r="AA86" s="92">
        <f>ROUNDUP((SUM(AA72:AA75)*(1-Assumptions!$G$17))/Assumptions!$G$74,0)</f>
        <v>21</v>
      </c>
      <c r="AB86" s="59">
        <f t="shared" si="82"/>
        <v>19.5</v>
      </c>
      <c r="AC86" s="68">
        <f>ROUNDUP((SUM(AC72:AC75)*(1-Assumptions!$G$17))/Assumptions!$G$74,0)</f>
        <v>21</v>
      </c>
      <c r="AD86" s="69">
        <f>ROUNDUP((SUM(AD72:AD75)*(1-Assumptions!$G$17))/Assumptions!$G$74,0)</f>
        <v>20</v>
      </c>
      <c r="AE86" s="69">
        <f>ROUNDUP((SUM(AE72:AE75)*(1-Assumptions!$G$17))/Assumptions!$G$74,0)</f>
        <v>20</v>
      </c>
      <c r="AF86" s="92">
        <f>ROUNDUP((SUM(AF72:AF75)*(1-Assumptions!$G$17))/Assumptions!$G$74,0)</f>
        <v>20</v>
      </c>
      <c r="AG86" s="59">
        <f t="shared" si="83"/>
        <v>20.25</v>
      </c>
      <c r="AH86" s="68">
        <f>ROUNDUP((SUM(AH72:AH75)*(1-Assumptions!$G$17))/Assumptions!$G$74,0)</f>
        <v>20</v>
      </c>
      <c r="AI86" s="69">
        <f>ROUNDUP((SUM(AI72:AI75)*(1-Assumptions!$G$17))/Assumptions!$G$74,0)</f>
        <v>20</v>
      </c>
      <c r="AJ86" s="69">
        <f>ROUNDUP((SUM(AJ72:AJ75)*(1-Assumptions!$G$17))/Assumptions!$G$74,0)</f>
        <v>20</v>
      </c>
      <c r="AK86" s="92">
        <f>ROUNDUP((SUM(AK72:AK75)*(1-Assumptions!$G$17))/Assumptions!$G$74,0)</f>
        <v>20</v>
      </c>
      <c r="AL86" s="59">
        <f t="shared" si="84"/>
        <v>20</v>
      </c>
    </row>
    <row r="87" spans="1:38" ht="15.95">
      <c r="A87" s="36"/>
      <c r="B87" s="37"/>
      <c r="C87" s="189" t="s">
        <v>322</v>
      </c>
      <c r="D87" s="70">
        <f>ROUNDUP(SUM(D72:D75)*(1-Assumptions!$G$17)/Assumptions!$G$64,0)</f>
        <v>6</v>
      </c>
      <c r="E87" s="71">
        <f>ROUNDUP(SUM(E72:E75)*(1-Assumptions!$G$17)/Assumptions!$G$64,0)</f>
        <v>12</v>
      </c>
      <c r="F87" s="71">
        <f>ROUNDUP(SUM(F72:F75)*(1-Assumptions!$G$17)/Assumptions!$G$64,0)</f>
        <v>18</v>
      </c>
      <c r="G87" s="93">
        <f>ROUNDUP(SUM(G72:G75)*(1-Assumptions!$G$17)/Assumptions!$G$64,0)</f>
        <v>23</v>
      </c>
      <c r="H87" s="62">
        <f t="shared" si="78"/>
        <v>14.75</v>
      </c>
      <c r="I87" s="70">
        <f>ROUNDUP(SUM(I72:I75)*(1-Assumptions!$G$17)/Assumptions!$G$64,0)</f>
        <v>28</v>
      </c>
      <c r="J87" s="71">
        <f>ROUNDUP(SUM(J72:J75)*(1-Assumptions!$G$17)/Assumptions!$G$64,0)</f>
        <v>34</v>
      </c>
      <c r="K87" s="71">
        <f>ROUNDUP(SUM(K72:K75)*(1-Assumptions!$G$17)/Assumptions!$G$64,0)</f>
        <v>39</v>
      </c>
      <c r="L87" s="93">
        <f>ROUNDUP(SUM(L72:L75)*(1-Assumptions!$G$17)/Assumptions!$G$64,0)</f>
        <v>44</v>
      </c>
      <c r="M87" s="59">
        <f t="shared" si="79"/>
        <v>36.25</v>
      </c>
      <c r="N87" s="70">
        <f>ROUNDUP(SUM(N72:N75)*(1-Assumptions!$G$17)/Assumptions!$G$64,0)</f>
        <v>50</v>
      </c>
      <c r="O87" s="71">
        <f>ROUNDUP(SUM(O72:O75)*(1-Assumptions!$G$17)/Assumptions!$G$64,0)</f>
        <v>55</v>
      </c>
      <c r="P87" s="71">
        <f>ROUNDUP(SUM(P72:P75)*(1-Assumptions!$G$17)/Assumptions!$G$64,0)</f>
        <v>60</v>
      </c>
      <c r="Q87" s="93">
        <f>ROUNDUP(SUM(Q72:Q75)*(1-Assumptions!$G$17)/Assumptions!$G$64,0)</f>
        <v>65</v>
      </c>
      <c r="R87" s="59">
        <f t="shared" si="80"/>
        <v>57.5</v>
      </c>
      <c r="S87" s="70">
        <f>ROUNDUP(SUM(S72:S75)*(1-Assumptions!$G$17)/Assumptions!$G$64,0)</f>
        <v>69</v>
      </c>
      <c r="T87" s="71">
        <f>ROUNDUP(SUM(T72:T75)*(1-Assumptions!$G$17)/Assumptions!$G$64,0)</f>
        <v>74</v>
      </c>
      <c r="U87" s="71">
        <f>ROUNDUP(SUM(U72:U75)*(1-Assumptions!$G$17)/Assumptions!$G$64,0)</f>
        <v>79</v>
      </c>
      <c r="V87" s="93">
        <f>ROUNDUP(SUM(V72:V75)*(1-Assumptions!$G$17)/Assumptions!$G$64,0)</f>
        <v>84</v>
      </c>
      <c r="W87" s="59">
        <f t="shared" si="81"/>
        <v>76.5</v>
      </c>
      <c r="X87" s="70">
        <f>ROUNDUP(SUM(X72:X75)*(1-Assumptions!$G$17)/Assumptions!$G$64,0)</f>
        <v>88</v>
      </c>
      <c r="Y87" s="71">
        <f>ROUNDUP(SUM(Y72:Y75)*(1-Assumptions!$G$17)/Assumptions!$G$64,0)</f>
        <v>93</v>
      </c>
      <c r="Z87" s="71">
        <f>ROUNDUP(SUM(Z72:Z75)*(1-Assumptions!$G$17)/Assumptions!$G$64,0)</f>
        <v>97</v>
      </c>
      <c r="AA87" s="93">
        <f>ROUNDUP(SUM(AA72:AA75)*(1-Assumptions!$G$17)/Assumptions!$G$64,0)</f>
        <v>102</v>
      </c>
      <c r="AB87" s="59">
        <f t="shared" si="82"/>
        <v>95</v>
      </c>
      <c r="AC87" s="70">
        <f>ROUNDUP(SUM(AC72:AC75)*(1-Assumptions!$G$17)/Assumptions!$G$64,0)</f>
        <v>101</v>
      </c>
      <c r="AD87" s="71">
        <f>ROUNDUP(SUM(AD72:AD75)*(1-Assumptions!$G$17)/Assumptions!$G$64,0)</f>
        <v>100</v>
      </c>
      <c r="AE87" s="71">
        <f>ROUNDUP(SUM(AE72:AE75)*(1-Assumptions!$G$17)/Assumptions!$G$64,0)</f>
        <v>99</v>
      </c>
      <c r="AF87" s="93">
        <f>ROUNDUP(SUM(AF72:AF75)*(1-Assumptions!$G$17)/Assumptions!$G$64,0)</f>
        <v>99</v>
      </c>
      <c r="AG87" s="59">
        <f t="shared" si="83"/>
        <v>99.75</v>
      </c>
      <c r="AH87" s="70">
        <f>ROUNDUP(SUM(AH72:AH75)*(1-Assumptions!$G$17)/Assumptions!$G$64,0)</f>
        <v>98</v>
      </c>
      <c r="AI87" s="71">
        <f>ROUNDUP(SUM(AI72:AI75)*(1-Assumptions!$G$17)/Assumptions!$G$64,0)</f>
        <v>97</v>
      </c>
      <c r="AJ87" s="71">
        <f>ROUNDUP(SUM(AJ72:AJ75)*(1-Assumptions!$G$17)/Assumptions!$G$64,0)</f>
        <v>97</v>
      </c>
      <c r="AK87" s="93">
        <f>ROUNDUP(SUM(AK72:AK75)*(1-Assumptions!$G$17)/Assumptions!$G$64,0)</f>
        <v>96</v>
      </c>
      <c r="AL87" s="62">
        <f t="shared" si="84"/>
        <v>97</v>
      </c>
    </row>
    <row r="88" spans="1:38" s="56" customFormat="1" ht="15.95">
      <c r="A88" s="31"/>
      <c r="B88" s="32"/>
      <c r="C88" s="189" t="s">
        <v>323</v>
      </c>
      <c r="D88" s="68">
        <f>ROUNDUP(SUM(D72:D75)*(Assumptions!$G$17)/Assumptions!$G$65,0)</f>
        <v>3</v>
      </c>
      <c r="E88" s="69">
        <f>ROUNDUP(SUM(E72:E75)*(Assumptions!$G$17)/Assumptions!$G$65,0)</f>
        <v>5</v>
      </c>
      <c r="F88" s="69">
        <f>ROUNDUP(SUM(F72:F75)*(Assumptions!$G$17)/Assumptions!$G$65,0)</f>
        <v>7</v>
      </c>
      <c r="G88" s="92">
        <f>ROUNDUP(SUM(G72:G75)*(Assumptions!$G$17)/Assumptions!$G$65,0)</f>
        <v>10</v>
      </c>
      <c r="H88" s="62">
        <f t="shared" si="78"/>
        <v>6.25</v>
      </c>
      <c r="I88" s="68">
        <f>ROUNDUP(SUM(I72:I75)*(Assumptions!$G$17)/Assumptions!$G$65,0)</f>
        <v>12</v>
      </c>
      <c r="J88" s="69">
        <f>ROUNDUP(SUM(J72:J75)*(Assumptions!$G$17)/Assumptions!$G$65,0)</f>
        <v>14</v>
      </c>
      <c r="K88" s="69">
        <f>ROUNDUP(SUM(K72:K75)*(Assumptions!$G$17)/Assumptions!$G$65,0)</f>
        <v>16</v>
      </c>
      <c r="L88" s="92">
        <f>ROUNDUP(SUM(L72:L75)*(Assumptions!$G$17)/Assumptions!$G$65,0)</f>
        <v>18</v>
      </c>
      <c r="M88" s="59">
        <f t="shared" si="79"/>
        <v>15</v>
      </c>
      <c r="N88" s="68">
        <f>ROUNDUP(SUM(N72:N75)*(Assumptions!$G$17)/Assumptions!$G$65,0)</f>
        <v>20</v>
      </c>
      <c r="O88" s="69">
        <f>ROUNDUP(SUM(O72:O75)*(Assumptions!$G$17)/Assumptions!$G$65,0)</f>
        <v>22</v>
      </c>
      <c r="P88" s="69">
        <f>ROUNDUP(SUM(P72:P75)*(Assumptions!$G$17)/Assumptions!$G$65,0)</f>
        <v>24</v>
      </c>
      <c r="Q88" s="92">
        <f>ROUNDUP(SUM(Q72:Q75)*(Assumptions!$G$17)/Assumptions!$G$65,0)</f>
        <v>26</v>
      </c>
      <c r="R88" s="59">
        <f t="shared" si="80"/>
        <v>23</v>
      </c>
      <c r="S88" s="68">
        <f>ROUNDUP(SUM(S72:S75)*(Assumptions!$G$17)/Assumptions!$G$65,0)</f>
        <v>28</v>
      </c>
      <c r="T88" s="69">
        <f>ROUNDUP(SUM(T72:T75)*(Assumptions!$G$17)/Assumptions!$G$65,0)</f>
        <v>30</v>
      </c>
      <c r="U88" s="69">
        <f>ROUNDUP(SUM(U72:U75)*(Assumptions!$G$17)/Assumptions!$G$65,0)</f>
        <v>32</v>
      </c>
      <c r="V88" s="92">
        <f>ROUNDUP(SUM(V72:V75)*(Assumptions!$G$17)/Assumptions!$G$65,0)</f>
        <v>34</v>
      </c>
      <c r="W88" s="59">
        <f t="shared" si="81"/>
        <v>31</v>
      </c>
      <c r="X88" s="68">
        <f>ROUNDUP(SUM(X72:X75)*(Assumptions!$G$17)/Assumptions!$G$65,0)</f>
        <v>36</v>
      </c>
      <c r="Y88" s="69">
        <f>ROUNDUP(SUM(Y72:Y75)*(Assumptions!$G$17)/Assumptions!$G$65,0)</f>
        <v>37</v>
      </c>
      <c r="Z88" s="69">
        <f>ROUNDUP(SUM(Z72:Z75)*(Assumptions!$G$17)/Assumptions!$G$65,0)</f>
        <v>39</v>
      </c>
      <c r="AA88" s="92">
        <f>ROUNDUP(SUM(AA72:AA75)*(Assumptions!$G$17)/Assumptions!$G$65,0)</f>
        <v>41</v>
      </c>
      <c r="AB88" s="59">
        <f t="shared" si="82"/>
        <v>38.25</v>
      </c>
      <c r="AC88" s="68">
        <f>ROUNDUP(SUM(AC72:AC75)*(Assumptions!$G$17)/Assumptions!$G$65,0)</f>
        <v>41</v>
      </c>
      <c r="AD88" s="69">
        <f>ROUNDUP(SUM(AD72:AD75)*(Assumptions!$G$17)/Assumptions!$G$65,0)</f>
        <v>40</v>
      </c>
      <c r="AE88" s="69">
        <f>ROUNDUP(SUM(AE72:AE75)*(Assumptions!$G$17)/Assumptions!$G$65,0)</f>
        <v>40</v>
      </c>
      <c r="AF88" s="92">
        <f>ROUNDUP(SUM(AF72:AF75)*(Assumptions!$G$17)/Assumptions!$G$65,0)</f>
        <v>40</v>
      </c>
      <c r="AG88" s="59">
        <f t="shared" si="83"/>
        <v>40.25</v>
      </c>
      <c r="AH88" s="68">
        <f>ROUNDUP(SUM(AH72:AH75)*(Assumptions!$G$17)/Assumptions!$G$65,0)</f>
        <v>39</v>
      </c>
      <c r="AI88" s="69">
        <f>ROUNDUP(SUM(AI72:AI75)*(Assumptions!$G$17)/Assumptions!$G$65,0)</f>
        <v>39</v>
      </c>
      <c r="AJ88" s="69">
        <f>ROUNDUP(SUM(AJ72:AJ75)*(Assumptions!$G$17)/Assumptions!$G$65,0)</f>
        <v>39</v>
      </c>
      <c r="AK88" s="92">
        <f>ROUNDUP(SUM(AK72:AK75)*(Assumptions!$G$17)/Assumptions!$G$65,0)</f>
        <v>39</v>
      </c>
      <c r="AL88" s="62">
        <f t="shared" si="84"/>
        <v>39</v>
      </c>
    </row>
    <row r="89" spans="1:38" s="56" customFormat="1" ht="15.95">
      <c r="A89" s="31"/>
      <c r="B89" s="32"/>
      <c r="C89" s="189" t="s">
        <v>324</v>
      </c>
      <c r="D89" s="68">
        <f>ROUNDUP(SUM(D72:D75)*(AVERAGE(Assumptions!$D$41:$G$44)+Assumptions!$G$46+Assumptions!$G$48)/Assumptions!$G$67,0)</f>
        <v>2</v>
      </c>
      <c r="E89" s="69">
        <f>ROUNDUP(SUM(E72:E75)*(AVERAGE(Assumptions!$D$41:$G$44)+Assumptions!$G$46+Assumptions!$G$48)/Assumptions!$G$67,0)</f>
        <v>3</v>
      </c>
      <c r="F89" s="69">
        <f>ROUNDUP(SUM(F72:F75)*(AVERAGE(Assumptions!$D$41:$G$44)+Assumptions!$G$46+Assumptions!$G$48)/Assumptions!$G$67,0)</f>
        <v>4</v>
      </c>
      <c r="G89" s="92">
        <f>ROUNDUP(SUM(G72:G75)*(AVERAGE(Assumptions!$D$41:$G$44)+Assumptions!$G$46+Assumptions!$G$48)/Assumptions!$G$67,0)</f>
        <v>5</v>
      </c>
      <c r="H89" s="62">
        <f t="shared" si="78"/>
        <v>3.5</v>
      </c>
      <c r="I89" s="68">
        <f>ROUNDUP(SUM(I72:I75)*(AVERAGE(Assumptions!$D$41:$G$44)+Assumptions!$G$46+Assumptions!$G$48)/Assumptions!$G$67,0)</f>
        <v>7</v>
      </c>
      <c r="J89" s="69">
        <f>ROUNDUP(SUM(J72:J75)*(AVERAGE(Assumptions!$D$41:$G$44)+Assumptions!$G$46+Assumptions!$G$48)/Assumptions!$G$67,0)</f>
        <v>8</v>
      </c>
      <c r="K89" s="69">
        <f>ROUNDUP(SUM(K72:K75)*(AVERAGE(Assumptions!$D$41:$G$44)+Assumptions!$G$46+Assumptions!$G$48)/Assumptions!$G$67,0)</f>
        <v>9</v>
      </c>
      <c r="L89" s="92">
        <f>ROUNDUP(SUM(L72:L75)*(AVERAGE(Assumptions!$D$41:$G$44)+Assumptions!$G$46+Assumptions!$G$48)/Assumptions!$G$67,0)</f>
        <v>10</v>
      </c>
      <c r="M89" s="59">
        <f t="shared" si="79"/>
        <v>8.5</v>
      </c>
      <c r="N89" s="68">
        <f>ROUNDUP(SUM(N72:N75)*(AVERAGE(Assumptions!$D$41:$G$44)+Assumptions!$G$46+Assumptions!$G$48)/Assumptions!$G$67,0)</f>
        <v>11</v>
      </c>
      <c r="O89" s="69">
        <f>ROUNDUP(SUM(O72:O75)*(AVERAGE(Assumptions!$D$41:$G$44)+Assumptions!$G$46+Assumptions!$G$48)/Assumptions!$G$67,0)</f>
        <v>12</v>
      </c>
      <c r="P89" s="69">
        <f>ROUNDUP(SUM(P72:P75)*(AVERAGE(Assumptions!$D$41:$G$44)+Assumptions!$G$46+Assumptions!$G$48)/Assumptions!$G$67,0)</f>
        <v>14</v>
      </c>
      <c r="Q89" s="92">
        <f>ROUNDUP(SUM(Q72:Q75)*(AVERAGE(Assumptions!$D$41:$G$44)+Assumptions!$G$46+Assumptions!$G$48)/Assumptions!$G$67,0)</f>
        <v>15</v>
      </c>
      <c r="R89" s="59">
        <f t="shared" si="80"/>
        <v>13</v>
      </c>
      <c r="S89" s="68">
        <f>ROUNDUP(SUM(S72:S75)*(AVERAGE(Assumptions!$D$41:$G$44)+Assumptions!$G$46+Assumptions!$G$48)/Assumptions!$G$67,0)</f>
        <v>16</v>
      </c>
      <c r="T89" s="69">
        <f>ROUNDUP(SUM(T72:T75)*(AVERAGE(Assumptions!$D$41:$G$44)+Assumptions!$G$46+Assumptions!$G$48)/Assumptions!$G$67,0)</f>
        <v>17</v>
      </c>
      <c r="U89" s="69">
        <f>ROUNDUP(SUM(U72:U75)*(AVERAGE(Assumptions!$D$41:$G$44)+Assumptions!$G$46+Assumptions!$G$48)/Assumptions!$G$67,0)</f>
        <v>18</v>
      </c>
      <c r="V89" s="92">
        <f>ROUNDUP(SUM(V72:V75)*(AVERAGE(Assumptions!$D$41:$G$44)+Assumptions!$G$46+Assumptions!$G$48)/Assumptions!$G$67,0)</f>
        <v>19</v>
      </c>
      <c r="W89" s="59">
        <f t="shared" si="81"/>
        <v>17.5</v>
      </c>
      <c r="X89" s="68">
        <f>ROUNDUP(SUM(X72:X75)*(AVERAGE(Assumptions!$D$41:$G$44)+Assumptions!$G$46+Assumptions!$G$48)/Assumptions!$G$67,0)</f>
        <v>20</v>
      </c>
      <c r="Y89" s="69">
        <f>ROUNDUP(SUM(Y72:Y75)*(AVERAGE(Assumptions!$D$41:$G$44)+Assumptions!$G$46+Assumptions!$G$48)/Assumptions!$G$67,0)</f>
        <v>21</v>
      </c>
      <c r="Z89" s="69">
        <f>ROUNDUP(SUM(Z72:Z75)*(AVERAGE(Assumptions!$D$41:$G$44)+Assumptions!$G$46+Assumptions!$G$48)/Assumptions!$G$67,0)</f>
        <v>22</v>
      </c>
      <c r="AA89" s="92">
        <f>ROUNDUP(SUM(AA72:AA75)*(AVERAGE(Assumptions!$D$41:$G$44)+Assumptions!$G$46+Assumptions!$G$48)/Assumptions!$G$67,0)</f>
        <v>23</v>
      </c>
      <c r="AB89" s="59">
        <f t="shared" si="82"/>
        <v>21.5</v>
      </c>
      <c r="AC89" s="68">
        <f>ROUNDUP(SUM(AC72:AC75)*(AVERAGE(Assumptions!$D$41:$G$44)+Assumptions!$G$46+Assumptions!$G$48)/Assumptions!$G$67,0)</f>
        <v>23</v>
      </c>
      <c r="AD89" s="69">
        <f>ROUNDUP(SUM(AD72:AD75)*(AVERAGE(Assumptions!$D$41:$G$44)+Assumptions!$G$46+Assumptions!$G$48)/Assumptions!$G$67,0)</f>
        <v>22</v>
      </c>
      <c r="AE89" s="69">
        <f>ROUNDUP(SUM(AE72:AE75)*(AVERAGE(Assumptions!$D$41:$G$44)+Assumptions!$G$46+Assumptions!$G$48)/Assumptions!$G$67,0)</f>
        <v>22</v>
      </c>
      <c r="AF89" s="92">
        <f>ROUNDUP(SUM(AF72:AF75)*(AVERAGE(Assumptions!$D$41:$G$44)+Assumptions!$G$46+Assumptions!$G$48)/Assumptions!$G$67,0)</f>
        <v>22</v>
      </c>
      <c r="AG89" s="59">
        <f t="shared" si="83"/>
        <v>22.25</v>
      </c>
      <c r="AH89" s="68">
        <f>ROUNDUP(SUM(AH72:AH75)*(AVERAGE(Assumptions!$D$41:$G$44)+Assumptions!$G$46+Assumptions!$G$48)/Assumptions!$G$67,0)</f>
        <v>22</v>
      </c>
      <c r="AI89" s="69">
        <f>ROUNDUP(SUM(AI72:AI75)*(AVERAGE(Assumptions!$D$41:$G$44)+Assumptions!$G$46+Assumptions!$G$48)/Assumptions!$G$67,0)</f>
        <v>22</v>
      </c>
      <c r="AJ89" s="69">
        <f>ROUNDUP(SUM(AJ72:AJ75)*(AVERAGE(Assumptions!$D$41:$G$44)+Assumptions!$G$46+Assumptions!$G$48)/Assumptions!$G$67,0)</f>
        <v>22</v>
      </c>
      <c r="AK89" s="92">
        <f>ROUNDUP(SUM(AK72:AK75)*(AVERAGE(Assumptions!$D$41:$G$44)+Assumptions!$G$46+Assumptions!$G$48)/Assumptions!$G$67,0)</f>
        <v>21</v>
      </c>
      <c r="AL89" s="62">
        <f t="shared" si="84"/>
        <v>21.75</v>
      </c>
    </row>
    <row r="90" spans="1:38" s="56" customFormat="1" ht="17.100000000000001" thickBot="1">
      <c r="A90" s="190"/>
      <c r="B90" s="191"/>
      <c r="C90" s="192" t="s">
        <v>325</v>
      </c>
      <c r="D90" s="94">
        <f>ROUNDUP(SUM(D72:D75)/Assumptions!$G$67,0)</f>
        <v>3</v>
      </c>
      <c r="E90" s="95">
        <f>ROUNDUP(SUM(E72:E75)/Assumptions!$G$67,0)</f>
        <v>5</v>
      </c>
      <c r="F90" s="95">
        <f>ROUNDUP(SUM(F72:F75)/Assumptions!$G$67,0)</f>
        <v>7</v>
      </c>
      <c r="G90" s="96">
        <f>ROUNDUP(SUM(G72:G75)/Assumptions!$G$67,0)</f>
        <v>10</v>
      </c>
      <c r="H90" s="98">
        <f t="shared" si="78"/>
        <v>6.25</v>
      </c>
      <c r="I90" s="94">
        <f>ROUNDUP(SUM(I72:I75)/Assumptions!$G$67,0)</f>
        <v>12</v>
      </c>
      <c r="J90" s="95">
        <f>ROUNDUP(SUM(J72:J75)/Assumptions!$G$67,0)</f>
        <v>14</v>
      </c>
      <c r="K90" s="95">
        <f>ROUNDUP(SUM(K72:K75)/Assumptions!$G$67,0)</f>
        <v>16</v>
      </c>
      <c r="L90" s="96">
        <f>ROUNDUP(SUM(L72:L75)/Assumptions!$G$67,0)</f>
        <v>18</v>
      </c>
      <c r="M90" s="99">
        <f t="shared" si="79"/>
        <v>15</v>
      </c>
      <c r="N90" s="94">
        <f>ROUNDUP(SUM(N72:N75)/Assumptions!$G$67,0)</f>
        <v>20</v>
      </c>
      <c r="O90" s="95">
        <f>ROUNDUP(SUM(O72:O75)/Assumptions!$G$67,0)</f>
        <v>22</v>
      </c>
      <c r="P90" s="95">
        <f>ROUNDUP(SUM(P72:P75)/Assumptions!$G$67,0)</f>
        <v>24</v>
      </c>
      <c r="Q90" s="96">
        <f>ROUNDUP(SUM(Q72:Q75)/Assumptions!$G$67,0)</f>
        <v>26</v>
      </c>
      <c r="R90" s="99">
        <f t="shared" si="80"/>
        <v>23</v>
      </c>
      <c r="S90" s="94">
        <f>ROUNDUP(SUM(S72:S75)/Assumptions!$G$67,0)</f>
        <v>28</v>
      </c>
      <c r="T90" s="95">
        <f>ROUNDUP(SUM(T72:T75)/Assumptions!$G$67,0)</f>
        <v>30</v>
      </c>
      <c r="U90" s="95">
        <f>ROUNDUP(SUM(U72:U75)/Assumptions!$G$67,0)</f>
        <v>32</v>
      </c>
      <c r="V90" s="96">
        <f>ROUNDUP(SUM(V72:V75)/Assumptions!$G$67,0)</f>
        <v>34</v>
      </c>
      <c r="W90" s="99">
        <f t="shared" si="81"/>
        <v>31</v>
      </c>
      <c r="X90" s="94">
        <f>ROUNDUP(SUM(X72:X75)/Assumptions!$G$67,0)</f>
        <v>36</v>
      </c>
      <c r="Y90" s="95">
        <f>ROUNDUP(SUM(Y72:Y75)/Assumptions!$G$67,0)</f>
        <v>37</v>
      </c>
      <c r="Z90" s="95">
        <f>ROUNDUP(SUM(Z72:Z75)/Assumptions!$G$67,0)</f>
        <v>39</v>
      </c>
      <c r="AA90" s="96">
        <f>ROUNDUP(SUM(AA72:AA75)/Assumptions!$G$67,0)</f>
        <v>41</v>
      </c>
      <c r="AB90" s="99">
        <f t="shared" si="82"/>
        <v>38.25</v>
      </c>
      <c r="AC90" s="94">
        <f>ROUNDUP(SUM(AC72:AC75)/Assumptions!$G$67,0)</f>
        <v>41</v>
      </c>
      <c r="AD90" s="95">
        <f>ROUNDUP(SUM(AD72:AD75)/Assumptions!$G$67,0)</f>
        <v>40</v>
      </c>
      <c r="AE90" s="95">
        <f>ROUNDUP(SUM(AE72:AE75)/Assumptions!$G$67,0)</f>
        <v>40</v>
      </c>
      <c r="AF90" s="96">
        <f>ROUNDUP(SUM(AF72:AF75)/Assumptions!$G$67,0)</f>
        <v>40</v>
      </c>
      <c r="AG90" s="99">
        <f t="shared" si="83"/>
        <v>40.25</v>
      </c>
      <c r="AH90" s="94">
        <f>ROUNDUP(SUM(AH72:AH75)/Assumptions!$G$67,0)</f>
        <v>39</v>
      </c>
      <c r="AI90" s="95">
        <f>ROUNDUP(SUM(AI72:AI75)/Assumptions!$G$67,0)</f>
        <v>39</v>
      </c>
      <c r="AJ90" s="95">
        <f>ROUNDUP(SUM(AJ72:AJ75)/Assumptions!$G$67,0)</f>
        <v>39</v>
      </c>
      <c r="AK90" s="96">
        <f>ROUNDUP(SUM(AK72:AK75)/Assumptions!$G$67,0)</f>
        <v>39</v>
      </c>
      <c r="AL90" s="98">
        <f t="shared" si="84"/>
        <v>39</v>
      </c>
    </row>
    <row r="91" spans="1:38">
      <c r="AL91" s="32">
        <f>SUM(AL5:AL90)-SUM('Key financial and ops fig.s LCY'!AL5:AL90)</f>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91E1-1FAA-441F-8DE4-A3241520086D}">
  <sheetPr>
    <tabColor theme="8" tint="-0.249977111117893"/>
  </sheetPr>
  <dimension ref="A1:AL90"/>
  <sheetViews>
    <sheetView topLeftCell="Q1" workbookViewId="0">
      <selection activeCell="C3" sqref="C3"/>
    </sheetView>
  </sheetViews>
  <sheetFormatPr defaultColWidth="9" defaultRowHeight="15" outlineLevelRow="2" outlineLevelCol="1"/>
  <cols>
    <col min="1" max="2" width="2.7109375" style="32" customWidth="1"/>
    <col min="3" max="3" width="51.85546875" style="32" customWidth="1"/>
    <col min="4" max="7" width="16.7109375" style="32" customWidth="1" outlineLevel="1"/>
    <col min="8" max="8" width="16.7109375" style="32" customWidth="1"/>
    <col min="9" max="12" width="16.7109375" style="32" customWidth="1" outlineLevel="1"/>
    <col min="13" max="13" width="16.7109375" style="32" customWidth="1"/>
    <col min="14" max="17" width="16.7109375" style="32" customWidth="1" outlineLevel="1"/>
    <col min="18" max="18" width="16.7109375" style="32" customWidth="1"/>
    <col min="19" max="22" width="16.7109375" style="32" customWidth="1" outlineLevel="1"/>
    <col min="23" max="23" width="16.7109375" style="32" customWidth="1"/>
    <col min="24" max="27" width="16.7109375" style="32" customWidth="1" outlineLevel="1"/>
    <col min="28" max="28" width="16.7109375" style="32" customWidth="1"/>
    <col min="29" max="32" width="16.7109375" style="32" customWidth="1" outlineLevel="1"/>
    <col min="33" max="33" width="16.7109375" style="32" customWidth="1"/>
    <col min="34" max="37" width="16.7109375" style="32" customWidth="1" outlineLevel="1"/>
    <col min="38" max="38" width="16.7109375" style="32" customWidth="1"/>
    <col min="39" max="45" width="9" style="32"/>
    <col min="46" max="46" width="11.28515625" style="32" bestFit="1" customWidth="1"/>
    <col min="47" max="48" width="10.7109375" style="32" bestFit="1" customWidth="1"/>
    <col min="49" max="52" width="12.140625" style="32" bestFit="1" customWidth="1"/>
    <col min="53" max="16384" width="9" style="32"/>
  </cols>
  <sheetData>
    <row r="1" spans="1:38" s="3" customFormat="1" ht="86.1" customHeight="1">
      <c r="B1" s="4"/>
    </row>
    <row r="2" spans="1:38" s="3" customFormat="1" ht="15.95">
      <c r="B2" s="4"/>
      <c r="C2" s="3" t="s">
        <v>0</v>
      </c>
    </row>
    <row r="3" spans="1:38" s="5" customFormat="1" ht="15.95">
      <c r="B3" s="6"/>
      <c r="C3" s="5" t="str">
        <f>IF(Assumptions!D9&lt;&gt;Lists!B2,CONCATENATE("Modelled outputs- ",Assumptions!D9," of ",Assumptions!D8),CONCATENATE("Modelled outputs- in ",Assumptions!D8))</f>
        <v>Modelled outputs- in USD</v>
      </c>
    </row>
    <row r="4" spans="1:38" ht="15.95" thickBot="1"/>
    <row r="5" spans="1:38" ht="17.100000000000001" thickBot="1">
      <c r="A5" s="88" t="s">
        <v>213</v>
      </c>
      <c r="B5" s="29"/>
      <c r="C5" s="30"/>
      <c r="D5" s="187" t="s">
        <v>214</v>
      </c>
      <c r="E5" s="187" t="s">
        <v>215</v>
      </c>
      <c r="F5" s="187" t="s">
        <v>216</v>
      </c>
      <c r="G5" s="187" t="s">
        <v>217</v>
      </c>
      <c r="H5" s="43" t="s">
        <v>218</v>
      </c>
      <c r="I5" s="187" t="s">
        <v>219</v>
      </c>
      <c r="J5" s="187" t="s">
        <v>220</v>
      </c>
      <c r="K5" s="187" t="s">
        <v>221</v>
      </c>
      <c r="L5" s="187" t="s">
        <v>222</v>
      </c>
      <c r="M5" s="43" t="s">
        <v>223</v>
      </c>
      <c r="N5" s="187" t="s">
        <v>224</v>
      </c>
      <c r="O5" s="187" t="s">
        <v>225</v>
      </c>
      <c r="P5" s="187" t="s">
        <v>226</v>
      </c>
      <c r="Q5" s="187" t="s">
        <v>227</v>
      </c>
      <c r="R5" s="43" t="s">
        <v>228</v>
      </c>
      <c r="S5" s="187" t="s">
        <v>229</v>
      </c>
      <c r="T5" s="187" t="s">
        <v>230</v>
      </c>
      <c r="U5" s="187" t="s">
        <v>231</v>
      </c>
      <c r="V5" s="187" t="s">
        <v>232</v>
      </c>
      <c r="W5" s="43" t="s">
        <v>233</v>
      </c>
      <c r="X5" s="187" t="s">
        <v>234</v>
      </c>
      <c r="Y5" s="187" t="s">
        <v>235</v>
      </c>
      <c r="Z5" s="187" t="s">
        <v>236</v>
      </c>
      <c r="AA5" s="187" t="s">
        <v>237</v>
      </c>
      <c r="AB5" s="43" t="s">
        <v>238</v>
      </c>
      <c r="AC5" s="187" t="s">
        <v>239</v>
      </c>
      <c r="AD5" s="187" t="s">
        <v>240</v>
      </c>
      <c r="AE5" s="187" t="s">
        <v>241</v>
      </c>
      <c r="AF5" s="187" t="s">
        <v>242</v>
      </c>
      <c r="AG5" s="43" t="s">
        <v>243</v>
      </c>
      <c r="AH5" s="187" t="s">
        <v>244</v>
      </c>
      <c r="AI5" s="187" t="s">
        <v>245</v>
      </c>
      <c r="AJ5" s="187" t="s">
        <v>246</v>
      </c>
      <c r="AK5" s="187" t="s">
        <v>247</v>
      </c>
      <c r="AL5" s="43" t="s">
        <v>248</v>
      </c>
    </row>
    <row r="6" spans="1:38" ht="15.95" outlineLevel="2">
      <c r="A6" s="31"/>
      <c r="C6" s="32" t="s">
        <v>249</v>
      </c>
      <c r="D6" s="183">
        <f>'Key financial and ops fig.s LCY'!D6*VLOOKUP(Assumptions!$D$7, Lists!$B$7:$C$10, 2, FALSE)*Assumptions!$D$10/VLOOKUP(Assumptions!$D$9, Lists!$B$7:$C$10, 2, FALSE)</f>
        <v>111796.875</v>
      </c>
      <c r="E6" s="183">
        <f>'Key financial and ops fig.s LCY'!E6*VLOOKUP(Assumptions!$D$7, Lists!$B$7:$C$10, 2, FALSE)*Assumptions!$D$10/VLOOKUP(Assumptions!$D$9, Lists!$B$7:$C$10, 2, FALSE)</f>
        <v>222187.5</v>
      </c>
      <c r="F6" s="183">
        <f>'Key financial and ops fig.s LCY'!F6*VLOOKUP(Assumptions!$D$7, Lists!$B$7:$C$10, 2, FALSE)*Assumptions!$D$10/VLOOKUP(Assumptions!$D$9, Lists!$B$7:$C$10, 2, FALSE)</f>
        <v>331171.87500000006</v>
      </c>
      <c r="G6" s="183">
        <f>'Key financial and ops fig.s LCY'!G6*VLOOKUP(Assumptions!$D$7, Lists!$B$7:$C$10, 2, FALSE)*Assumptions!$D$10/VLOOKUP(Assumptions!$D$9, Lists!$B$7:$C$10, 2, FALSE)</f>
        <v>438750</v>
      </c>
      <c r="H6" s="60">
        <f t="shared" ref="H6:H12" si="0">SUM(D6:G6)</f>
        <v>1103906.25</v>
      </c>
      <c r="I6" s="183">
        <f>'Key financial and ops fig.s LCY'!I6*VLOOKUP(Assumptions!$D$7, Lists!$B$7:$C$10, 2, FALSE)*Assumptions!$D$10/VLOOKUP(Assumptions!$D$9, Lists!$B$7:$C$10, 2, FALSE)</f>
        <v>544921.875</v>
      </c>
      <c r="J6" s="183">
        <f>'Key financial and ops fig.s LCY'!J6*VLOOKUP(Assumptions!$D$7, Lists!$B$7:$C$10, 2, FALSE)*Assumptions!$D$10/VLOOKUP(Assumptions!$D$9, Lists!$B$7:$C$10, 2, FALSE)</f>
        <v>649687.50000000012</v>
      </c>
      <c r="K6" s="183">
        <f>'Key financial and ops fig.s LCY'!K6*VLOOKUP(Assumptions!$D$7, Lists!$B$7:$C$10, 2, FALSE)*Assumptions!$D$10/VLOOKUP(Assumptions!$D$9, Lists!$B$7:$C$10, 2, FALSE)</f>
        <v>753046.87500000012</v>
      </c>
      <c r="L6" s="183">
        <f>'Key financial and ops fig.s LCY'!L6*VLOOKUP(Assumptions!$D$7, Lists!$B$7:$C$10, 2, FALSE)*Assumptions!$D$10/VLOOKUP(Assumptions!$D$9, Lists!$B$7:$C$10, 2, FALSE)</f>
        <v>855000</v>
      </c>
      <c r="M6" s="48">
        <f t="shared" ref="M6:M12" si="1">SUM(I6:L6)</f>
        <v>2802656.25</v>
      </c>
      <c r="N6" s="183">
        <f>'Key financial and ops fig.s LCY'!N6*VLOOKUP(Assumptions!$D$7, Lists!$B$7:$C$10, 2, FALSE)*Assumptions!$D$10/VLOOKUP(Assumptions!$D$9, Lists!$B$7:$C$10, 2, FALSE)</f>
        <v>955546.875</v>
      </c>
      <c r="O6" s="183">
        <f>'Key financial and ops fig.s LCY'!O6*VLOOKUP(Assumptions!$D$7, Lists!$B$7:$C$10, 2, FALSE)*Assumptions!$D$10/VLOOKUP(Assumptions!$D$9, Lists!$B$7:$C$10, 2, FALSE)</f>
        <v>1054687.5</v>
      </c>
      <c r="P6" s="183">
        <f>'Key financial and ops fig.s LCY'!P6*VLOOKUP(Assumptions!$D$7, Lists!$B$7:$C$10, 2, FALSE)*Assumptions!$D$10/VLOOKUP(Assumptions!$D$9, Lists!$B$7:$C$10, 2, FALSE)</f>
        <v>1152421.8750000002</v>
      </c>
      <c r="Q6" s="183">
        <f>'Key financial and ops fig.s LCY'!Q6*VLOOKUP(Assumptions!$D$7, Lists!$B$7:$C$10, 2, FALSE)*Assumptions!$D$10/VLOOKUP(Assumptions!$D$9, Lists!$B$7:$C$10, 2, FALSE)</f>
        <v>1248750.0000000002</v>
      </c>
      <c r="R6" s="48">
        <f t="shared" ref="R6:R12" si="2">SUM(N6:Q6)</f>
        <v>4411406.25</v>
      </c>
      <c r="S6" s="183">
        <f>'Key financial and ops fig.s LCY'!S6*VLOOKUP(Assumptions!$D$7, Lists!$B$7:$C$10, 2, FALSE)*Assumptions!$D$10/VLOOKUP(Assumptions!$D$9, Lists!$B$7:$C$10, 2, FALSE)</f>
        <v>1343671.8750000002</v>
      </c>
      <c r="T6" s="183">
        <f>'Key financial and ops fig.s LCY'!T6*VLOOKUP(Assumptions!$D$7, Lists!$B$7:$C$10, 2, FALSE)*Assumptions!$D$10/VLOOKUP(Assumptions!$D$9, Lists!$B$7:$C$10, 2, FALSE)</f>
        <v>1437187.5000000002</v>
      </c>
      <c r="U6" s="183">
        <f>'Key financial and ops fig.s LCY'!U6*VLOOKUP(Assumptions!$D$7, Lists!$B$7:$C$10, 2, FALSE)*Assumptions!$D$10/VLOOKUP(Assumptions!$D$9, Lists!$B$7:$C$10, 2, FALSE)</f>
        <v>1529296.8750000002</v>
      </c>
      <c r="V6" s="183">
        <f>'Key financial and ops fig.s LCY'!V6*VLOOKUP(Assumptions!$D$7, Lists!$B$7:$C$10, 2, FALSE)*Assumptions!$D$10/VLOOKUP(Assumptions!$D$9, Lists!$B$7:$C$10, 2, FALSE)</f>
        <v>1620000</v>
      </c>
      <c r="W6" s="48">
        <f t="shared" ref="W6:W12" si="3">SUM(S6:V6)</f>
        <v>5930156.2500000009</v>
      </c>
      <c r="X6" s="183">
        <f>'Key financial and ops fig.s LCY'!X6*VLOOKUP(Assumptions!$D$7, Lists!$B$7:$C$10, 2, FALSE)*Assumptions!$D$10/VLOOKUP(Assumptions!$D$9, Lists!$B$7:$C$10, 2, FALSE)</f>
        <v>1709296.875</v>
      </c>
      <c r="Y6" s="183">
        <f>'Key financial and ops fig.s LCY'!Y6*VLOOKUP(Assumptions!$D$7, Lists!$B$7:$C$10, 2, FALSE)*Assumptions!$D$10/VLOOKUP(Assumptions!$D$9, Lists!$B$7:$C$10, 2, FALSE)</f>
        <v>1797187.5</v>
      </c>
      <c r="Z6" s="183">
        <f>'Key financial and ops fig.s LCY'!Z6*VLOOKUP(Assumptions!$D$7, Lists!$B$7:$C$10, 2, FALSE)*Assumptions!$D$10/VLOOKUP(Assumptions!$D$9, Lists!$B$7:$C$10, 2, FALSE)</f>
        <v>1883671.875</v>
      </c>
      <c r="AA6" s="183">
        <f>'Key financial and ops fig.s LCY'!AA6*VLOOKUP(Assumptions!$D$7, Lists!$B$7:$C$10, 2, FALSE)*Assumptions!$D$10/VLOOKUP(Assumptions!$D$9, Lists!$B$7:$C$10, 2, FALSE)</f>
        <v>1968750</v>
      </c>
      <c r="AB6" s="48">
        <f t="shared" ref="AB6:AB12" si="4">SUM(X6:AA6)</f>
        <v>7358906.25</v>
      </c>
      <c r="AC6" s="183">
        <f>'Key financial and ops fig.s LCY'!AC6*VLOOKUP(Assumptions!$D$7, Lists!$B$7:$C$10, 2, FALSE)*Assumptions!$D$10/VLOOKUP(Assumptions!$D$9, Lists!$B$7:$C$10, 2, FALSE)</f>
        <v>1954687.5</v>
      </c>
      <c r="AD6" s="183">
        <f>'Key financial and ops fig.s LCY'!AD6*VLOOKUP(Assumptions!$D$7, Lists!$B$7:$C$10, 2, FALSE)*Assumptions!$D$10/VLOOKUP(Assumptions!$D$9, Lists!$B$7:$C$10, 2, FALSE)</f>
        <v>1940625</v>
      </c>
      <c r="AE6" s="183">
        <f>'Key financial and ops fig.s LCY'!AE6*VLOOKUP(Assumptions!$D$7, Lists!$B$7:$C$10, 2, FALSE)*Assumptions!$D$10/VLOOKUP(Assumptions!$D$9, Lists!$B$7:$C$10, 2, FALSE)</f>
        <v>1926562.5</v>
      </c>
      <c r="AF6" s="183">
        <f>'Key financial and ops fig.s LCY'!AF6*VLOOKUP(Assumptions!$D$7, Lists!$B$7:$C$10, 2, FALSE)*Assumptions!$D$10/VLOOKUP(Assumptions!$D$9, Lists!$B$7:$C$10, 2, FALSE)</f>
        <v>1912500</v>
      </c>
      <c r="AG6" s="48">
        <f t="shared" ref="AG6:AG12" si="5">SUM(AC6:AF6)</f>
        <v>7734375</v>
      </c>
      <c r="AH6" s="183">
        <f>'Key financial and ops fig.s LCY'!AH6*VLOOKUP(Assumptions!$D$7, Lists!$B$7:$C$10, 2, FALSE)*Assumptions!$D$10/VLOOKUP(Assumptions!$D$9, Lists!$B$7:$C$10, 2, FALSE)</f>
        <v>1898437.5</v>
      </c>
      <c r="AI6" s="183">
        <f>'Key financial and ops fig.s LCY'!AI6*VLOOKUP(Assumptions!$D$7, Lists!$B$7:$C$10, 2, FALSE)*Assumptions!$D$10/VLOOKUP(Assumptions!$D$9, Lists!$B$7:$C$10, 2, FALSE)</f>
        <v>1884375</v>
      </c>
      <c r="AJ6" s="183">
        <f>'Key financial and ops fig.s LCY'!AJ6*VLOOKUP(Assumptions!$D$7, Lists!$B$7:$C$10, 2, FALSE)*Assumptions!$D$10/VLOOKUP(Assumptions!$D$9, Lists!$B$7:$C$10, 2, FALSE)</f>
        <v>1870312.5</v>
      </c>
      <c r="AK6" s="183">
        <f>'Key financial and ops fig.s LCY'!AK6*VLOOKUP(Assumptions!$D$7, Lists!$B$7:$C$10, 2, FALSE)*Assumptions!$D$10/VLOOKUP(Assumptions!$D$9, Lists!$B$7:$C$10, 2, FALSE)</f>
        <v>1856250</v>
      </c>
      <c r="AL6" s="48">
        <f t="shared" ref="AL6:AL12" si="6">SUM(AH6:AK6)</f>
        <v>7509375</v>
      </c>
    </row>
    <row r="7" spans="1:38" ht="15.95" outlineLevel="2">
      <c r="A7" s="31"/>
      <c r="C7" s="32" t="s">
        <v>250</v>
      </c>
      <c r="D7" s="185">
        <f>'Key financial and ops fig.s LCY'!D7*VLOOKUP(Assumptions!$D$7, Lists!$B$7:$C$10, 2, FALSE)*Assumptions!$D$10/VLOOKUP(Assumptions!$D$9, Lists!$B$7:$C$10, 2, FALSE)</f>
        <v>51650.156250000015</v>
      </c>
      <c r="E7" s="185">
        <f>'Key financial and ops fig.s LCY'!E7*VLOOKUP(Assumptions!$D$7, Lists!$B$7:$C$10, 2, FALSE)*Assumptions!$D$10/VLOOKUP(Assumptions!$D$9, Lists!$B$7:$C$10, 2, FALSE)</f>
        <v>102650.62500000003</v>
      </c>
      <c r="F7" s="185">
        <f>'Key financial and ops fig.s LCY'!F7*VLOOKUP(Assumptions!$D$7, Lists!$B$7:$C$10, 2, FALSE)*Assumptions!$D$10/VLOOKUP(Assumptions!$D$9, Lists!$B$7:$C$10, 2, FALSE)</f>
        <v>153001.40625000003</v>
      </c>
      <c r="G7" s="185">
        <f>'Key financial and ops fig.s LCY'!G7*VLOOKUP(Assumptions!$D$7, Lists!$B$7:$C$10, 2, FALSE)*Assumptions!$D$10/VLOOKUP(Assumptions!$D$9, Lists!$B$7:$C$10, 2, FALSE)</f>
        <v>202702.50000000006</v>
      </c>
      <c r="H7" s="60">
        <f t="shared" si="0"/>
        <v>510004.68750000017</v>
      </c>
      <c r="I7" s="185">
        <f>'Key financial and ops fig.s LCY'!I7*VLOOKUP(Assumptions!$D$7, Lists!$B$7:$C$10, 2, FALSE)*Assumptions!$D$10/VLOOKUP(Assumptions!$D$9, Lists!$B$7:$C$10, 2, FALSE)</f>
        <v>251753.90625000006</v>
      </c>
      <c r="J7" s="185">
        <f>'Key financial and ops fig.s LCY'!J7*VLOOKUP(Assumptions!$D$7, Lists!$B$7:$C$10, 2, FALSE)*Assumptions!$D$10/VLOOKUP(Assumptions!$D$9, Lists!$B$7:$C$10, 2, FALSE)</f>
        <v>300155.62500000006</v>
      </c>
      <c r="K7" s="185">
        <f>'Key financial and ops fig.s LCY'!K7*VLOOKUP(Assumptions!$D$7, Lists!$B$7:$C$10, 2, FALSE)*Assumptions!$D$10/VLOOKUP(Assumptions!$D$9, Lists!$B$7:$C$10, 2, FALSE)</f>
        <v>347907.65625000012</v>
      </c>
      <c r="L7" s="185">
        <f>'Key financial and ops fig.s LCY'!L7*VLOOKUP(Assumptions!$D$7, Lists!$B$7:$C$10, 2, FALSE)*Assumptions!$D$10/VLOOKUP(Assumptions!$D$9, Lists!$B$7:$C$10, 2, FALSE)</f>
        <v>395010.00000000012</v>
      </c>
      <c r="M7" s="48">
        <f t="shared" si="1"/>
        <v>1294827.1875000005</v>
      </c>
      <c r="N7" s="185">
        <f>'Key financial and ops fig.s LCY'!N7*VLOOKUP(Assumptions!$D$7, Lists!$B$7:$C$10, 2, FALSE)*Assumptions!$D$10/VLOOKUP(Assumptions!$D$9, Lists!$B$7:$C$10, 2, FALSE)</f>
        <v>441462.65625000012</v>
      </c>
      <c r="O7" s="185">
        <f>'Key financial and ops fig.s LCY'!O7*VLOOKUP(Assumptions!$D$7, Lists!$B$7:$C$10, 2, FALSE)*Assumptions!$D$10/VLOOKUP(Assumptions!$D$9, Lists!$B$7:$C$10, 2, FALSE)</f>
        <v>487265.62500000012</v>
      </c>
      <c r="P7" s="185">
        <f>'Key financial and ops fig.s LCY'!P7*VLOOKUP(Assumptions!$D$7, Lists!$B$7:$C$10, 2, FALSE)*Assumptions!$D$10/VLOOKUP(Assumptions!$D$9, Lists!$B$7:$C$10, 2, FALSE)</f>
        <v>532418.90625000012</v>
      </c>
      <c r="Q7" s="185">
        <f>'Key financial and ops fig.s LCY'!Q7*VLOOKUP(Assumptions!$D$7, Lists!$B$7:$C$10, 2, FALSE)*Assumptions!$D$10/VLOOKUP(Assumptions!$D$9, Lists!$B$7:$C$10, 2, FALSE)</f>
        <v>576922.50000000012</v>
      </c>
      <c r="R7" s="48">
        <f t="shared" si="2"/>
        <v>2038069.6875000005</v>
      </c>
      <c r="S7" s="185">
        <f>'Key financial and ops fig.s LCY'!S7*VLOOKUP(Assumptions!$D$7, Lists!$B$7:$C$10, 2, FALSE)*Assumptions!$D$10/VLOOKUP(Assumptions!$D$9, Lists!$B$7:$C$10, 2, FALSE)</f>
        <v>620776.40625000012</v>
      </c>
      <c r="T7" s="185">
        <f>'Key financial and ops fig.s LCY'!T7*VLOOKUP(Assumptions!$D$7, Lists!$B$7:$C$10, 2, FALSE)*Assumptions!$D$10/VLOOKUP(Assumptions!$D$9, Lists!$B$7:$C$10, 2, FALSE)</f>
        <v>663980.62500000012</v>
      </c>
      <c r="U7" s="185">
        <f>'Key financial and ops fig.s LCY'!U7*VLOOKUP(Assumptions!$D$7, Lists!$B$7:$C$10, 2, FALSE)*Assumptions!$D$10/VLOOKUP(Assumptions!$D$9, Lists!$B$7:$C$10, 2, FALSE)</f>
        <v>706535.15625000023</v>
      </c>
      <c r="V7" s="185">
        <f>'Key financial and ops fig.s LCY'!V7*VLOOKUP(Assumptions!$D$7, Lists!$B$7:$C$10, 2, FALSE)*Assumptions!$D$10/VLOOKUP(Assumptions!$D$9, Lists!$B$7:$C$10, 2, FALSE)</f>
        <v>748440.00000000023</v>
      </c>
      <c r="W7" s="48">
        <f t="shared" si="3"/>
        <v>2739732.1875000009</v>
      </c>
      <c r="X7" s="185">
        <f>'Key financial and ops fig.s LCY'!X7*VLOOKUP(Assumptions!$D$7, Lists!$B$7:$C$10, 2, FALSE)*Assumptions!$D$10/VLOOKUP(Assumptions!$D$9, Lists!$B$7:$C$10, 2, FALSE)</f>
        <v>789695.15625000023</v>
      </c>
      <c r="Y7" s="185">
        <f>'Key financial and ops fig.s LCY'!Y7*VLOOKUP(Assumptions!$D$7, Lists!$B$7:$C$10, 2, FALSE)*Assumptions!$D$10/VLOOKUP(Assumptions!$D$9, Lists!$B$7:$C$10, 2, FALSE)</f>
        <v>830300.62500000023</v>
      </c>
      <c r="Z7" s="185">
        <f>'Key financial and ops fig.s LCY'!Z7*VLOOKUP(Assumptions!$D$7, Lists!$B$7:$C$10, 2, FALSE)*Assumptions!$D$10/VLOOKUP(Assumptions!$D$9, Lists!$B$7:$C$10, 2, FALSE)</f>
        <v>870256.40625000023</v>
      </c>
      <c r="AA7" s="185">
        <f>'Key financial and ops fig.s LCY'!AA7*VLOOKUP(Assumptions!$D$7, Lists!$B$7:$C$10, 2, FALSE)*Assumptions!$D$10/VLOOKUP(Assumptions!$D$9, Lists!$B$7:$C$10, 2, FALSE)</f>
        <v>909562.50000000023</v>
      </c>
      <c r="AB7" s="48">
        <f t="shared" si="4"/>
        <v>3399814.6875000009</v>
      </c>
      <c r="AC7" s="185">
        <f>'Key financial and ops fig.s LCY'!AC7*VLOOKUP(Assumptions!$D$7, Lists!$B$7:$C$10, 2, FALSE)*Assumptions!$D$10/VLOOKUP(Assumptions!$D$9, Lists!$B$7:$C$10, 2, FALSE)</f>
        <v>903065.62500000023</v>
      </c>
      <c r="AD7" s="185">
        <f>'Key financial and ops fig.s LCY'!AD7*VLOOKUP(Assumptions!$D$7, Lists!$B$7:$C$10, 2, FALSE)*Assumptions!$D$10/VLOOKUP(Assumptions!$D$9, Lists!$B$7:$C$10, 2, FALSE)</f>
        <v>896568.75000000023</v>
      </c>
      <c r="AE7" s="185">
        <f>'Key financial and ops fig.s LCY'!AE7*VLOOKUP(Assumptions!$D$7, Lists!$B$7:$C$10, 2, FALSE)*Assumptions!$D$10/VLOOKUP(Assumptions!$D$9, Lists!$B$7:$C$10, 2, FALSE)</f>
        <v>890071.87500000023</v>
      </c>
      <c r="AF7" s="185">
        <f>'Key financial and ops fig.s LCY'!AF7*VLOOKUP(Assumptions!$D$7, Lists!$B$7:$C$10, 2, FALSE)*Assumptions!$D$10/VLOOKUP(Assumptions!$D$9, Lists!$B$7:$C$10, 2, FALSE)</f>
        <v>883575.00000000023</v>
      </c>
      <c r="AG7" s="48">
        <f t="shared" si="5"/>
        <v>3573281.2500000009</v>
      </c>
      <c r="AH7" s="185">
        <f>'Key financial and ops fig.s LCY'!AH7*VLOOKUP(Assumptions!$D$7, Lists!$B$7:$C$10, 2, FALSE)*Assumptions!$D$10/VLOOKUP(Assumptions!$D$9, Lists!$B$7:$C$10, 2, FALSE)</f>
        <v>877078.12500000023</v>
      </c>
      <c r="AI7" s="185">
        <f>'Key financial and ops fig.s LCY'!AI7*VLOOKUP(Assumptions!$D$7, Lists!$B$7:$C$10, 2, FALSE)*Assumptions!$D$10/VLOOKUP(Assumptions!$D$9, Lists!$B$7:$C$10, 2, FALSE)</f>
        <v>870581.25000000023</v>
      </c>
      <c r="AJ7" s="185">
        <f>'Key financial and ops fig.s LCY'!AJ7*VLOOKUP(Assumptions!$D$7, Lists!$B$7:$C$10, 2, FALSE)*Assumptions!$D$10/VLOOKUP(Assumptions!$D$9, Lists!$B$7:$C$10, 2, FALSE)</f>
        <v>864084.37500000023</v>
      </c>
      <c r="AK7" s="185">
        <f>'Key financial and ops fig.s LCY'!AK7*VLOOKUP(Assumptions!$D$7, Lists!$B$7:$C$10, 2, FALSE)*Assumptions!$D$10/VLOOKUP(Assumptions!$D$9, Lists!$B$7:$C$10, 2, FALSE)</f>
        <v>857587.50000000023</v>
      </c>
      <c r="AL7" s="48">
        <f t="shared" si="6"/>
        <v>3469331.2500000009</v>
      </c>
    </row>
    <row r="8" spans="1:38" ht="15.95" outlineLevel="2">
      <c r="A8" s="31"/>
      <c r="C8" s="32" t="s">
        <v>251</v>
      </c>
      <c r="D8" s="185">
        <f>'Key financial and ops fig.s LCY'!D8*VLOOKUP(Assumptions!$D$7, Lists!$B$7:$C$10, 2, FALSE)*Assumptions!$D$10/VLOOKUP(Assumptions!$D$9, Lists!$B$7:$C$10, 2, FALSE)</f>
        <v>20660.0625</v>
      </c>
      <c r="E8" s="185">
        <f>'Key financial and ops fig.s LCY'!E8*VLOOKUP(Assumptions!$D$7, Lists!$B$7:$C$10, 2, FALSE)*Assumptions!$D$10/VLOOKUP(Assumptions!$D$9, Lists!$B$7:$C$10, 2, FALSE)</f>
        <v>41060.25</v>
      </c>
      <c r="F8" s="185">
        <f>'Key financial and ops fig.s LCY'!F8*VLOOKUP(Assumptions!$D$7, Lists!$B$7:$C$10, 2, FALSE)*Assumptions!$D$10/VLOOKUP(Assumptions!$D$9, Lists!$B$7:$C$10, 2, FALSE)</f>
        <v>61200.5625</v>
      </c>
      <c r="G8" s="185">
        <f>'Key financial and ops fig.s LCY'!G8*VLOOKUP(Assumptions!$D$7, Lists!$B$7:$C$10, 2, FALSE)*Assumptions!$D$10/VLOOKUP(Assumptions!$D$9, Lists!$B$7:$C$10, 2, FALSE)</f>
        <v>81081</v>
      </c>
      <c r="H8" s="60">
        <f t="shared" si="0"/>
        <v>204001.875</v>
      </c>
      <c r="I8" s="185">
        <f>'Key financial and ops fig.s LCY'!I8*VLOOKUP(Assumptions!$D$7, Lists!$B$7:$C$10, 2, FALSE)*Assumptions!$D$10/VLOOKUP(Assumptions!$D$9, Lists!$B$7:$C$10, 2, FALSE)</f>
        <v>100701.5625</v>
      </c>
      <c r="J8" s="185">
        <f>'Key financial and ops fig.s LCY'!J8*VLOOKUP(Assumptions!$D$7, Lists!$B$7:$C$10, 2, FALSE)*Assumptions!$D$10/VLOOKUP(Assumptions!$D$9, Lists!$B$7:$C$10, 2, FALSE)</f>
        <v>120062.25</v>
      </c>
      <c r="K8" s="185">
        <f>'Key financial and ops fig.s LCY'!K8*VLOOKUP(Assumptions!$D$7, Lists!$B$7:$C$10, 2, FALSE)*Assumptions!$D$10/VLOOKUP(Assumptions!$D$9, Lists!$B$7:$C$10, 2, FALSE)</f>
        <v>139163.0625</v>
      </c>
      <c r="L8" s="185">
        <f>'Key financial and ops fig.s LCY'!L8*VLOOKUP(Assumptions!$D$7, Lists!$B$7:$C$10, 2, FALSE)*Assumptions!$D$10/VLOOKUP(Assumptions!$D$9, Lists!$B$7:$C$10, 2, FALSE)</f>
        <v>158004</v>
      </c>
      <c r="M8" s="48">
        <f t="shared" si="1"/>
        <v>517930.875</v>
      </c>
      <c r="N8" s="185">
        <f>'Key financial and ops fig.s LCY'!N8*VLOOKUP(Assumptions!$D$7, Lists!$B$7:$C$10, 2, FALSE)*Assumptions!$D$10/VLOOKUP(Assumptions!$D$9, Lists!$B$7:$C$10, 2, FALSE)</f>
        <v>176585.0625</v>
      </c>
      <c r="O8" s="185">
        <f>'Key financial and ops fig.s LCY'!O8*VLOOKUP(Assumptions!$D$7, Lists!$B$7:$C$10, 2, FALSE)*Assumptions!$D$10/VLOOKUP(Assumptions!$D$9, Lists!$B$7:$C$10, 2, FALSE)</f>
        <v>194906.25</v>
      </c>
      <c r="P8" s="185">
        <f>'Key financial and ops fig.s LCY'!P8*VLOOKUP(Assumptions!$D$7, Lists!$B$7:$C$10, 2, FALSE)*Assumptions!$D$10/VLOOKUP(Assumptions!$D$9, Lists!$B$7:$C$10, 2, FALSE)</f>
        <v>212967.5625</v>
      </c>
      <c r="Q8" s="185">
        <f>'Key financial and ops fig.s LCY'!Q8*VLOOKUP(Assumptions!$D$7, Lists!$B$7:$C$10, 2, FALSE)*Assumptions!$D$10/VLOOKUP(Assumptions!$D$9, Lists!$B$7:$C$10, 2, FALSE)</f>
        <v>230769</v>
      </c>
      <c r="R8" s="48">
        <f t="shared" si="2"/>
        <v>815227.875</v>
      </c>
      <c r="S8" s="185">
        <f>'Key financial and ops fig.s LCY'!S8*VLOOKUP(Assumptions!$D$7, Lists!$B$7:$C$10, 2, FALSE)*Assumptions!$D$10/VLOOKUP(Assumptions!$D$9, Lists!$B$7:$C$10, 2, FALSE)</f>
        <v>248310.5625</v>
      </c>
      <c r="T8" s="185">
        <f>'Key financial and ops fig.s LCY'!T8*VLOOKUP(Assumptions!$D$7, Lists!$B$7:$C$10, 2, FALSE)*Assumptions!$D$10/VLOOKUP(Assumptions!$D$9, Lists!$B$7:$C$10, 2, FALSE)</f>
        <v>265592.25</v>
      </c>
      <c r="U8" s="185">
        <f>'Key financial and ops fig.s LCY'!U8*VLOOKUP(Assumptions!$D$7, Lists!$B$7:$C$10, 2, FALSE)*Assumptions!$D$10/VLOOKUP(Assumptions!$D$9, Lists!$B$7:$C$10, 2, FALSE)</f>
        <v>282614.0625</v>
      </c>
      <c r="V8" s="185">
        <f>'Key financial and ops fig.s LCY'!V8*VLOOKUP(Assumptions!$D$7, Lists!$B$7:$C$10, 2, FALSE)*Assumptions!$D$10/VLOOKUP(Assumptions!$D$9, Lists!$B$7:$C$10, 2, FALSE)</f>
        <v>299376</v>
      </c>
      <c r="W8" s="48">
        <f t="shared" si="3"/>
        <v>1095892.875</v>
      </c>
      <c r="X8" s="185">
        <f>'Key financial and ops fig.s LCY'!X8*VLOOKUP(Assumptions!$D$7, Lists!$B$7:$C$10, 2, FALSE)*Assumptions!$D$10/VLOOKUP(Assumptions!$D$9, Lists!$B$7:$C$10, 2, FALSE)</f>
        <v>315878.0625</v>
      </c>
      <c r="Y8" s="185">
        <f>'Key financial and ops fig.s LCY'!Y8*VLOOKUP(Assumptions!$D$7, Lists!$B$7:$C$10, 2, FALSE)*Assumptions!$D$10/VLOOKUP(Assumptions!$D$9, Lists!$B$7:$C$10, 2, FALSE)</f>
        <v>332120.25</v>
      </c>
      <c r="Z8" s="185">
        <f>'Key financial and ops fig.s LCY'!Z8*VLOOKUP(Assumptions!$D$7, Lists!$B$7:$C$10, 2, FALSE)*Assumptions!$D$10/VLOOKUP(Assumptions!$D$9, Lists!$B$7:$C$10, 2, FALSE)</f>
        <v>348102.5625</v>
      </c>
      <c r="AA8" s="185">
        <f>'Key financial and ops fig.s LCY'!AA8*VLOOKUP(Assumptions!$D$7, Lists!$B$7:$C$10, 2, FALSE)*Assumptions!$D$10/VLOOKUP(Assumptions!$D$9, Lists!$B$7:$C$10, 2, FALSE)</f>
        <v>363825</v>
      </c>
      <c r="AB8" s="48">
        <f t="shared" si="4"/>
        <v>1359925.875</v>
      </c>
      <c r="AC8" s="185">
        <f>'Key financial and ops fig.s LCY'!AC8*VLOOKUP(Assumptions!$D$7, Lists!$B$7:$C$10, 2, FALSE)*Assumptions!$D$10/VLOOKUP(Assumptions!$D$9, Lists!$B$7:$C$10, 2, FALSE)</f>
        <v>361226.25</v>
      </c>
      <c r="AD8" s="185">
        <f>'Key financial and ops fig.s LCY'!AD8*VLOOKUP(Assumptions!$D$7, Lists!$B$7:$C$10, 2, FALSE)*Assumptions!$D$10/VLOOKUP(Assumptions!$D$9, Lists!$B$7:$C$10, 2, FALSE)</f>
        <v>358627.5</v>
      </c>
      <c r="AE8" s="185">
        <f>'Key financial and ops fig.s LCY'!AE8*VLOOKUP(Assumptions!$D$7, Lists!$B$7:$C$10, 2, FALSE)*Assumptions!$D$10/VLOOKUP(Assumptions!$D$9, Lists!$B$7:$C$10, 2, FALSE)</f>
        <v>356028.75</v>
      </c>
      <c r="AF8" s="185">
        <f>'Key financial and ops fig.s LCY'!AF8*VLOOKUP(Assumptions!$D$7, Lists!$B$7:$C$10, 2, FALSE)*Assumptions!$D$10/VLOOKUP(Assumptions!$D$9, Lists!$B$7:$C$10, 2, FALSE)</f>
        <v>353430</v>
      </c>
      <c r="AG8" s="48">
        <f t="shared" si="5"/>
        <v>1429312.5</v>
      </c>
      <c r="AH8" s="185">
        <f>'Key financial and ops fig.s LCY'!AH8*VLOOKUP(Assumptions!$D$7, Lists!$B$7:$C$10, 2, FALSE)*Assumptions!$D$10/VLOOKUP(Assumptions!$D$9, Lists!$B$7:$C$10, 2, FALSE)</f>
        <v>350831.25</v>
      </c>
      <c r="AI8" s="185">
        <f>'Key financial and ops fig.s LCY'!AI8*VLOOKUP(Assumptions!$D$7, Lists!$B$7:$C$10, 2, FALSE)*Assumptions!$D$10/VLOOKUP(Assumptions!$D$9, Lists!$B$7:$C$10, 2, FALSE)</f>
        <v>348232.5</v>
      </c>
      <c r="AJ8" s="185">
        <f>'Key financial and ops fig.s LCY'!AJ8*VLOOKUP(Assumptions!$D$7, Lists!$B$7:$C$10, 2, FALSE)*Assumptions!$D$10/VLOOKUP(Assumptions!$D$9, Lists!$B$7:$C$10, 2, FALSE)</f>
        <v>345633.75</v>
      </c>
      <c r="AK8" s="185">
        <f>'Key financial and ops fig.s LCY'!AK8*VLOOKUP(Assumptions!$D$7, Lists!$B$7:$C$10, 2, FALSE)*Assumptions!$D$10/VLOOKUP(Assumptions!$D$9, Lists!$B$7:$C$10, 2, FALSE)</f>
        <v>343035</v>
      </c>
      <c r="AL8" s="48">
        <f t="shared" si="6"/>
        <v>1387732.5</v>
      </c>
    </row>
    <row r="9" spans="1:38" ht="15.95" outlineLevel="2">
      <c r="A9" s="31"/>
      <c r="C9" s="32" t="s">
        <v>252</v>
      </c>
      <c r="D9" s="185">
        <f>'Key financial and ops fig.s LCY'!D9*VLOOKUP(Assumptions!$D$7, Lists!$B$7:$C$10, 2, FALSE)*Assumptions!$D$10/VLOOKUP(Assumptions!$D$9, Lists!$B$7:$C$10, 2, FALSE)</f>
        <v>1721.6718750000005</v>
      </c>
      <c r="E9" s="185">
        <f>'Key financial and ops fig.s LCY'!E9*VLOOKUP(Assumptions!$D$7, Lists!$B$7:$C$10, 2, FALSE)*Assumptions!$D$10/VLOOKUP(Assumptions!$D$9, Lists!$B$7:$C$10, 2, FALSE)</f>
        <v>3421.6875000000009</v>
      </c>
      <c r="F9" s="185">
        <f>'Key financial and ops fig.s LCY'!F9*VLOOKUP(Assumptions!$D$7, Lists!$B$7:$C$10, 2, FALSE)*Assumptions!$D$10/VLOOKUP(Assumptions!$D$9, Lists!$B$7:$C$10, 2, FALSE)</f>
        <v>5100.0468750000009</v>
      </c>
      <c r="G9" s="185">
        <f>'Key financial and ops fig.s LCY'!G9*VLOOKUP(Assumptions!$D$7, Lists!$B$7:$C$10, 2, FALSE)*Assumptions!$D$10/VLOOKUP(Assumptions!$D$9, Lists!$B$7:$C$10, 2, FALSE)</f>
        <v>6756.7500000000018</v>
      </c>
      <c r="H9" s="60">
        <f t="shared" si="0"/>
        <v>17000.156250000007</v>
      </c>
      <c r="I9" s="185">
        <f>'Key financial and ops fig.s LCY'!I9*VLOOKUP(Assumptions!$D$7, Lists!$B$7:$C$10, 2, FALSE)*Assumptions!$D$10/VLOOKUP(Assumptions!$D$9, Lists!$B$7:$C$10, 2, FALSE)</f>
        <v>8391.7968750000018</v>
      </c>
      <c r="J9" s="185">
        <f>'Key financial and ops fig.s LCY'!J9*VLOOKUP(Assumptions!$D$7, Lists!$B$7:$C$10, 2, FALSE)*Assumptions!$D$10/VLOOKUP(Assumptions!$D$9, Lists!$B$7:$C$10, 2, FALSE)</f>
        <v>10005.187500000002</v>
      </c>
      <c r="K9" s="185">
        <f>'Key financial and ops fig.s LCY'!K9*VLOOKUP(Assumptions!$D$7, Lists!$B$7:$C$10, 2, FALSE)*Assumptions!$D$10/VLOOKUP(Assumptions!$D$9, Lists!$B$7:$C$10, 2, FALSE)</f>
        <v>11596.921875000004</v>
      </c>
      <c r="L9" s="185">
        <f>'Key financial and ops fig.s LCY'!L9*VLOOKUP(Assumptions!$D$7, Lists!$B$7:$C$10, 2, FALSE)*Assumptions!$D$10/VLOOKUP(Assumptions!$D$9, Lists!$B$7:$C$10, 2, FALSE)</f>
        <v>13167.000000000004</v>
      </c>
      <c r="M9" s="48">
        <f t="shared" si="1"/>
        <v>43160.906250000015</v>
      </c>
      <c r="N9" s="185">
        <f>'Key financial and ops fig.s LCY'!N9*VLOOKUP(Assumptions!$D$7, Lists!$B$7:$C$10, 2, FALSE)*Assumptions!$D$10/VLOOKUP(Assumptions!$D$9, Lists!$B$7:$C$10, 2, FALSE)</f>
        <v>14715.421875000004</v>
      </c>
      <c r="O9" s="185">
        <f>'Key financial and ops fig.s LCY'!O9*VLOOKUP(Assumptions!$D$7, Lists!$B$7:$C$10, 2, FALSE)*Assumptions!$D$10/VLOOKUP(Assumptions!$D$9, Lists!$B$7:$C$10, 2, FALSE)</f>
        <v>16242.187500000004</v>
      </c>
      <c r="P9" s="185">
        <f>'Key financial and ops fig.s LCY'!P9*VLOOKUP(Assumptions!$D$7, Lists!$B$7:$C$10, 2, FALSE)*Assumptions!$D$10/VLOOKUP(Assumptions!$D$9, Lists!$B$7:$C$10, 2, FALSE)</f>
        <v>17747.296875000004</v>
      </c>
      <c r="Q9" s="185">
        <f>'Key financial and ops fig.s LCY'!Q9*VLOOKUP(Assumptions!$D$7, Lists!$B$7:$C$10, 2, FALSE)*Assumptions!$D$10/VLOOKUP(Assumptions!$D$9, Lists!$B$7:$C$10, 2, FALSE)</f>
        <v>19230.750000000004</v>
      </c>
      <c r="R9" s="48">
        <f t="shared" si="2"/>
        <v>67935.656250000015</v>
      </c>
      <c r="S9" s="185">
        <f>'Key financial and ops fig.s LCY'!S9*VLOOKUP(Assumptions!$D$7, Lists!$B$7:$C$10, 2, FALSE)*Assumptions!$D$10/VLOOKUP(Assumptions!$D$9, Lists!$B$7:$C$10, 2, FALSE)</f>
        <v>20692.546875000004</v>
      </c>
      <c r="T9" s="185">
        <f>'Key financial and ops fig.s LCY'!T9*VLOOKUP(Assumptions!$D$7, Lists!$B$7:$C$10, 2, FALSE)*Assumptions!$D$10/VLOOKUP(Assumptions!$D$9, Lists!$B$7:$C$10, 2, FALSE)</f>
        <v>22132.687500000007</v>
      </c>
      <c r="U9" s="185">
        <f>'Key financial and ops fig.s LCY'!U9*VLOOKUP(Assumptions!$D$7, Lists!$B$7:$C$10, 2, FALSE)*Assumptions!$D$10/VLOOKUP(Assumptions!$D$9, Lists!$B$7:$C$10, 2, FALSE)</f>
        <v>23551.171875000007</v>
      </c>
      <c r="V9" s="185">
        <f>'Key financial and ops fig.s LCY'!V9*VLOOKUP(Assumptions!$D$7, Lists!$B$7:$C$10, 2, FALSE)*Assumptions!$D$10/VLOOKUP(Assumptions!$D$9, Lists!$B$7:$C$10, 2, FALSE)</f>
        <v>24948.000000000007</v>
      </c>
      <c r="W9" s="48">
        <f t="shared" si="3"/>
        <v>91324.406250000029</v>
      </c>
      <c r="X9" s="185">
        <f>'Key financial and ops fig.s LCY'!X9*VLOOKUP(Assumptions!$D$7, Lists!$B$7:$C$10, 2, FALSE)*Assumptions!$D$10/VLOOKUP(Assumptions!$D$9, Lists!$B$7:$C$10, 2, FALSE)</f>
        <v>26323.171875000007</v>
      </c>
      <c r="Y9" s="185">
        <f>'Key financial and ops fig.s LCY'!Y9*VLOOKUP(Assumptions!$D$7, Lists!$B$7:$C$10, 2, FALSE)*Assumptions!$D$10/VLOOKUP(Assumptions!$D$9, Lists!$B$7:$C$10, 2, FALSE)</f>
        <v>27676.687500000007</v>
      </c>
      <c r="Z9" s="185">
        <f>'Key financial and ops fig.s LCY'!Z9*VLOOKUP(Assumptions!$D$7, Lists!$B$7:$C$10, 2, FALSE)*Assumptions!$D$10/VLOOKUP(Assumptions!$D$9, Lists!$B$7:$C$10, 2, FALSE)</f>
        <v>29008.546875000007</v>
      </c>
      <c r="AA9" s="185">
        <f>'Key financial and ops fig.s LCY'!AA9*VLOOKUP(Assumptions!$D$7, Lists!$B$7:$C$10, 2, FALSE)*Assumptions!$D$10/VLOOKUP(Assumptions!$D$9, Lists!$B$7:$C$10, 2, FALSE)</f>
        <v>30318.750000000007</v>
      </c>
      <c r="AB9" s="48">
        <f t="shared" si="4"/>
        <v>113327.15625000003</v>
      </c>
      <c r="AC9" s="185">
        <f>'Key financial and ops fig.s LCY'!AC9*VLOOKUP(Assumptions!$D$7, Lists!$B$7:$C$10, 2, FALSE)*Assumptions!$D$10/VLOOKUP(Assumptions!$D$9, Lists!$B$7:$C$10, 2, FALSE)</f>
        <v>30102.187500000007</v>
      </c>
      <c r="AD9" s="185">
        <f>'Key financial and ops fig.s LCY'!AD9*VLOOKUP(Assumptions!$D$7, Lists!$B$7:$C$10, 2, FALSE)*Assumptions!$D$10/VLOOKUP(Assumptions!$D$9, Lists!$B$7:$C$10, 2, FALSE)</f>
        <v>29885.625000000007</v>
      </c>
      <c r="AE9" s="185">
        <f>'Key financial and ops fig.s LCY'!AE9*VLOOKUP(Assumptions!$D$7, Lists!$B$7:$C$10, 2, FALSE)*Assumptions!$D$10/VLOOKUP(Assumptions!$D$9, Lists!$B$7:$C$10, 2, FALSE)</f>
        <v>29669.062500000007</v>
      </c>
      <c r="AF9" s="185">
        <f>'Key financial and ops fig.s LCY'!AF9*VLOOKUP(Assumptions!$D$7, Lists!$B$7:$C$10, 2, FALSE)*Assumptions!$D$10/VLOOKUP(Assumptions!$D$9, Lists!$B$7:$C$10, 2, FALSE)</f>
        <v>29452.500000000007</v>
      </c>
      <c r="AG9" s="48">
        <f t="shared" si="5"/>
        <v>119109.37500000003</v>
      </c>
      <c r="AH9" s="185">
        <f>'Key financial and ops fig.s LCY'!AH9*VLOOKUP(Assumptions!$D$7, Lists!$B$7:$C$10, 2, FALSE)*Assumptions!$D$10/VLOOKUP(Assumptions!$D$9, Lists!$B$7:$C$10, 2, FALSE)</f>
        <v>29235.937500000007</v>
      </c>
      <c r="AI9" s="185">
        <f>'Key financial and ops fig.s LCY'!AI9*VLOOKUP(Assumptions!$D$7, Lists!$B$7:$C$10, 2, FALSE)*Assumptions!$D$10/VLOOKUP(Assumptions!$D$9, Lists!$B$7:$C$10, 2, FALSE)</f>
        <v>29019.375000000007</v>
      </c>
      <c r="AJ9" s="185">
        <f>'Key financial and ops fig.s LCY'!AJ9*VLOOKUP(Assumptions!$D$7, Lists!$B$7:$C$10, 2, FALSE)*Assumptions!$D$10/VLOOKUP(Assumptions!$D$9, Lists!$B$7:$C$10, 2, FALSE)</f>
        <v>28802.812500000007</v>
      </c>
      <c r="AK9" s="185">
        <f>'Key financial and ops fig.s LCY'!AK9*VLOOKUP(Assumptions!$D$7, Lists!$B$7:$C$10, 2, FALSE)*Assumptions!$D$10/VLOOKUP(Assumptions!$D$9, Lists!$B$7:$C$10, 2, FALSE)</f>
        <v>28586.250000000007</v>
      </c>
      <c r="AL9" s="48">
        <f t="shared" si="6"/>
        <v>115644.37500000003</v>
      </c>
    </row>
    <row r="10" spans="1:38" ht="15.95" outlineLevel="2">
      <c r="A10" s="31"/>
      <c r="C10" s="32" t="s">
        <v>253</v>
      </c>
      <c r="D10" s="185">
        <f>'Key financial and ops fig.s LCY'!D10*VLOOKUP(Assumptions!$D$7, Lists!$B$7:$C$10, 2, FALSE)*Assumptions!$D$10/VLOOKUP(Assumptions!$D$9, Lists!$B$7:$C$10, 2, FALSE)</f>
        <v>5165.015625</v>
      </c>
      <c r="E10" s="185">
        <f>'Key financial and ops fig.s LCY'!E10*VLOOKUP(Assumptions!$D$7, Lists!$B$7:$C$10, 2, FALSE)*Assumptions!$D$10/VLOOKUP(Assumptions!$D$9, Lists!$B$7:$C$10, 2, FALSE)</f>
        <v>10265.0625</v>
      </c>
      <c r="F10" s="185">
        <f>'Key financial and ops fig.s LCY'!F10*VLOOKUP(Assumptions!$D$7, Lists!$B$7:$C$10, 2, FALSE)*Assumptions!$D$10/VLOOKUP(Assumptions!$D$9, Lists!$B$7:$C$10, 2, FALSE)</f>
        <v>15300.140625</v>
      </c>
      <c r="G10" s="185">
        <f>'Key financial and ops fig.s LCY'!G10*VLOOKUP(Assumptions!$D$7, Lists!$B$7:$C$10, 2, FALSE)*Assumptions!$D$10/VLOOKUP(Assumptions!$D$9, Lists!$B$7:$C$10, 2, FALSE)</f>
        <v>20270.25</v>
      </c>
      <c r="H10" s="60">
        <f t="shared" si="0"/>
        <v>51000.46875</v>
      </c>
      <c r="I10" s="185">
        <f>'Key financial and ops fig.s LCY'!I10*VLOOKUP(Assumptions!$D$7, Lists!$B$7:$C$10, 2, FALSE)*Assumptions!$D$10/VLOOKUP(Assumptions!$D$9, Lists!$B$7:$C$10, 2, FALSE)</f>
        <v>25175.390625</v>
      </c>
      <c r="J10" s="185">
        <f>'Key financial and ops fig.s LCY'!J10*VLOOKUP(Assumptions!$D$7, Lists!$B$7:$C$10, 2, FALSE)*Assumptions!$D$10/VLOOKUP(Assumptions!$D$9, Lists!$B$7:$C$10, 2, FALSE)</f>
        <v>30015.5625</v>
      </c>
      <c r="K10" s="185">
        <f>'Key financial and ops fig.s LCY'!K10*VLOOKUP(Assumptions!$D$7, Lists!$B$7:$C$10, 2, FALSE)*Assumptions!$D$10/VLOOKUP(Assumptions!$D$9, Lists!$B$7:$C$10, 2, FALSE)</f>
        <v>34790.765625</v>
      </c>
      <c r="L10" s="185">
        <f>'Key financial and ops fig.s LCY'!L10*VLOOKUP(Assumptions!$D$7, Lists!$B$7:$C$10, 2, FALSE)*Assumptions!$D$10/VLOOKUP(Assumptions!$D$9, Lists!$B$7:$C$10, 2, FALSE)</f>
        <v>39501</v>
      </c>
      <c r="M10" s="48">
        <f t="shared" si="1"/>
        <v>129482.71875</v>
      </c>
      <c r="N10" s="185">
        <f>'Key financial and ops fig.s LCY'!N10*VLOOKUP(Assumptions!$D$7, Lists!$B$7:$C$10, 2, FALSE)*Assumptions!$D$10/VLOOKUP(Assumptions!$D$9, Lists!$B$7:$C$10, 2, FALSE)</f>
        <v>44146.265625</v>
      </c>
      <c r="O10" s="185">
        <f>'Key financial and ops fig.s LCY'!O10*VLOOKUP(Assumptions!$D$7, Lists!$B$7:$C$10, 2, FALSE)*Assumptions!$D$10/VLOOKUP(Assumptions!$D$9, Lists!$B$7:$C$10, 2, FALSE)</f>
        <v>48726.5625</v>
      </c>
      <c r="P10" s="185">
        <f>'Key financial and ops fig.s LCY'!P10*VLOOKUP(Assumptions!$D$7, Lists!$B$7:$C$10, 2, FALSE)*Assumptions!$D$10/VLOOKUP(Assumptions!$D$9, Lists!$B$7:$C$10, 2, FALSE)</f>
        <v>53241.890625</v>
      </c>
      <c r="Q10" s="185">
        <f>'Key financial and ops fig.s LCY'!Q10*VLOOKUP(Assumptions!$D$7, Lists!$B$7:$C$10, 2, FALSE)*Assumptions!$D$10/VLOOKUP(Assumptions!$D$9, Lists!$B$7:$C$10, 2, FALSE)</f>
        <v>57692.25</v>
      </c>
      <c r="R10" s="48">
        <f t="shared" si="2"/>
        <v>203806.96875</v>
      </c>
      <c r="S10" s="185">
        <f>'Key financial and ops fig.s LCY'!S10*VLOOKUP(Assumptions!$D$7, Lists!$B$7:$C$10, 2, FALSE)*Assumptions!$D$10/VLOOKUP(Assumptions!$D$9, Lists!$B$7:$C$10, 2, FALSE)</f>
        <v>62077.640625</v>
      </c>
      <c r="T10" s="185">
        <f>'Key financial and ops fig.s LCY'!T10*VLOOKUP(Assumptions!$D$7, Lists!$B$7:$C$10, 2, FALSE)*Assumptions!$D$10/VLOOKUP(Assumptions!$D$9, Lists!$B$7:$C$10, 2, FALSE)</f>
        <v>66398.0625</v>
      </c>
      <c r="U10" s="185">
        <f>'Key financial and ops fig.s LCY'!U10*VLOOKUP(Assumptions!$D$7, Lists!$B$7:$C$10, 2, FALSE)*Assumptions!$D$10/VLOOKUP(Assumptions!$D$9, Lists!$B$7:$C$10, 2, FALSE)</f>
        <v>70653.515625</v>
      </c>
      <c r="V10" s="185">
        <f>'Key financial and ops fig.s LCY'!V10*VLOOKUP(Assumptions!$D$7, Lists!$B$7:$C$10, 2, FALSE)*Assumptions!$D$10/VLOOKUP(Assumptions!$D$9, Lists!$B$7:$C$10, 2, FALSE)</f>
        <v>74844</v>
      </c>
      <c r="W10" s="48">
        <f t="shared" si="3"/>
        <v>273973.21875</v>
      </c>
      <c r="X10" s="185">
        <f>'Key financial and ops fig.s LCY'!X10*VLOOKUP(Assumptions!$D$7, Lists!$B$7:$C$10, 2, FALSE)*Assumptions!$D$10/VLOOKUP(Assumptions!$D$9, Lists!$B$7:$C$10, 2, FALSE)</f>
        <v>78969.515625</v>
      </c>
      <c r="Y10" s="185">
        <f>'Key financial and ops fig.s LCY'!Y10*VLOOKUP(Assumptions!$D$7, Lists!$B$7:$C$10, 2, FALSE)*Assumptions!$D$10/VLOOKUP(Assumptions!$D$9, Lists!$B$7:$C$10, 2, FALSE)</f>
        <v>83030.0625</v>
      </c>
      <c r="Z10" s="185">
        <f>'Key financial and ops fig.s LCY'!Z10*VLOOKUP(Assumptions!$D$7, Lists!$B$7:$C$10, 2, FALSE)*Assumptions!$D$10/VLOOKUP(Assumptions!$D$9, Lists!$B$7:$C$10, 2, FALSE)</f>
        <v>87025.640625</v>
      </c>
      <c r="AA10" s="185">
        <f>'Key financial and ops fig.s LCY'!AA10*VLOOKUP(Assumptions!$D$7, Lists!$B$7:$C$10, 2, FALSE)*Assumptions!$D$10/VLOOKUP(Assumptions!$D$9, Lists!$B$7:$C$10, 2, FALSE)</f>
        <v>90956.25</v>
      </c>
      <c r="AB10" s="48">
        <f t="shared" si="4"/>
        <v>339981.46875</v>
      </c>
      <c r="AC10" s="185">
        <f>'Key financial and ops fig.s LCY'!AC10*VLOOKUP(Assumptions!$D$7, Lists!$B$7:$C$10, 2, FALSE)*Assumptions!$D$10/VLOOKUP(Assumptions!$D$9, Lists!$B$7:$C$10, 2, FALSE)</f>
        <v>90306.5625</v>
      </c>
      <c r="AD10" s="185">
        <f>'Key financial and ops fig.s LCY'!AD10*VLOOKUP(Assumptions!$D$7, Lists!$B$7:$C$10, 2, FALSE)*Assumptions!$D$10/VLOOKUP(Assumptions!$D$9, Lists!$B$7:$C$10, 2, FALSE)</f>
        <v>89656.875</v>
      </c>
      <c r="AE10" s="185">
        <f>'Key financial and ops fig.s LCY'!AE10*VLOOKUP(Assumptions!$D$7, Lists!$B$7:$C$10, 2, FALSE)*Assumptions!$D$10/VLOOKUP(Assumptions!$D$9, Lists!$B$7:$C$10, 2, FALSE)</f>
        <v>89007.1875</v>
      </c>
      <c r="AF10" s="185">
        <f>'Key financial and ops fig.s LCY'!AF10*VLOOKUP(Assumptions!$D$7, Lists!$B$7:$C$10, 2, FALSE)*Assumptions!$D$10/VLOOKUP(Assumptions!$D$9, Lists!$B$7:$C$10, 2, FALSE)</f>
        <v>88357.5</v>
      </c>
      <c r="AG10" s="48">
        <f t="shared" si="5"/>
        <v>357328.125</v>
      </c>
      <c r="AH10" s="185">
        <f>'Key financial and ops fig.s LCY'!AH10*VLOOKUP(Assumptions!$D$7, Lists!$B$7:$C$10, 2, FALSE)*Assumptions!$D$10/VLOOKUP(Assumptions!$D$9, Lists!$B$7:$C$10, 2, FALSE)</f>
        <v>87707.8125</v>
      </c>
      <c r="AI10" s="185">
        <f>'Key financial and ops fig.s LCY'!AI10*VLOOKUP(Assumptions!$D$7, Lists!$B$7:$C$10, 2, FALSE)*Assumptions!$D$10/VLOOKUP(Assumptions!$D$9, Lists!$B$7:$C$10, 2, FALSE)</f>
        <v>87058.125</v>
      </c>
      <c r="AJ10" s="185">
        <f>'Key financial and ops fig.s LCY'!AJ10*VLOOKUP(Assumptions!$D$7, Lists!$B$7:$C$10, 2, FALSE)*Assumptions!$D$10/VLOOKUP(Assumptions!$D$9, Lists!$B$7:$C$10, 2, FALSE)</f>
        <v>86408.4375</v>
      </c>
      <c r="AK10" s="185">
        <f>'Key financial and ops fig.s LCY'!AK10*VLOOKUP(Assumptions!$D$7, Lists!$B$7:$C$10, 2, FALSE)*Assumptions!$D$10/VLOOKUP(Assumptions!$D$9, Lists!$B$7:$C$10, 2, FALSE)</f>
        <v>85758.75</v>
      </c>
      <c r="AL10" s="48">
        <f t="shared" si="6"/>
        <v>346933.125</v>
      </c>
    </row>
    <row r="11" spans="1:38" ht="17.100000000000001" outlineLevel="1" thickBot="1">
      <c r="A11" s="31"/>
      <c r="B11" s="34" t="s">
        <v>254</v>
      </c>
      <c r="C11" s="34"/>
      <c r="D11" s="184">
        <f>SUM(D6:D10)</f>
        <v>190993.78125</v>
      </c>
      <c r="E11" s="184">
        <f t="shared" ref="E11:G11" si="7">SUM(E6:E10)</f>
        <v>379585.125</v>
      </c>
      <c r="F11" s="184">
        <f t="shared" si="7"/>
        <v>565774.03125000012</v>
      </c>
      <c r="G11" s="184">
        <f t="shared" si="7"/>
        <v>749560.5</v>
      </c>
      <c r="H11" s="61">
        <f t="shared" si="0"/>
        <v>1885913.4375</v>
      </c>
      <c r="I11" s="184">
        <f>SUM(I6:I10)</f>
        <v>930944.53125</v>
      </c>
      <c r="J11" s="184">
        <f t="shared" ref="J11:L11" si="8">SUM(J6:J10)</f>
        <v>1109926.1250000002</v>
      </c>
      <c r="K11" s="184">
        <f t="shared" si="8"/>
        <v>1286505.2812500002</v>
      </c>
      <c r="L11" s="184">
        <f t="shared" si="8"/>
        <v>1460682</v>
      </c>
      <c r="M11" s="51">
        <f t="shared" si="1"/>
        <v>4788057.9375</v>
      </c>
      <c r="N11" s="184">
        <f>SUM(N6:N10)</f>
        <v>1632456.28125</v>
      </c>
      <c r="O11" s="184">
        <f t="shared" ref="O11:Q11" si="9">SUM(O6:O10)</f>
        <v>1801828.125</v>
      </c>
      <c r="P11" s="184">
        <f t="shared" si="9"/>
        <v>1968797.5312500005</v>
      </c>
      <c r="Q11" s="184">
        <f t="shared" si="9"/>
        <v>2133364.5000000005</v>
      </c>
      <c r="R11" s="51">
        <f t="shared" si="2"/>
        <v>7536446.4375</v>
      </c>
      <c r="S11" s="184">
        <f>SUM(S6:S10)</f>
        <v>2295529.0312500005</v>
      </c>
      <c r="T11" s="184">
        <f t="shared" ref="T11:V11" si="10">SUM(T6:T10)</f>
        <v>2455291.1250000005</v>
      </c>
      <c r="U11" s="184">
        <f t="shared" si="10"/>
        <v>2612650.7812500005</v>
      </c>
      <c r="V11" s="184">
        <f t="shared" si="10"/>
        <v>2767608</v>
      </c>
      <c r="W11" s="51">
        <f t="shared" si="3"/>
        <v>10131078.937500002</v>
      </c>
      <c r="X11" s="184">
        <f>SUM(X6:X10)</f>
        <v>2920162.78125</v>
      </c>
      <c r="Y11" s="184">
        <f t="shared" ref="Y11:AA11" si="11">SUM(Y6:Y10)</f>
        <v>3070315.125</v>
      </c>
      <c r="Z11" s="184">
        <f t="shared" si="11"/>
        <v>3218065.03125</v>
      </c>
      <c r="AA11" s="184">
        <f t="shared" si="11"/>
        <v>3363412.5</v>
      </c>
      <c r="AB11" s="51">
        <f t="shared" si="4"/>
        <v>12571955.4375</v>
      </c>
      <c r="AC11" s="184">
        <f>SUM(AC6:AC10)</f>
        <v>3339388.125</v>
      </c>
      <c r="AD11" s="184">
        <f t="shared" ref="AD11:AF11" si="12">SUM(AD6:AD10)</f>
        <v>3315363.75</v>
      </c>
      <c r="AE11" s="184">
        <f t="shared" si="12"/>
        <v>3291339.375</v>
      </c>
      <c r="AF11" s="184">
        <f t="shared" si="12"/>
        <v>3267315</v>
      </c>
      <c r="AG11" s="51">
        <f t="shared" si="5"/>
        <v>13213406.25</v>
      </c>
      <c r="AH11" s="184">
        <f>SUM(AH6:AH10)</f>
        <v>3243290.625</v>
      </c>
      <c r="AI11" s="184">
        <f t="shared" ref="AI11:AK11" si="13">SUM(AI6:AI10)</f>
        <v>3219266.25</v>
      </c>
      <c r="AJ11" s="184">
        <f t="shared" si="13"/>
        <v>3195241.875</v>
      </c>
      <c r="AK11" s="184">
        <f t="shared" si="13"/>
        <v>3171217.5</v>
      </c>
      <c r="AL11" s="51">
        <f t="shared" si="6"/>
        <v>12829016.25</v>
      </c>
    </row>
    <row r="12" spans="1:38" ht="17.100000000000001" thickBot="1">
      <c r="A12" s="36" t="s">
        <v>255</v>
      </c>
      <c r="B12" s="37"/>
      <c r="C12" s="38"/>
      <c r="D12" s="51">
        <f>D11</f>
        <v>190993.78125</v>
      </c>
      <c r="E12" s="51">
        <f t="shared" ref="E12:G12" si="14">E11</f>
        <v>379585.125</v>
      </c>
      <c r="F12" s="51">
        <f t="shared" si="14"/>
        <v>565774.03125000012</v>
      </c>
      <c r="G12" s="51">
        <f t="shared" si="14"/>
        <v>749560.5</v>
      </c>
      <c r="H12" s="44">
        <f t="shared" si="0"/>
        <v>1885913.4375</v>
      </c>
      <c r="I12" s="51">
        <f>I11</f>
        <v>930944.53125</v>
      </c>
      <c r="J12" s="51">
        <f t="shared" ref="J12:L12" si="15">J11</f>
        <v>1109926.1250000002</v>
      </c>
      <c r="K12" s="51">
        <f t="shared" si="15"/>
        <v>1286505.2812500002</v>
      </c>
      <c r="L12" s="51">
        <f t="shared" si="15"/>
        <v>1460682</v>
      </c>
      <c r="M12" s="44">
        <f t="shared" si="1"/>
        <v>4788057.9375</v>
      </c>
      <c r="N12" s="51">
        <f>N11</f>
        <v>1632456.28125</v>
      </c>
      <c r="O12" s="51">
        <f t="shared" ref="O12:Q12" si="16">O11</f>
        <v>1801828.125</v>
      </c>
      <c r="P12" s="51">
        <f t="shared" si="16"/>
        <v>1968797.5312500005</v>
      </c>
      <c r="Q12" s="51">
        <f t="shared" si="16"/>
        <v>2133364.5000000005</v>
      </c>
      <c r="R12" s="44">
        <f t="shared" si="2"/>
        <v>7536446.4375</v>
      </c>
      <c r="S12" s="51">
        <f>S11</f>
        <v>2295529.0312500005</v>
      </c>
      <c r="T12" s="51">
        <f t="shared" ref="T12:V12" si="17">T11</f>
        <v>2455291.1250000005</v>
      </c>
      <c r="U12" s="51">
        <f t="shared" si="17"/>
        <v>2612650.7812500005</v>
      </c>
      <c r="V12" s="51">
        <f t="shared" si="17"/>
        <v>2767608</v>
      </c>
      <c r="W12" s="44">
        <f t="shared" si="3"/>
        <v>10131078.937500002</v>
      </c>
      <c r="X12" s="51">
        <f>X11</f>
        <v>2920162.78125</v>
      </c>
      <c r="Y12" s="51">
        <f t="shared" ref="Y12:AA12" si="18">Y11</f>
        <v>3070315.125</v>
      </c>
      <c r="Z12" s="51">
        <f t="shared" si="18"/>
        <v>3218065.03125</v>
      </c>
      <c r="AA12" s="51">
        <f t="shared" si="18"/>
        <v>3363412.5</v>
      </c>
      <c r="AB12" s="44">
        <f t="shared" si="4"/>
        <v>12571955.4375</v>
      </c>
      <c r="AC12" s="51">
        <f>AC11</f>
        <v>3339388.125</v>
      </c>
      <c r="AD12" s="51">
        <f t="shared" ref="AD12:AF12" si="19">AD11</f>
        <v>3315363.75</v>
      </c>
      <c r="AE12" s="51">
        <f t="shared" si="19"/>
        <v>3291339.375</v>
      </c>
      <c r="AF12" s="51">
        <f t="shared" si="19"/>
        <v>3267315</v>
      </c>
      <c r="AG12" s="44">
        <f t="shared" si="5"/>
        <v>13213406.25</v>
      </c>
      <c r="AH12" s="51">
        <f>AH11</f>
        <v>3243290.625</v>
      </c>
      <c r="AI12" s="51">
        <f t="shared" ref="AI12:AK12" si="20">AI11</f>
        <v>3219266.25</v>
      </c>
      <c r="AJ12" s="51">
        <f t="shared" si="20"/>
        <v>3195241.875</v>
      </c>
      <c r="AK12" s="51">
        <f t="shared" si="20"/>
        <v>3171217.5</v>
      </c>
      <c r="AL12" s="44">
        <f t="shared" si="6"/>
        <v>12829016.25</v>
      </c>
    </row>
    <row r="13" spans="1:38" ht="15.95" outlineLevel="2">
      <c r="A13" s="31"/>
      <c r="C13" s="32" t="s">
        <v>256</v>
      </c>
      <c r="D13" s="183">
        <f>'Key financial and ops fig.s LCY'!D13*VLOOKUP(Assumptions!$D$7, Lists!$B$7:$C$10, 2, FALSE)*Assumptions!$D$10/VLOOKUP(Assumptions!$D$9, Lists!$B$7:$C$10, 2, FALSE)</f>
        <v>12396.0375</v>
      </c>
      <c r="E13" s="183">
        <f>'Key financial and ops fig.s LCY'!E13*VLOOKUP(Assumptions!$D$7, Lists!$B$7:$C$10, 2, FALSE)*Assumptions!$D$10/VLOOKUP(Assumptions!$D$9, Lists!$B$7:$C$10, 2, FALSE)</f>
        <v>24636.15</v>
      </c>
      <c r="F13" s="183">
        <f>'Key financial and ops fig.s LCY'!F13*VLOOKUP(Assumptions!$D$7, Lists!$B$7:$C$10, 2, FALSE)*Assumptions!$D$10/VLOOKUP(Assumptions!$D$9, Lists!$B$7:$C$10, 2, FALSE)</f>
        <v>36720.337500000001</v>
      </c>
      <c r="G13" s="183">
        <f>'Key financial and ops fig.s LCY'!G13*VLOOKUP(Assumptions!$D$7, Lists!$B$7:$C$10, 2, FALSE)*Assumptions!$D$10/VLOOKUP(Assumptions!$D$9, Lists!$B$7:$C$10, 2, FALSE)</f>
        <v>48648.6</v>
      </c>
      <c r="H13" s="60">
        <f t="shared" ref="H13:H22" si="21">SUM(D13:G13)</f>
        <v>122401.125</v>
      </c>
      <c r="I13" s="183">
        <f>'Key financial and ops fig.s LCY'!I13*VLOOKUP(Assumptions!$D$7, Lists!$B$7:$C$10, 2, FALSE)*Assumptions!$D$10/VLOOKUP(Assumptions!$D$9, Lists!$B$7:$C$10, 2, FALSE)</f>
        <v>60420.9375</v>
      </c>
      <c r="J13" s="183">
        <f>'Key financial and ops fig.s LCY'!J13*VLOOKUP(Assumptions!$D$7, Lists!$B$7:$C$10, 2, FALSE)*Assumptions!$D$10/VLOOKUP(Assumptions!$D$9, Lists!$B$7:$C$10, 2, FALSE)</f>
        <v>72037.350000000006</v>
      </c>
      <c r="K13" s="183">
        <f>'Key financial and ops fig.s LCY'!K13*VLOOKUP(Assumptions!$D$7, Lists!$B$7:$C$10, 2, FALSE)*Assumptions!$D$10/VLOOKUP(Assumptions!$D$9, Lists!$B$7:$C$10, 2, FALSE)</f>
        <v>83497.837500000009</v>
      </c>
      <c r="L13" s="183">
        <f>'Key financial and ops fig.s LCY'!L13*VLOOKUP(Assumptions!$D$7, Lists!$B$7:$C$10, 2, FALSE)*Assumptions!$D$10/VLOOKUP(Assumptions!$D$9, Lists!$B$7:$C$10, 2, FALSE)</f>
        <v>94802.400000000009</v>
      </c>
      <c r="M13" s="48">
        <f t="shared" ref="M13:M22" si="22">SUM(I13:L13)</f>
        <v>310758.52500000002</v>
      </c>
      <c r="N13" s="183">
        <f>'Key financial and ops fig.s LCY'!N13*VLOOKUP(Assumptions!$D$7, Lists!$B$7:$C$10, 2, FALSE)*Assumptions!$D$10/VLOOKUP(Assumptions!$D$9, Lists!$B$7:$C$10, 2, FALSE)</f>
        <v>105951.03750000001</v>
      </c>
      <c r="O13" s="183">
        <f>'Key financial and ops fig.s LCY'!O13*VLOOKUP(Assumptions!$D$7, Lists!$B$7:$C$10, 2, FALSE)*Assumptions!$D$10/VLOOKUP(Assumptions!$D$9, Lists!$B$7:$C$10, 2, FALSE)</f>
        <v>116943.75</v>
      </c>
      <c r="P13" s="183">
        <f>'Key financial and ops fig.s LCY'!P13*VLOOKUP(Assumptions!$D$7, Lists!$B$7:$C$10, 2, FALSE)*Assumptions!$D$10/VLOOKUP(Assumptions!$D$9, Lists!$B$7:$C$10, 2, FALSE)</f>
        <v>127780.53750000001</v>
      </c>
      <c r="Q13" s="183">
        <f>'Key financial and ops fig.s LCY'!Q13*VLOOKUP(Assumptions!$D$7, Lists!$B$7:$C$10, 2, FALSE)*Assumptions!$D$10/VLOOKUP(Assumptions!$D$9, Lists!$B$7:$C$10, 2, FALSE)</f>
        <v>138461.4</v>
      </c>
      <c r="R13" s="48">
        <f t="shared" ref="R13:R22" si="23">SUM(N13:Q13)</f>
        <v>489136.72499999998</v>
      </c>
      <c r="S13" s="183">
        <f>'Key financial and ops fig.s LCY'!S13*VLOOKUP(Assumptions!$D$7, Lists!$B$7:$C$10, 2, FALSE)*Assumptions!$D$10/VLOOKUP(Assumptions!$D$9, Lists!$B$7:$C$10, 2, FALSE)</f>
        <v>148986.33749999999</v>
      </c>
      <c r="T13" s="183">
        <f>'Key financial and ops fig.s LCY'!T13*VLOOKUP(Assumptions!$D$7, Lists!$B$7:$C$10, 2, FALSE)*Assumptions!$D$10/VLOOKUP(Assumptions!$D$9, Lists!$B$7:$C$10, 2, FALSE)</f>
        <v>159355.35</v>
      </c>
      <c r="U13" s="183">
        <f>'Key financial and ops fig.s LCY'!U13*VLOOKUP(Assumptions!$D$7, Lists!$B$7:$C$10, 2, FALSE)*Assumptions!$D$10/VLOOKUP(Assumptions!$D$9, Lists!$B$7:$C$10, 2, FALSE)</f>
        <v>169568.4375</v>
      </c>
      <c r="V13" s="183">
        <f>'Key financial and ops fig.s LCY'!V13*VLOOKUP(Assumptions!$D$7, Lists!$B$7:$C$10, 2, FALSE)*Assumptions!$D$10/VLOOKUP(Assumptions!$D$9, Lists!$B$7:$C$10, 2, FALSE)</f>
        <v>179625.60000000001</v>
      </c>
      <c r="W13" s="48">
        <f t="shared" ref="W13:W22" si="24">SUM(S13:V13)</f>
        <v>657535.72499999998</v>
      </c>
      <c r="X13" s="183">
        <f>'Key financial and ops fig.s LCY'!X13*VLOOKUP(Assumptions!$D$7, Lists!$B$7:$C$10, 2, FALSE)*Assumptions!$D$10/VLOOKUP(Assumptions!$D$9, Lists!$B$7:$C$10, 2, FALSE)</f>
        <v>189526.83749999999</v>
      </c>
      <c r="Y13" s="183">
        <f>'Key financial and ops fig.s LCY'!Y13*VLOOKUP(Assumptions!$D$7, Lists!$B$7:$C$10, 2, FALSE)*Assumptions!$D$10/VLOOKUP(Assumptions!$D$9, Lists!$B$7:$C$10, 2, FALSE)</f>
        <v>199272.15</v>
      </c>
      <c r="Z13" s="183">
        <f>'Key financial and ops fig.s LCY'!Z13*VLOOKUP(Assumptions!$D$7, Lists!$B$7:$C$10, 2, FALSE)*Assumptions!$D$10/VLOOKUP(Assumptions!$D$9, Lists!$B$7:$C$10, 2, FALSE)</f>
        <v>208861.53750000001</v>
      </c>
      <c r="AA13" s="183">
        <f>'Key financial and ops fig.s LCY'!AA13*VLOOKUP(Assumptions!$D$7, Lists!$B$7:$C$10, 2, FALSE)*Assumptions!$D$10/VLOOKUP(Assumptions!$D$9, Lists!$B$7:$C$10, 2, FALSE)</f>
        <v>218295</v>
      </c>
      <c r="AB13" s="48">
        <f t="shared" ref="AB13:AB22" si="25">SUM(X13:AA13)</f>
        <v>815955.52500000002</v>
      </c>
      <c r="AC13" s="183">
        <f>'Key financial and ops fig.s LCY'!AC13*VLOOKUP(Assumptions!$D$7, Lists!$B$7:$C$10, 2, FALSE)*Assumptions!$D$10/VLOOKUP(Assumptions!$D$9, Lists!$B$7:$C$10, 2, FALSE)</f>
        <v>216735.75</v>
      </c>
      <c r="AD13" s="183">
        <f>'Key financial and ops fig.s LCY'!AD13*VLOOKUP(Assumptions!$D$7, Lists!$B$7:$C$10, 2, FALSE)*Assumptions!$D$10/VLOOKUP(Assumptions!$D$9, Lists!$B$7:$C$10, 2, FALSE)</f>
        <v>215176.5</v>
      </c>
      <c r="AE13" s="183">
        <f>'Key financial and ops fig.s LCY'!AE13*VLOOKUP(Assumptions!$D$7, Lists!$B$7:$C$10, 2, FALSE)*Assumptions!$D$10/VLOOKUP(Assumptions!$D$9, Lists!$B$7:$C$10, 2, FALSE)</f>
        <v>213617.25</v>
      </c>
      <c r="AF13" s="183">
        <f>'Key financial and ops fig.s LCY'!AF13*VLOOKUP(Assumptions!$D$7, Lists!$B$7:$C$10, 2, FALSE)*Assumptions!$D$10/VLOOKUP(Assumptions!$D$9, Lists!$B$7:$C$10, 2, FALSE)</f>
        <v>212058</v>
      </c>
      <c r="AG13" s="48">
        <f t="shared" ref="AG13:AG22" si="26">SUM(AC13:AF13)</f>
        <v>857587.5</v>
      </c>
      <c r="AH13" s="183">
        <f>'Key financial and ops fig.s LCY'!AH13*VLOOKUP(Assumptions!$D$7, Lists!$B$7:$C$10, 2, FALSE)*Assumptions!$D$10/VLOOKUP(Assumptions!$D$9, Lists!$B$7:$C$10, 2, FALSE)</f>
        <v>210498.75</v>
      </c>
      <c r="AI13" s="183">
        <f>'Key financial and ops fig.s LCY'!AI13*VLOOKUP(Assumptions!$D$7, Lists!$B$7:$C$10, 2, FALSE)*Assumptions!$D$10/VLOOKUP(Assumptions!$D$9, Lists!$B$7:$C$10, 2, FALSE)</f>
        <v>208939.5</v>
      </c>
      <c r="AJ13" s="183">
        <f>'Key financial and ops fig.s LCY'!AJ13*VLOOKUP(Assumptions!$D$7, Lists!$B$7:$C$10, 2, FALSE)*Assumptions!$D$10/VLOOKUP(Assumptions!$D$9, Lists!$B$7:$C$10, 2, FALSE)</f>
        <v>207380.25</v>
      </c>
      <c r="AK13" s="183">
        <f>'Key financial and ops fig.s LCY'!AK13*VLOOKUP(Assumptions!$D$7, Lists!$B$7:$C$10, 2, FALSE)*Assumptions!$D$10/VLOOKUP(Assumptions!$D$9, Lists!$B$7:$C$10, 2, FALSE)</f>
        <v>205821</v>
      </c>
      <c r="AL13" s="48">
        <f t="shared" ref="AL13:AL22" si="27">SUM(AH13:AK13)</f>
        <v>832639.5</v>
      </c>
    </row>
    <row r="14" spans="1:38" ht="15.95" outlineLevel="2">
      <c r="A14" s="31"/>
      <c r="C14" s="32" t="s">
        <v>257</v>
      </c>
      <c r="D14" s="185">
        <f>'Key financial and ops fig.s LCY'!D14*VLOOKUP(Assumptions!$D$7, Lists!$B$7:$C$10, 2, FALSE)*Assumptions!$D$10/VLOOKUP(Assumptions!$D$9, Lists!$B$7:$C$10, 2, FALSE)</f>
        <v>30990.09375</v>
      </c>
      <c r="E14" s="185">
        <f>'Key financial and ops fig.s LCY'!E14*VLOOKUP(Assumptions!$D$7, Lists!$B$7:$C$10, 2, FALSE)*Assumptions!$D$10/VLOOKUP(Assumptions!$D$9, Lists!$B$7:$C$10, 2, FALSE)</f>
        <v>61590.375</v>
      </c>
      <c r="F14" s="185">
        <f>'Key financial and ops fig.s LCY'!F14*VLOOKUP(Assumptions!$D$7, Lists!$B$7:$C$10, 2, FALSE)*Assumptions!$D$10/VLOOKUP(Assumptions!$D$9, Lists!$B$7:$C$10, 2, FALSE)</f>
        <v>91800.84375</v>
      </c>
      <c r="G14" s="185">
        <f>'Key financial and ops fig.s LCY'!G14*VLOOKUP(Assumptions!$D$7, Lists!$B$7:$C$10, 2, FALSE)*Assumptions!$D$10/VLOOKUP(Assumptions!$D$9, Lists!$B$7:$C$10, 2, FALSE)</f>
        <v>121621.5</v>
      </c>
      <c r="H14" s="60">
        <f t="shared" si="21"/>
        <v>306002.8125</v>
      </c>
      <c r="I14" s="185">
        <f>'Key financial and ops fig.s LCY'!I14*VLOOKUP(Assumptions!$D$7, Lists!$B$7:$C$10, 2, FALSE)*Assumptions!$D$10/VLOOKUP(Assumptions!$D$9, Lists!$B$7:$C$10, 2, FALSE)</f>
        <v>151052.34375</v>
      </c>
      <c r="J14" s="185">
        <f>'Key financial and ops fig.s LCY'!J14*VLOOKUP(Assumptions!$D$7, Lists!$B$7:$C$10, 2, FALSE)*Assumptions!$D$10/VLOOKUP(Assumptions!$D$9, Lists!$B$7:$C$10, 2, FALSE)</f>
        <v>180093.375</v>
      </c>
      <c r="K14" s="185">
        <f>'Key financial and ops fig.s LCY'!K14*VLOOKUP(Assumptions!$D$7, Lists!$B$7:$C$10, 2, FALSE)*Assumptions!$D$10/VLOOKUP(Assumptions!$D$9, Lists!$B$7:$C$10, 2, FALSE)</f>
        <v>208744.59375</v>
      </c>
      <c r="L14" s="185">
        <f>'Key financial and ops fig.s LCY'!L14*VLOOKUP(Assumptions!$D$7, Lists!$B$7:$C$10, 2, FALSE)*Assumptions!$D$10/VLOOKUP(Assumptions!$D$9, Lists!$B$7:$C$10, 2, FALSE)</f>
        <v>237006</v>
      </c>
      <c r="M14" s="48">
        <f t="shared" si="22"/>
        <v>776896.3125</v>
      </c>
      <c r="N14" s="185">
        <f>'Key financial and ops fig.s LCY'!N14*VLOOKUP(Assumptions!$D$7, Lists!$B$7:$C$10, 2, FALSE)*Assumptions!$D$10/VLOOKUP(Assumptions!$D$9, Lists!$B$7:$C$10, 2, FALSE)</f>
        <v>264877.59375</v>
      </c>
      <c r="O14" s="185">
        <f>'Key financial and ops fig.s LCY'!O14*VLOOKUP(Assumptions!$D$7, Lists!$B$7:$C$10, 2, FALSE)*Assumptions!$D$10/VLOOKUP(Assumptions!$D$9, Lists!$B$7:$C$10, 2, FALSE)</f>
        <v>292359.375</v>
      </c>
      <c r="P14" s="185">
        <f>'Key financial and ops fig.s LCY'!P14*VLOOKUP(Assumptions!$D$7, Lists!$B$7:$C$10, 2, FALSE)*Assumptions!$D$10/VLOOKUP(Assumptions!$D$9, Lists!$B$7:$C$10, 2, FALSE)</f>
        <v>319451.34375</v>
      </c>
      <c r="Q14" s="185">
        <f>'Key financial and ops fig.s LCY'!Q14*VLOOKUP(Assumptions!$D$7, Lists!$B$7:$C$10, 2, FALSE)*Assumptions!$D$10/VLOOKUP(Assumptions!$D$9, Lists!$B$7:$C$10, 2, FALSE)</f>
        <v>346153.5</v>
      </c>
      <c r="R14" s="48">
        <f t="shared" si="23"/>
        <v>1222841.8125</v>
      </c>
      <c r="S14" s="185">
        <f>'Key financial and ops fig.s LCY'!S14*VLOOKUP(Assumptions!$D$7, Lists!$B$7:$C$10, 2, FALSE)*Assumptions!$D$10/VLOOKUP(Assumptions!$D$9, Lists!$B$7:$C$10, 2, FALSE)</f>
        <v>372465.84375</v>
      </c>
      <c r="T14" s="185">
        <f>'Key financial and ops fig.s LCY'!T14*VLOOKUP(Assumptions!$D$7, Lists!$B$7:$C$10, 2, FALSE)*Assumptions!$D$10/VLOOKUP(Assumptions!$D$9, Lists!$B$7:$C$10, 2, FALSE)</f>
        <v>398388.375</v>
      </c>
      <c r="U14" s="185">
        <f>'Key financial and ops fig.s LCY'!U14*VLOOKUP(Assumptions!$D$7, Lists!$B$7:$C$10, 2, FALSE)*Assumptions!$D$10/VLOOKUP(Assumptions!$D$9, Lists!$B$7:$C$10, 2, FALSE)</f>
        <v>423921.09375</v>
      </c>
      <c r="V14" s="185">
        <f>'Key financial and ops fig.s LCY'!V14*VLOOKUP(Assumptions!$D$7, Lists!$B$7:$C$10, 2, FALSE)*Assumptions!$D$10/VLOOKUP(Assumptions!$D$9, Lists!$B$7:$C$10, 2, FALSE)</f>
        <v>449064</v>
      </c>
      <c r="W14" s="48">
        <f t="shared" si="24"/>
        <v>1643839.3125</v>
      </c>
      <c r="X14" s="185">
        <f>'Key financial and ops fig.s LCY'!X14*VLOOKUP(Assumptions!$D$7, Lists!$B$7:$C$10, 2, FALSE)*Assumptions!$D$10/VLOOKUP(Assumptions!$D$9, Lists!$B$7:$C$10, 2, FALSE)</f>
        <v>473817.09375</v>
      </c>
      <c r="Y14" s="185">
        <f>'Key financial and ops fig.s LCY'!Y14*VLOOKUP(Assumptions!$D$7, Lists!$B$7:$C$10, 2, FALSE)*Assumptions!$D$10/VLOOKUP(Assumptions!$D$9, Lists!$B$7:$C$10, 2, FALSE)</f>
        <v>498180.375</v>
      </c>
      <c r="Z14" s="185">
        <f>'Key financial and ops fig.s LCY'!Z14*VLOOKUP(Assumptions!$D$7, Lists!$B$7:$C$10, 2, FALSE)*Assumptions!$D$10/VLOOKUP(Assumptions!$D$9, Lists!$B$7:$C$10, 2, FALSE)</f>
        <v>522153.84375</v>
      </c>
      <c r="AA14" s="185">
        <f>'Key financial and ops fig.s LCY'!AA14*VLOOKUP(Assumptions!$D$7, Lists!$B$7:$C$10, 2, FALSE)*Assumptions!$D$10/VLOOKUP(Assumptions!$D$9, Lists!$B$7:$C$10, 2, FALSE)</f>
        <v>545737.5</v>
      </c>
      <c r="AB14" s="48">
        <f t="shared" si="25"/>
        <v>2039888.8125</v>
      </c>
      <c r="AC14" s="185">
        <f>'Key financial and ops fig.s LCY'!AC14*VLOOKUP(Assumptions!$D$7, Lists!$B$7:$C$10, 2, FALSE)*Assumptions!$D$10/VLOOKUP(Assumptions!$D$9, Lists!$B$7:$C$10, 2, FALSE)</f>
        <v>541839.375</v>
      </c>
      <c r="AD14" s="185">
        <f>'Key financial and ops fig.s LCY'!AD14*VLOOKUP(Assumptions!$D$7, Lists!$B$7:$C$10, 2, FALSE)*Assumptions!$D$10/VLOOKUP(Assumptions!$D$9, Lists!$B$7:$C$10, 2, FALSE)</f>
        <v>537941.25</v>
      </c>
      <c r="AE14" s="185">
        <f>'Key financial and ops fig.s LCY'!AE14*VLOOKUP(Assumptions!$D$7, Lists!$B$7:$C$10, 2, FALSE)*Assumptions!$D$10/VLOOKUP(Assumptions!$D$9, Lists!$B$7:$C$10, 2, FALSE)</f>
        <v>534043.125</v>
      </c>
      <c r="AF14" s="185">
        <f>'Key financial and ops fig.s LCY'!AF14*VLOOKUP(Assumptions!$D$7, Lists!$B$7:$C$10, 2, FALSE)*Assumptions!$D$10/VLOOKUP(Assumptions!$D$9, Lists!$B$7:$C$10, 2, FALSE)</f>
        <v>530145</v>
      </c>
      <c r="AG14" s="48">
        <f t="shared" si="26"/>
        <v>2143968.75</v>
      </c>
      <c r="AH14" s="185">
        <f>'Key financial and ops fig.s LCY'!AH14*VLOOKUP(Assumptions!$D$7, Lists!$B$7:$C$10, 2, FALSE)*Assumptions!$D$10/VLOOKUP(Assumptions!$D$9, Lists!$B$7:$C$10, 2, FALSE)</f>
        <v>526246.875</v>
      </c>
      <c r="AI14" s="185">
        <f>'Key financial and ops fig.s LCY'!AI14*VLOOKUP(Assumptions!$D$7, Lists!$B$7:$C$10, 2, FALSE)*Assumptions!$D$10/VLOOKUP(Assumptions!$D$9, Lists!$B$7:$C$10, 2, FALSE)</f>
        <v>522348.75</v>
      </c>
      <c r="AJ14" s="185">
        <f>'Key financial and ops fig.s LCY'!AJ14*VLOOKUP(Assumptions!$D$7, Lists!$B$7:$C$10, 2, FALSE)*Assumptions!$D$10/VLOOKUP(Assumptions!$D$9, Lists!$B$7:$C$10, 2, FALSE)</f>
        <v>518450.625</v>
      </c>
      <c r="AK14" s="185">
        <f>'Key financial and ops fig.s LCY'!AK14*VLOOKUP(Assumptions!$D$7, Lists!$B$7:$C$10, 2, FALSE)*Assumptions!$D$10/VLOOKUP(Assumptions!$D$9, Lists!$B$7:$C$10, 2, FALSE)</f>
        <v>514552.5</v>
      </c>
      <c r="AL14" s="48">
        <f t="shared" si="27"/>
        <v>2081598.75</v>
      </c>
    </row>
    <row r="15" spans="1:38" ht="15.95" outlineLevel="2">
      <c r="A15" s="31"/>
      <c r="C15" s="32" t="s">
        <v>258</v>
      </c>
      <c r="D15" s="185">
        <f>'Key financial and ops fig.s LCY'!D15*VLOOKUP(Assumptions!$D$7, Lists!$B$7:$C$10, 2, FALSE)*Assumptions!$D$10/VLOOKUP(Assumptions!$D$9, Lists!$B$7:$C$10, 2, FALSE)</f>
        <v>61980.1875</v>
      </c>
      <c r="E15" s="185">
        <f>'Key financial and ops fig.s LCY'!E15*VLOOKUP(Assumptions!$D$7, Lists!$B$7:$C$10, 2, FALSE)*Assumptions!$D$10/VLOOKUP(Assumptions!$D$9, Lists!$B$7:$C$10, 2, FALSE)</f>
        <v>123180.75</v>
      </c>
      <c r="F15" s="185">
        <f>'Key financial and ops fig.s LCY'!F15*VLOOKUP(Assumptions!$D$7, Lists!$B$7:$C$10, 2, FALSE)*Assumptions!$D$10/VLOOKUP(Assumptions!$D$9, Lists!$B$7:$C$10, 2, FALSE)</f>
        <v>183601.6875</v>
      </c>
      <c r="G15" s="185">
        <f>'Key financial and ops fig.s LCY'!G15*VLOOKUP(Assumptions!$D$7, Lists!$B$7:$C$10, 2, FALSE)*Assumptions!$D$10/VLOOKUP(Assumptions!$D$9, Lists!$B$7:$C$10, 2, FALSE)</f>
        <v>243243</v>
      </c>
      <c r="H15" s="60">
        <f t="shared" si="21"/>
        <v>612005.625</v>
      </c>
      <c r="I15" s="185">
        <f>'Key financial and ops fig.s LCY'!I15*VLOOKUP(Assumptions!$D$7, Lists!$B$7:$C$10, 2, FALSE)*Assumptions!$D$10/VLOOKUP(Assumptions!$D$9, Lists!$B$7:$C$10, 2, FALSE)</f>
        <v>302104.6875</v>
      </c>
      <c r="J15" s="185">
        <f>'Key financial and ops fig.s LCY'!J15*VLOOKUP(Assumptions!$D$7, Lists!$B$7:$C$10, 2, FALSE)*Assumptions!$D$10/VLOOKUP(Assumptions!$D$9, Lists!$B$7:$C$10, 2, FALSE)</f>
        <v>360186.75</v>
      </c>
      <c r="K15" s="185">
        <f>'Key financial and ops fig.s LCY'!K15*VLOOKUP(Assumptions!$D$7, Lists!$B$7:$C$10, 2, FALSE)*Assumptions!$D$10/VLOOKUP(Assumptions!$D$9, Lists!$B$7:$C$10, 2, FALSE)</f>
        <v>417489.1875</v>
      </c>
      <c r="L15" s="185">
        <f>'Key financial and ops fig.s LCY'!L15*VLOOKUP(Assumptions!$D$7, Lists!$B$7:$C$10, 2, FALSE)*Assumptions!$D$10/VLOOKUP(Assumptions!$D$9, Lists!$B$7:$C$10, 2, FALSE)</f>
        <v>474012</v>
      </c>
      <c r="M15" s="48">
        <f t="shared" si="22"/>
        <v>1553792.625</v>
      </c>
      <c r="N15" s="185">
        <f>'Key financial and ops fig.s LCY'!N15*VLOOKUP(Assumptions!$D$7, Lists!$B$7:$C$10, 2, FALSE)*Assumptions!$D$10/VLOOKUP(Assumptions!$D$9, Lists!$B$7:$C$10, 2, FALSE)</f>
        <v>529755.1875</v>
      </c>
      <c r="O15" s="185">
        <f>'Key financial and ops fig.s LCY'!O15*VLOOKUP(Assumptions!$D$7, Lists!$B$7:$C$10, 2, FALSE)*Assumptions!$D$10/VLOOKUP(Assumptions!$D$9, Lists!$B$7:$C$10, 2, FALSE)</f>
        <v>584718.75</v>
      </c>
      <c r="P15" s="185">
        <f>'Key financial and ops fig.s LCY'!P15*VLOOKUP(Assumptions!$D$7, Lists!$B$7:$C$10, 2, FALSE)*Assumptions!$D$10/VLOOKUP(Assumptions!$D$9, Lists!$B$7:$C$10, 2, FALSE)</f>
        <v>638902.6875</v>
      </c>
      <c r="Q15" s="185">
        <f>'Key financial and ops fig.s LCY'!Q15*VLOOKUP(Assumptions!$D$7, Lists!$B$7:$C$10, 2, FALSE)*Assumptions!$D$10/VLOOKUP(Assumptions!$D$9, Lists!$B$7:$C$10, 2, FALSE)</f>
        <v>692307</v>
      </c>
      <c r="R15" s="48">
        <f t="shared" si="23"/>
        <v>2445683.625</v>
      </c>
      <c r="S15" s="185">
        <f>'Key financial and ops fig.s LCY'!S15*VLOOKUP(Assumptions!$D$7, Lists!$B$7:$C$10, 2, FALSE)*Assumptions!$D$10/VLOOKUP(Assumptions!$D$9, Lists!$B$7:$C$10, 2, FALSE)</f>
        <v>744931.6875</v>
      </c>
      <c r="T15" s="185">
        <f>'Key financial and ops fig.s LCY'!T15*VLOOKUP(Assumptions!$D$7, Lists!$B$7:$C$10, 2, FALSE)*Assumptions!$D$10/VLOOKUP(Assumptions!$D$9, Lists!$B$7:$C$10, 2, FALSE)</f>
        <v>796776.75</v>
      </c>
      <c r="U15" s="185">
        <f>'Key financial and ops fig.s LCY'!U15*VLOOKUP(Assumptions!$D$7, Lists!$B$7:$C$10, 2, FALSE)*Assumptions!$D$10/VLOOKUP(Assumptions!$D$9, Lists!$B$7:$C$10, 2, FALSE)</f>
        <v>847842.1875</v>
      </c>
      <c r="V15" s="185">
        <f>'Key financial and ops fig.s LCY'!V15*VLOOKUP(Assumptions!$D$7, Lists!$B$7:$C$10, 2, FALSE)*Assumptions!$D$10/VLOOKUP(Assumptions!$D$9, Lists!$B$7:$C$10, 2, FALSE)</f>
        <v>898128</v>
      </c>
      <c r="W15" s="48">
        <f t="shared" si="24"/>
        <v>3287678.625</v>
      </c>
      <c r="X15" s="185">
        <f>'Key financial and ops fig.s LCY'!X15*VLOOKUP(Assumptions!$D$7, Lists!$B$7:$C$10, 2, FALSE)*Assumptions!$D$10/VLOOKUP(Assumptions!$D$9, Lists!$B$7:$C$10, 2, FALSE)</f>
        <v>947634.1875</v>
      </c>
      <c r="Y15" s="185">
        <f>'Key financial and ops fig.s LCY'!Y15*VLOOKUP(Assumptions!$D$7, Lists!$B$7:$C$10, 2, FALSE)*Assumptions!$D$10/VLOOKUP(Assumptions!$D$9, Lists!$B$7:$C$10, 2, FALSE)</f>
        <v>996360.75</v>
      </c>
      <c r="Z15" s="185">
        <f>'Key financial and ops fig.s LCY'!Z15*VLOOKUP(Assumptions!$D$7, Lists!$B$7:$C$10, 2, FALSE)*Assumptions!$D$10/VLOOKUP(Assumptions!$D$9, Lists!$B$7:$C$10, 2, FALSE)</f>
        <v>1044307.6875</v>
      </c>
      <c r="AA15" s="185">
        <f>'Key financial and ops fig.s LCY'!AA15*VLOOKUP(Assumptions!$D$7, Lists!$B$7:$C$10, 2, FALSE)*Assumptions!$D$10/VLOOKUP(Assumptions!$D$9, Lists!$B$7:$C$10, 2, FALSE)</f>
        <v>1091475</v>
      </c>
      <c r="AB15" s="48">
        <f t="shared" si="25"/>
        <v>4079777.625</v>
      </c>
      <c r="AC15" s="185">
        <f>'Key financial and ops fig.s LCY'!AC15*VLOOKUP(Assumptions!$D$7, Lists!$B$7:$C$10, 2, FALSE)*Assumptions!$D$10/VLOOKUP(Assumptions!$D$9, Lists!$B$7:$C$10, 2, FALSE)</f>
        <v>1083678.75</v>
      </c>
      <c r="AD15" s="185">
        <f>'Key financial and ops fig.s LCY'!AD15*VLOOKUP(Assumptions!$D$7, Lists!$B$7:$C$10, 2, FALSE)*Assumptions!$D$10/VLOOKUP(Assumptions!$D$9, Lists!$B$7:$C$10, 2, FALSE)</f>
        <v>1075882.5</v>
      </c>
      <c r="AE15" s="185">
        <f>'Key financial and ops fig.s LCY'!AE15*VLOOKUP(Assumptions!$D$7, Lists!$B$7:$C$10, 2, FALSE)*Assumptions!$D$10/VLOOKUP(Assumptions!$D$9, Lists!$B$7:$C$10, 2, FALSE)</f>
        <v>1068086.25</v>
      </c>
      <c r="AF15" s="185">
        <f>'Key financial and ops fig.s LCY'!AF15*VLOOKUP(Assumptions!$D$7, Lists!$B$7:$C$10, 2, FALSE)*Assumptions!$D$10/VLOOKUP(Assumptions!$D$9, Lists!$B$7:$C$10, 2, FALSE)</f>
        <v>1060290</v>
      </c>
      <c r="AG15" s="48">
        <f t="shared" si="26"/>
        <v>4287937.5</v>
      </c>
      <c r="AH15" s="185">
        <f>'Key financial and ops fig.s LCY'!AH15*VLOOKUP(Assumptions!$D$7, Lists!$B$7:$C$10, 2, FALSE)*Assumptions!$D$10/VLOOKUP(Assumptions!$D$9, Lists!$B$7:$C$10, 2, FALSE)</f>
        <v>1052493.75</v>
      </c>
      <c r="AI15" s="185">
        <f>'Key financial and ops fig.s LCY'!AI15*VLOOKUP(Assumptions!$D$7, Lists!$B$7:$C$10, 2, FALSE)*Assumptions!$D$10/VLOOKUP(Assumptions!$D$9, Lists!$B$7:$C$10, 2, FALSE)</f>
        <v>1044697.5</v>
      </c>
      <c r="AJ15" s="185">
        <f>'Key financial and ops fig.s LCY'!AJ15*VLOOKUP(Assumptions!$D$7, Lists!$B$7:$C$10, 2, FALSE)*Assumptions!$D$10/VLOOKUP(Assumptions!$D$9, Lists!$B$7:$C$10, 2, FALSE)</f>
        <v>1036901.25</v>
      </c>
      <c r="AK15" s="185">
        <f>'Key financial and ops fig.s LCY'!AK15*VLOOKUP(Assumptions!$D$7, Lists!$B$7:$C$10, 2, FALSE)*Assumptions!$D$10/VLOOKUP(Assumptions!$D$9, Lists!$B$7:$C$10, 2, FALSE)</f>
        <v>1029105</v>
      </c>
      <c r="AL15" s="48">
        <f t="shared" si="27"/>
        <v>4163197.5</v>
      </c>
    </row>
    <row r="16" spans="1:38" ht="15.95" outlineLevel="2">
      <c r="A16" s="31"/>
      <c r="C16" s="32" t="s">
        <v>259</v>
      </c>
      <c r="D16" s="185">
        <f>'Key financial and ops fig.s LCY'!D16*VLOOKUP(Assumptions!$D$7, Lists!$B$7:$C$10, 2, FALSE)*Assumptions!$D$10/VLOOKUP(Assumptions!$D$9, Lists!$B$7:$C$10, 2, FALSE)</f>
        <v>300569.625</v>
      </c>
      <c r="E16" s="185">
        <f>'Key financial and ops fig.s LCY'!E16*VLOOKUP(Assumptions!$D$7, Lists!$B$7:$C$10, 2, FALSE)*Assumptions!$D$10/VLOOKUP(Assumptions!$D$9, Lists!$B$7:$C$10, 2, FALSE)</f>
        <v>296788.875</v>
      </c>
      <c r="F16" s="185">
        <f>'Key financial and ops fig.s LCY'!F16*VLOOKUP(Assumptions!$D$7, Lists!$B$7:$C$10, 2, FALSE)*Assumptions!$D$10/VLOOKUP(Assumptions!$D$9, Lists!$B$7:$C$10, 2, FALSE)</f>
        <v>293008.125</v>
      </c>
      <c r="G16" s="185">
        <f>'Key financial and ops fig.s LCY'!G16*VLOOKUP(Assumptions!$D$7, Lists!$B$7:$C$10, 2, FALSE)*Assumptions!$D$10/VLOOKUP(Assumptions!$D$9, Lists!$B$7:$C$10, 2, FALSE)</f>
        <v>289227.375</v>
      </c>
      <c r="H16" s="60">
        <f t="shared" si="21"/>
        <v>1179594</v>
      </c>
      <c r="I16" s="185">
        <f>'Key financial and ops fig.s LCY'!I16*VLOOKUP(Assumptions!$D$7, Lists!$B$7:$C$10, 2, FALSE)*Assumptions!$D$10/VLOOKUP(Assumptions!$D$9, Lists!$B$7:$C$10, 2, FALSE)</f>
        <v>285446.625</v>
      </c>
      <c r="J16" s="185">
        <f>'Key financial and ops fig.s LCY'!J16*VLOOKUP(Assumptions!$D$7, Lists!$B$7:$C$10, 2, FALSE)*Assumptions!$D$10/VLOOKUP(Assumptions!$D$9, Lists!$B$7:$C$10, 2, FALSE)</f>
        <v>281665.875</v>
      </c>
      <c r="K16" s="185">
        <f>'Key financial and ops fig.s LCY'!K16*VLOOKUP(Assumptions!$D$7, Lists!$B$7:$C$10, 2, FALSE)*Assumptions!$D$10/VLOOKUP(Assumptions!$D$9, Lists!$B$7:$C$10, 2, FALSE)</f>
        <v>277885.125</v>
      </c>
      <c r="L16" s="185">
        <f>'Key financial and ops fig.s LCY'!L16*VLOOKUP(Assumptions!$D$7, Lists!$B$7:$C$10, 2, FALSE)*Assumptions!$D$10/VLOOKUP(Assumptions!$D$9, Lists!$B$7:$C$10, 2, FALSE)</f>
        <v>274104.375</v>
      </c>
      <c r="M16" s="48">
        <f t="shared" si="22"/>
        <v>1119102</v>
      </c>
      <c r="N16" s="185">
        <f>'Key financial and ops fig.s LCY'!N16*VLOOKUP(Assumptions!$D$7, Lists!$B$7:$C$10, 2, FALSE)*Assumptions!$D$10/VLOOKUP(Assumptions!$D$9, Lists!$B$7:$C$10, 2, FALSE)</f>
        <v>270323.625</v>
      </c>
      <c r="O16" s="185">
        <f>'Key financial and ops fig.s LCY'!O16*VLOOKUP(Assumptions!$D$7, Lists!$B$7:$C$10, 2, FALSE)*Assumptions!$D$10/VLOOKUP(Assumptions!$D$9, Lists!$B$7:$C$10, 2, FALSE)</f>
        <v>266542.875</v>
      </c>
      <c r="P16" s="185">
        <f>'Key financial and ops fig.s LCY'!P16*VLOOKUP(Assumptions!$D$7, Lists!$B$7:$C$10, 2, FALSE)*Assumptions!$D$10/VLOOKUP(Assumptions!$D$9, Lists!$B$7:$C$10, 2, FALSE)</f>
        <v>262762.125</v>
      </c>
      <c r="Q16" s="185">
        <f>'Key financial and ops fig.s LCY'!Q16*VLOOKUP(Assumptions!$D$7, Lists!$B$7:$C$10, 2, FALSE)*Assumptions!$D$10/VLOOKUP(Assumptions!$D$9, Lists!$B$7:$C$10, 2, FALSE)</f>
        <v>258981.375</v>
      </c>
      <c r="R16" s="48">
        <f t="shared" si="23"/>
        <v>1058610</v>
      </c>
      <c r="S16" s="185">
        <f>'Key financial and ops fig.s LCY'!S16*VLOOKUP(Assumptions!$D$7, Lists!$B$7:$C$10, 2, FALSE)*Assumptions!$D$10/VLOOKUP(Assumptions!$D$9, Lists!$B$7:$C$10, 2, FALSE)</f>
        <v>255200.625</v>
      </c>
      <c r="T16" s="185">
        <f>'Key financial and ops fig.s LCY'!T16*VLOOKUP(Assumptions!$D$7, Lists!$B$7:$C$10, 2, FALSE)*Assumptions!$D$10/VLOOKUP(Assumptions!$D$9, Lists!$B$7:$C$10, 2, FALSE)</f>
        <v>251419.875</v>
      </c>
      <c r="U16" s="185">
        <f>'Key financial and ops fig.s LCY'!U16*VLOOKUP(Assumptions!$D$7, Lists!$B$7:$C$10, 2, FALSE)*Assumptions!$D$10/VLOOKUP(Assumptions!$D$9, Lists!$B$7:$C$10, 2, FALSE)</f>
        <v>247639.125</v>
      </c>
      <c r="V16" s="185">
        <f>'Key financial and ops fig.s LCY'!V16*VLOOKUP(Assumptions!$D$7, Lists!$B$7:$C$10, 2, FALSE)*Assumptions!$D$10/VLOOKUP(Assumptions!$D$9, Lists!$B$7:$C$10, 2, FALSE)</f>
        <v>243858.375</v>
      </c>
      <c r="W16" s="48">
        <f t="shared" si="24"/>
        <v>998118</v>
      </c>
      <c r="X16" s="185">
        <f>'Key financial and ops fig.s LCY'!X16*VLOOKUP(Assumptions!$D$7, Lists!$B$7:$C$10, 2, FALSE)*Assumptions!$D$10/VLOOKUP(Assumptions!$D$9, Lists!$B$7:$C$10, 2, FALSE)</f>
        <v>240077.625</v>
      </c>
      <c r="Y16" s="185">
        <f>'Key financial and ops fig.s LCY'!Y16*VLOOKUP(Assumptions!$D$7, Lists!$B$7:$C$10, 2, FALSE)*Assumptions!$D$10/VLOOKUP(Assumptions!$D$9, Lists!$B$7:$C$10, 2, FALSE)</f>
        <v>236296.875</v>
      </c>
      <c r="Z16" s="185">
        <f>'Key financial and ops fig.s LCY'!Z16*VLOOKUP(Assumptions!$D$7, Lists!$B$7:$C$10, 2, FALSE)*Assumptions!$D$10/VLOOKUP(Assumptions!$D$9, Lists!$B$7:$C$10, 2, FALSE)</f>
        <v>232516.125</v>
      </c>
      <c r="AA16" s="185">
        <f>'Key financial and ops fig.s LCY'!AA16*VLOOKUP(Assumptions!$D$7, Lists!$B$7:$C$10, 2, FALSE)*Assumptions!$D$10/VLOOKUP(Assumptions!$D$9, Lists!$B$7:$C$10, 2, FALSE)</f>
        <v>228735.375</v>
      </c>
      <c r="AB16" s="48">
        <f t="shared" si="25"/>
        <v>937626</v>
      </c>
      <c r="AC16" s="185">
        <f>'Key financial and ops fig.s LCY'!AC16*VLOOKUP(Assumptions!$D$7, Lists!$B$7:$C$10, 2, FALSE)*Assumptions!$D$10/VLOOKUP(Assumptions!$D$9, Lists!$B$7:$C$10, 2, FALSE)</f>
        <v>-37807.5</v>
      </c>
      <c r="AD16" s="185">
        <f>'Key financial and ops fig.s LCY'!AD16*VLOOKUP(Assumptions!$D$7, Lists!$B$7:$C$10, 2, FALSE)*Assumptions!$D$10/VLOOKUP(Assumptions!$D$9, Lists!$B$7:$C$10, 2, FALSE)</f>
        <v>-37807.5</v>
      </c>
      <c r="AE16" s="185">
        <f>'Key financial and ops fig.s LCY'!AE16*VLOOKUP(Assumptions!$D$7, Lists!$B$7:$C$10, 2, FALSE)*Assumptions!$D$10/VLOOKUP(Assumptions!$D$9, Lists!$B$7:$C$10, 2, FALSE)</f>
        <v>-37807.5</v>
      </c>
      <c r="AF16" s="185">
        <f>'Key financial and ops fig.s LCY'!AF16*VLOOKUP(Assumptions!$D$7, Lists!$B$7:$C$10, 2, FALSE)*Assumptions!$D$10/VLOOKUP(Assumptions!$D$9, Lists!$B$7:$C$10, 2, FALSE)</f>
        <v>-37807.5</v>
      </c>
      <c r="AG16" s="48">
        <f t="shared" si="26"/>
        <v>-151230</v>
      </c>
      <c r="AH16" s="185">
        <f>'Key financial and ops fig.s LCY'!AH16*VLOOKUP(Assumptions!$D$7, Lists!$B$7:$C$10, 2, FALSE)*Assumptions!$D$10/VLOOKUP(Assumptions!$D$9, Lists!$B$7:$C$10, 2, FALSE)</f>
        <v>-37807.5</v>
      </c>
      <c r="AI16" s="185">
        <f>'Key financial and ops fig.s LCY'!AI16*VLOOKUP(Assumptions!$D$7, Lists!$B$7:$C$10, 2, FALSE)*Assumptions!$D$10/VLOOKUP(Assumptions!$D$9, Lists!$B$7:$C$10, 2, FALSE)</f>
        <v>-37807.5</v>
      </c>
      <c r="AJ16" s="185">
        <f>'Key financial and ops fig.s LCY'!AJ16*VLOOKUP(Assumptions!$D$7, Lists!$B$7:$C$10, 2, FALSE)*Assumptions!$D$10/VLOOKUP(Assumptions!$D$9, Lists!$B$7:$C$10, 2, FALSE)</f>
        <v>-37807.5</v>
      </c>
      <c r="AK16" s="185">
        <f>'Key financial and ops fig.s LCY'!AK16*VLOOKUP(Assumptions!$D$7, Lists!$B$7:$C$10, 2, FALSE)*Assumptions!$D$10/VLOOKUP(Assumptions!$D$9, Lists!$B$7:$C$10, 2, FALSE)</f>
        <v>-37807.5</v>
      </c>
      <c r="AL16" s="48">
        <f t="shared" si="27"/>
        <v>-151230</v>
      </c>
    </row>
    <row r="17" spans="1:38" ht="17.100000000000001" outlineLevel="1" thickBot="1">
      <c r="A17" s="31"/>
      <c r="B17" s="34" t="s">
        <v>260</v>
      </c>
      <c r="C17" s="34"/>
      <c r="D17" s="184">
        <f>SUM(D13:D16)</f>
        <v>405935.94374999998</v>
      </c>
      <c r="E17" s="184">
        <f t="shared" ref="E17:G17" si="28">SUM(E13:E16)</f>
        <v>506196.15</v>
      </c>
      <c r="F17" s="184">
        <f t="shared" si="28"/>
        <v>605130.99375000002</v>
      </c>
      <c r="G17" s="184">
        <f t="shared" si="28"/>
        <v>702740.47499999998</v>
      </c>
      <c r="H17" s="61">
        <f t="shared" si="21"/>
        <v>2220003.5625</v>
      </c>
      <c r="I17" s="184">
        <f>SUM(I13:I16)</f>
        <v>799024.59375</v>
      </c>
      <c r="J17" s="184">
        <f t="shared" ref="J17:L17" si="29">SUM(J13:J16)</f>
        <v>893983.35</v>
      </c>
      <c r="K17" s="184">
        <f t="shared" si="29"/>
        <v>987616.74375000002</v>
      </c>
      <c r="L17" s="184">
        <f t="shared" si="29"/>
        <v>1079924.7749999999</v>
      </c>
      <c r="M17" s="51">
        <f t="shared" si="22"/>
        <v>3760549.4624999999</v>
      </c>
      <c r="N17" s="184">
        <f>SUM(N13:N16)</f>
        <v>1170907.4437500001</v>
      </c>
      <c r="O17" s="184">
        <f t="shared" ref="O17:Q17" si="30">SUM(O13:O16)</f>
        <v>1260564.75</v>
      </c>
      <c r="P17" s="184">
        <f t="shared" si="30"/>
        <v>1348896.6937500001</v>
      </c>
      <c r="Q17" s="184">
        <f t="shared" si="30"/>
        <v>1435903.2749999999</v>
      </c>
      <c r="R17" s="51">
        <f t="shared" si="23"/>
        <v>5216272.1624999996</v>
      </c>
      <c r="S17" s="184">
        <f>SUM(S13:S16)</f>
        <v>1521584.4937499999</v>
      </c>
      <c r="T17" s="184">
        <f t="shared" ref="T17:V17" si="31">SUM(T13:T16)</f>
        <v>1605940.35</v>
      </c>
      <c r="U17" s="184">
        <f t="shared" si="31"/>
        <v>1688970.84375</v>
      </c>
      <c r="V17" s="184">
        <f t="shared" si="31"/>
        <v>1770675.9750000001</v>
      </c>
      <c r="W17" s="51">
        <f t="shared" si="24"/>
        <v>6587171.6624999996</v>
      </c>
      <c r="X17" s="184">
        <f>SUM(X13:X16)</f>
        <v>1851055.7437499999</v>
      </c>
      <c r="Y17" s="184">
        <f t="shared" ref="Y17:AA17" si="32">SUM(Y13:Y16)</f>
        <v>1930110.15</v>
      </c>
      <c r="Z17" s="184">
        <f t="shared" si="32"/>
        <v>2007839.1937500001</v>
      </c>
      <c r="AA17" s="184">
        <f t="shared" si="32"/>
        <v>2084242.875</v>
      </c>
      <c r="AB17" s="51">
        <f t="shared" si="25"/>
        <v>7873247.9625000004</v>
      </c>
      <c r="AC17" s="184">
        <f>SUM(AC13:AC16)</f>
        <v>1804446.375</v>
      </c>
      <c r="AD17" s="184">
        <f t="shared" ref="AD17:AF17" si="33">SUM(AD13:AD16)</f>
        <v>1791192.75</v>
      </c>
      <c r="AE17" s="184">
        <f t="shared" si="33"/>
        <v>1777939.125</v>
      </c>
      <c r="AF17" s="184">
        <f t="shared" si="33"/>
        <v>1764685.5</v>
      </c>
      <c r="AG17" s="51">
        <f t="shared" si="26"/>
        <v>7138263.75</v>
      </c>
      <c r="AH17" s="184">
        <f>SUM(AH13:AH16)</f>
        <v>1751431.875</v>
      </c>
      <c r="AI17" s="184">
        <f t="shared" ref="AI17:AK17" si="34">SUM(AI13:AI16)</f>
        <v>1738178.25</v>
      </c>
      <c r="AJ17" s="184">
        <f t="shared" si="34"/>
        <v>1724924.625</v>
      </c>
      <c r="AK17" s="184">
        <f t="shared" si="34"/>
        <v>1711671</v>
      </c>
      <c r="AL17" s="51">
        <f t="shared" si="27"/>
        <v>6926205.75</v>
      </c>
    </row>
    <row r="18" spans="1:38" ht="17.100000000000001" thickBot="1">
      <c r="A18" s="36" t="s">
        <v>261</v>
      </c>
      <c r="B18" s="37"/>
      <c r="C18" s="38"/>
      <c r="D18" s="51">
        <f>D17</f>
        <v>405935.94374999998</v>
      </c>
      <c r="E18" s="51">
        <f t="shared" ref="E18:G18" si="35">E17</f>
        <v>506196.15</v>
      </c>
      <c r="F18" s="51">
        <f t="shared" si="35"/>
        <v>605130.99375000002</v>
      </c>
      <c r="G18" s="51">
        <f t="shared" si="35"/>
        <v>702740.47499999998</v>
      </c>
      <c r="H18" s="44">
        <f t="shared" si="21"/>
        <v>2220003.5625</v>
      </c>
      <c r="I18" s="51">
        <f>I17</f>
        <v>799024.59375</v>
      </c>
      <c r="J18" s="51">
        <f t="shared" ref="J18:L18" si="36">J17</f>
        <v>893983.35</v>
      </c>
      <c r="K18" s="51">
        <f t="shared" si="36"/>
        <v>987616.74375000002</v>
      </c>
      <c r="L18" s="51">
        <f t="shared" si="36"/>
        <v>1079924.7749999999</v>
      </c>
      <c r="M18" s="44">
        <f t="shared" si="22"/>
        <v>3760549.4624999999</v>
      </c>
      <c r="N18" s="51">
        <f>N17</f>
        <v>1170907.4437500001</v>
      </c>
      <c r="O18" s="51">
        <f t="shared" ref="O18:Q18" si="37">O17</f>
        <v>1260564.75</v>
      </c>
      <c r="P18" s="51">
        <f t="shared" si="37"/>
        <v>1348896.6937500001</v>
      </c>
      <c r="Q18" s="51">
        <f t="shared" si="37"/>
        <v>1435903.2749999999</v>
      </c>
      <c r="R18" s="44">
        <f t="shared" si="23"/>
        <v>5216272.1624999996</v>
      </c>
      <c r="S18" s="51">
        <f>S17</f>
        <v>1521584.4937499999</v>
      </c>
      <c r="T18" s="51">
        <f t="shared" ref="T18:V18" si="38">T17</f>
        <v>1605940.35</v>
      </c>
      <c r="U18" s="51">
        <f t="shared" si="38"/>
        <v>1688970.84375</v>
      </c>
      <c r="V18" s="51">
        <f t="shared" si="38"/>
        <v>1770675.9750000001</v>
      </c>
      <c r="W18" s="44">
        <f t="shared" si="24"/>
        <v>6587171.6624999996</v>
      </c>
      <c r="X18" s="51">
        <f>X17</f>
        <v>1851055.7437499999</v>
      </c>
      <c r="Y18" s="51">
        <f t="shared" ref="Y18:AA18" si="39">Y17</f>
        <v>1930110.15</v>
      </c>
      <c r="Z18" s="51">
        <f t="shared" si="39"/>
        <v>2007839.1937500001</v>
      </c>
      <c r="AA18" s="51">
        <f t="shared" si="39"/>
        <v>2084242.875</v>
      </c>
      <c r="AB18" s="44">
        <f t="shared" si="25"/>
        <v>7873247.9625000004</v>
      </c>
      <c r="AC18" s="51">
        <f>AC17</f>
        <v>1804446.375</v>
      </c>
      <c r="AD18" s="51">
        <f t="shared" ref="AD18:AF18" si="40">AD17</f>
        <v>1791192.75</v>
      </c>
      <c r="AE18" s="51">
        <f t="shared" si="40"/>
        <v>1777939.125</v>
      </c>
      <c r="AF18" s="51">
        <f t="shared" si="40"/>
        <v>1764685.5</v>
      </c>
      <c r="AG18" s="44">
        <f t="shared" si="26"/>
        <v>7138263.75</v>
      </c>
      <c r="AH18" s="51">
        <f>AH17</f>
        <v>1751431.875</v>
      </c>
      <c r="AI18" s="51">
        <f t="shared" ref="AI18:AK18" si="41">AI17</f>
        <v>1738178.25</v>
      </c>
      <c r="AJ18" s="51">
        <f t="shared" si="41"/>
        <v>1724924.625</v>
      </c>
      <c r="AK18" s="51">
        <f t="shared" si="41"/>
        <v>1711671</v>
      </c>
      <c r="AL18" s="44">
        <f t="shared" si="27"/>
        <v>6926205.75</v>
      </c>
    </row>
    <row r="19" spans="1:38" ht="15.95" outlineLevel="2">
      <c r="A19" s="31"/>
      <c r="C19" s="32" t="s">
        <v>262</v>
      </c>
      <c r="D19" s="183">
        <f>'Key financial and ops fig.s LCY'!D19*VLOOKUP(Assumptions!$D$7, Lists!$B$7:$C$10, 2, FALSE)*Assumptions!$D$10/VLOOKUP(Assumptions!$D$9, Lists!$B$7:$C$10, 2, FALSE)</f>
        <v>68866.875</v>
      </c>
      <c r="E19" s="183">
        <f>'Key financial and ops fig.s LCY'!E19*VLOOKUP(Assumptions!$D$7, Lists!$B$7:$C$10, 2, FALSE)*Assumptions!$D$10/VLOOKUP(Assumptions!$D$9, Lists!$B$7:$C$10, 2, FALSE)</f>
        <v>136867.5</v>
      </c>
      <c r="F19" s="183">
        <f>'Key financial and ops fig.s LCY'!F19*VLOOKUP(Assumptions!$D$7, Lists!$B$7:$C$10, 2, FALSE)*Assumptions!$D$10/VLOOKUP(Assumptions!$D$9, Lists!$B$7:$C$10, 2, FALSE)</f>
        <v>204001.875</v>
      </c>
      <c r="G19" s="183">
        <f>'Key financial and ops fig.s LCY'!G19*VLOOKUP(Assumptions!$D$7, Lists!$B$7:$C$10, 2, FALSE)*Assumptions!$D$10/VLOOKUP(Assumptions!$D$9, Lists!$B$7:$C$10, 2, FALSE)</f>
        <v>270270</v>
      </c>
      <c r="H19" s="60">
        <f t="shared" si="21"/>
        <v>680006.25</v>
      </c>
      <c r="I19" s="183">
        <f>'Key financial and ops fig.s LCY'!I19*VLOOKUP(Assumptions!$D$7, Lists!$B$7:$C$10, 2, FALSE)*Assumptions!$D$10/VLOOKUP(Assumptions!$D$9, Lists!$B$7:$C$10, 2, FALSE)</f>
        <v>335671.875</v>
      </c>
      <c r="J19" s="183">
        <f>'Key financial and ops fig.s LCY'!J19*VLOOKUP(Assumptions!$D$7, Lists!$B$7:$C$10, 2, FALSE)*Assumptions!$D$10/VLOOKUP(Assumptions!$D$9, Lists!$B$7:$C$10, 2, FALSE)</f>
        <v>400207.5</v>
      </c>
      <c r="K19" s="183">
        <f>'Key financial and ops fig.s LCY'!K19*VLOOKUP(Assumptions!$D$7, Lists!$B$7:$C$10, 2, FALSE)*Assumptions!$D$10/VLOOKUP(Assumptions!$D$9, Lists!$B$7:$C$10, 2, FALSE)</f>
        <v>463876.875</v>
      </c>
      <c r="L19" s="183">
        <f>'Key financial and ops fig.s LCY'!L19*VLOOKUP(Assumptions!$D$7, Lists!$B$7:$C$10, 2, FALSE)*Assumptions!$D$10/VLOOKUP(Assumptions!$D$9, Lists!$B$7:$C$10, 2, FALSE)</f>
        <v>526680</v>
      </c>
      <c r="M19" s="48">
        <f t="shared" si="22"/>
        <v>1726436.25</v>
      </c>
      <c r="N19" s="183">
        <f>'Key financial and ops fig.s LCY'!N19*VLOOKUP(Assumptions!$D$7, Lists!$B$7:$C$10, 2, FALSE)*Assumptions!$D$10/VLOOKUP(Assumptions!$D$9, Lists!$B$7:$C$10, 2, FALSE)</f>
        <v>588616.875</v>
      </c>
      <c r="O19" s="183">
        <f>'Key financial and ops fig.s LCY'!O19*VLOOKUP(Assumptions!$D$7, Lists!$B$7:$C$10, 2, FALSE)*Assumptions!$D$10/VLOOKUP(Assumptions!$D$9, Lists!$B$7:$C$10, 2, FALSE)</f>
        <v>649687.5</v>
      </c>
      <c r="P19" s="183">
        <f>'Key financial and ops fig.s LCY'!P19*VLOOKUP(Assumptions!$D$7, Lists!$B$7:$C$10, 2, FALSE)*Assumptions!$D$10/VLOOKUP(Assumptions!$D$9, Lists!$B$7:$C$10, 2, FALSE)</f>
        <v>709891.875</v>
      </c>
      <c r="Q19" s="183">
        <f>'Key financial and ops fig.s LCY'!Q19*VLOOKUP(Assumptions!$D$7, Lists!$B$7:$C$10, 2, FALSE)*Assumptions!$D$10/VLOOKUP(Assumptions!$D$9, Lists!$B$7:$C$10, 2, FALSE)</f>
        <v>769230</v>
      </c>
      <c r="R19" s="48">
        <f t="shared" si="23"/>
        <v>2717426.25</v>
      </c>
      <c r="S19" s="183">
        <f>'Key financial and ops fig.s LCY'!S19*VLOOKUP(Assumptions!$D$7, Lists!$B$7:$C$10, 2, FALSE)*Assumptions!$D$10/VLOOKUP(Assumptions!$D$9, Lists!$B$7:$C$10, 2, FALSE)</f>
        <v>827701.875</v>
      </c>
      <c r="T19" s="183">
        <f>'Key financial and ops fig.s LCY'!T19*VLOOKUP(Assumptions!$D$7, Lists!$B$7:$C$10, 2, FALSE)*Assumptions!$D$10/VLOOKUP(Assumptions!$D$9, Lists!$B$7:$C$10, 2, FALSE)</f>
        <v>885307.5</v>
      </c>
      <c r="U19" s="183">
        <f>'Key financial and ops fig.s LCY'!U19*VLOOKUP(Assumptions!$D$7, Lists!$B$7:$C$10, 2, FALSE)*Assumptions!$D$10/VLOOKUP(Assumptions!$D$9, Lists!$B$7:$C$10, 2, FALSE)</f>
        <v>942046.875</v>
      </c>
      <c r="V19" s="183">
        <f>'Key financial and ops fig.s LCY'!V19*VLOOKUP(Assumptions!$D$7, Lists!$B$7:$C$10, 2, FALSE)*Assumptions!$D$10/VLOOKUP(Assumptions!$D$9, Lists!$B$7:$C$10, 2, FALSE)</f>
        <v>997920</v>
      </c>
      <c r="W19" s="48">
        <f t="shared" si="24"/>
        <v>3652976.25</v>
      </c>
      <c r="X19" s="183">
        <f>'Key financial and ops fig.s LCY'!X19*VLOOKUP(Assumptions!$D$7, Lists!$B$7:$C$10, 2, FALSE)*Assumptions!$D$10/VLOOKUP(Assumptions!$D$9, Lists!$B$7:$C$10, 2, FALSE)</f>
        <v>1052926.875</v>
      </c>
      <c r="Y19" s="183">
        <f>'Key financial and ops fig.s LCY'!Y19*VLOOKUP(Assumptions!$D$7, Lists!$B$7:$C$10, 2, FALSE)*Assumptions!$D$10/VLOOKUP(Assumptions!$D$9, Lists!$B$7:$C$10, 2, FALSE)</f>
        <v>1107067.5</v>
      </c>
      <c r="Z19" s="183">
        <f>'Key financial and ops fig.s LCY'!Z19*VLOOKUP(Assumptions!$D$7, Lists!$B$7:$C$10, 2, FALSE)*Assumptions!$D$10/VLOOKUP(Assumptions!$D$9, Lists!$B$7:$C$10, 2, FALSE)</f>
        <v>1160341.875</v>
      </c>
      <c r="AA19" s="183">
        <f>'Key financial and ops fig.s LCY'!AA19*VLOOKUP(Assumptions!$D$7, Lists!$B$7:$C$10, 2, FALSE)*Assumptions!$D$10/VLOOKUP(Assumptions!$D$9, Lists!$B$7:$C$10, 2, FALSE)</f>
        <v>1212750</v>
      </c>
      <c r="AB19" s="48">
        <f t="shared" si="25"/>
        <v>4533086.25</v>
      </c>
      <c r="AC19" s="183">
        <f>'Key financial and ops fig.s LCY'!AC19*VLOOKUP(Assumptions!$D$7, Lists!$B$7:$C$10, 2, FALSE)*Assumptions!$D$10/VLOOKUP(Assumptions!$D$9, Lists!$B$7:$C$10, 2, FALSE)</f>
        <v>1204087.5</v>
      </c>
      <c r="AD19" s="183">
        <f>'Key financial and ops fig.s LCY'!AD19*VLOOKUP(Assumptions!$D$7, Lists!$B$7:$C$10, 2, FALSE)*Assumptions!$D$10/VLOOKUP(Assumptions!$D$9, Lists!$B$7:$C$10, 2, FALSE)</f>
        <v>1195425</v>
      </c>
      <c r="AE19" s="183">
        <f>'Key financial and ops fig.s LCY'!AE19*VLOOKUP(Assumptions!$D$7, Lists!$B$7:$C$10, 2, FALSE)*Assumptions!$D$10/VLOOKUP(Assumptions!$D$9, Lists!$B$7:$C$10, 2, FALSE)</f>
        <v>1186762.5</v>
      </c>
      <c r="AF19" s="183">
        <f>'Key financial and ops fig.s LCY'!AF19*VLOOKUP(Assumptions!$D$7, Lists!$B$7:$C$10, 2, FALSE)*Assumptions!$D$10/VLOOKUP(Assumptions!$D$9, Lists!$B$7:$C$10, 2, FALSE)</f>
        <v>1178100</v>
      </c>
      <c r="AG19" s="48">
        <f t="shared" si="26"/>
        <v>4764375</v>
      </c>
      <c r="AH19" s="183">
        <f>'Key financial and ops fig.s LCY'!AH19*VLOOKUP(Assumptions!$D$7, Lists!$B$7:$C$10, 2, FALSE)*Assumptions!$D$10/VLOOKUP(Assumptions!$D$9, Lists!$B$7:$C$10, 2, FALSE)</f>
        <v>1169437.5</v>
      </c>
      <c r="AI19" s="183">
        <f>'Key financial and ops fig.s LCY'!AI19*VLOOKUP(Assumptions!$D$7, Lists!$B$7:$C$10, 2, FALSE)*Assumptions!$D$10/VLOOKUP(Assumptions!$D$9, Lists!$B$7:$C$10, 2, FALSE)</f>
        <v>1160775</v>
      </c>
      <c r="AJ19" s="183">
        <f>'Key financial and ops fig.s LCY'!AJ19*VLOOKUP(Assumptions!$D$7, Lists!$B$7:$C$10, 2, FALSE)*Assumptions!$D$10/VLOOKUP(Assumptions!$D$9, Lists!$B$7:$C$10, 2, FALSE)</f>
        <v>1152112.5</v>
      </c>
      <c r="AK19" s="183">
        <f>'Key financial and ops fig.s LCY'!AK19*VLOOKUP(Assumptions!$D$7, Lists!$B$7:$C$10, 2, FALSE)*Assumptions!$D$10/VLOOKUP(Assumptions!$D$9, Lists!$B$7:$C$10, 2, FALSE)</f>
        <v>1143450</v>
      </c>
      <c r="AL19" s="48">
        <f t="shared" si="27"/>
        <v>4625775</v>
      </c>
    </row>
    <row r="20" spans="1:38" ht="15.95" outlineLevel="2">
      <c r="A20" s="31"/>
      <c r="C20" s="32" t="s">
        <v>263</v>
      </c>
      <c r="D20" s="185">
        <f>'Key financial and ops fig.s LCY'!D20*VLOOKUP(Assumptions!$D$7, Lists!$B$7:$C$10, 2, FALSE)*Assumptions!$D$10/VLOOKUP(Assumptions!$D$9, Lists!$B$7:$C$10, 2, FALSE)</f>
        <v>30000</v>
      </c>
      <c r="E20" s="185">
        <f>'Key financial and ops fig.s LCY'!E20*VLOOKUP(Assumptions!$D$7, Lists!$B$7:$C$10, 2, FALSE)*Assumptions!$D$10/VLOOKUP(Assumptions!$D$9, Lists!$B$7:$C$10, 2, FALSE)</f>
        <v>30000</v>
      </c>
      <c r="F20" s="185">
        <f>'Key financial and ops fig.s LCY'!F20*VLOOKUP(Assumptions!$D$7, Lists!$B$7:$C$10, 2, FALSE)*Assumptions!$D$10/VLOOKUP(Assumptions!$D$9, Lists!$B$7:$C$10, 2, FALSE)</f>
        <v>30000</v>
      </c>
      <c r="G20" s="185">
        <f>'Key financial and ops fig.s LCY'!G20*VLOOKUP(Assumptions!$D$7, Lists!$B$7:$C$10, 2, FALSE)*Assumptions!$D$10/VLOOKUP(Assumptions!$D$9, Lists!$B$7:$C$10, 2, FALSE)</f>
        <v>30000</v>
      </c>
      <c r="H20" s="60">
        <f t="shared" si="21"/>
        <v>120000</v>
      </c>
      <c r="I20" s="185">
        <f>'Key financial and ops fig.s LCY'!I20*VLOOKUP(Assumptions!$D$7, Lists!$B$7:$C$10, 2, FALSE)*Assumptions!$D$10/VLOOKUP(Assumptions!$D$9, Lists!$B$7:$C$10, 2, FALSE)</f>
        <v>30000</v>
      </c>
      <c r="J20" s="185">
        <f>'Key financial and ops fig.s LCY'!J20*VLOOKUP(Assumptions!$D$7, Lists!$B$7:$C$10, 2, FALSE)*Assumptions!$D$10/VLOOKUP(Assumptions!$D$9, Lists!$B$7:$C$10, 2, FALSE)</f>
        <v>30000</v>
      </c>
      <c r="K20" s="185">
        <f>'Key financial and ops fig.s LCY'!K20*VLOOKUP(Assumptions!$D$7, Lists!$B$7:$C$10, 2, FALSE)*Assumptions!$D$10/VLOOKUP(Assumptions!$D$9, Lists!$B$7:$C$10, 2, FALSE)</f>
        <v>30000</v>
      </c>
      <c r="L20" s="185">
        <f>'Key financial and ops fig.s LCY'!L20*VLOOKUP(Assumptions!$D$7, Lists!$B$7:$C$10, 2, FALSE)*Assumptions!$D$10/VLOOKUP(Assumptions!$D$9, Lists!$B$7:$C$10, 2, FALSE)</f>
        <v>30000</v>
      </c>
      <c r="M20" s="48">
        <f t="shared" si="22"/>
        <v>120000</v>
      </c>
      <c r="N20" s="185">
        <f>'Key financial and ops fig.s LCY'!N20*VLOOKUP(Assumptions!$D$7, Lists!$B$7:$C$10, 2, FALSE)*Assumptions!$D$10/VLOOKUP(Assumptions!$D$9, Lists!$B$7:$C$10, 2, FALSE)</f>
        <v>30000</v>
      </c>
      <c r="O20" s="185">
        <f>'Key financial and ops fig.s LCY'!O20*VLOOKUP(Assumptions!$D$7, Lists!$B$7:$C$10, 2, FALSE)*Assumptions!$D$10/VLOOKUP(Assumptions!$D$9, Lists!$B$7:$C$10, 2, FALSE)</f>
        <v>30000</v>
      </c>
      <c r="P20" s="185">
        <f>'Key financial and ops fig.s LCY'!P20*VLOOKUP(Assumptions!$D$7, Lists!$B$7:$C$10, 2, FALSE)*Assumptions!$D$10/VLOOKUP(Assumptions!$D$9, Lists!$B$7:$C$10, 2, FALSE)</f>
        <v>30000</v>
      </c>
      <c r="Q20" s="185">
        <f>'Key financial and ops fig.s LCY'!Q20*VLOOKUP(Assumptions!$D$7, Lists!$B$7:$C$10, 2, FALSE)*Assumptions!$D$10/VLOOKUP(Assumptions!$D$9, Lists!$B$7:$C$10, 2, FALSE)</f>
        <v>30000</v>
      </c>
      <c r="R20" s="48">
        <f t="shared" si="23"/>
        <v>120000</v>
      </c>
      <c r="S20" s="185">
        <f>'Key financial and ops fig.s LCY'!S20*VLOOKUP(Assumptions!$D$7, Lists!$B$7:$C$10, 2, FALSE)*Assumptions!$D$10/VLOOKUP(Assumptions!$D$9, Lists!$B$7:$C$10, 2, FALSE)</f>
        <v>30000</v>
      </c>
      <c r="T20" s="185">
        <f>'Key financial and ops fig.s LCY'!T20*VLOOKUP(Assumptions!$D$7, Lists!$B$7:$C$10, 2, FALSE)*Assumptions!$D$10/VLOOKUP(Assumptions!$D$9, Lists!$B$7:$C$10, 2, FALSE)</f>
        <v>30000</v>
      </c>
      <c r="U20" s="185">
        <f>'Key financial and ops fig.s LCY'!U20*VLOOKUP(Assumptions!$D$7, Lists!$B$7:$C$10, 2, FALSE)*Assumptions!$D$10/VLOOKUP(Assumptions!$D$9, Lists!$B$7:$C$10, 2, FALSE)</f>
        <v>30000</v>
      </c>
      <c r="V20" s="185">
        <f>'Key financial and ops fig.s LCY'!V20*VLOOKUP(Assumptions!$D$7, Lists!$B$7:$C$10, 2, FALSE)*Assumptions!$D$10/VLOOKUP(Assumptions!$D$9, Lists!$B$7:$C$10, 2, FALSE)</f>
        <v>30000</v>
      </c>
      <c r="W20" s="48">
        <f t="shared" si="24"/>
        <v>120000</v>
      </c>
      <c r="X20" s="185">
        <f>'Key financial and ops fig.s LCY'!X20*VLOOKUP(Assumptions!$D$7, Lists!$B$7:$C$10, 2, FALSE)*Assumptions!$D$10/VLOOKUP(Assumptions!$D$9, Lists!$B$7:$C$10, 2, FALSE)</f>
        <v>30000</v>
      </c>
      <c r="Y20" s="185">
        <f>'Key financial and ops fig.s LCY'!Y20*VLOOKUP(Assumptions!$D$7, Lists!$B$7:$C$10, 2, FALSE)*Assumptions!$D$10/VLOOKUP(Assumptions!$D$9, Lists!$B$7:$C$10, 2, FALSE)</f>
        <v>30000</v>
      </c>
      <c r="Z20" s="185">
        <f>'Key financial and ops fig.s LCY'!Z20*VLOOKUP(Assumptions!$D$7, Lists!$B$7:$C$10, 2, FALSE)*Assumptions!$D$10/VLOOKUP(Assumptions!$D$9, Lists!$B$7:$C$10, 2, FALSE)</f>
        <v>30000</v>
      </c>
      <c r="AA20" s="185">
        <f>'Key financial and ops fig.s LCY'!AA20*VLOOKUP(Assumptions!$D$7, Lists!$B$7:$C$10, 2, FALSE)*Assumptions!$D$10/VLOOKUP(Assumptions!$D$9, Lists!$B$7:$C$10, 2, FALSE)</f>
        <v>30000</v>
      </c>
      <c r="AB20" s="48">
        <f t="shared" si="25"/>
        <v>120000</v>
      </c>
      <c r="AC20" s="185">
        <f>'Key financial and ops fig.s LCY'!AC20*VLOOKUP(Assumptions!$D$7, Lists!$B$7:$C$10, 2, FALSE)*Assumptions!$D$10/VLOOKUP(Assumptions!$D$9, Lists!$B$7:$C$10, 2, FALSE)</f>
        <v>30000</v>
      </c>
      <c r="AD20" s="185">
        <f>'Key financial and ops fig.s LCY'!AD20*VLOOKUP(Assumptions!$D$7, Lists!$B$7:$C$10, 2, FALSE)*Assumptions!$D$10/VLOOKUP(Assumptions!$D$9, Lists!$B$7:$C$10, 2, FALSE)</f>
        <v>30000</v>
      </c>
      <c r="AE20" s="185">
        <f>'Key financial and ops fig.s LCY'!AE20*VLOOKUP(Assumptions!$D$7, Lists!$B$7:$C$10, 2, FALSE)*Assumptions!$D$10/VLOOKUP(Assumptions!$D$9, Lists!$B$7:$C$10, 2, FALSE)</f>
        <v>30000</v>
      </c>
      <c r="AF20" s="185">
        <f>'Key financial and ops fig.s LCY'!AF20*VLOOKUP(Assumptions!$D$7, Lists!$B$7:$C$10, 2, FALSE)*Assumptions!$D$10/VLOOKUP(Assumptions!$D$9, Lists!$B$7:$C$10, 2, FALSE)</f>
        <v>30000</v>
      </c>
      <c r="AG20" s="48">
        <f t="shared" si="26"/>
        <v>120000</v>
      </c>
      <c r="AH20" s="185">
        <f>'Key financial and ops fig.s LCY'!AH20*VLOOKUP(Assumptions!$D$7, Lists!$B$7:$C$10, 2, FALSE)*Assumptions!$D$10/VLOOKUP(Assumptions!$D$9, Lists!$B$7:$C$10, 2, FALSE)</f>
        <v>30000</v>
      </c>
      <c r="AI20" s="185">
        <f>'Key financial and ops fig.s LCY'!AI20*VLOOKUP(Assumptions!$D$7, Lists!$B$7:$C$10, 2, FALSE)*Assumptions!$D$10/VLOOKUP(Assumptions!$D$9, Lists!$B$7:$C$10, 2, FALSE)</f>
        <v>30000</v>
      </c>
      <c r="AJ20" s="185">
        <f>'Key financial and ops fig.s LCY'!AJ20*VLOOKUP(Assumptions!$D$7, Lists!$B$7:$C$10, 2, FALSE)*Assumptions!$D$10/VLOOKUP(Assumptions!$D$9, Lists!$B$7:$C$10, 2, FALSE)</f>
        <v>30000</v>
      </c>
      <c r="AK20" s="185">
        <f>'Key financial and ops fig.s LCY'!AK20*VLOOKUP(Assumptions!$D$7, Lists!$B$7:$C$10, 2, FALSE)*Assumptions!$D$10/VLOOKUP(Assumptions!$D$9, Lists!$B$7:$C$10, 2, FALSE)</f>
        <v>30000</v>
      </c>
      <c r="AL20" s="48">
        <f t="shared" si="27"/>
        <v>120000</v>
      </c>
    </row>
    <row r="21" spans="1:38" ht="15.95" outlineLevel="2">
      <c r="A21" s="31"/>
      <c r="C21" s="32" t="s">
        <v>264</v>
      </c>
      <c r="D21" s="185">
        <f>'Key financial and ops fig.s LCY'!D21*VLOOKUP(Assumptions!$D$7, Lists!$B$7:$C$10, 2, FALSE)*Assumptions!$D$10/VLOOKUP(Assumptions!$D$9, Lists!$B$7:$C$10, 2, FALSE)</f>
        <v>-75000</v>
      </c>
      <c r="E21" s="185">
        <f>'Key financial and ops fig.s LCY'!E21*VLOOKUP(Assumptions!$D$7, Lists!$B$7:$C$10, 2, FALSE)*Assumptions!$D$10/VLOOKUP(Assumptions!$D$9, Lists!$B$7:$C$10, 2, FALSE)</f>
        <v>-75000</v>
      </c>
      <c r="F21" s="185">
        <f>'Key financial and ops fig.s LCY'!F21*VLOOKUP(Assumptions!$D$7, Lists!$B$7:$C$10, 2, FALSE)*Assumptions!$D$10/VLOOKUP(Assumptions!$D$9, Lists!$B$7:$C$10, 2, FALSE)</f>
        <v>-75000</v>
      </c>
      <c r="G21" s="185">
        <f>'Key financial and ops fig.s LCY'!G21*VLOOKUP(Assumptions!$D$7, Lists!$B$7:$C$10, 2, FALSE)*Assumptions!$D$10/VLOOKUP(Assumptions!$D$9, Lists!$B$7:$C$10, 2, FALSE)</f>
        <v>-75000</v>
      </c>
      <c r="H21" s="60">
        <f t="shared" si="21"/>
        <v>-300000</v>
      </c>
      <c r="I21" s="185">
        <f>'Key financial and ops fig.s LCY'!I21*VLOOKUP(Assumptions!$D$7, Lists!$B$7:$C$10, 2, FALSE)*Assumptions!$D$10/VLOOKUP(Assumptions!$D$9, Lists!$B$7:$C$10, 2, FALSE)</f>
        <v>-75000</v>
      </c>
      <c r="J21" s="185">
        <f>'Key financial and ops fig.s LCY'!J21*VLOOKUP(Assumptions!$D$7, Lists!$B$7:$C$10, 2, FALSE)*Assumptions!$D$10/VLOOKUP(Assumptions!$D$9, Lists!$B$7:$C$10, 2, FALSE)</f>
        <v>-75000</v>
      </c>
      <c r="K21" s="185">
        <f>'Key financial and ops fig.s LCY'!K21*VLOOKUP(Assumptions!$D$7, Lists!$B$7:$C$10, 2, FALSE)*Assumptions!$D$10/VLOOKUP(Assumptions!$D$9, Lists!$B$7:$C$10, 2, FALSE)</f>
        <v>-75000</v>
      </c>
      <c r="L21" s="185">
        <f>'Key financial and ops fig.s LCY'!L21*VLOOKUP(Assumptions!$D$7, Lists!$B$7:$C$10, 2, FALSE)*Assumptions!$D$10/VLOOKUP(Assumptions!$D$9, Lists!$B$7:$C$10, 2, FALSE)</f>
        <v>-75000</v>
      </c>
      <c r="M21" s="48">
        <f t="shared" si="22"/>
        <v>-300000</v>
      </c>
      <c r="N21" s="185">
        <f>'Key financial and ops fig.s LCY'!N21*VLOOKUP(Assumptions!$D$7, Lists!$B$7:$C$10, 2, FALSE)*Assumptions!$D$10/VLOOKUP(Assumptions!$D$9, Lists!$B$7:$C$10, 2, FALSE)</f>
        <v>-75000</v>
      </c>
      <c r="O21" s="185">
        <f>'Key financial and ops fig.s LCY'!O21*VLOOKUP(Assumptions!$D$7, Lists!$B$7:$C$10, 2, FALSE)*Assumptions!$D$10/VLOOKUP(Assumptions!$D$9, Lists!$B$7:$C$10, 2, FALSE)</f>
        <v>-75000</v>
      </c>
      <c r="P21" s="185">
        <f>'Key financial and ops fig.s LCY'!P21*VLOOKUP(Assumptions!$D$7, Lists!$B$7:$C$10, 2, FALSE)*Assumptions!$D$10/VLOOKUP(Assumptions!$D$9, Lists!$B$7:$C$10, 2, FALSE)</f>
        <v>-75000</v>
      </c>
      <c r="Q21" s="185">
        <f>'Key financial and ops fig.s LCY'!Q21*VLOOKUP(Assumptions!$D$7, Lists!$B$7:$C$10, 2, FALSE)*Assumptions!$D$10/VLOOKUP(Assumptions!$D$9, Lists!$B$7:$C$10, 2, FALSE)</f>
        <v>-75000</v>
      </c>
      <c r="R21" s="48">
        <f t="shared" si="23"/>
        <v>-300000</v>
      </c>
      <c r="S21" s="185">
        <f>'Key financial and ops fig.s LCY'!S21*VLOOKUP(Assumptions!$D$7, Lists!$B$7:$C$10, 2, FALSE)*Assumptions!$D$10/VLOOKUP(Assumptions!$D$9, Lists!$B$7:$C$10, 2, FALSE)</f>
        <v>-75000</v>
      </c>
      <c r="T21" s="185">
        <f>'Key financial and ops fig.s LCY'!T21*VLOOKUP(Assumptions!$D$7, Lists!$B$7:$C$10, 2, FALSE)*Assumptions!$D$10/VLOOKUP(Assumptions!$D$9, Lists!$B$7:$C$10, 2, FALSE)</f>
        <v>-75000</v>
      </c>
      <c r="U21" s="185">
        <f>'Key financial and ops fig.s LCY'!U21*VLOOKUP(Assumptions!$D$7, Lists!$B$7:$C$10, 2, FALSE)*Assumptions!$D$10/VLOOKUP(Assumptions!$D$9, Lists!$B$7:$C$10, 2, FALSE)</f>
        <v>-75000</v>
      </c>
      <c r="V21" s="185">
        <f>'Key financial and ops fig.s LCY'!V21*VLOOKUP(Assumptions!$D$7, Lists!$B$7:$C$10, 2, FALSE)*Assumptions!$D$10/VLOOKUP(Assumptions!$D$9, Lists!$B$7:$C$10, 2, FALSE)</f>
        <v>-75000</v>
      </c>
      <c r="W21" s="48">
        <f t="shared" si="24"/>
        <v>-300000</v>
      </c>
      <c r="X21" s="185">
        <f>'Key financial and ops fig.s LCY'!X21*VLOOKUP(Assumptions!$D$7, Lists!$B$7:$C$10, 2, FALSE)*Assumptions!$D$10/VLOOKUP(Assumptions!$D$9, Lists!$B$7:$C$10, 2, FALSE)</f>
        <v>-75000</v>
      </c>
      <c r="Y21" s="185">
        <f>'Key financial and ops fig.s LCY'!Y21*VLOOKUP(Assumptions!$D$7, Lists!$B$7:$C$10, 2, FALSE)*Assumptions!$D$10/VLOOKUP(Assumptions!$D$9, Lists!$B$7:$C$10, 2, FALSE)</f>
        <v>-75000</v>
      </c>
      <c r="Z21" s="185">
        <f>'Key financial and ops fig.s LCY'!Z21*VLOOKUP(Assumptions!$D$7, Lists!$B$7:$C$10, 2, FALSE)*Assumptions!$D$10/VLOOKUP(Assumptions!$D$9, Lists!$B$7:$C$10, 2, FALSE)</f>
        <v>-75000</v>
      </c>
      <c r="AA21" s="185">
        <f>'Key financial and ops fig.s LCY'!AA21*VLOOKUP(Assumptions!$D$7, Lists!$B$7:$C$10, 2, FALSE)*Assumptions!$D$10/VLOOKUP(Assumptions!$D$9, Lists!$B$7:$C$10, 2, FALSE)</f>
        <v>-75000</v>
      </c>
      <c r="AB21" s="48">
        <f t="shared" si="25"/>
        <v>-300000</v>
      </c>
      <c r="AC21" s="185">
        <f>'Key financial and ops fig.s LCY'!AC21*VLOOKUP(Assumptions!$D$7, Lists!$B$7:$C$10, 2, FALSE)*Assumptions!$D$10/VLOOKUP(Assumptions!$D$9, Lists!$B$7:$C$10, 2, FALSE)</f>
        <v>-75000</v>
      </c>
      <c r="AD21" s="185">
        <f>'Key financial and ops fig.s LCY'!AD21*VLOOKUP(Assumptions!$D$7, Lists!$B$7:$C$10, 2, FALSE)*Assumptions!$D$10/VLOOKUP(Assumptions!$D$9, Lists!$B$7:$C$10, 2, FALSE)</f>
        <v>-75000</v>
      </c>
      <c r="AE21" s="185">
        <f>'Key financial and ops fig.s LCY'!AE21*VLOOKUP(Assumptions!$D$7, Lists!$B$7:$C$10, 2, FALSE)*Assumptions!$D$10/VLOOKUP(Assumptions!$D$9, Lists!$B$7:$C$10, 2, FALSE)</f>
        <v>-75000</v>
      </c>
      <c r="AF21" s="185">
        <f>'Key financial and ops fig.s LCY'!AF21*VLOOKUP(Assumptions!$D$7, Lists!$B$7:$C$10, 2, FALSE)*Assumptions!$D$10/VLOOKUP(Assumptions!$D$9, Lists!$B$7:$C$10, 2, FALSE)</f>
        <v>-75000</v>
      </c>
      <c r="AG21" s="48">
        <f t="shared" si="26"/>
        <v>-300000</v>
      </c>
      <c r="AH21" s="185">
        <f>'Key financial and ops fig.s LCY'!AH21*VLOOKUP(Assumptions!$D$7, Lists!$B$7:$C$10, 2, FALSE)*Assumptions!$D$10/VLOOKUP(Assumptions!$D$9, Lists!$B$7:$C$10, 2, FALSE)</f>
        <v>-75000</v>
      </c>
      <c r="AI21" s="185">
        <f>'Key financial and ops fig.s LCY'!AI21*VLOOKUP(Assumptions!$D$7, Lists!$B$7:$C$10, 2, FALSE)*Assumptions!$D$10/VLOOKUP(Assumptions!$D$9, Lists!$B$7:$C$10, 2, FALSE)</f>
        <v>-75000</v>
      </c>
      <c r="AJ21" s="185">
        <f>'Key financial and ops fig.s LCY'!AJ21*VLOOKUP(Assumptions!$D$7, Lists!$B$7:$C$10, 2, FALSE)*Assumptions!$D$10/VLOOKUP(Assumptions!$D$9, Lists!$B$7:$C$10, 2, FALSE)</f>
        <v>-75000</v>
      </c>
      <c r="AK21" s="185">
        <f>'Key financial and ops fig.s LCY'!AK21*VLOOKUP(Assumptions!$D$7, Lists!$B$7:$C$10, 2, FALSE)*Assumptions!$D$10/VLOOKUP(Assumptions!$D$9, Lists!$B$7:$C$10, 2, FALSE)</f>
        <v>-75000</v>
      </c>
      <c r="AL21" s="48">
        <f t="shared" si="27"/>
        <v>-300000</v>
      </c>
    </row>
    <row r="22" spans="1:38" ht="15.95" outlineLevel="2">
      <c r="A22" s="31"/>
      <c r="C22" s="32" t="s">
        <v>265</v>
      </c>
      <c r="D22" s="185">
        <f>'Key financial and ops fig.s LCY'!D22*VLOOKUP(Assumptions!$D$7, Lists!$B$7:$C$10, 2, FALSE)*Assumptions!$D$10/VLOOKUP(Assumptions!$D$9, Lists!$B$7:$C$10, 2, FALSE)</f>
        <v>-45000</v>
      </c>
      <c r="E22" s="185">
        <f>'Key financial and ops fig.s LCY'!E22*VLOOKUP(Assumptions!$D$7, Lists!$B$7:$C$10, 2, FALSE)*Assumptions!$D$10/VLOOKUP(Assumptions!$D$9, Lists!$B$7:$C$10, 2, FALSE)</f>
        <v>-45000</v>
      </c>
      <c r="F22" s="185">
        <f>'Key financial and ops fig.s LCY'!F22*VLOOKUP(Assumptions!$D$7, Lists!$B$7:$C$10, 2, FALSE)*Assumptions!$D$10/VLOOKUP(Assumptions!$D$9, Lists!$B$7:$C$10, 2, FALSE)</f>
        <v>-45000</v>
      </c>
      <c r="G22" s="185">
        <f>'Key financial and ops fig.s LCY'!G22*VLOOKUP(Assumptions!$D$7, Lists!$B$7:$C$10, 2, FALSE)*Assumptions!$D$10/VLOOKUP(Assumptions!$D$9, Lists!$B$7:$C$10, 2, FALSE)</f>
        <v>-45000</v>
      </c>
      <c r="H22" s="60">
        <f t="shared" si="21"/>
        <v>-180000</v>
      </c>
      <c r="I22" s="185">
        <f>'Key financial and ops fig.s LCY'!I22*VLOOKUP(Assumptions!$D$7, Lists!$B$7:$C$10, 2, FALSE)*Assumptions!$D$10/VLOOKUP(Assumptions!$D$9, Lists!$B$7:$C$10, 2, FALSE)</f>
        <v>-45000</v>
      </c>
      <c r="J22" s="185">
        <f>'Key financial and ops fig.s LCY'!J22*VLOOKUP(Assumptions!$D$7, Lists!$B$7:$C$10, 2, FALSE)*Assumptions!$D$10/VLOOKUP(Assumptions!$D$9, Lists!$B$7:$C$10, 2, FALSE)</f>
        <v>-45000</v>
      </c>
      <c r="K22" s="185">
        <f>'Key financial and ops fig.s LCY'!K22*VLOOKUP(Assumptions!$D$7, Lists!$B$7:$C$10, 2, FALSE)*Assumptions!$D$10/VLOOKUP(Assumptions!$D$9, Lists!$B$7:$C$10, 2, FALSE)</f>
        <v>-45000</v>
      </c>
      <c r="L22" s="185">
        <f>'Key financial and ops fig.s LCY'!L22*VLOOKUP(Assumptions!$D$7, Lists!$B$7:$C$10, 2, FALSE)*Assumptions!$D$10/VLOOKUP(Assumptions!$D$9, Lists!$B$7:$C$10, 2, FALSE)</f>
        <v>-45000</v>
      </c>
      <c r="M22" s="48">
        <f t="shared" si="22"/>
        <v>-180000</v>
      </c>
      <c r="N22" s="185">
        <f>'Key financial and ops fig.s LCY'!N22*VLOOKUP(Assumptions!$D$7, Lists!$B$7:$C$10, 2, FALSE)*Assumptions!$D$10/VLOOKUP(Assumptions!$D$9, Lists!$B$7:$C$10, 2, FALSE)</f>
        <v>-45000</v>
      </c>
      <c r="O22" s="185">
        <f>'Key financial and ops fig.s LCY'!O22*VLOOKUP(Assumptions!$D$7, Lists!$B$7:$C$10, 2, FALSE)*Assumptions!$D$10/VLOOKUP(Assumptions!$D$9, Lists!$B$7:$C$10, 2, FALSE)</f>
        <v>-45000</v>
      </c>
      <c r="P22" s="185">
        <f>'Key financial and ops fig.s LCY'!P22*VLOOKUP(Assumptions!$D$7, Lists!$B$7:$C$10, 2, FALSE)*Assumptions!$D$10/VLOOKUP(Assumptions!$D$9, Lists!$B$7:$C$10, 2, FALSE)</f>
        <v>-45000</v>
      </c>
      <c r="Q22" s="185">
        <f>'Key financial and ops fig.s LCY'!Q22*VLOOKUP(Assumptions!$D$7, Lists!$B$7:$C$10, 2, FALSE)*Assumptions!$D$10/VLOOKUP(Assumptions!$D$9, Lists!$B$7:$C$10, 2, FALSE)</f>
        <v>-45000</v>
      </c>
      <c r="R22" s="48">
        <f t="shared" si="23"/>
        <v>-180000</v>
      </c>
      <c r="S22" s="185">
        <f>'Key financial and ops fig.s LCY'!S22*VLOOKUP(Assumptions!$D$7, Lists!$B$7:$C$10, 2, FALSE)*Assumptions!$D$10/VLOOKUP(Assumptions!$D$9, Lists!$B$7:$C$10, 2, FALSE)</f>
        <v>-45000</v>
      </c>
      <c r="T22" s="185">
        <f>'Key financial and ops fig.s LCY'!T22*VLOOKUP(Assumptions!$D$7, Lists!$B$7:$C$10, 2, FALSE)*Assumptions!$D$10/VLOOKUP(Assumptions!$D$9, Lists!$B$7:$C$10, 2, FALSE)</f>
        <v>-45000</v>
      </c>
      <c r="U22" s="185">
        <f>'Key financial and ops fig.s LCY'!U22*VLOOKUP(Assumptions!$D$7, Lists!$B$7:$C$10, 2, FALSE)*Assumptions!$D$10/VLOOKUP(Assumptions!$D$9, Lists!$B$7:$C$10, 2, FALSE)</f>
        <v>-45000</v>
      </c>
      <c r="V22" s="185">
        <f>'Key financial and ops fig.s LCY'!V22*VLOOKUP(Assumptions!$D$7, Lists!$B$7:$C$10, 2, FALSE)*Assumptions!$D$10/VLOOKUP(Assumptions!$D$9, Lists!$B$7:$C$10, 2, FALSE)</f>
        <v>-45000</v>
      </c>
      <c r="W22" s="48">
        <f t="shared" si="24"/>
        <v>-180000</v>
      </c>
      <c r="X22" s="185">
        <f>'Key financial and ops fig.s LCY'!X22*VLOOKUP(Assumptions!$D$7, Lists!$B$7:$C$10, 2, FALSE)*Assumptions!$D$10/VLOOKUP(Assumptions!$D$9, Lists!$B$7:$C$10, 2, FALSE)</f>
        <v>-45000</v>
      </c>
      <c r="Y22" s="185">
        <f>'Key financial and ops fig.s LCY'!Y22*VLOOKUP(Assumptions!$D$7, Lists!$B$7:$C$10, 2, FALSE)*Assumptions!$D$10/VLOOKUP(Assumptions!$D$9, Lists!$B$7:$C$10, 2, FALSE)</f>
        <v>-45000</v>
      </c>
      <c r="Z22" s="185">
        <f>'Key financial and ops fig.s LCY'!Z22*VLOOKUP(Assumptions!$D$7, Lists!$B$7:$C$10, 2, FALSE)*Assumptions!$D$10/VLOOKUP(Assumptions!$D$9, Lists!$B$7:$C$10, 2, FALSE)</f>
        <v>-45000</v>
      </c>
      <c r="AA22" s="185">
        <f>'Key financial and ops fig.s LCY'!AA22*VLOOKUP(Assumptions!$D$7, Lists!$B$7:$C$10, 2, FALSE)*Assumptions!$D$10/VLOOKUP(Assumptions!$D$9, Lists!$B$7:$C$10, 2, FALSE)</f>
        <v>-45000</v>
      </c>
      <c r="AB22" s="48">
        <f t="shared" si="25"/>
        <v>-180000</v>
      </c>
      <c r="AC22" s="185">
        <f>'Key financial and ops fig.s LCY'!AC22*VLOOKUP(Assumptions!$D$7, Lists!$B$7:$C$10, 2, FALSE)*Assumptions!$D$10/VLOOKUP(Assumptions!$D$9, Lists!$B$7:$C$10, 2, FALSE)</f>
        <v>-45000</v>
      </c>
      <c r="AD22" s="185">
        <f>'Key financial and ops fig.s LCY'!AD22*VLOOKUP(Assumptions!$D$7, Lists!$B$7:$C$10, 2, FALSE)*Assumptions!$D$10/VLOOKUP(Assumptions!$D$9, Lists!$B$7:$C$10, 2, FALSE)</f>
        <v>-45000</v>
      </c>
      <c r="AE22" s="185">
        <f>'Key financial and ops fig.s LCY'!AE22*VLOOKUP(Assumptions!$D$7, Lists!$B$7:$C$10, 2, FALSE)*Assumptions!$D$10/VLOOKUP(Assumptions!$D$9, Lists!$B$7:$C$10, 2, FALSE)</f>
        <v>-45000</v>
      </c>
      <c r="AF22" s="185">
        <f>'Key financial and ops fig.s LCY'!AF22*VLOOKUP(Assumptions!$D$7, Lists!$B$7:$C$10, 2, FALSE)*Assumptions!$D$10/VLOOKUP(Assumptions!$D$9, Lists!$B$7:$C$10, 2, FALSE)</f>
        <v>-45000</v>
      </c>
      <c r="AG22" s="48">
        <f t="shared" si="26"/>
        <v>-180000</v>
      </c>
      <c r="AH22" s="185">
        <f>'Key financial and ops fig.s LCY'!AH22*VLOOKUP(Assumptions!$D$7, Lists!$B$7:$C$10, 2, FALSE)*Assumptions!$D$10/VLOOKUP(Assumptions!$D$9, Lists!$B$7:$C$10, 2, FALSE)</f>
        <v>-45000</v>
      </c>
      <c r="AI22" s="185">
        <f>'Key financial and ops fig.s LCY'!AI22*VLOOKUP(Assumptions!$D$7, Lists!$B$7:$C$10, 2, FALSE)*Assumptions!$D$10/VLOOKUP(Assumptions!$D$9, Lists!$B$7:$C$10, 2, FALSE)</f>
        <v>-45000</v>
      </c>
      <c r="AJ22" s="185">
        <f>'Key financial and ops fig.s LCY'!AJ22*VLOOKUP(Assumptions!$D$7, Lists!$B$7:$C$10, 2, FALSE)*Assumptions!$D$10/VLOOKUP(Assumptions!$D$9, Lists!$B$7:$C$10, 2, FALSE)</f>
        <v>-45000</v>
      </c>
      <c r="AK22" s="185">
        <f>'Key financial and ops fig.s LCY'!AK22*VLOOKUP(Assumptions!$D$7, Lists!$B$7:$C$10, 2, FALSE)*Assumptions!$D$10/VLOOKUP(Assumptions!$D$9, Lists!$B$7:$C$10, 2, FALSE)</f>
        <v>-45000</v>
      </c>
      <c r="AL22" s="48">
        <f t="shared" si="27"/>
        <v>-180000</v>
      </c>
    </row>
    <row r="23" spans="1:38" ht="17.100000000000001" outlineLevel="1" thickBot="1">
      <c r="A23" s="31"/>
      <c r="B23" s="34" t="s">
        <v>266</v>
      </c>
      <c r="C23" s="34"/>
      <c r="D23" s="184">
        <f>D19+D22</f>
        <v>23866.875</v>
      </c>
      <c r="E23" s="184">
        <f t="shared" ref="E23:G23" si="42">E19+E22</f>
        <v>91867.5</v>
      </c>
      <c r="F23" s="184">
        <f t="shared" si="42"/>
        <v>159001.875</v>
      </c>
      <c r="G23" s="184">
        <f t="shared" si="42"/>
        <v>225270</v>
      </c>
      <c r="H23" s="61">
        <f t="shared" ref="H23:H28" si="43">SUM(D23:G23)</f>
        <v>500006.25</v>
      </c>
      <c r="I23" s="184">
        <f>I19+I22</f>
        <v>290671.875</v>
      </c>
      <c r="J23" s="184">
        <f t="shared" ref="J23:L23" si="44">J19+J22</f>
        <v>355207.5</v>
      </c>
      <c r="K23" s="184">
        <f t="shared" si="44"/>
        <v>418876.875</v>
      </c>
      <c r="L23" s="184">
        <f t="shared" si="44"/>
        <v>481680</v>
      </c>
      <c r="M23" s="51">
        <f t="shared" ref="M23:M28" si="45">SUM(I23:L23)</f>
        <v>1546436.25</v>
      </c>
      <c r="N23" s="184">
        <f>N19+N22</f>
        <v>543616.875</v>
      </c>
      <c r="O23" s="184">
        <f t="shared" ref="O23:Q23" si="46">O19+O22</f>
        <v>604687.5</v>
      </c>
      <c r="P23" s="184">
        <f t="shared" si="46"/>
        <v>664891.875</v>
      </c>
      <c r="Q23" s="184">
        <f t="shared" si="46"/>
        <v>724230</v>
      </c>
      <c r="R23" s="51">
        <f t="shared" ref="R23:R28" si="47">SUM(N23:Q23)</f>
        <v>2537426.25</v>
      </c>
      <c r="S23" s="184">
        <f>S19+S22</f>
        <v>782701.875</v>
      </c>
      <c r="T23" s="184">
        <f t="shared" ref="T23:V23" si="48">T19+T22</f>
        <v>840307.5</v>
      </c>
      <c r="U23" s="184">
        <f t="shared" si="48"/>
        <v>897046.875</v>
      </c>
      <c r="V23" s="184">
        <f t="shared" si="48"/>
        <v>952920</v>
      </c>
      <c r="W23" s="51">
        <f t="shared" ref="W23:W28" si="49">SUM(S23:V23)</f>
        <v>3472976.25</v>
      </c>
      <c r="X23" s="184">
        <f>X19+X22</f>
        <v>1007926.875</v>
      </c>
      <c r="Y23" s="184">
        <f t="shared" ref="Y23:AA23" si="50">Y19+Y22</f>
        <v>1062067.5</v>
      </c>
      <c r="Z23" s="184">
        <f t="shared" si="50"/>
        <v>1115341.875</v>
      </c>
      <c r="AA23" s="184">
        <f t="shared" si="50"/>
        <v>1167750</v>
      </c>
      <c r="AB23" s="51">
        <f t="shared" ref="AB23:AB28" si="51">SUM(X23:AA23)</f>
        <v>4353086.25</v>
      </c>
      <c r="AC23" s="184">
        <f>AC19+AC22</f>
        <v>1159087.5</v>
      </c>
      <c r="AD23" s="184">
        <f t="shared" ref="AD23:AF23" si="52">AD19+AD22</f>
        <v>1150425</v>
      </c>
      <c r="AE23" s="184">
        <f t="shared" si="52"/>
        <v>1141762.5</v>
      </c>
      <c r="AF23" s="184">
        <f t="shared" si="52"/>
        <v>1133100</v>
      </c>
      <c r="AG23" s="51">
        <f t="shared" ref="AG23:AG28" si="53">SUM(AC23:AF23)</f>
        <v>4584375</v>
      </c>
      <c r="AH23" s="184">
        <f>AH19+AH22</f>
        <v>1124437.5</v>
      </c>
      <c r="AI23" s="184">
        <f t="shared" ref="AI23:AK23" si="54">AI19+AI22</f>
        <v>1115775</v>
      </c>
      <c r="AJ23" s="184">
        <f t="shared" si="54"/>
        <v>1107112.5</v>
      </c>
      <c r="AK23" s="184">
        <f t="shared" si="54"/>
        <v>1098450</v>
      </c>
      <c r="AL23" s="51">
        <f t="shared" ref="AL23:AL28" si="55">SUM(AH23:AK23)</f>
        <v>4445775</v>
      </c>
    </row>
    <row r="24" spans="1:38" ht="17.100000000000001" thickBot="1">
      <c r="A24" s="36" t="s">
        <v>267</v>
      </c>
      <c r="B24" s="37"/>
      <c r="C24" s="38"/>
      <c r="D24" s="53">
        <f>D23</f>
        <v>23866.875</v>
      </c>
      <c r="E24" s="53">
        <f>E23</f>
        <v>91867.5</v>
      </c>
      <c r="F24" s="53">
        <f>F23</f>
        <v>159001.875</v>
      </c>
      <c r="G24" s="53">
        <f>G23</f>
        <v>225270</v>
      </c>
      <c r="H24" s="44">
        <f t="shared" si="43"/>
        <v>500006.25</v>
      </c>
      <c r="I24" s="53">
        <f>I23</f>
        <v>290671.875</v>
      </c>
      <c r="J24" s="53">
        <f>J23</f>
        <v>355207.5</v>
      </c>
      <c r="K24" s="53">
        <f>K23</f>
        <v>418876.875</v>
      </c>
      <c r="L24" s="53">
        <f>L23</f>
        <v>481680</v>
      </c>
      <c r="M24" s="44">
        <f t="shared" si="45"/>
        <v>1546436.25</v>
      </c>
      <c r="N24" s="53">
        <f>N23</f>
        <v>543616.875</v>
      </c>
      <c r="O24" s="53">
        <f>O23</f>
        <v>604687.5</v>
      </c>
      <c r="P24" s="53">
        <f>P23</f>
        <v>664891.875</v>
      </c>
      <c r="Q24" s="53">
        <f>Q23</f>
        <v>724230</v>
      </c>
      <c r="R24" s="44">
        <f t="shared" si="47"/>
        <v>2537426.25</v>
      </c>
      <c r="S24" s="53">
        <f>S23</f>
        <v>782701.875</v>
      </c>
      <c r="T24" s="53">
        <f>T23</f>
        <v>840307.5</v>
      </c>
      <c r="U24" s="53">
        <f>U23</f>
        <v>897046.875</v>
      </c>
      <c r="V24" s="53">
        <f>V23</f>
        <v>952920</v>
      </c>
      <c r="W24" s="44">
        <f t="shared" si="49"/>
        <v>3472976.25</v>
      </c>
      <c r="X24" s="53">
        <f>X23</f>
        <v>1007926.875</v>
      </c>
      <c r="Y24" s="53">
        <f>Y23</f>
        <v>1062067.5</v>
      </c>
      <c r="Z24" s="53">
        <f>Z23</f>
        <v>1115341.875</v>
      </c>
      <c r="AA24" s="53">
        <f>AA23</f>
        <v>1167750</v>
      </c>
      <c r="AB24" s="44">
        <f t="shared" si="51"/>
        <v>4353086.25</v>
      </c>
      <c r="AC24" s="53">
        <f>AC23</f>
        <v>1159087.5</v>
      </c>
      <c r="AD24" s="53">
        <f>AD23</f>
        <v>1150425</v>
      </c>
      <c r="AE24" s="53">
        <f>AE23</f>
        <v>1141762.5</v>
      </c>
      <c r="AF24" s="53">
        <f>AF23</f>
        <v>1133100</v>
      </c>
      <c r="AG24" s="44">
        <f t="shared" si="53"/>
        <v>4584375</v>
      </c>
      <c r="AH24" s="53">
        <f>AH23</f>
        <v>1124437.5</v>
      </c>
      <c r="AI24" s="53">
        <f>AI23</f>
        <v>1115775</v>
      </c>
      <c r="AJ24" s="53">
        <f>AJ23</f>
        <v>1107112.5</v>
      </c>
      <c r="AK24" s="53">
        <f>AK23</f>
        <v>1098450</v>
      </c>
      <c r="AL24" s="44">
        <f t="shared" si="55"/>
        <v>4445775</v>
      </c>
    </row>
    <row r="25" spans="1:38" ht="17.100000000000001" thickBot="1">
      <c r="A25" s="36" t="s">
        <v>268</v>
      </c>
      <c r="B25" s="37"/>
      <c r="C25" s="38"/>
      <c r="D25" s="182">
        <f>D24+D18+D12</f>
        <v>620796.6</v>
      </c>
      <c r="E25" s="182">
        <f>E24+E18+E12</f>
        <v>977648.77500000002</v>
      </c>
      <c r="F25" s="182">
        <f>F24+F18+F12</f>
        <v>1329906.9000000001</v>
      </c>
      <c r="G25" s="182">
        <f>G24+G18+G12</f>
        <v>1677570.9750000001</v>
      </c>
      <c r="H25" s="44">
        <f t="shared" si="43"/>
        <v>4605923.25</v>
      </c>
      <c r="I25" s="182">
        <f>I24+I18+I12</f>
        <v>2020641</v>
      </c>
      <c r="J25" s="182">
        <f>J24+J18+J12</f>
        <v>2359116.9750000006</v>
      </c>
      <c r="K25" s="182">
        <f>K24+K18+K12</f>
        <v>2692998.9000000004</v>
      </c>
      <c r="L25" s="182">
        <f>L24+L18+L12</f>
        <v>3022286.7749999999</v>
      </c>
      <c r="M25" s="44">
        <f t="shared" si="45"/>
        <v>10095043.65</v>
      </c>
      <c r="N25" s="182">
        <f>N24+N18+N12</f>
        <v>3346980.6</v>
      </c>
      <c r="O25" s="182">
        <f>O24+O18+O12</f>
        <v>3667080.375</v>
      </c>
      <c r="P25" s="182">
        <f>P24+P18+P12</f>
        <v>3982586.1000000006</v>
      </c>
      <c r="Q25" s="182">
        <f>Q24+Q18+Q12</f>
        <v>4293497.7750000004</v>
      </c>
      <c r="R25" s="44">
        <f t="shared" si="47"/>
        <v>15290144.85</v>
      </c>
      <c r="S25" s="182">
        <f>S24+S18+S12</f>
        <v>4599815.4000000004</v>
      </c>
      <c r="T25" s="182">
        <f>T24+T18+T12</f>
        <v>4901538.9750000006</v>
      </c>
      <c r="U25" s="182">
        <f>U24+U18+U12</f>
        <v>5198668.5</v>
      </c>
      <c r="V25" s="182">
        <f>V24+V18+V12</f>
        <v>5491203.9749999996</v>
      </c>
      <c r="W25" s="44">
        <f t="shared" si="49"/>
        <v>20191226.850000001</v>
      </c>
      <c r="X25" s="182">
        <f>X24+X18+X12</f>
        <v>5779145.4000000004</v>
      </c>
      <c r="Y25" s="182">
        <f>Y24+Y18+Y12</f>
        <v>6062492.7750000004</v>
      </c>
      <c r="Z25" s="182">
        <f>Z24+Z18+Z12</f>
        <v>6341246.0999999996</v>
      </c>
      <c r="AA25" s="182">
        <f>AA24+AA18+AA12</f>
        <v>6615405.375</v>
      </c>
      <c r="AB25" s="44">
        <f t="shared" si="51"/>
        <v>24798289.649999999</v>
      </c>
      <c r="AC25" s="182">
        <f>AC24+AC18+AC12</f>
        <v>6302922</v>
      </c>
      <c r="AD25" s="182">
        <f>AD24+AD18+AD12</f>
        <v>6256981.5</v>
      </c>
      <c r="AE25" s="182">
        <f>AE24+AE18+AE12</f>
        <v>6211041</v>
      </c>
      <c r="AF25" s="182">
        <f>AF24+AF18+AF12</f>
        <v>6165100.5</v>
      </c>
      <c r="AG25" s="44">
        <f t="shared" si="53"/>
        <v>24936045</v>
      </c>
      <c r="AH25" s="182">
        <f>AH24+AH18+AH12</f>
        <v>6119160</v>
      </c>
      <c r="AI25" s="182">
        <f>AI24+AI18+AI12</f>
        <v>6073219.5</v>
      </c>
      <c r="AJ25" s="182">
        <f>AJ24+AJ18+AJ12</f>
        <v>6027279</v>
      </c>
      <c r="AK25" s="182">
        <f>AK24+AK18+AK12</f>
        <v>5981338.5</v>
      </c>
      <c r="AL25" s="44">
        <f t="shared" si="55"/>
        <v>24200997</v>
      </c>
    </row>
    <row r="26" spans="1:38" ht="15.95" outlineLevel="2">
      <c r="A26" s="31"/>
      <c r="C26" s="32" t="s">
        <v>269</v>
      </c>
      <c r="D26" s="183">
        <f>'Key financial and ops fig.s LCY'!D26*VLOOKUP(Assumptions!$D$7, Lists!$B$7:$C$10, 2, FALSE)*Assumptions!$D$10/VLOOKUP(Assumptions!$D$9, Lists!$B$7:$C$10, 2, FALSE)</f>
        <v>-75142.40625</v>
      </c>
      <c r="E26" s="183">
        <f>'Key financial and ops fig.s LCY'!E26*VLOOKUP(Assumptions!$D$7, Lists!$B$7:$C$10, 2, FALSE)*Assumptions!$D$10/VLOOKUP(Assumptions!$D$9, Lists!$B$7:$C$10, 2, FALSE)</f>
        <v>-149339.625</v>
      </c>
      <c r="F26" s="183">
        <f>'Key financial and ops fig.s LCY'!F26*VLOOKUP(Assumptions!$D$7, Lists!$B$7:$C$10, 2, FALSE)*Assumptions!$D$10/VLOOKUP(Assumptions!$D$9, Lists!$B$7:$C$10, 2, FALSE)</f>
        <v>-222591.65625</v>
      </c>
      <c r="G26" s="183">
        <f>'Key financial and ops fig.s LCY'!G26*VLOOKUP(Assumptions!$D$7, Lists!$B$7:$C$10, 2, FALSE)*Assumptions!$D$10/VLOOKUP(Assumptions!$D$9, Lists!$B$7:$C$10, 2, FALSE)</f>
        <v>-294898.5</v>
      </c>
      <c r="H26" s="60">
        <f t="shared" si="43"/>
        <v>-741972.1875</v>
      </c>
      <c r="I26" s="183">
        <f>'Key financial and ops fig.s LCY'!I26*VLOOKUP(Assumptions!$D$7, Lists!$B$7:$C$10, 2, FALSE)*Assumptions!$D$10/VLOOKUP(Assumptions!$D$9, Lists!$B$7:$C$10, 2, FALSE)</f>
        <v>-366260.15625</v>
      </c>
      <c r="J26" s="183">
        <f>'Key financial and ops fig.s LCY'!J26*VLOOKUP(Assumptions!$D$7, Lists!$B$7:$C$10, 2, FALSE)*Assumptions!$D$10/VLOOKUP(Assumptions!$D$9, Lists!$B$7:$C$10, 2, FALSE)</f>
        <v>-436676.625</v>
      </c>
      <c r="K26" s="183">
        <f>'Key financial and ops fig.s LCY'!K26*VLOOKUP(Assumptions!$D$7, Lists!$B$7:$C$10, 2, FALSE)*Assumptions!$D$10/VLOOKUP(Assumptions!$D$9, Lists!$B$7:$C$10, 2, FALSE)</f>
        <v>-506147.90625</v>
      </c>
      <c r="L26" s="183">
        <f>'Key financial and ops fig.s LCY'!L26*VLOOKUP(Assumptions!$D$7, Lists!$B$7:$C$10, 2, FALSE)*Assumptions!$D$10/VLOOKUP(Assumptions!$D$9, Lists!$B$7:$C$10, 2, FALSE)</f>
        <v>-574674</v>
      </c>
      <c r="M26" s="48">
        <f t="shared" si="45"/>
        <v>-1883758.6875</v>
      </c>
      <c r="N26" s="183">
        <f>'Key financial and ops fig.s LCY'!N26*VLOOKUP(Assumptions!$D$7, Lists!$B$7:$C$10, 2, FALSE)*Assumptions!$D$10/VLOOKUP(Assumptions!$D$9, Lists!$B$7:$C$10, 2, FALSE)</f>
        <v>-642254.90625</v>
      </c>
      <c r="O26" s="183">
        <f>'Key financial and ops fig.s LCY'!O26*VLOOKUP(Assumptions!$D$7, Lists!$B$7:$C$10, 2, FALSE)*Assumptions!$D$10/VLOOKUP(Assumptions!$D$9, Lists!$B$7:$C$10, 2, FALSE)</f>
        <v>-708890.625</v>
      </c>
      <c r="P26" s="183">
        <f>'Key financial and ops fig.s LCY'!P26*VLOOKUP(Assumptions!$D$7, Lists!$B$7:$C$10, 2, FALSE)*Assumptions!$D$10/VLOOKUP(Assumptions!$D$9, Lists!$B$7:$C$10, 2, FALSE)</f>
        <v>-774581.15625</v>
      </c>
      <c r="Q26" s="183">
        <f>'Key financial and ops fig.s LCY'!Q26*VLOOKUP(Assumptions!$D$7, Lists!$B$7:$C$10, 2, FALSE)*Assumptions!$D$10/VLOOKUP(Assumptions!$D$9, Lists!$B$7:$C$10, 2, FALSE)</f>
        <v>-839326.5</v>
      </c>
      <c r="R26" s="48">
        <f t="shared" si="47"/>
        <v>-2965053.1875</v>
      </c>
      <c r="S26" s="183">
        <f>'Key financial and ops fig.s LCY'!S26*VLOOKUP(Assumptions!$D$7, Lists!$B$7:$C$10, 2, FALSE)*Assumptions!$D$10/VLOOKUP(Assumptions!$D$9, Lists!$B$7:$C$10, 2, FALSE)</f>
        <v>-903126.65625</v>
      </c>
      <c r="T26" s="183">
        <f>'Key financial and ops fig.s LCY'!T26*VLOOKUP(Assumptions!$D$7, Lists!$B$7:$C$10, 2, FALSE)*Assumptions!$D$10/VLOOKUP(Assumptions!$D$9, Lists!$B$7:$C$10, 2, FALSE)</f>
        <v>-965981.625</v>
      </c>
      <c r="U26" s="183">
        <f>'Key financial and ops fig.s LCY'!U26*VLOOKUP(Assumptions!$D$7, Lists!$B$7:$C$10, 2, FALSE)*Assumptions!$D$10/VLOOKUP(Assumptions!$D$9, Lists!$B$7:$C$10, 2, FALSE)</f>
        <v>-1027891.40625</v>
      </c>
      <c r="V26" s="183">
        <f>'Key financial and ops fig.s LCY'!V26*VLOOKUP(Assumptions!$D$7, Lists!$B$7:$C$10, 2, FALSE)*Assumptions!$D$10/VLOOKUP(Assumptions!$D$9, Lists!$B$7:$C$10, 2, FALSE)</f>
        <v>-1088856</v>
      </c>
      <c r="W26" s="48">
        <f t="shared" si="49"/>
        <v>-3985855.6875</v>
      </c>
      <c r="X26" s="183">
        <f>'Key financial and ops fig.s LCY'!X26*VLOOKUP(Assumptions!$D$7, Lists!$B$7:$C$10, 2, FALSE)*Assumptions!$D$10/VLOOKUP(Assumptions!$D$9, Lists!$B$7:$C$10, 2, FALSE)</f>
        <v>-1148875.40625</v>
      </c>
      <c r="Y26" s="183">
        <f>'Key financial and ops fig.s LCY'!Y26*VLOOKUP(Assumptions!$D$7, Lists!$B$7:$C$10, 2, FALSE)*Assumptions!$D$10/VLOOKUP(Assumptions!$D$9, Lists!$B$7:$C$10, 2, FALSE)</f>
        <v>-1207949.625</v>
      </c>
      <c r="Z26" s="183">
        <f>'Key financial and ops fig.s LCY'!Z26*VLOOKUP(Assumptions!$D$7, Lists!$B$7:$C$10, 2, FALSE)*Assumptions!$D$10/VLOOKUP(Assumptions!$D$9, Lists!$B$7:$C$10, 2, FALSE)</f>
        <v>-1266078.65625</v>
      </c>
      <c r="AA26" s="183">
        <f>'Key financial and ops fig.s LCY'!AA26*VLOOKUP(Assumptions!$D$7, Lists!$B$7:$C$10, 2, FALSE)*Assumptions!$D$10/VLOOKUP(Assumptions!$D$9, Lists!$B$7:$C$10, 2, FALSE)</f>
        <v>-1323262.5</v>
      </c>
      <c r="AB26" s="48">
        <f t="shared" si="51"/>
        <v>-4946166.1875</v>
      </c>
      <c r="AC26" s="183">
        <f>'Key financial and ops fig.s LCY'!AC26*VLOOKUP(Assumptions!$D$7, Lists!$B$7:$C$10, 2, FALSE)*Assumptions!$D$10/VLOOKUP(Assumptions!$D$9, Lists!$B$7:$C$10, 2, FALSE)</f>
        <v>-1313810.625</v>
      </c>
      <c r="AD26" s="183">
        <f>'Key financial and ops fig.s LCY'!AD26*VLOOKUP(Assumptions!$D$7, Lists!$B$7:$C$10, 2, FALSE)*Assumptions!$D$10/VLOOKUP(Assumptions!$D$9, Lists!$B$7:$C$10, 2, FALSE)</f>
        <v>-1304358.75</v>
      </c>
      <c r="AE26" s="183">
        <f>'Key financial and ops fig.s LCY'!AE26*VLOOKUP(Assumptions!$D$7, Lists!$B$7:$C$10, 2, FALSE)*Assumptions!$D$10/VLOOKUP(Assumptions!$D$9, Lists!$B$7:$C$10, 2, FALSE)</f>
        <v>-1294906.875</v>
      </c>
      <c r="AF26" s="183">
        <f>'Key financial and ops fig.s LCY'!AF26*VLOOKUP(Assumptions!$D$7, Lists!$B$7:$C$10, 2, FALSE)*Assumptions!$D$10/VLOOKUP(Assumptions!$D$9, Lists!$B$7:$C$10, 2, FALSE)</f>
        <v>-1285455</v>
      </c>
      <c r="AG26" s="48">
        <f t="shared" si="53"/>
        <v>-5198531.25</v>
      </c>
      <c r="AH26" s="183">
        <f>'Key financial and ops fig.s LCY'!AH26*VLOOKUP(Assumptions!$D$7, Lists!$B$7:$C$10, 2, FALSE)*Assumptions!$D$10/VLOOKUP(Assumptions!$D$9, Lists!$B$7:$C$10, 2, FALSE)</f>
        <v>-1276003.125</v>
      </c>
      <c r="AI26" s="183">
        <f>'Key financial and ops fig.s LCY'!AI26*VLOOKUP(Assumptions!$D$7, Lists!$B$7:$C$10, 2, FALSE)*Assumptions!$D$10/VLOOKUP(Assumptions!$D$9, Lists!$B$7:$C$10, 2, FALSE)</f>
        <v>-1266551.25</v>
      </c>
      <c r="AJ26" s="183">
        <f>'Key financial and ops fig.s LCY'!AJ26*VLOOKUP(Assumptions!$D$7, Lists!$B$7:$C$10, 2, FALSE)*Assumptions!$D$10/VLOOKUP(Assumptions!$D$9, Lists!$B$7:$C$10, 2, FALSE)</f>
        <v>-1257099.375</v>
      </c>
      <c r="AK26" s="183">
        <f>'Key financial and ops fig.s LCY'!AK26*VLOOKUP(Assumptions!$D$7, Lists!$B$7:$C$10, 2, FALSE)*Assumptions!$D$10/VLOOKUP(Assumptions!$D$9, Lists!$B$7:$C$10, 2, FALSE)</f>
        <v>-1247647.5</v>
      </c>
      <c r="AL26" s="60">
        <f t="shared" si="55"/>
        <v>-5047301.25</v>
      </c>
    </row>
    <row r="27" spans="1:38" ht="17.100000000000001" outlineLevel="1" thickBot="1">
      <c r="A27" s="31"/>
      <c r="B27" s="34" t="s">
        <v>269</v>
      </c>
      <c r="C27" s="34"/>
      <c r="D27" s="184">
        <f>D26</f>
        <v>-75142.40625</v>
      </c>
      <c r="E27" s="184">
        <f>E26</f>
        <v>-149339.625</v>
      </c>
      <c r="F27" s="184">
        <f>F26</f>
        <v>-222591.65625</v>
      </c>
      <c r="G27" s="184">
        <f>G26</f>
        <v>-294898.5</v>
      </c>
      <c r="H27" s="61">
        <f t="shared" si="43"/>
        <v>-741972.1875</v>
      </c>
      <c r="I27" s="184">
        <f>I26</f>
        <v>-366260.15625</v>
      </c>
      <c r="J27" s="184">
        <f>J26</f>
        <v>-436676.625</v>
      </c>
      <c r="K27" s="184">
        <f>K26</f>
        <v>-506147.90625</v>
      </c>
      <c r="L27" s="184">
        <f>L26</f>
        <v>-574674</v>
      </c>
      <c r="M27" s="51">
        <f t="shared" si="45"/>
        <v>-1883758.6875</v>
      </c>
      <c r="N27" s="184">
        <f>N26</f>
        <v>-642254.90625</v>
      </c>
      <c r="O27" s="184">
        <f>O26</f>
        <v>-708890.625</v>
      </c>
      <c r="P27" s="184">
        <f>P26</f>
        <v>-774581.15625</v>
      </c>
      <c r="Q27" s="184">
        <f>Q26</f>
        <v>-839326.5</v>
      </c>
      <c r="R27" s="51">
        <f t="shared" si="47"/>
        <v>-2965053.1875</v>
      </c>
      <c r="S27" s="184">
        <f>S26</f>
        <v>-903126.65625</v>
      </c>
      <c r="T27" s="184">
        <f>T26</f>
        <v>-965981.625</v>
      </c>
      <c r="U27" s="184">
        <f>U26</f>
        <v>-1027891.40625</v>
      </c>
      <c r="V27" s="184">
        <f>V26</f>
        <v>-1088856</v>
      </c>
      <c r="W27" s="51">
        <f t="shared" si="49"/>
        <v>-3985855.6875</v>
      </c>
      <c r="X27" s="184">
        <f>X26</f>
        <v>-1148875.40625</v>
      </c>
      <c r="Y27" s="184">
        <f>Y26</f>
        <v>-1207949.625</v>
      </c>
      <c r="Z27" s="184">
        <f>Z26</f>
        <v>-1266078.65625</v>
      </c>
      <c r="AA27" s="184">
        <f>AA26</f>
        <v>-1323262.5</v>
      </c>
      <c r="AB27" s="51">
        <f t="shared" si="51"/>
        <v>-4946166.1875</v>
      </c>
      <c r="AC27" s="184">
        <f>AC26</f>
        <v>-1313810.625</v>
      </c>
      <c r="AD27" s="184">
        <f>AD26</f>
        <v>-1304358.75</v>
      </c>
      <c r="AE27" s="184">
        <f>AE26</f>
        <v>-1294906.875</v>
      </c>
      <c r="AF27" s="184">
        <f>AF26</f>
        <v>-1285455</v>
      </c>
      <c r="AG27" s="51">
        <f t="shared" si="53"/>
        <v>-5198531.25</v>
      </c>
      <c r="AH27" s="184">
        <f>AH26</f>
        <v>-1276003.125</v>
      </c>
      <c r="AI27" s="184">
        <f>AI26</f>
        <v>-1266551.25</v>
      </c>
      <c r="AJ27" s="184">
        <f>AJ26</f>
        <v>-1257099.375</v>
      </c>
      <c r="AK27" s="184">
        <f>AK26</f>
        <v>-1247647.5</v>
      </c>
      <c r="AL27" s="61">
        <f t="shared" si="55"/>
        <v>-5047301.25</v>
      </c>
    </row>
    <row r="28" spans="1:38" ht="17.100000000000001" thickBot="1">
      <c r="A28" s="36" t="s">
        <v>270</v>
      </c>
      <c r="B28" s="37"/>
      <c r="C28" s="38"/>
      <c r="D28" s="51">
        <f>D25-D27</f>
        <v>695939.00624999998</v>
      </c>
      <c r="E28" s="51">
        <f>E25-E27</f>
        <v>1126988.3999999999</v>
      </c>
      <c r="F28" s="51">
        <f>F25-F27</f>
        <v>1552498.5562500001</v>
      </c>
      <c r="G28" s="51">
        <f>G25-G27</f>
        <v>1972469.4750000001</v>
      </c>
      <c r="H28" s="44">
        <f t="shared" si="43"/>
        <v>5347895.4375</v>
      </c>
      <c r="I28" s="51">
        <f>I25-I27</f>
        <v>2386901.15625</v>
      </c>
      <c r="J28" s="51">
        <f>J25-J27</f>
        <v>2795793.6000000006</v>
      </c>
      <c r="K28" s="51">
        <f>K25-K27</f>
        <v>3199146.8062500004</v>
      </c>
      <c r="L28" s="51">
        <f>L25-L27</f>
        <v>3596960.7749999999</v>
      </c>
      <c r="M28" s="44">
        <f t="shared" si="45"/>
        <v>11978802.3375</v>
      </c>
      <c r="N28" s="51">
        <f>N25-N27</f>
        <v>3989235.5062500001</v>
      </c>
      <c r="O28" s="51">
        <f>O25-O27</f>
        <v>4375971</v>
      </c>
      <c r="P28" s="51">
        <f>P25-P27</f>
        <v>4757167.2562500006</v>
      </c>
      <c r="Q28" s="51">
        <f>Q25-Q27</f>
        <v>5132824.2750000004</v>
      </c>
      <c r="R28" s="44">
        <f t="shared" si="47"/>
        <v>18255198.037500001</v>
      </c>
      <c r="S28" s="51">
        <f>S25-S27</f>
        <v>5502942.0562500004</v>
      </c>
      <c r="T28" s="51">
        <f>T25-T27</f>
        <v>5867520.6000000006</v>
      </c>
      <c r="U28" s="51">
        <f>U25-U27</f>
        <v>6226559.90625</v>
      </c>
      <c r="V28" s="51">
        <f>V25-V27</f>
        <v>6580059.9749999996</v>
      </c>
      <c r="W28" s="44">
        <f t="shared" si="49"/>
        <v>24177082.537500001</v>
      </c>
      <c r="X28" s="51">
        <f>X25-X27</f>
        <v>6928020.8062500004</v>
      </c>
      <c r="Y28" s="51">
        <f>Y25-Y27</f>
        <v>7270442.4000000004</v>
      </c>
      <c r="Z28" s="51">
        <f>Z25-Z27</f>
        <v>7607324.7562499996</v>
      </c>
      <c r="AA28" s="51">
        <f>AA25-AA27</f>
        <v>7938667.875</v>
      </c>
      <c r="AB28" s="44">
        <f t="shared" si="51"/>
        <v>29744455.837499999</v>
      </c>
      <c r="AC28" s="51">
        <f>AC25-AC27</f>
        <v>7616732.625</v>
      </c>
      <c r="AD28" s="51">
        <f>AD25-AD27</f>
        <v>7561340.25</v>
      </c>
      <c r="AE28" s="51">
        <f>AE25-AE27</f>
        <v>7505947.875</v>
      </c>
      <c r="AF28" s="51">
        <f>AF25-AF27</f>
        <v>7450555.5</v>
      </c>
      <c r="AG28" s="44">
        <f t="shared" si="53"/>
        <v>30134576.25</v>
      </c>
      <c r="AH28" s="51">
        <f>AH25-AH27</f>
        <v>7395163.125</v>
      </c>
      <c r="AI28" s="51">
        <f>AI25-AI27</f>
        <v>7339770.75</v>
      </c>
      <c r="AJ28" s="51">
        <f>AJ25-AJ27</f>
        <v>7284378.375</v>
      </c>
      <c r="AK28" s="51">
        <f>AK25-AK27</f>
        <v>7228986</v>
      </c>
      <c r="AL28" s="44">
        <f t="shared" si="55"/>
        <v>29248298.25</v>
      </c>
    </row>
    <row r="29" spans="1:38" ht="15.95" outlineLevel="2">
      <c r="A29" s="31"/>
      <c r="C29" s="32" t="s">
        <v>271</v>
      </c>
      <c r="D29" s="183">
        <f>'Key financial and ops fig.s LCY'!D29*VLOOKUP(Assumptions!$D$7, Lists!$B$7:$C$10, 2, FALSE)*Assumptions!$D$10/VLOOKUP(Assumptions!$D$9, Lists!$B$7:$C$10, 2, FALSE)</f>
        <v>-27000</v>
      </c>
      <c r="E29" s="183">
        <f>'Key financial and ops fig.s LCY'!E29*VLOOKUP(Assumptions!$D$7, Lists!$B$7:$C$10, 2, FALSE)*Assumptions!$D$10/VLOOKUP(Assumptions!$D$9, Lists!$B$7:$C$10, 2, FALSE)</f>
        <v>-54000</v>
      </c>
      <c r="F29" s="183">
        <f>'Key financial and ops fig.s LCY'!F29*VLOOKUP(Assumptions!$D$7, Lists!$B$7:$C$10, 2, FALSE)*Assumptions!$D$10/VLOOKUP(Assumptions!$D$9, Lists!$B$7:$C$10, 2, FALSE)</f>
        <v>-81000</v>
      </c>
      <c r="G29" s="183">
        <f>'Key financial and ops fig.s LCY'!G29*VLOOKUP(Assumptions!$D$7, Lists!$B$7:$C$10, 2, FALSE)*Assumptions!$D$10/VLOOKUP(Assumptions!$D$9, Lists!$B$7:$C$10, 2, FALSE)</f>
        <v>-103500</v>
      </c>
      <c r="H29" s="60">
        <f>SUM(D29:G29)</f>
        <v>-265500</v>
      </c>
      <c r="I29" s="183">
        <f>'Key financial and ops fig.s LCY'!I29*VLOOKUP(Assumptions!$D$7, Lists!$B$7:$C$10, 2, FALSE)*Assumptions!$D$10/VLOOKUP(Assumptions!$D$9, Lists!$B$7:$C$10, 2, FALSE)</f>
        <v>-126000</v>
      </c>
      <c r="J29" s="183">
        <f>'Key financial and ops fig.s LCY'!J29*VLOOKUP(Assumptions!$D$7, Lists!$B$7:$C$10, 2, FALSE)*Assumptions!$D$10/VLOOKUP(Assumptions!$D$9, Lists!$B$7:$C$10, 2, FALSE)</f>
        <v>-153000</v>
      </c>
      <c r="K29" s="183">
        <f>'Key financial and ops fig.s LCY'!K29*VLOOKUP(Assumptions!$D$7, Lists!$B$7:$C$10, 2, FALSE)*Assumptions!$D$10/VLOOKUP(Assumptions!$D$9, Lists!$B$7:$C$10, 2, FALSE)</f>
        <v>-175500</v>
      </c>
      <c r="L29" s="183">
        <f>'Key financial and ops fig.s LCY'!L29*VLOOKUP(Assumptions!$D$7, Lists!$B$7:$C$10, 2, FALSE)*Assumptions!$D$10/VLOOKUP(Assumptions!$D$9, Lists!$B$7:$C$10, 2, FALSE)</f>
        <v>-198000</v>
      </c>
      <c r="M29" s="48">
        <f>SUM(I29:L29)</f>
        <v>-652500</v>
      </c>
      <c r="N29" s="183">
        <f>'Key financial and ops fig.s LCY'!N29*VLOOKUP(Assumptions!$D$7, Lists!$B$7:$C$10, 2, FALSE)*Assumptions!$D$10/VLOOKUP(Assumptions!$D$9, Lists!$B$7:$C$10, 2, FALSE)</f>
        <v>-225000</v>
      </c>
      <c r="O29" s="183">
        <f>'Key financial and ops fig.s LCY'!O29*VLOOKUP(Assumptions!$D$7, Lists!$B$7:$C$10, 2, FALSE)*Assumptions!$D$10/VLOOKUP(Assumptions!$D$9, Lists!$B$7:$C$10, 2, FALSE)</f>
        <v>-247500</v>
      </c>
      <c r="P29" s="183">
        <f>'Key financial and ops fig.s LCY'!P29*VLOOKUP(Assumptions!$D$7, Lists!$B$7:$C$10, 2, FALSE)*Assumptions!$D$10/VLOOKUP(Assumptions!$D$9, Lists!$B$7:$C$10, 2, FALSE)</f>
        <v>-270000</v>
      </c>
      <c r="Q29" s="183">
        <f>'Key financial and ops fig.s LCY'!Q29*VLOOKUP(Assumptions!$D$7, Lists!$B$7:$C$10, 2, FALSE)*Assumptions!$D$10/VLOOKUP(Assumptions!$D$9, Lists!$B$7:$C$10, 2, FALSE)</f>
        <v>-292500</v>
      </c>
      <c r="R29" s="48">
        <f>SUM(N29:Q29)</f>
        <v>-1035000</v>
      </c>
      <c r="S29" s="183">
        <f>'Key financial and ops fig.s LCY'!S29*VLOOKUP(Assumptions!$D$7, Lists!$B$7:$C$10, 2, FALSE)*Assumptions!$D$10/VLOOKUP(Assumptions!$D$9, Lists!$B$7:$C$10, 2, FALSE)</f>
        <v>-310500</v>
      </c>
      <c r="T29" s="183">
        <f>'Key financial and ops fig.s LCY'!T29*VLOOKUP(Assumptions!$D$7, Lists!$B$7:$C$10, 2, FALSE)*Assumptions!$D$10/VLOOKUP(Assumptions!$D$9, Lists!$B$7:$C$10, 2, FALSE)</f>
        <v>-333000</v>
      </c>
      <c r="U29" s="183">
        <f>'Key financial and ops fig.s LCY'!U29*VLOOKUP(Assumptions!$D$7, Lists!$B$7:$C$10, 2, FALSE)*Assumptions!$D$10/VLOOKUP(Assumptions!$D$9, Lists!$B$7:$C$10, 2, FALSE)</f>
        <v>-355500</v>
      </c>
      <c r="V29" s="183">
        <f>'Key financial and ops fig.s LCY'!V29*VLOOKUP(Assumptions!$D$7, Lists!$B$7:$C$10, 2, FALSE)*Assumptions!$D$10/VLOOKUP(Assumptions!$D$9, Lists!$B$7:$C$10, 2, FALSE)</f>
        <v>-378000</v>
      </c>
      <c r="W29" s="48">
        <f>SUM(S29:V29)</f>
        <v>-1377000</v>
      </c>
      <c r="X29" s="183">
        <f>'Key financial and ops fig.s LCY'!X29*VLOOKUP(Assumptions!$D$7, Lists!$B$7:$C$10, 2, FALSE)*Assumptions!$D$10/VLOOKUP(Assumptions!$D$9, Lists!$B$7:$C$10, 2, FALSE)</f>
        <v>-396000</v>
      </c>
      <c r="Y29" s="183">
        <f>'Key financial and ops fig.s LCY'!Y29*VLOOKUP(Assumptions!$D$7, Lists!$B$7:$C$10, 2, FALSE)*Assumptions!$D$10/VLOOKUP(Assumptions!$D$9, Lists!$B$7:$C$10, 2, FALSE)</f>
        <v>-418500</v>
      </c>
      <c r="Z29" s="183">
        <f>'Key financial and ops fig.s LCY'!Z29*VLOOKUP(Assumptions!$D$7, Lists!$B$7:$C$10, 2, FALSE)*Assumptions!$D$10/VLOOKUP(Assumptions!$D$9, Lists!$B$7:$C$10, 2, FALSE)</f>
        <v>-436500</v>
      </c>
      <c r="AA29" s="183">
        <f>'Key financial and ops fig.s LCY'!AA29*VLOOKUP(Assumptions!$D$7, Lists!$B$7:$C$10, 2, FALSE)*Assumptions!$D$10/VLOOKUP(Assumptions!$D$9, Lists!$B$7:$C$10, 2, FALSE)</f>
        <v>-459000</v>
      </c>
      <c r="AB29" s="48">
        <f>SUM(X29:AA29)</f>
        <v>-1710000</v>
      </c>
      <c r="AC29" s="183">
        <f>'Key financial and ops fig.s LCY'!AC29*VLOOKUP(Assumptions!$D$7, Lists!$B$7:$C$10, 2, FALSE)*Assumptions!$D$10/VLOOKUP(Assumptions!$D$9, Lists!$B$7:$C$10, 2, FALSE)</f>
        <v>-454500</v>
      </c>
      <c r="AD29" s="183">
        <f>'Key financial and ops fig.s LCY'!AD29*VLOOKUP(Assumptions!$D$7, Lists!$B$7:$C$10, 2, FALSE)*Assumptions!$D$10/VLOOKUP(Assumptions!$D$9, Lists!$B$7:$C$10, 2, FALSE)</f>
        <v>-450000</v>
      </c>
      <c r="AE29" s="183">
        <f>'Key financial and ops fig.s LCY'!AE29*VLOOKUP(Assumptions!$D$7, Lists!$B$7:$C$10, 2, FALSE)*Assumptions!$D$10/VLOOKUP(Assumptions!$D$9, Lists!$B$7:$C$10, 2, FALSE)</f>
        <v>-445500</v>
      </c>
      <c r="AF29" s="183">
        <f>'Key financial and ops fig.s LCY'!AF29*VLOOKUP(Assumptions!$D$7, Lists!$B$7:$C$10, 2, FALSE)*Assumptions!$D$10/VLOOKUP(Assumptions!$D$9, Lists!$B$7:$C$10, 2, FALSE)</f>
        <v>-445500</v>
      </c>
      <c r="AG29" s="48">
        <f>SUM(AC29:AF29)</f>
        <v>-1795500</v>
      </c>
      <c r="AH29" s="105">
        <f>'Key financial and ops fig.s LCY'!AH29*VLOOKUP(Assumptions!$D$7, Lists!$B$7:$C$10, 2, FALSE)*Assumptions!$D$10/VLOOKUP(Assumptions!$D$9, Lists!$B$7:$C$10, 2, FALSE)</f>
        <v>-441000</v>
      </c>
      <c r="AI29" s="106">
        <f>'Key financial and ops fig.s LCY'!AI29*VLOOKUP(Assumptions!$D$7, Lists!$B$7:$C$10, 2, FALSE)*Assumptions!$D$10/VLOOKUP(Assumptions!$D$9, Lists!$B$7:$C$10, 2, FALSE)</f>
        <v>-436500</v>
      </c>
      <c r="AJ29" s="106">
        <f>'Key financial and ops fig.s LCY'!AJ29*VLOOKUP(Assumptions!$D$7, Lists!$B$7:$C$10, 2, FALSE)*Assumptions!$D$10/VLOOKUP(Assumptions!$D$9, Lists!$B$7:$C$10, 2, FALSE)</f>
        <v>-436500</v>
      </c>
      <c r="AK29" s="107">
        <f>'Key financial and ops fig.s LCY'!AK29*VLOOKUP(Assumptions!$D$7, Lists!$B$7:$C$10, 2, FALSE)*Assumptions!$D$10/VLOOKUP(Assumptions!$D$9, Lists!$B$7:$C$10, 2, FALSE)</f>
        <v>-432000</v>
      </c>
      <c r="AL29" s="60">
        <f>SUM(AH29:AK29)</f>
        <v>-1746000</v>
      </c>
    </row>
    <row r="30" spans="1:38" ht="15.95" outlineLevel="2">
      <c r="A30" s="31"/>
      <c r="C30" s="32" t="s">
        <v>272</v>
      </c>
      <c r="D30" s="185">
        <f>'Key financial and ops fig.s LCY'!D30*VLOOKUP(Assumptions!$D$7, Lists!$B$7:$C$10, 2, FALSE)*Assumptions!$D$10/VLOOKUP(Assumptions!$D$9, Lists!$B$7:$C$10, 2, FALSE)</f>
        <v>-18000</v>
      </c>
      <c r="E30" s="185">
        <f>'Key financial and ops fig.s LCY'!E30*VLOOKUP(Assumptions!$D$7, Lists!$B$7:$C$10, 2, FALSE)*Assumptions!$D$10/VLOOKUP(Assumptions!$D$9, Lists!$B$7:$C$10, 2, FALSE)</f>
        <v>-30000</v>
      </c>
      <c r="F30" s="185">
        <f>'Key financial and ops fig.s LCY'!F30*VLOOKUP(Assumptions!$D$7, Lists!$B$7:$C$10, 2, FALSE)*Assumptions!$D$10/VLOOKUP(Assumptions!$D$9, Lists!$B$7:$C$10, 2, FALSE)</f>
        <v>-42000</v>
      </c>
      <c r="G30" s="185">
        <f>'Key financial and ops fig.s LCY'!G30*VLOOKUP(Assumptions!$D$7, Lists!$B$7:$C$10, 2, FALSE)*Assumptions!$D$10/VLOOKUP(Assumptions!$D$9, Lists!$B$7:$C$10, 2, FALSE)</f>
        <v>-60000</v>
      </c>
      <c r="H30" s="60">
        <f>SUM(D30:G30)</f>
        <v>-150000</v>
      </c>
      <c r="I30" s="185">
        <f>'Key financial and ops fig.s LCY'!I30*VLOOKUP(Assumptions!$D$7, Lists!$B$7:$C$10, 2, FALSE)*Assumptions!$D$10/VLOOKUP(Assumptions!$D$9, Lists!$B$7:$C$10, 2, FALSE)</f>
        <v>-72000</v>
      </c>
      <c r="J30" s="185">
        <f>'Key financial and ops fig.s LCY'!J30*VLOOKUP(Assumptions!$D$7, Lists!$B$7:$C$10, 2, FALSE)*Assumptions!$D$10/VLOOKUP(Assumptions!$D$9, Lists!$B$7:$C$10, 2, FALSE)</f>
        <v>-84000</v>
      </c>
      <c r="K30" s="185">
        <f>'Key financial and ops fig.s LCY'!K30*VLOOKUP(Assumptions!$D$7, Lists!$B$7:$C$10, 2, FALSE)*Assumptions!$D$10/VLOOKUP(Assumptions!$D$9, Lists!$B$7:$C$10, 2, FALSE)</f>
        <v>-96000</v>
      </c>
      <c r="L30" s="185">
        <f>'Key financial and ops fig.s LCY'!L30*VLOOKUP(Assumptions!$D$7, Lists!$B$7:$C$10, 2, FALSE)*Assumptions!$D$10/VLOOKUP(Assumptions!$D$9, Lists!$B$7:$C$10, 2, FALSE)</f>
        <v>-108000</v>
      </c>
      <c r="M30" s="48">
        <f>SUM(I30:L30)</f>
        <v>-360000</v>
      </c>
      <c r="N30" s="185">
        <f>'Key financial and ops fig.s LCY'!N30*VLOOKUP(Assumptions!$D$7, Lists!$B$7:$C$10, 2, FALSE)*Assumptions!$D$10/VLOOKUP(Assumptions!$D$9, Lists!$B$7:$C$10, 2, FALSE)</f>
        <v>-120000</v>
      </c>
      <c r="O30" s="185">
        <f>'Key financial and ops fig.s LCY'!O30*VLOOKUP(Assumptions!$D$7, Lists!$B$7:$C$10, 2, FALSE)*Assumptions!$D$10/VLOOKUP(Assumptions!$D$9, Lists!$B$7:$C$10, 2, FALSE)</f>
        <v>-132000</v>
      </c>
      <c r="P30" s="185">
        <f>'Key financial and ops fig.s LCY'!P30*VLOOKUP(Assumptions!$D$7, Lists!$B$7:$C$10, 2, FALSE)*Assumptions!$D$10/VLOOKUP(Assumptions!$D$9, Lists!$B$7:$C$10, 2, FALSE)</f>
        <v>-144000</v>
      </c>
      <c r="Q30" s="185">
        <f>'Key financial and ops fig.s LCY'!Q30*VLOOKUP(Assumptions!$D$7, Lists!$B$7:$C$10, 2, FALSE)*Assumptions!$D$10/VLOOKUP(Assumptions!$D$9, Lists!$B$7:$C$10, 2, FALSE)</f>
        <v>-156000</v>
      </c>
      <c r="R30" s="48">
        <f>SUM(N30:Q30)</f>
        <v>-552000</v>
      </c>
      <c r="S30" s="185">
        <f>'Key financial and ops fig.s LCY'!S30*VLOOKUP(Assumptions!$D$7, Lists!$B$7:$C$10, 2, FALSE)*Assumptions!$D$10/VLOOKUP(Assumptions!$D$9, Lists!$B$7:$C$10, 2, FALSE)</f>
        <v>-168000</v>
      </c>
      <c r="T30" s="185">
        <f>'Key financial and ops fig.s LCY'!T30*VLOOKUP(Assumptions!$D$7, Lists!$B$7:$C$10, 2, FALSE)*Assumptions!$D$10/VLOOKUP(Assumptions!$D$9, Lists!$B$7:$C$10, 2, FALSE)</f>
        <v>-180000</v>
      </c>
      <c r="U30" s="185">
        <f>'Key financial and ops fig.s LCY'!U30*VLOOKUP(Assumptions!$D$7, Lists!$B$7:$C$10, 2, FALSE)*Assumptions!$D$10/VLOOKUP(Assumptions!$D$9, Lists!$B$7:$C$10, 2, FALSE)</f>
        <v>-192000</v>
      </c>
      <c r="V30" s="185">
        <f>'Key financial and ops fig.s LCY'!V30*VLOOKUP(Assumptions!$D$7, Lists!$B$7:$C$10, 2, FALSE)*Assumptions!$D$10/VLOOKUP(Assumptions!$D$9, Lists!$B$7:$C$10, 2, FALSE)</f>
        <v>-204000</v>
      </c>
      <c r="W30" s="48">
        <f>SUM(S30:V30)</f>
        <v>-744000</v>
      </c>
      <c r="X30" s="185">
        <f>'Key financial and ops fig.s LCY'!X30*VLOOKUP(Assumptions!$D$7, Lists!$B$7:$C$10, 2, FALSE)*Assumptions!$D$10/VLOOKUP(Assumptions!$D$9, Lists!$B$7:$C$10, 2, FALSE)</f>
        <v>-216000</v>
      </c>
      <c r="Y30" s="185">
        <f>'Key financial and ops fig.s LCY'!Y30*VLOOKUP(Assumptions!$D$7, Lists!$B$7:$C$10, 2, FALSE)*Assumptions!$D$10/VLOOKUP(Assumptions!$D$9, Lists!$B$7:$C$10, 2, FALSE)</f>
        <v>-222000</v>
      </c>
      <c r="Z30" s="185">
        <f>'Key financial and ops fig.s LCY'!Z30*VLOOKUP(Assumptions!$D$7, Lists!$B$7:$C$10, 2, FALSE)*Assumptions!$D$10/VLOOKUP(Assumptions!$D$9, Lists!$B$7:$C$10, 2, FALSE)</f>
        <v>-234000</v>
      </c>
      <c r="AA30" s="185">
        <f>'Key financial and ops fig.s LCY'!AA30*VLOOKUP(Assumptions!$D$7, Lists!$B$7:$C$10, 2, FALSE)*Assumptions!$D$10/VLOOKUP(Assumptions!$D$9, Lists!$B$7:$C$10, 2, FALSE)</f>
        <v>-246000</v>
      </c>
      <c r="AB30" s="48">
        <f>SUM(X30:AA30)</f>
        <v>-918000</v>
      </c>
      <c r="AC30" s="185">
        <f>'Key financial and ops fig.s LCY'!AC30*VLOOKUP(Assumptions!$D$7, Lists!$B$7:$C$10, 2, FALSE)*Assumptions!$D$10/VLOOKUP(Assumptions!$D$9, Lists!$B$7:$C$10, 2, FALSE)</f>
        <v>-246000</v>
      </c>
      <c r="AD30" s="185">
        <f>'Key financial and ops fig.s LCY'!AD30*VLOOKUP(Assumptions!$D$7, Lists!$B$7:$C$10, 2, FALSE)*Assumptions!$D$10/VLOOKUP(Assumptions!$D$9, Lists!$B$7:$C$10, 2, FALSE)</f>
        <v>-240000</v>
      </c>
      <c r="AE30" s="185">
        <f>'Key financial and ops fig.s LCY'!AE30*VLOOKUP(Assumptions!$D$7, Lists!$B$7:$C$10, 2, FALSE)*Assumptions!$D$10/VLOOKUP(Assumptions!$D$9, Lists!$B$7:$C$10, 2, FALSE)</f>
        <v>-240000</v>
      </c>
      <c r="AF30" s="185">
        <f>'Key financial and ops fig.s LCY'!AF30*VLOOKUP(Assumptions!$D$7, Lists!$B$7:$C$10, 2, FALSE)*Assumptions!$D$10/VLOOKUP(Assumptions!$D$9, Lists!$B$7:$C$10, 2, FALSE)</f>
        <v>-240000</v>
      </c>
      <c r="AG30" s="48">
        <f>SUM(AC30:AF30)</f>
        <v>-966000</v>
      </c>
      <c r="AH30" s="63">
        <f>'Key financial and ops fig.s LCY'!AH30*VLOOKUP(Assumptions!$D$7, Lists!$B$7:$C$10, 2, FALSE)*Assumptions!$D$10/VLOOKUP(Assumptions!$D$9, Lists!$B$7:$C$10, 2, FALSE)</f>
        <v>-234000</v>
      </c>
      <c r="AI30" s="64">
        <f>'Key financial and ops fig.s LCY'!AI30*VLOOKUP(Assumptions!$D$7, Lists!$B$7:$C$10, 2, FALSE)*Assumptions!$D$10/VLOOKUP(Assumptions!$D$9, Lists!$B$7:$C$10, 2, FALSE)</f>
        <v>-234000</v>
      </c>
      <c r="AJ30" s="64">
        <f>'Key financial and ops fig.s LCY'!AJ30*VLOOKUP(Assumptions!$D$7, Lists!$B$7:$C$10, 2, FALSE)*Assumptions!$D$10/VLOOKUP(Assumptions!$D$9, Lists!$B$7:$C$10, 2, FALSE)</f>
        <v>-234000</v>
      </c>
      <c r="AK30" s="108">
        <f>'Key financial and ops fig.s LCY'!AK30*VLOOKUP(Assumptions!$D$7, Lists!$B$7:$C$10, 2, FALSE)*Assumptions!$D$10/VLOOKUP(Assumptions!$D$9, Lists!$B$7:$C$10, 2, FALSE)</f>
        <v>-234000</v>
      </c>
      <c r="AL30" s="60">
        <f>SUM(AH30:AK30)</f>
        <v>-936000</v>
      </c>
    </row>
    <row r="31" spans="1:38" ht="15.95" outlineLevel="2">
      <c r="A31" s="31"/>
      <c r="C31" s="32" t="s">
        <v>273</v>
      </c>
      <c r="D31" s="185">
        <f>'Key financial and ops fig.s LCY'!D31*VLOOKUP(Assumptions!$D$7, Lists!$B$7:$C$10, 2, FALSE)*Assumptions!$D$10/VLOOKUP(Assumptions!$D$9, Lists!$B$7:$C$10, 2, FALSE)</f>
        <v>-12000</v>
      </c>
      <c r="E31" s="185">
        <f>'Key financial and ops fig.s LCY'!E31*VLOOKUP(Assumptions!$D$7, Lists!$B$7:$C$10, 2, FALSE)*Assumptions!$D$10/VLOOKUP(Assumptions!$D$9, Lists!$B$7:$C$10, 2, FALSE)</f>
        <v>-18000</v>
      </c>
      <c r="F31" s="185">
        <f>'Key financial and ops fig.s LCY'!F31*VLOOKUP(Assumptions!$D$7, Lists!$B$7:$C$10, 2, FALSE)*Assumptions!$D$10/VLOOKUP(Assumptions!$D$9, Lists!$B$7:$C$10, 2, FALSE)</f>
        <v>-24000</v>
      </c>
      <c r="G31" s="185">
        <f>'Key financial and ops fig.s LCY'!G31*VLOOKUP(Assumptions!$D$7, Lists!$B$7:$C$10, 2, FALSE)*Assumptions!$D$10/VLOOKUP(Assumptions!$D$9, Lists!$B$7:$C$10, 2, FALSE)</f>
        <v>-30000</v>
      </c>
      <c r="H31" s="60">
        <f>SUM(D31:G31)</f>
        <v>-84000</v>
      </c>
      <c r="I31" s="185">
        <f>'Key financial and ops fig.s LCY'!I31*VLOOKUP(Assumptions!$D$7, Lists!$B$7:$C$10, 2, FALSE)*Assumptions!$D$10/VLOOKUP(Assumptions!$D$9, Lists!$B$7:$C$10, 2, FALSE)</f>
        <v>-42000</v>
      </c>
      <c r="J31" s="185">
        <f>'Key financial and ops fig.s LCY'!J31*VLOOKUP(Assumptions!$D$7, Lists!$B$7:$C$10, 2, FALSE)*Assumptions!$D$10/VLOOKUP(Assumptions!$D$9, Lists!$B$7:$C$10, 2, FALSE)</f>
        <v>-48000</v>
      </c>
      <c r="K31" s="185">
        <f>'Key financial and ops fig.s LCY'!K31*VLOOKUP(Assumptions!$D$7, Lists!$B$7:$C$10, 2, FALSE)*Assumptions!$D$10/VLOOKUP(Assumptions!$D$9, Lists!$B$7:$C$10, 2, FALSE)</f>
        <v>-54000</v>
      </c>
      <c r="L31" s="185">
        <f>'Key financial and ops fig.s LCY'!L31*VLOOKUP(Assumptions!$D$7, Lists!$B$7:$C$10, 2, FALSE)*Assumptions!$D$10/VLOOKUP(Assumptions!$D$9, Lists!$B$7:$C$10, 2, FALSE)</f>
        <v>-60000</v>
      </c>
      <c r="M31" s="48">
        <f>SUM(I31:L31)</f>
        <v>-204000</v>
      </c>
      <c r="N31" s="185">
        <f>'Key financial and ops fig.s LCY'!N31*VLOOKUP(Assumptions!$D$7, Lists!$B$7:$C$10, 2, FALSE)*Assumptions!$D$10/VLOOKUP(Assumptions!$D$9, Lists!$B$7:$C$10, 2, FALSE)</f>
        <v>-66000</v>
      </c>
      <c r="O31" s="185">
        <f>'Key financial and ops fig.s LCY'!O31*VLOOKUP(Assumptions!$D$7, Lists!$B$7:$C$10, 2, FALSE)*Assumptions!$D$10/VLOOKUP(Assumptions!$D$9, Lists!$B$7:$C$10, 2, FALSE)</f>
        <v>-72000</v>
      </c>
      <c r="P31" s="185">
        <f>'Key financial and ops fig.s LCY'!P31*VLOOKUP(Assumptions!$D$7, Lists!$B$7:$C$10, 2, FALSE)*Assumptions!$D$10/VLOOKUP(Assumptions!$D$9, Lists!$B$7:$C$10, 2, FALSE)</f>
        <v>-84000</v>
      </c>
      <c r="Q31" s="185">
        <f>'Key financial and ops fig.s LCY'!Q31*VLOOKUP(Assumptions!$D$7, Lists!$B$7:$C$10, 2, FALSE)*Assumptions!$D$10/VLOOKUP(Assumptions!$D$9, Lists!$B$7:$C$10, 2, FALSE)</f>
        <v>-90000</v>
      </c>
      <c r="R31" s="48">
        <f>SUM(N31:Q31)</f>
        <v>-312000</v>
      </c>
      <c r="S31" s="185">
        <f>'Key financial and ops fig.s LCY'!S31*VLOOKUP(Assumptions!$D$7, Lists!$B$7:$C$10, 2, FALSE)*Assumptions!$D$10/VLOOKUP(Assumptions!$D$9, Lists!$B$7:$C$10, 2, FALSE)</f>
        <v>-96000</v>
      </c>
      <c r="T31" s="185">
        <f>'Key financial and ops fig.s LCY'!T31*VLOOKUP(Assumptions!$D$7, Lists!$B$7:$C$10, 2, FALSE)*Assumptions!$D$10/VLOOKUP(Assumptions!$D$9, Lists!$B$7:$C$10, 2, FALSE)</f>
        <v>-102000</v>
      </c>
      <c r="U31" s="185">
        <f>'Key financial and ops fig.s LCY'!U31*VLOOKUP(Assumptions!$D$7, Lists!$B$7:$C$10, 2, FALSE)*Assumptions!$D$10/VLOOKUP(Assumptions!$D$9, Lists!$B$7:$C$10, 2, FALSE)</f>
        <v>-108000</v>
      </c>
      <c r="V31" s="185">
        <f>'Key financial and ops fig.s LCY'!V31*VLOOKUP(Assumptions!$D$7, Lists!$B$7:$C$10, 2, FALSE)*Assumptions!$D$10/VLOOKUP(Assumptions!$D$9, Lists!$B$7:$C$10, 2, FALSE)</f>
        <v>-114000</v>
      </c>
      <c r="W31" s="48">
        <f>SUM(S31:V31)</f>
        <v>-420000</v>
      </c>
      <c r="X31" s="185">
        <f>'Key financial and ops fig.s LCY'!X31*VLOOKUP(Assumptions!$D$7, Lists!$B$7:$C$10, 2, FALSE)*Assumptions!$D$10/VLOOKUP(Assumptions!$D$9, Lists!$B$7:$C$10, 2, FALSE)</f>
        <v>-120000</v>
      </c>
      <c r="Y31" s="185">
        <f>'Key financial and ops fig.s LCY'!Y31*VLOOKUP(Assumptions!$D$7, Lists!$B$7:$C$10, 2, FALSE)*Assumptions!$D$10/VLOOKUP(Assumptions!$D$9, Lists!$B$7:$C$10, 2, FALSE)</f>
        <v>-126000</v>
      </c>
      <c r="Z31" s="185">
        <f>'Key financial and ops fig.s LCY'!Z31*VLOOKUP(Assumptions!$D$7, Lists!$B$7:$C$10, 2, FALSE)*Assumptions!$D$10/VLOOKUP(Assumptions!$D$9, Lists!$B$7:$C$10, 2, FALSE)</f>
        <v>-132000</v>
      </c>
      <c r="AA31" s="185">
        <f>'Key financial and ops fig.s LCY'!AA31*VLOOKUP(Assumptions!$D$7, Lists!$B$7:$C$10, 2, FALSE)*Assumptions!$D$10/VLOOKUP(Assumptions!$D$9, Lists!$B$7:$C$10, 2, FALSE)</f>
        <v>-138000</v>
      </c>
      <c r="AB31" s="48">
        <f>SUM(X31:AA31)</f>
        <v>-516000</v>
      </c>
      <c r="AC31" s="185">
        <f>'Key financial and ops fig.s LCY'!AC31*VLOOKUP(Assumptions!$D$7, Lists!$B$7:$C$10, 2, FALSE)*Assumptions!$D$10/VLOOKUP(Assumptions!$D$9, Lists!$B$7:$C$10, 2, FALSE)</f>
        <v>-138000</v>
      </c>
      <c r="AD31" s="185">
        <f>'Key financial and ops fig.s LCY'!AD31*VLOOKUP(Assumptions!$D$7, Lists!$B$7:$C$10, 2, FALSE)*Assumptions!$D$10/VLOOKUP(Assumptions!$D$9, Lists!$B$7:$C$10, 2, FALSE)</f>
        <v>-132000</v>
      </c>
      <c r="AE31" s="185">
        <f>'Key financial and ops fig.s LCY'!AE31*VLOOKUP(Assumptions!$D$7, Lists!$B$7:$C$10, 2, FALSE)*Assumptions!$D$10/VLOOKUP(Assumptions!$D$9, Lists!$B$7:$C$10, 2, FALSE)</f>
        <v>-132000</v>
      </c>
      <c r="AF31" s="185">
        <f>'Key financial and ops fig.s LCY'!AF31*VLOOKUP(Assumptions!$D$7, Lists!$B$7:$C$10, 2, FALSE)*Assumptions!$D$10/VLOOKUP(Assumptions!$D$9, Lists!$B$7:$C$10, 2, FALSE)</f>
        <v>-132000</v>
      </c>
      <c r="AG31" s="48">
        <f>SUM(AC31:AF31)</f>
        <v>-534000</v>
      </c>
      <c r="AH31" s="63">
        <f>'Key financial and ops fig.s LCY'!AH31*VLOOKUP(Assumptions!$D$7, Lists!$B$7:$C$10, 2, FALSE)*Assumptions!$D$10/VLOOKUP(Assumptions!$D$9, Lists!$B$7:$C$10, 2, FALSE)</f>
        <v>-132000</v>
      </c>
      <c r="AI31" s="64">
        <f>'Key financial and ops fig.s LCY'!AI31*VLOOKUP(Assumptions!$D$7, Lists!$B$7:$C$10, 2, FALSE)*Assumptions!$D$10/VLOOKUP(Assumptions!$D$9, Lists!$B$7:$C$10, 2, FALSE)</f>
        <v>-132000</v>
      </c>
      <c r="AJ31" s="64">
        <f>'Key financial and ops fig.s LCY'!AJ31*VLOOKUP(Assumptions!$D$7, Lists!$B$7:$C$10, 2, FALSE)*Assumptions!$D$10/VLOOKUP(Assumptions!$D$9, Lists!$B$7:$C$10, 2, FALSE)</f>
        <v>-132000</v>
      </c>
      <c r="AK31" s="108">
        <f>'Key financial and ops fig.s LCY'!AK31*VLOOKUP(Assumptions!$D$7, Lists!$B$7:$C$10, 2, FALSE)*Assumptions!$D$10/VLOOKUP(Assumptions!$D$9, Lists!$B$7:$C$10, 2, FALSE)</f>
        <v>-126000</v>
      </c>
      <c r="AL31" s="60">
        <f>SUM(AH31:AK31)</f>
        <v>-522000</v>
      </c>
    </row>
    <row r="32" spans="1:38" ht="15.95" outlineLevel="2">
      <c r="A32" s="31"/>
      <c r="C32" s="32" t="s">
        <v>274</v>
      </c>
      <c r="D32" s="185">
        <f>'Key financial and ops fig.s LCY'!D32*VLOOKUP(Assumptions!$D$7, Lists!$B$7:$C$10, 2, FALSE)*Assumptions!$D$10/VLOOKUP(Assumptions!$D$9, Lists!$B$7:$C$10, 2, FALSE)</f>
        <v>-36000</v>
      </c>
      <c r="E32" s="185">
        <f>'Key financial and ops fig.s LCY'!E32*VLOOKUP(Assumptions!$D$7, Lists!$B$7:$C$10, 2, FALSE)*Assumptions!$D$10/VLOOKUP(Assumptions!$D$9, Lists!$B$7:$C$10, 2, FALSE)</f>
        <v>-60000</v>
      </c>
      <c r="F32" s="185">
        <f>'Key financial and ops fig.s LCY'!F32*VLOOKUP(Assumptions!$D$7, Lists!$B$7:$C$10, 2, FALSE)*Assumptions!$D$10/VLOOKUP(Assumptions!$D$9, Lists!$B$7:$C$10, 2, FALSE)</f>
        <v>-84000</v>
      </c>
      <c r="G32" s="185">
        <f>'Key financial and ops fig.s LCY'!G32*VLOOKUP(Assumptions!$D$7, Lists!$B$7:$C$10, 2, FALSE)*Assumptions!$D$10/VLOOKUP(Assumptions!$D$9, Lists!$B$7:$C$10, 2, FALSE)</f>
        <v>-120000</v>
      </c>
      <c r="H32" s="60">
        <f t="shared" ref="H32:H46" si="56">SUM(D32:G32)</f>
        <v>-300000</v>
      </c>
      <c r="I32" s="185">
        <f>'Key financial and ops fig.s LCY'!I32*VLOOKUP(Assumptions!$D$7, Lists!$B$7:$C$10, 2, FALSE)*Assumptions!$D$10/VLOOKUP(Assumptions!$D$9, Lists!$B$7:$C$10, 2, FALSE)</f>
        <v>-144000</v>
      </c>
      <c r="J32" s="185">
        <f>'Key financial and ops fig.s LCY'!J32*VLOOKUP(Assumptions!$D$7, Lists!$B$7:$C$10, 2, FALSE)*Assumptions!$D$10/VLOOKUP(Assumptions!$D$9, Lists!$B$7:$C$10, 2, FALSE)</f>
        <v>-168000</v>
      </c>
      <c r="K32" s="185">
        <f>'Key financial and ops fig.s LCY'!K32*VLOOKUP(Assumptions!$D$7, Lists!$B$7:$C$10, 2, FALSE)*Assumptions!$D$10/VLOOKUP(Assumptions!$D$9, Lists!$B$7:$C$10, 2, FALSE)</f>
        <v>-192000</v>
      </c>
      <c r="L32" s="185">
        <f>'Key financial and ops fig.s LCY'!L32*VLOOKUP(Assumptions!$D$7, Lists!$B$7:$C$10, 2, FALSE)*Assumptions!$D$10/VLOOKUP(Assumptions!$D$9, Lists!$B$7:$C$10, 2, FALSE)</f>
        <v>-216000</v>
      </c>
      <c r="M32" s="48">
        <f t="shared" ref="M32:M46" si="57">SUM(I32:L32)</f>
        <v>-720000</v>
      </c>
      <c r="N32" s="185">
        <f>'Key financial and ops fig.s LCY'!N32*VLOOKUP(Assumptions!$D$7, Lists!$B$7:$C$10, 2, FALSE)*Assumptions!$D$10/VLOOKUP(Assumptions!$D$9, Lists!$B$7:$C$10, 2, FALSE)</f>
        <v>-240000</v>
      </c>
      <c r="O32" s="185">
        <f>'Key financial and ops fig.s LCY'!O32*VLOOKUP(Assumptions!$D$7, Lists!$B$7:$C$10, 2, FALSE)*Assumptions!$D$10/VLOOKUP(Assumptions!$D$9, Lists!$B$7:$C$10, 2, FALSE)</f>
        <v>-264000</v>
      </c>
      <c r="P32" s="185">
        <f>'Key financial and ops fig.s LCY'!P32*VLOOKUP(Assumptions!$D$7, Lists!$B$7:$C$10, 2, FALSE)*Assumptions!$D$10/VLOOKUP(Assumptions!$D$9, Lists!$B$7:$C$10, 2, FALSE)</f>
        <v>-288000</v>
      </c>
      <c r="Q32" s="185">
        <f>'Key financial and ops fig.s LCY'!Q32*VLOOKUP(Assumptions!$D$7, Lists!$B$7:$C$10, 2, FALSE)*Assumptions!$D$10/VLOOKUP(Assumptions!$D$9, Lists!$B$7:$C$10, 2, FALSE)</f>
        <v>-312000</v>
      </c>
      <c r="R32" s="48">
        <f t="shared" ref="R32:R46" si="58">SUM(N32:Q32)</f>
        <v>-1104000</v>
      </c>
      <c r="S32" s="185">
        <f>'Key financial and ops fig.s LCY'!S32*VLOOKUP(Assumptions!$D$7, Lists!$B$7:$C$10, 2, FALSE)*Assumptions!$D$10/VLOOKUP(Assumptions!$D$9, Lists!$B$7:$C$10, 2, FALSE)</f>
        <v>-336000</v>
      </c>
      <c r="T32" s="185">
        <f>'Key financial and ops fig.s LCY'!T32*VLOOKUP(Assumptions!$D$7, Lists!$B$7:$C$10, 2, FALSE)*Assumptions!$D$10/VLOOKUP(Assumptions!$D$9, Lists!$B$7:$C$10, 2, FALSE)</f>
        <v>-360000</v>
      </c>
      <c r="U32" s="185">
        <f>'Key financial and ops fig.s LCY'!U32*VLOOKUP(Assumptions!$D$7, Lists!$B$7:$C$10, 2, FALSE)*Assumptions!$D$10/VLOOKUP(Assumptions!$D$9, Lists!$B$7:$C$10, 2, FALSE)</f>
        <v>-384000</v>
      </c>
      <c r="V32" s="185">
        <f>'Key financial and ops fig.s LCY'!V32*VLOOKUP(Assumptions!$D$7, Lists!$B$7:$C$10, 2, FALSE)*Assumptions!$D$10/VLOOKUP(Assumptions!$D$9, Lists!$B$7:$C$10, 2, FALSE)</f>
        <v>-408000</v>
      </c>
      <c r="W32" s="48">
        <f t="shared" ref="W32:W46" si="59">SUM(S32:V32)</f>
        <v>-1488000</v>
      </c>
      <c r="X32" s="185">
        <f>'Key financial and ops fig.s LCY'!X32*VLOOKUP(Assumptions!$D$7, Lists!$B$7:$C$10, 2, FALSE)*Assumptions!$D$10/VLOOKUP(Assumptions!$D$9, Lists!$B$7:$C$10, 2, FALSE)</f>
        <v>-432000</v>
      </c>
      <c r="Y32" s="185">
        <f>'Key financial and ops fig.s LCY'!Y32*VLOOKUP(Assumptions!$D$7, Lists!$B$7:$C$10, 2, FALSE)*Assumptions!$D$10/VLOOKUP(Assumptions!$D$9, Lists!$B$7:$C$10, 2, FALSE)</f>
        <v>-444000</v>
      </c>
      <c r="Z32" s="185">
        <f>'Key financial and ops fig.s LCY'!Z32*VLOOKUP(Assumptions!$D$7, Lists!$B$7:$C$10, 2, FALSE)*Assumptions!$D$10/VLOOKUP(Assumptions!$D$9, Lists!$B$7:$C$10, 2, FALSE)</f>
        <v>-468000</v>
      </c>
      <c r="AA32" s="185">
        <f>'Key financial and ops fig.s LCY'!AA32*VLOOKUP(Assumptions!$D$7, Lists!$B$7:$C$10, 2, FALSE)*Assumptions!$D$10/VLOOKUP(Assumptions!$D$9, Lists!$B$7:$C$10, 2, FALSE)</f>
        <v>-492000</v>
      </c>
      <c r="AB32" s="48">
        <f t="shared" ref="AB32:AB46" si="60">SUM(X32:AA32)</f>
        <v>-1836000</v>
      </c>
      <c r="AC32" s="185">
        <f>'Key financial and ops fig.s LCY'!AC32*VLOOKUP(Assumptions!$D$7, Lists!$B$7:$C$10, 2, FALSE)*Assumptions!$D$10/VLOOKUP(Assumptions!$D$9, Lists!$B$7:$C$10, 2, FALSE)</f>
        <v>-492000</v>
      </c>
      <c r="AD32" s="185">
        <f>'Key financial and ops fig.s LCY'!AD32*VLOOKUP(Assumptions!$D$7, Lists!$B$7:$C$10, 2, FALSE)*Assumptions!$D$10/VLOOKUP(Assumptions!$D$9, Lists!$B$7:$C$10, 2, FALSE)</f>
        <v>-480000</v>
      </c>
      <c r="AE32" s="185">
        <f>'Key financial and ops fig.s LCY'!AE32*VLOOKUP(Assumptions!$D$7, Lists!$B$7:$C$10, 2, FALSE)*Assumptions!$D$10/VLOOKUP(Assumptions!$D$9, Lists!$B$7:$C$10, 2, FALSE)</f>
        <v>-480000</v>
      </c>
      <c r="AF32" s="185">
        <f>'Key financial and ops fig.s LCY'!AF32*VLOOKUP(Assumptions!$D$7, Lists!$B$7:$C$10, 2, FALSE)*Assumptions!$D$10/VLOOKUP(Assumptions!$D$9, Lists!$B$7:$C$10, 2, FALSE)</f>
        <v>-480000</v>
      </c>
      <c r="AG32" s="48">
        <f t="shared" ref="AG32:AG46" si="61">SUM(AC32:AF32)</f>
        <v>-1932000</v>
      </c>
      <c r="AH32" s="63">
        <f>'Key financial and ops fig.s LCY'!AH32*VLOOKUP(Assumptions!$D$7, Lists!$B$7:$C$10, 2, FALSE)*Assumptions!$D$10/VLOOKUP(Assumptions!$D$9, Lists!$B$7:$C$10, 2, FALSE)</f>
        <v>-468000</v>
      </c>
      <c r="AI32" s="64">
        <f>'Key financial and ops fig.s LCY'!AI32*VLOOKUP(Assumptions!$D$7, Lists!$B$7:$C$10, 2, FALSE)*Assumptions!$D$10/VLOOKUP(Assumptions!$D$9, Lists!$B$7:$C$10, 2, FALSE)</f>
        <v>-468000</v>
      </c>
      <c r="AJ32" s="64">
        <f>'Key financial and ops fig.s LCY'!AJ32*VLOOKUP(Assumptions!$D$7, Lists!$B$7:$C$10, 2, FALSE)*Assumptions!$D$10/VLOOKUP(Assumptions!$D$9, Lists!$B$7:$C$10, 2, FALSE)</f>
        <v>-468000</v>
      </c>
      <c r="AK32" s="108">
        <f>'Key financial and ops fig.s LCY'!AK32*VLOOKUP(Assumptions!$D$7, Lists!$B$7:$C$10, 2, FALSE)*Assumptions!$D$10/VLOOKUP(Assumptions!$D$9, Lists!$B$7:$C$10, 2, FALSE)</f>
        <v>-468000</v>
      </c>
      <c r="AL32" s="60">
        <f t="shared" ref="AL32:AL46" si="62">SUM(AH32:AK32)</f>
        <v>-1872000</v>
      </c>
    </row>
    <row r="33" spans="1:38" ht="15.95" outlineLevel="1">
      <c r="A33" s="31"/>
      <c r="B33" s="34" t="s">
        <v>166</v>
      </c>
      <c r="C33" s="34"/>
      <c r="D33" s="186">
        <f>SUM(D29:D32)</f>
        <v>-93000</v>
      </c>
      <c r="E33" s="186">
        <f>SUM(E29:E32)</f>
        <v>-162000</v>
      </c>
      <c r="F33" s="186">
        <f>SUM(F29:F32)</f>
        <v>-231000</v>
      </c>
      <c r="G33" s="186">
        <f>SUM(G29:G32)</f>
        <v>-313500</v>
      </c>
      <c r="H33" s="61">
        <f t="shared" si="56"/>
        <v>-799500</v>
      </c>
      <c r="I33" s="186">
        <f>SUM(I29:I32)</f>
        <v>-384000</v>
      </c>
      <c r="J33" s="186">
        <f>SUM(J29:J32)</f>
        <v>-453000</v>
      </c>
      <c r="K33" s="186">
        <f>SUM(K29:K32)</f>
        <v>-517500</v>
      </c>
      <c r="L33" s="186">
        <f>SUM(L29:L32)</f>
        <v>-582000</v>
      </c>
      <c r="M33" s="51">
        <f t="shared" si="57"/>
        <v>-1936500</v>
      </c>
      <c r="N33" s="186">
        <f>SUM(N29:N32)</f>
        <v>-651000</v>
      </c>
      <c r="O33" s="186">
        <f>SUM(O29:O32)</f>
        <v>-715500</v>
      </c>
      <c r="P33" s="186">
        <f>SUM(P29:P32)</f>
        <v>-786000</v>
      </c>
      <c r="Q33" s="186">
        <f>SUM(Q29:Q32)</f>
        <v>-850500</v>
      </c>
      <c r="R33" s="51">
        <f t="shared" si="58"/>
        <v>-3003000</v>
      </c>
      <c r="S33" s="186">
        <f>SUM(S29:S32)</f>
        <v>-910500</v>
      </c>
      <c r="T33" s="186">
        <f>SUM(T29:T32)</f>
        <v>-975000</v>
      </c>
      <c r="U33" s="186">
        <f>SUM(U29:U32)</f>
        <v>-1039500</v>
      </c>
      <c r="V33" s="186">
        <f>SUM(V29:V32)</f>
        <v>-1104000</v>
      </c>
      <c r="W33" s="51">
        <f t="shared" si="59"/>
        <v>-4029000</v>
      </c>
      <c r="X33" s="186">
        <f>SUM(X29:X32)</f>
        <v>-1164000</v>
      </c>
      <c r="Y33" s="186">
        <f>SUM(Y29:Y32)</f>
        <v>-1210500</v>
      </c>
      <c r="Z33" s="186">
        <f>SUM(Z29:Z32)</f>
        <v>-1270500</v>
      </c>
      <c r="AA33" s="186">
        <f>SUM(AA29:AA32)</f>
        <v>-1335000</v>
      </c>
      <c r="AB33" s="51">
        <f t="shared" si="60"/>
        <v>-4980000</v>
      </c>
      <c r="AC33" s="186">
        <f>SUM(AC29:AC32)</f>
        <v>-1330500</v>
      </c>
      <c r="AD33" s="186">
        <f>SUM(AD29:AD32)</f>
        <v>-1302000</v>
      </c>
      <c r="AE33" s="186">
        <f>SUM(AE29:AE32)</f>
        <v>-1297500</v>
      </c>
      <c r="AF33" s="186">
        <f>SUM(AF29:AF32)</f>
        <v>-1297500</v>
      </c>
      <c r="AG33" s="51">
        <f t="shared" si="61"/>
        <v>-5227500</v>
      </c>
      <c r="AH33" s="65">
        <f>SUM(AH29:AH32)</f>
        <v>-1275000</v>
      </c>
      <c r="AI33" s="66">
        <f>SUM(AI29:AI32)</f>
        <v>-1270500</v>
      </c>
      <c r="AJ33" s="66">
        <f>SUM(AJ29:AJ32)</f>
        <v>-1270500</v>
      </c>
      <c r="AK33" s="141">
        <f>SUM(AK29:AK32)</f>
        <v>-1260000</v>
      </c>
      <c r="AL33" s="61">
        <f t="shared" si="62"/>
        <v>-5076000</v>
      </c>
    </row>
    <row r="34" spans="1:38" ht="15.95" outlineLevel="2">
      <c r="A34" s="31"/>
      <c r="C34" s="32" t="s">
        <v>275</v>
      </c>
      <c r="D34" s="185">
        <f>'Key financial and ops fig.s LCY'!D34*VLOOKUP(Assumptions!$D$7, Lists!$B$7:$C$10, 2, FALSE)*Assumptions!$D$10/VLOOKUP(Assumptions!$D$9, Lists!$B$7:$C$10, 2, FALSE)</f>
        <v>-900</v>
      </c>
      <c r="E34" s="185">
        <f>'Key financial and ops fig.s LCY'!E34*VLOOKUP(Assumptions!$D$7, Lists!$B$7:$C$10, 2, FALSE)*Assumptions!$D$10/VLOOKUP(Assumptions!$D$9, Lists!$B$7:$C$10, 2, FALSE)</f>
        <v>-1607.1428571428571</v>
      </c>
      <c r="F34" s="185">
        <f>'Key financial and ops fig.s LCY'!F34*VLOOKUP(Assumptions!$D$7, Lists!$B$7:$C$10, 2, FALSE)*Assumptions!$D$10/VLOOKUP(Assumptions!$D$9, Lists!$B$7:$C$10, 2, FALSE)</f>
        <v>-2314.2857142857147</v>
      </c>
      <c r="G34" s="185">
        <f>'Key financial and ops fig.s LCY'!G34*VLOOKUP(Assumptions!$D$7, Lists!$B$7:$C$10, 2, FALSE)*Assumptions!$D$10/VLOOKUP(Assumptions!$D$9, Lists!$B$7:$C$10, 2, FALSE)</f>
        <v>-3085.7142857142858</v>
      </c>
      <c r="H34" s="60">
        <f t="shared" si="56"/>
        <v>-7907.1428571428569</v>
      </c>
      <c r="I34" s="185">
        <f>'Key financial and ops fig.s LCY'!I34*VLOOKUP(Assumptions!$D$7, Lists!$B$7:$C$10, 2, FALSE)*Assumptions!$D$10/VLOOKUP(Assumptions!$D$9, Lists!$B$7:$C$10, 2, FALSE)</f>
        <v>-3792.8571428571431</v>
      </c>
      <c r="J34" s="185">
        <f>'Key financial and ops fig.s LCY'!J34*VLOOKUP(Assumptions!$D$7, Lists!$B$7:$C$10, 2, FALSE)*Assumptions!$D$10/VLOOKUP(Assumptions!$D$9, Lists!$B$7:$C$10, 2, FALSE)</f>
        <v>-4500</v>
      </c>
      <c r="K34" s="185">
        <f>'Key financial and ops fig.s LCY'!K34*VLOOKUP(Assumptions!$D$7, Lists!$B$7:$C$10, 2, FALSE)*Assumptions!$D$10/VLOOKUP(Assumptions!$D$9, Lists!$B$7:$C$10, 2, FALSE)</f>
        <v>-5142.8571428571431</v>
      </c>
      <c r="L34" s="185">
        <f>'Key financial and ops fig.s LCY'!L34*VLOOKUP(Assumptions!$D$7, Lists!$B$7:$C$10, 2, FALSE)*Assumptions!$D$10/VLOOKUP(Assumptions!$D$9, Lists!$B$7:$C$10, 2, FALSE)</f>
        <v>-5785.7142857142862</v>
      </c>
      <c r="M34" s="48">
        <f t="shared" si="57"/>
        <v>-19221.428571428572</v>
      </c>
      <c r="N34" s="185">
        <f>'Key financial and ops fig.s LCY'!N34*VLOOKUP(Assumptions!$D$7, Lists!$B$7:$C$10, 2, FALSE)*Assumptions!$D$10/VLOOKUP(Assumptions!$D$9, Lists!$B$7:$C$10, 2, FALSE)</f>
        <v>-6492.8571428571422</v>
      </c>
      <c r="O34" s="185">
        <f>'Key financial and ops fig.s LCY'!O34*VLOOKUP(Assumptions!$D$7, Lists!$B$7:$C$10, 2, FALSE)*Assumptions!$D$10/VLOOKUP(Assumptions!$D$9, Lists!$B$7:$C$10, 2, FALSE)</f>
        <v>-7135.7142857142862</v>
      </c>
      <c r="P34" s="185">
        <f>'Key financial and ops fig.s LCY'!P34*VLOOKUP(Assumptions!$D$7, Lists!$B$7:$C$10, 2, FALSE)*Assumptions!$D$10/VLOOKUP(Assumptions!$D$9, Lists!$B$7:$C$10, 2, FALSE)</f>
        <v>-7842.8571428571422</v>
      </c>
      <c r="Q34" s="185">
        <f>'Key financial and ops fig.s LCY'!Q34*VLOOKUP(Assumptions!$D$7, Lists!$B$7:$C$10, 2, FALSE)*Assumptions!$D$10/VLOOKUP(Assumptions!$D$9, Lists!$B$7:$C$10, 2, FALSE)</f>
        <v>-8485.7142857142862</v>
      </c>
      <c r="R34" s="48">
        <f t="shared" si="58"/>
        <v>-29957.142857142855</v>
      </c>
      <c r="S34" s="185">
        <f>'Key financial and ops fig.s LCY'!S34*VLOOKUP(Assumptions!$D$7, Lists!$B$7:$C$10, 2, FALSE)*Assumptions!$D$10/VLOOKUP(Assumptions!$D$9, Lists!$B$7:$C$10, 2, FALSE)</f>
        <v>-9064.2857142857138</v>
      </c>
      <c r="T34" s="185">
        <f>'Key financial and ops fig.s LCY'!T34*VLOOKUP(Assumptions!$D$7, Lists!$B$7:$C$10, 2, FALSE)*Assumptions!$D$10/VLOOKUP(Assumptions!$D$9, Lists!$B$7:$C$10, 2, FALSE)</f>
        <v>-9707.1428571428587</v>
      </c>
      <c r="U34" s="185">
        <f>'Key financial and ops fig.s LCY'!U34*VLOOKUP(Assumptions!$D$7, Lists!$B$7:$C$10, 2, FALSE)*Assumptions!$D$10/VLOOKUP(Assumptions!$D$9, Lists!$B$7:$C$10, 2, FALSE)</f>
        <v>-10350</v>
      </c>
      <c r="V34" s="185">
        <f>'Key financial and ops fig.s LCY'!V34*VLOOKUP(Assumptions!$D$7, Lists!$B$7:$C$10, 2, FALSE)*Assumptions!$D$10/VLOOKUP(Assumptions!$D$9, Lists!$B$7:$C$10, 2, FALSE)</f>
        <v>-10992.857142857143</v>
      </c>
      <c r="W34" s="48">
        <f t="shared" si="59"/>
        <v>-40114.285714285717</v>
      </c>
      <c r="X34" s="185">
        <f>'Key financial and ops fig.s LCY'!X34*VLOOKUP(Assumptions!$D$7, Lists!$B$7:$C$10, 2, FALSE)*Assumptions!$D$10/VLOOKUP(Assumptions!$D$9, Lists!$B$7:$C$10, 2, FALSE)</f>
        <v>-11571.428571428572</v>
      </c>
      <c r="Y34" s="185">
        <f>'Key financial and ops fig.s LCY'!Y34*VLOOKUP(Assumptions!$D$7, Lists!$B$7:$C$10, 2, FALSE)*Assumptions!$D$10/VLOOKUP(Assumptions!$D$9, Lists!$B$7:$C$10, 2, FALSE)</f>
        <v>-12085.714285714286</v>
      </c>
      <c r="Z34" s="185">
        <f>'Key financial and ops fig.s LCY'!Z34*VLOOKUP(Assumptions!$D$7, Lists!$B$7:$C$10, 2, FALSE)*Assumptions!$D$10/VLOOKUP(Assumptions!$D$9, Lists!$B$7:$C$10, 2, FALSE)</f>
        <v>-12664.285714285716</v>
      </c>
      <c r="AA34" s="185">
        <f>'Key financial and ops fig.s LCY'!AA34*VLOOKUP(Assumptions!$D$7, Lists!$B$7:$C$10, 2, FALSE)*Assumptions!$D$10/VLOOKUP(Assumptions!$D$9, Lists!$B$7:$C$10, 2, FALSE)</f>
        <v>-13307.142857142857</v>
      </c>
      <c r="AB34" s="48">
        <f t="shared" si="60"/>
        <v>-49628.571428571428</v>
      </c>
      <c r="AC34" s="185">
        <f>'Key financial and ops fig.s LCY'!AC34*VLOOKUP(Assumptions!$D$7, Lists!$B$7:$C$10, 2, FALSE)*Assumptions!$D$10/VLOOKUP(Assumptions!$D$9, Lists!$B$7:$C$10, 2, FALSE)</f>
        <v>-13242.857142857143</v>
      </c>
      <c r="AD34" s="185">
        <f>'Key financial and ops fig.s LCY'!AD34*VLOOKUP(Assumptions!$D$7, Lists!$B$7:$C$10, 2, FALSE)*Assumptions!$D$10/VLOOKUP(Assumptions!$D$9, Lists!$B$7:$C$10, 2, FALSE)</f>
        <v>-12985.714285714284</v>
      </c>
      <c r="AE34" s="185">
        <f>'Key financial and ops fig.s LCY'!AE34*VLOOKUP(Assumptions!$D$7, Lists!$B$7:$C$10, 2, FALSE)*Assumptions!$D$10/VLOOKUP(Assumptions!$D$9, Lists!$B$7:$C$10, 2, FALSE)</f>
        <v>-12921.428571428572</v>
      </c>
      <c r="AF34" s="185">
        <f>'Key financial and ops fig.s LCY'!AF34*VLOOKUP(Assumptions!$D$7, Lists!$B$7:$C$10, 2, FALSE)*Assumptions!$D$10/VLOOKUP(Assumptions!$D$9, Lists!$B$7:$C$10, 2, FALSE)</f>
        <v>-12921.428571428572</v>
      </c>
      <c r="AG34" s="48">
        <f t="shared" si="61"/>
        <v>-52071.428571428572</v>
      </c>
      <c r="AH34" s="63">
        <f>'Key financial and ops fig.s LCY'!AH34*VLOOKUP(Assumptions!$D$7, Lists!$B$7:$C$10, 2, FALSE)*Assumptions!$D$10/VLOOKUP(Assumptions!$D$9, Lists!$B$7:$C$10, 2, FALSE)</f>
        <v>-12728.571428571428</v>
      </c>
      <c r="AI34" s="64">
        <f>'Key financial and ops fig.s LCY'!AI34*VLOOKUP(Assumptions!$D$7, Lists!$B$7:$C$10, 2, FALSE)*Assumptions!$D$10/VLOOKUP(Assumptions!$D$9, Lists!$B$7:$C$10, 2, FALSE)</f>
        <v>-12664.285714285716</v>
      </c>
      <c r="AJ34" s="64">
        <f>'Key financial and ops fig.s LCY'!AJ34*VLOOKUP(Assumptions!$D$7, Lists!$B$7:$C$10, 2, FALSE)*Assumptions!$D$10/VLOOKUP(Assumptions!$D$9, Lists!$B$7:$C$10, 2, FALSE)</f>
        <v>-12664.285714285716</v>
      </c>
      <c r="AK34" s="108">
        <f>'Key financial and ops fig.s LCY'!AK34*VLOOKUP(Assumptions!$D$7, Lists!$B$7:$C$10, 2, FALSE)*Assumptions!$D$10/VLOOKUP(Assumptions!$D$9, Lists!$B$7:$C$10, 2, FALSE)</f>
        <v>-12535.714285714286</v>
      </c>
      <c r="AL34" s="60">
        <f t="shared" si="62"/>
        <v>-50592.857142857145</v>
      </c>
    </row>
    <row r="35" spans="1:38" ht="15.95" outlineLevel="2">
      <c r="A35" s="31"/>
      <c r="C35" s="32" t="s">
        <v>276</v>
      </c>
      <c r="D35" s="185">
        <f>'Key financial and ops fig.s LCY'!D35*VLOOKUP(Assumptions!$D$7, Lists!$B$7:$C$10, 2, FALSE)*Assumptions!$D$10/VLOOKUP(Assumptions!$D$9, Lists!$B$7:$C$10, 2, FALSE)</f>
        <v>-8571.4285714285725</v>
      </c>
      <c r="E35" s="185">
        <f>'Key financial and ops fig.s LCY'!E35*VLOOKUP(Assumptions!$D$7, Lists!$B$7:$C$10, 2, FALSE)*Assumptions!$D$10/VLOOKUP(Assumptions!$D$9, Lists!$B$7:$C$10, 2, FALSE)</f>
        <v>-12857.142857142857</v>
      </c>
      <c r="F35" s="185">
        <f>'Key financial and ops fig.s LCY'!F35*VLOOKUP(Assumptions!$D$7, Lists!$B$7:$C$10, 2, FALSE)*Assumptions!$D$10/VLOOKUP(Assumptions!$D$9, Lists!$B$7:$C$10, 2, FALSE)</f>
        <v>-17142.857142857145</v>
      </c>
      <c r="G35" s="185">
        <f>'Key financial and ops fig.s LCY'!G35*VLOOKUP(Assumptions!$D$7, Lists!$B$7:$C$10, 2, FALSE)*Assumptions!$D$10/VLOOKUP(Assumptions!$D$9, Lists!$B$7:$C$10, 2, FALSE)</f>
        <v>-21428.571428571428</v>
      </c>
      <c r="H35" s="60">
        <f t="shared" si="56"/>
        <v>-60000</v>
      </c>
      <c r="I35" s="185">
        <f>'Key financial and ops fig.s LCY'!I35*VLOOKUP(Assumptions!$D$7, Lists!$B$7:$C$10, 2, FALSE)*Assumptions!$D$10/VLOOKUP(Assumptions!$D$9, Lists!$B$7:$C$10, 2, FALSE)</f>
        <v>-25714.285714285714</v>
      </c>
      <c r="J35" s="185">
        <f>'Key financial and ops fig.s LCY'!J35*VLOOKUP(Assumptions!$D$7, Lists!$B$7:$C$10, 2, FALSE)*Assumptions!$D$10/VLOOKUP(Assumptions!$D$9, Lists!$B$7:$C$10, 2, FALSE)</f>
        <v>-30000</v>
      </c>
      <c r="K35" s="185">
        <f>'Key financial and ops fig.s LCY'!K35*VLOOKUP(Assumptions!$D$7, Lists!$B$7:$C$10, 2, FALSE)*Assumptions!$D$10/VLOOKUP(Assumptions!$D$9, Lists!$B$7:$C$10, 2, FALSE)</f>
        <v>-34285.71428571429</v>
      </c>
      <c r="L35" s="185">
        <f>'Key financial and ops fig.s LCY'!L35*VLOOKUP(Assumptions!$D$7, Lists!$B$7:$C$10, 2, FALSE)*Assumptions!$D$10/VLOOKUP(Assumptions!$D$9, Lists!$B$7:$C$10, 2, FALSE)</f>
        <v>-38571.428571428572</v>
      </c>
      <c r="M35" s="48">
        <f t="shared" si="57"/>
        <v>-128571.42857142858</v>
      </c>
      <c r="N35" s="185">
        <f>'Key financial and ops fig.s LCY'!N35*VLOOKUP(Assumptions!$D$7, Lists!$B$7:$C$10, 2, FALSE)*Assumptions!$D$10/VLOOKUP(Assumptions!$D$9, Lists!$B$7:$C$10, 2, FALSE)</f>
        <v>-42857.142857142855</v>
      </c>
      <c r="O35" s="185">
        <f>'Key financial and ops fig.s LCY'!O35*VLOOKUP(Assumptions!$D$7, Lists!$B$7:$C$10, 2, FALSE)*Assumptions!$D$10/VLOOKUP(Assumptions!$D$9, Lists!$B$7:$C$10, 2, FALSE)</f>
        <v>-47142.857142857145</v>
      </c>
      <c r="P35" s="185">
        <f>'Key financial and ops fig.s LCY'!P35*VLOOKUP(Assumptions!$D$7, Lists!$B$7:$C$10, 2, FALSE)*Assumptions!$D$10/VLOOKUP(Assumptions!$D$9, Lists!$B$7:$C$10, 2, FALSE)</f>
        <v>-51428.571428571428</v>
      </c>
      <c r="Q35" s="185">
        <f>'Key financial and ops fig.s LCY'!Q35*VLOOKUP(Assumptions!$D$7, Lists!$B$7:$C$10, 2, FALSE)*Assumptions!$D$10/VLOOKUP(Assumptions!$D$9, Lists!$B$7:$C$10, 2, FALSE)</f>
        <v>-55714.285714285717</v>
      </c>
      <c r="R35" s="48">
        <f t="shared" si="58"/>
        <v>-197142.85714285713</v>
      </c>
      <c r="S35" s="185">
        <f>'Key financial and ops fig.s LCY'!S35*VLOOKUP(Assumptions!$D$7, Lists!$B$7:$C$10, 2, FALSE)*Assumptions!$D$10/VLOOKUP(Assumptions!$D$9, Lists!$B$7:$C$10, 2, FALSE)</f>
        <v>-60000</v>
      </c>
      <c r="T35" s="185">
        <f>'Key financial and ops fig.s LCY'!T35*VLOOKUP(Assumptions!$D$7, Lists!$B$7:$C$10, 2, FALSE)*Assumptions!$D$10/VLOOKUP(Assumptions!$D$9, Lists!$B$7:$C$10, 2, FALSE)</f>
        <v>-64285.71428571429</v>
      </c>
      <c r="U35" s="185">
        <f>'Key financial and ops fig.s LCY'!U35*VLOOKUP(Assumptions!$D$7, Lists!$B$7:$C$10, 2, FALSE)*Assumptions!$D$10/VLOOKUP(Assumptions!$D$9, Lists!$B$7:$C$10, 2, FALSE)</f>
        <v>-68571.42857142858</v>
      </c>
      <c r="V35" s="185">
        <f>'Key financial and ops fig.s LCY'!V35*VLOOKUP(Assumptions!$D$7, Lists!$B$7:$C$10, 2, FALSE)*Assumptions!$D$10/VLOOKUP(Assumptions!$D$9, Lists!$B$7:$C$10, 2, FALSE)</f>
        <v>-72857.14285714287</v>
      </c>
      <c r="W35" s="48">
        <f t="shared" si="59"/>
        <v>-265714.28571428574</v>
      </c>
      <c r="X35" s="185">
        <f>'Key financial and ops fig.s LCY'!X35*VLOOKUP(Assumptions!$D$7, Lists!$B$7:$C$10, 2, FALSE)*Assumptions!$D$10/VLOOKUP(Assumptions!$D$9, Lists!$B$7:$C$10, 2, FALSE)</f>
        <v>-77142.857142857145</v>
      </c>
      <c r="Y35" s="185">
        <f>'Key financial and ops fig.s LCY'!Y35*VLOOKUP(Assumptions!$D$7, Lists!$B$7:$C$10, 2, FALSE)*Assumptions!$D$10/VLOOKUP(Assumptions!$D$9, Lists!$B$7:$C$10, 2, FALSE)</f>
        <v>-81428.57142857142</v>
      </c>
      <c r="Z35" s="185">
        <f>'Key financial and ops fig.s LCY'!Z35*VLOOKUP(Assumptions!$D$7, Lists!$B$7:$C$10, 2, FALSE)*Assumptions!$D$10/VLOOKUP(Assumptions!$D$9, Lists!$B$7:$C$10, 2, FALSE)</f>
        <v>-85714.28571428571</v>
      </c>
      <c r="AA35" s="185">
        <f>'Key financial and ops fig.s LCY'!AA35*VLOOKUP(Assumptions!$D$7, Lists!$B$7:$C$10, 2, FALSE)*Assumptions!$D$10/VLOOKUP(Assumptions!$D$9, Lists!$B$7:$C$10, 2, FALSE)</f>
        <v>-90000</v>
      </c>
      <c r="AB35" s="48">
        <f t="shared" si="60"/>
        <v>-334285.71428571432</v>
      </c>
      <c r="AC35" s="185">
        <f>'Key financial and ops fig.s LCY'!AC35*VLOOKUP(Assumptions!$D$7, Lists!$B$7:$C$10, 2, FALSE)*Assumptions!$D$10/VLOOKUP(Assumptions!$D$9, Lists!$B$7:$C$10, 2, FALSE)</f>
        <v>-90000</v>
      </c>
      <c r="AD35" s="185">
        <f>'Key financial and ops fig.s LCY'!AD35*VLOOKUP(Assumptions!$D$7, Lists!$B$7:$C$10, 2, FALSE)*Assumptions!$D$10/VLOOKUP(Assumptions!$D$9, Lists!$B$7:$C$10, 2, FALSE)</f>
        <v>-85714.28571428571</v>
      </c>
      <c r="AE35" s="185">
        <f>'Key financial and ops fig.s LCY'!AE35*VLOOKUP(Assumptions!$D$7, Lists!$B$7:$C$10, 2, FALSE)*Assumptions!$D$10/VLOOKUP(Assumptions!$D$9, Lists!$B$7:$C$10, 2, FALSE)</f>
        <v>-85714.28571428571</v>
      </c>
      <c r="AF35" s="185">
        <f>'Key financial and ops fig.s LCY'!AF35*VLOOKUP(Assumptions!$D$7, Lists!$B$7:$C$10, 2, FALSE)*Assumptions!$D$10/VLOOKUP(Assumptions!$D$9, Lists!$B$7:$C$10, 2, FALSE)</f>
        <v>-85714.28571428571</v>
      </c>
      <c r="AG35" s="48">
        <f t="shared" si="61"/>
        <v>-347142.85714285716</v>
      </c>
      <c r="AH35" s="63">
        <f>'Key financial and ops fig.s LCY'!AH35*VLOOKUP(Assumptions!$D$7, Lists!$B$7:$C$10, 2, FALSE)*Assumptions!$D$10/VLOOKUP(Assumptions!$D$9, Lists!$B$7:$C$10, 2, FALSE)</f>
        <v>-85714.28571428571</v>
      </c>
      <c r="AI35" s="64">
        <f>'Key financial and ops fig.s LCY'!AI35*VLOOKUP(Assumptions!$D$7, Lists!$B$7:$C$10, 2, FALSE)*Assumptions!$D$10/VLOOKUP(Assumptions!$D$9, Lists!$B$7:$C$10, 2, FALSE)</f>
        <v>-85714.28571428571</v>
      </c>
      <c r="AJ35" s="64">
        <f>'Key financial and ops fig.s LCY'!AJ35*VLOOKUP(Assumptions!$D$7, Lists!$B$7:$C$10, 2, FALSE)*Assumptions!$D$10/VLOOKUP(Assumptions!$D$9, Lists!$B$7:$C$10, 2, FALSE)</f>
        <v>-85714.28571428571</v>
      </c>
      <c r="AK35" s="108">
        <f>'Key financial and ops fig.s LCY'!AK35*VLOOKUP(Assumptions!$D$7, Lists!$B$7:$C$10, 2, FALSE)*Assumptions!$D$10/VLOOKUP(Assumptions!$D$9, Lists!$B$7:$C$10, 2, FALSE)</f>
        <v>-85714.28571428571</v>
      </c>
      <c r="AL35" s="60">
        <f t="shared" si="62"/>
        <v>-342857.14285714284</v>
      </c>
    </row>
    <row r="36" spans="1:38" ht="15.95" outlineLevel="2">
      <c r="A36" s="31"/>
      <c r="C36" s="32" t="s">
        <v>277</v>
      </c>
      <c r="D36" s="185">
        <f>'Key financial and ops fig.s LCY'!D36*VLOOKUP(Assumptions!$D$7, Lists!$B$7:$C$10, 2, FALSE)*Assumptions!$D$10/VLOOKUP(Assumptions!$D$9, Lists!$B$7:$C$10, 2, FALSE)</f>
        <v>-107142.85714285714</v>
      </c>
      <c r="E36" s="185">
        <f>'Key financial and ops fig.s LCY'!E36*VLOOKUP(Assumptions!$D$7, Lists!$B$7:$C$10, 2, FALSE)*Assumptions!$D$10/VLOOKUP(Assumptions!$D$9, Lists!$B$7:$C$10, 2, FALSE)</f>
        <v>-107142.85714285714</v>
      </c>
      <c r="F36" s="185">
        <f>'Key financial and ops fig.s LCY'!F36*VLOOKUP(Assumptions!$D$7, Lists!$B$7:$C$10, 2, FALSE)*Assumptions!$D$10/VLOOKUP(Assumptions!$D$9, Lists!$B$7:$C$10, 2, FALSE)</f>
        <v>-107142.85714285714</v>
      </c>
      <c r="G36" s="185">
        <f>'Key financial and ops fig.s LCY'!G36*VLOOKUP(Assumptions!$D$7, Lists!$B$7:$C$10, 2, FALSE)*Assumptions!$D$10/VLOOKUP(Assumptions!$D$9, Lists!$B$7:$C$10, 2, FALSE)</f>
        <v>-107142.85714285714</v>
      </c>
      <c r="H36" s="60">
        <f t="shared" si="56"/>
        <v>-428571.42857142858</v>
      </c>
      <c r="I36" s="185">
        <f>'Key financial and ops fig.s LCY'!I36*VLOOKUP(Assumptions!$D$7, Lists!$B$7:$C$10, 2, FALSE)*Assumptions!$D$10/VLOOKUP(Assumptions!$D$9, Lists!$B$7:$C$10, 2, FALSE)</f>
        <v>-107142.85714285714</v>
      </c>
      <c r="J36" s="185">
        <f>'Key financial and ops fig.s LCY'!J36*VLOOKUP(Assumptions!$D$7, Lists!$B$7:$C$10, 2, FALSE)*Assumptions!$D$10/VLOOKUP(Assumptions!$D$9, Lists!$B$7:$C$10, 2, FALSE)</f>
        <v>-107142.85714285714</v>
      </c>
      <c r="K36" s="185">
        <f>'Key financial and ops fig.s LCY'!K36*VLOOKUP(Assumptions!$D$7, Lists!$B$7:$C$10, 2, FALSE)*Assumptions!$D$10/VLOOKUP(Assumptions!$D$9, Lists!$B$7:$C$10, 2, FALSE)</f>
        <v>-107142.85714285714</v>
      </c>
      <c r="L36" s="185">
        <f>'Key financial and ops fig.s LCY'!L36*VLOOKUP(Assumptions!$D$7, Lists!$B$7:$C$10, 2, FALSE)*Assumptions!$D$10/VLOOKUP(Assumptions!$D$9, Lists!$B$7:$C$10, 2, FALSE)</f>
        <v>-107142.85714285714</v>
      </c>
      <c r="M36" s="48">
        <f t="shared" si="57"/>
        <v>-428571.42857142858</v>
      </c>
      <c r="N36" s="185">
        <f>'Key financial and ops fig.s LCY'!N36*VLOOKUP(Assumptions!$D$7, Lists!$B$7:$C$10, 2, FALSE)*Assumptions!$D$10/VLOOKUP(Assumptions!$D$9, Lists!$B$7:$C$10, 2, FALSE)</f>
        <v>-107142.85714285714</v>
      </c>
      <c r="O36" s="185">
        <f>'Key financial and ops fig.s LCY'!O36*VLOOKUP(Assumptions!$D$7, Lists!$B$7:$C$10, 2, FALSE)*Assumptions!$D$10/VLOOKUP(Assumptions!$D$9, Lists!$B$7:$C$10, 2, FALSE)</f>
        <v>-107142.85714285714</v>
      </c>
      <c r="P36" s="185">
        <f>'Key financial and ops fig.s LCY'!P36*VLOOKUP(Assumptions!$D$7, Lists!$B$7:$C$10, 2, FALSE)*Assumptions!$D$10/VLOOKUP(Assumptions!$D$9, Lists!$B$7:$C$10, 2, FALSE)</f>
        <v>-107142.85714285714</v>
      </c>
      <c r="Q36" s="185">
        <f>'Key financial and ops fig.s LCY'!Q36*VLOOKUP(Assumptions!$D$7, Lists!$B$7:$C$10, 2, FALSE)*Assumptions!$D$10/VLOOKUP(Assumptions!$D$9, Lists!$B$7:$C$10, 2, FALSE)</f>
        <v>-107142.85714285714</v>
      </c>
      <c r="R36" s="48">
        <f t="shared" si="58"/>
        <v>-428571.42857142858</v>
      </c>
      <c r="S36" s="185">
        <f>'Key financial and ops fig.s LCY'!S36*VLOOKUP(Assumptions!$D$7, Lists!$B$7:$C$10, 2, FALSE)*Assumptions!$D$10/VLOOKUP(Assumptions!$D$9, Lists!$B$7:$C$10, 2, FALSE)</f>
        <v>-107142.85714285714</v>
      </c>
      <c r="T36" s="185">
        <f>'Key financial and ops fig.s LCY'!T36*VLOOKUP(Assumptions!$D$7, Lists!$B$7:$C$10, 2, FALSE)*Assumptions!$D$10/VLOOKUP(Assumptions!$D$9, Lists!$B$7:$C$10, 2, FALSE)</f>
        <v>-107142.85714285714</v>
      </c>
      <c r="U36" s="185">
        <f>'Key financial and ops fig.s LCY'!U36*VLOOKUP(Assumptions!$D$7, Lists!$B$7:$C$10, 2, FALSE)*Assumptions!$D$10/VLOOKUP(Assumptions!$D$9, Lists!$B$7:$C$10, 2, FALSE)</f>
        <v>-107142.85714285714</v>
      </c>
      <c r="V36" s="185">
        <f>'Key financial and ops fig.s LCY'!V36*VLOOKUP(Assumptions!$D$7, Lists!$B$7:$C$10, 2, FALSE)*Assumptions!$D$10/VLOOKUP(Assumptions!$D$9, Lists!$B$7:$C$10, 2, FALSE)</f>
        <v>-107142.85714285714</v>
      </c>
      <c r="W36" s="48">
        <f t="shared" si="59"/>
        <v>-428571.42857142858</v>
      </c>
      <c r="X36" s="185">
        <f>'Key financial and ops fig.s LCY'!X36*VLOOKUP(Assumptions!$D$7, Lists!$B$7:$C$10, 2, FALSE)*Assumptions!$D$10/VLOOKUP(Assumptions!$D$9, Lists!$B$7:$C$10, 2, FALSE)</f>
        <v>-107142.85714285714</v>
      </c>
      <c r="Y36" s="185">
        <f>'Key financial and ops fig.s LCY'!Y36*VLOOKUP(Assumptions!$D$7, Lists!$B$7:$C$10, 2, FALSE)*Assumptions!$D$10/VLOOKUP(Assumptions!$D$9, Lists!$B$7:$C$10, 2, FALSE)</f>
        <v>-107142.85714285714</v>
      </c>
      <c r="Z36" s="185">
        <f>'Key financial and ops fig.s LCY'!Z36*VLOOKUP(Assumptions!$D$7, Lists!$B$7:$C$10, 2, FALSE)*Assumptions!$D$10/VLOOKUP(Assumptions!$D$9, Lists!$B$7:$C$10, 2, FALSE)</f>
        <v>-107142.85714285714</v>
      </c>
      <c r="AA36" s="185">
        <f>'Key financial and ops fig.s LCY'!AA36*VLOOKUP(Assumptions!$D$7, Lists!$B$7:$C$10, 2, FALSE)*Assumptions!$D$10/VLOOKUP(Assumptions!$D$9, Lists!$B$7:$C$10, 2, FALSE)</f>
        <v>-107142.85714285714</v>
      </c>
      <c r="AB36" s="48">
        <f t="shared" si="60"/>
        <v>-428571.42857142858</v>
      </c>
      <c r="AC36" s="185">
        <f>'Key financial and ops fig.s LCY'!AC36*VLOOKUP(Assumptions!$D$7, Lists!$B$7:$C$10, 2, FALSE)*Assumptions!$D$10/VLOOKUP(Assumptions!$D$9, Lists!$B$7:$C$10, 2, FALSE)</f>
        <v>-107142.85714285714</v>
      </c>
      <c r="AD36" s="185">
        <f>'Key financial and ops fig.s LCY'!AD36*VLOOKUP(Assumptions!$D$7, Lists!$B$7:$C$10, 2, FALSE)*Assumptions!$D$10/VLOOKUP(Assumptions!$D$9, Lists!$B$7:$C$10, 2, FALSE)</f>
        <v>-107142.85714285714</v>
      </c>
      <c r="AE36" s="185">
        <f>'Key financial and ops fig.s LCY'!AE36*VLOOKUP(Assumptions!$D$7, Lists!$B$7:$C$10, 2, FALSE)*Assumptions!$D$10/VLOOKUP(Assumptions!$D$9, Lists!$B$7:$C$10, 2, FALSE)</f>
        <v>-107142.85714285714</v>
      </c>
      <c r="AF36" s="185">
        <f>'Key financial and ops fig.s LCY'!AF36*VLOOKUP(Assumptions!$D$7, Lists!$B$7:$C$10, 2, FALSE)*Assumptions!$D$10/VLOOKUP(Assumptions!$D$9, Lists!$B$7:$C$10, 2, FALSE)</f>
        <v>-107142.85714285714</v>
      </c>
      <c r="AG36" s="48">
        <f t="shared" si="61"/>
        <v>-428571.42857142858</v>
      </c>
      <c r="AH36" s="63">
        <f>'Key financial and ops fig.s LCY'!AH36*VLOOKUP(Assumptions!$D$7, Lists!$B$7:$C$10, 2, FALSE)*Assumptions!$D$10/VLOOKUP(Assumptions!$D$9, Lists!$B$7:$C$10, 2, FALSE)</f>
        <v>-107142.85714285714</v>
      </c>
      <c r="AI36" s="64">
        <f>'Key financial and ops fig.s LCY'!AI36*VLOOKUP(Assumptions!$D$7, Lists!$B$7:$C$10, 2, FALSE)*Assumptions!$D$10/VLOOKUP(Assumptions!$D$9, Lists!$B$7:$C$10, 2, FALSE)</f>
        <v>-107142.85714285714</v>
      </c>
      <c r="AJ36" s="64">
        <f>'Key financial and ops fig.s LCY'!AJ36*VLOOKUP(Assumptions!$D$7, Lists!$B$7:$C$10, 2, FALSE)*Assumptions!$D$10/VLOOKUP(Assumptions!$D$9, Lists!$B$7:$C$10, 2, FALSE)</f>
        <v>-107142.85714285714</v>
      </c>
      <c r="AK36" s="108">
        <f>'Key financial and ops fig.s LCY'!AK36*VLOOKUP(Assumptions!$D$7, Lists!$B$7:$C$10, 2, FALSE)*Assumptions!$D$10/VLOOKUP(Assumptions!$D$9, Lists!$B$7:$C$10, 2, FALSE)</f>
        <v>-107142.85714285714</v>
      </c>
      <c r="AL36" s="60">
        <f t="shared" si="62"/>
        <v>-428571.42857142858</v>
      </c>
    </row>
    <row r="37" spans="1:38" ht="15.95" outlineLevel="1">
      <c r="A37" s="31"/>
      <c r="B37" s="34" t="s">
        <v>278</v>
      </c>
      <c r="C37" s="34"/>
      <c r="D37" s="186">
        <f>SUM(D34:D36)</f>
        <v>-116614.28571428571</v>
      </c>
      <c r="E37" s="186">
        <f>SUM(E34:E36)</f>
        <v>-121607.14285714286</v>
      </c>
      <c r="F37" s="186">
        <f>SUM(F34:F36)</f>
        <v>-126600</v>
      </c>
      <c r="G37" s="186">
        <f>SUM(G34:G36)</f>
        <v>-131657.14285714287</v>
      </c>
      <c r="H37" s="61">
        <f t="shared" si="56"/>
        <v>-496478.57142857148</v>
      </c>
      <c r="I37" s="186">
        <f>SUM(I34:I36)</f>
        <v>-136650</v>
      </c>
      <c r="J37" s="186">
        <f>SUM(J34:J36)</f>
        <v>-141642.85714285716</v>
      </c>
      <c r="K37" s="186">
        <f>SUM(K34:K36)</f>
        <v>-146571.42857142858</v>
      </c>
      <c r="L37" s="186">
        <f>SUM(L34:L36)</f>
        <v>-151500</v>
      </c>
      <c r="M37" s="51">
        <f t="shared" si="57"/>
        <v>-576364.28571428568</v>
      </c>
      <c r="N37" s="186">
        <f>SUM(N34:N36)</f>
        <v>-156492.85714285716</v>
      </c>
      <c r="O37" s="186">
        <f>SUM(O34:O36)</f>
        <v>-161421.42857142858</v>
      </c>
      <c r="P37" s="186">
        <f>SUM(P34:P36)</f>
        <v>-166414.28571428571</v>
      </c>
      <c r="Q37" s="186">
        <f>SUM(Q34:Q36)</f>
        <v>-171342.85714285716</v>
      </c>
      <c r="R37" s="51">
        <f t="shared" si="58"/>
        <v>-655671.42857142864</v>
      </c>
      <c r="S37" s="186">
        <f>SUM(S34:S36)</f>
        <v>-176207.14285714284</v>
      </c>
      <c r="T37" s="186">
        <f>SUM(T34:T36)</f>
        <v>-181135.71428571429</v>
      </c>
      <c r="U37" s="186">
        <f>SUM(U34:U36)</f>
        <v>-186064.28571428574</v>
      </c>
      <c r="V37" s="186">
        <f>SUM(V34:V36)</f>
        <v>-190992.85714285716</v>
      </c>
      <c r="W37" s="51">
        <f t="shared" si="59"/>
        <v>-734400.00000000012</v>
      </c>
      <c r="X37" s="186">
        <f>SUM(X34:X36)</f>
        <v>-195857.14285714284</v>
      </c>
      <c r="Y37" s="186">
        <f>SUM(Y34:Y36)</f>
        <v>-200657.14285714284</v>
      </c>
      <c r="Z37" s="186">
        <f>SUM(Z34:Z36)</f>
        <v>-205521.42857142858</v>
      </c>
      <c r="AA37" s="186">
        <f>SUM(AA34:AA36)</f>
        <v>-210450</v>
      </c>
      <c r="AB37" s="51">
        <f t="shared" si="60"/>
        <v>-812485.71428571432</v>
      </c>
      <c r="AC37" s="186">
        <f>SUM(AC34:AC36)</f>
        <v>-210385.71428571429</v>
      </c>
      <c r="AD37" s="186">
        <f>SUM(AD34:AD36)</f>
        <v>-205842.85714285716</v>
      </c>
      <c r="AE37" s="186">
        <f>SUM(AE34:AE36)</f>
        <v>-205778.57142857142</v>
      </c>
      <c r="AF37" s="186">
        <f>SUM(AF34:AF36)</f>
        <v>-205778.57142857142</v>
      </c>
      <c r="AG37" s="51">
        <f t="shared" si="61"/>
        <v>-827785.71428571432</v>
      </c>
      <c r="AH37" s="65">
        <f>SUM(AH34:AH36)</f>
        <v>-205585.71428571426</v>
      </c>
      <c r="AI37" s="66">
        <f>SUM(AI34:AI36)</f>
        <v>-205521.42857142858</v>
      </c>
      <c r="AJ37" s="66">
        <f>SUM(AJ34:AJ36)</f>
        <v>-205521.42857142858</v>
      </c>
      <c r="AK37" s="141">
        <f>SUM(AK34:AK36)</f>
        <v>-205392.85714285716</v>
      </c>
      <c r="AL37" s="61">
        <f t="shared" si="62"/>
        <v>-822021.42857142852</v>
      </c>
    </row>
    <row r="38" spans="1:38" ht="15.95" outlineLevel="2">
      <c r="A38" s="31"/>
      <c r="C38" s="32" t="s">
        <v>279</v>
      </c>
      <c r="D38" s="185">
        <f>'Key financial and ops fig.s LCY'!D38*VLOOKUP(Assumptions!$D$7, Lists!$B$7:$C$10, 2, FALSE)*Assumptions!$D$10/VLOOKUP(Assumptions!$D$9, Lists!$B$7:$C$10, 2, FALSE)</f>
        <v>-30000</v>
      </c>
      <c r="E38" s="185">
        <f>'Key financial and ops fig.s LCY'!E38*VLOOKUP(Assumptions!$D$7, Lists!$B$7:$C$10, 2, FALSE)*Assumptions!$D$10/VLOOKUP(Assumptions!$D$9, Lists!$B$7:$C$10, 2, FALSE)</f>
        <v>-45000</v>
      </c>
      <c r="F38" s="185">
        <f>'Key financial and ops fig.s LCY'!F38*VLOOKUP(Assumptions!$D$7, Lists!$B$7:$C$10, 2, FALSE)*Assumptions!$D$10/VLOOKUP(Assumptions!$D$9, Lists!$B$7:$C$10, 2, FALSE)</f>
        <v>-60000</v>
      </c>
      <c r="G38" s="185">
        <f>'Key financial and ops fig.s LCY'!G38*VLOOKUP(Assumptions!$D$7, Lists!$B$7:$C$10, 2, FALSE)*Assumptions!$D$10/VLOOKUP(Assumptions!$D$9, Lists!$B$7:$C$10, 2, FALSE)</f>
        <v>-75000</v>
      </c>
      <c r="H38" s="60">
        <f t="shared" si="56"/>
        <v>-210000</v>
      </c>
      <c r="I38" s="185">
        <f>'Key financial and ops fig.s LCY'!I38*VLOOKUP(Assumptions!$D$7, Lists!$B$7:$C$10, 2, FALSE)*Assumptions!$D$10/VLOOKUP(Assumptions!$D$9, Lists!$B$7:$C$10, 2, FALSE)</f>
        <v>-90000</v>
      </c>
      <c r="J38" s="185">
        <f>'Key financial and ops fig.s LCY'!J38*VLOOKUP(Assumptions!$D$7, Lists!$B$7:$C$10, 2, FALSE)*Assumptions!$D$10/VLOOKUP(Assumptions!$D$9, Lists!$B$7:$C$10, 2, FALSE)</f>
        <v>-105000</v>
      </c>
      <c r="K38" s="185">
        <f>'Key financial and ops fig.s LCY'!K38*VLOOKUP(Assumptions!$D$7, Lists!$B$7:$C$10, 2, FALSE)*Assumptions!$D$10/VLOOKUP(Assumptions!$D$9, Lists!$B$7:$C$10, 2, FALSE)</f>
        <v>-120000</v>
      </c>
      <c r="L38" s="185">
        <f>'Key financial and ops fig.s LCY'!L38*VLOOKUP(Assumptions!$D$7, Lists!$B$7:$C$10, 2, FALSE)*Assumptions!$D$10/VLOOKUP(Assumptions!$D$9, Lists!$B$7:$C$10, 2, FALSE)</f>
        <v>-135000</v>
      </c>
      <c r="M38" s="48">
        <f t="shared" si="57"/>
        <v>-450000</v>
      </c>
      <c r="N38" s="185">
        <f>'Key financial and ops fig.s LCY'!N38*VLOOKUP(Assumptions!$D$7, Lists!$B$7:$C$10, 2, FALSE)*Assumptions!$D$10/VLOOKUP(Assumptions!$D$9, Lists!$B$7:$C$10, 2, FALSE)</f>
        <v>-150000</v>
      </c>
      <c r="O38" s="185">
        <f>'Key financial and ops fig.s LCY'!O38*VLOOKUP(Assumptions!$D$7, Lists!$B$7:$C$10, 2, FALSE)*Assumptions!$D$10/VLOOKUP(Assumptions!$D$9, Lists!$B$7:$C$10, 2, FALSE)</f>
        <v>-165000</v>
      </c>
      <c r="P38" s="185">
        <f>'Key financial and ops fig.s LCY'!P38*VLOOKUP(Assumptions!$D$7, Lists!$B$7:$C$10, 2, FALSE)*Assumptions!$D$10/VLOOKUP(Assumptions!$D$9, Lists!$B$7:$C$10, 2, FALSE)</f>
        <v>-180000</v>
      </c>
      <c r="Q38" s="185">
        <f>'Key financial and ops fig.s LCY'!Q38*VLOOKUP(Assumptions!$D$7, Lists!$B$7:$C$10, 2, FALSE)*Assumptions!$D$10/VLOOKUP(Assumptions!$D$9, Lists!$B$7:$C$10, 2, FALSE)</f>
        <v>-195000</v>
      </c>
      <c r="R38" s="48">
        <f t="shared" si="58"/>
        <v>-690000</v>
      </c>
      <c r="S38" s="185">
        <f>'Key financial and ops fig.s LCY'!S38*VLOOKUP(Assumptions!$D$7, Lists!$B$7:$C$10, 2, FALSE)*Assumptions!$D$10/VLOOKUP(Assumptions!$D$9, Lists!$B$7:$C$10, 2, FALSE)</f>
        <v>-210000</v>
      </c>
      <c r="T38" s="185">
        <f>'Key financial and ops fig.s LCY'!T38*VLOOKUP(Assumptions!$D$7, Lists!$B$7:$C$10, 2, FALSE)*Assumptions!$D$10/VLOOKUP(Assumptions!$D$9, Lists!$B$7:$C$10, 2, FALSE)</f>
        <v>-225000</v>
      </c>
      <c r="U38" s="185">
        <f>'Key financial and ops fig.s LCY'!U38*VLOOKUP(Assumptions!$D$7, Lists!$B$7:$C$10, 2, FALSE)*Assumptions!$D$10/VLOOKUP(Assumptions!$D$9, Lists!$B$7:$C$10, 2, FALSE)</f>
        <v>-240000</v>
      </c>
      <c r="V38" s="185">
        <f>'Key financial and ops fig.s LCY'!V38*VLOOKUP(Assumptions!$D$7, Lists!$B$7:$C$10, 2, FALSE)*Assumptions!$D$10/VLOOKUP(Assumptions!$D$9, Lists!$B$7:$C$10, 2, FALSE)</f>
        <v>-255000</v>
      </c>
      <c r="W38" s="48">
        <f t="shared" si="59"/>
        <v>-930000</v>
      </c>
      <c r="X38" s="185">
        <f>'Key financial and ops fig.s LCY'!X38*VLOOKUP(Assumptions!$D$7, Lists!$B$7:$C$10, 2, FALSE)*Assumptions!$D$10/VLOOKUP(Assumptions!$D$9, Lists!$B$7:$C$10, 2, FALSE)</f>
        <v>-270000</v>
      </c>
      <c r="Y38" s="185">
        <f>'Key financial and ops fig.s LCY'!Y38*VLOOKUP(Assumptions!$D$7, Lists!$B$7:$C$10, 2, FALSE)*Assumptions!$D$10/VLOOKUP(Assumptions!$D$9, Lists!$B$7:$C$10, 2, FALSE)</f>
        <v>-285000</v>
      </c>
      <c r="Z38" s="185">
        <f>'Key financial and ops fig.s LCY'!Z38*VLOOKUP(Assumptions!$D$7, Lists!$B$7:$C$10, 2, FALSE)*Assumptions!$D$10/VLOOKUP(Assumptions!$D$9, Lists!$B$7:$C$10, 2, FALSE)</f>
        <v>-300000</v>
      </c>
      <c r="AA38" s="185">
        <f>'Key financial and ops fig.s LCY'!AA38*VLOOKUP(Assumptions!$D$7, Lists!$B$7:$C$10, 2, FALSE)*Assumptions!$D$10/VLOOKUP(Assumptions!$D$9, Lists!$B$7:$C$10, 2, FALSE)</f>
        <v>-315000</v>
      </c>
      <c r="AB38" s="48">
        <f t="shared" si="60"/>
        <v>-1170000</v>
      </c>
      <c r="AC38" s="185">
        <f>'Key financial and ops fig.s LCY'!AC38*VLOOKUP(Assumptions!$D$7, Lists!$B$7:$C$10, 2, FALSE)*Assumptions!$D$10/VLOOKUP(Assumptions!$D$9, Lists!$B$7:$C$10, 2, FALSE)</f>
        <v>-315000</v>
      </c>
      <c r="AD38" s="185">
        <f>'Key financial and ops fig.s LCY'!AD38*VLOOKUP(Assumptions!$D$7, Lists!$B$7:$C$10, 2, FALSE)*Assumptions!$D$10/VLOOKUP(Assumptions!$D$9, Lists!$B$7:$C$10, 2, FALSE)</f>
        <v>-300000</v>
      </c>
      <c r="AE38" s="185">
        <f>'Key financial and ops fig.s LCY'!AE38*VLOOKUP(Assumptions!$D$7, Lists!$B$7:$C$10, 2, FALSE)*Assumptions!$D$10/VLOOKUP(Assumptions!$D$9, Lists!$B$7:$C$10, 2, FALSE)</f>
        <v>-300000</v>
      </c>
      <c r="AF38" s="185">
        <f>'Key financial and ops fig.s LCY'!AF38*VLOOKUP(Assumptions!$D$7, Lists!$B$7:$C$10, 2, FALSE)*Assumptions!$D$10/VLOOKUP(Assumptions!$D$9, Lists!$B$7:$C$10, 2, FALSE)</f>
        <v>-300000</v>
      </c>
      <c r="AG38" s="48">
        <f t="shared" si="61"/>
        <v>-1215000</v>
      </c>
      <c r="AH38" s="63">
        <f>'Key financial and ops fig.s LCY'!AH38*VLOOKUP(Assumptions!$D$7, Lists!$B$7:$C$10, 2, FALSE)*Assumptions!$D$10/VLOOKUP(Assumptions!$D$9, Lists!$B$7:$C$10, 2, FALSE)</f>
        <v>-300000</v>
      </c>
      <c r="AI38" s="64">
        <f>'Key financial and ops fig.s LCY'!AI38*VLOOKUP(Assumptions!$D$7, Lists!$B$7:$C$10, 2, FALSE)*Assumptions!$D$10/VLOOKUP(Assumptions!$D$9, Lists!$B$7:$C$10, 2, FALSE)</f>
        <v>-300000</v>
      </c>
      <c r="AJ38" s="64">
        <f>'Key financial and ops fig.s LCY'!AJ38*VLOOKUP(Assumptions!$D$7, Lists!$B$7:$C$10, 2, FALSE)*Assumptions!$D$10/VLOOKUP(Assumptions!$D$9, Lists!$B$7:$C$10, 2, FALSE)</f>
        <v>-300000</v>
      </c>
      <c r="AK38" s="108">
        <f>'Key financial and ops fig.s LCY'!AK38*VLOOKUP(Assumptions!$D$7, Lists!$B$7:$C$10, 2, FALSE)*Assumptions!$D$10/VLOOKUP(Assumptions!$D$9, Lists!$B$7:$C$10, 2, FALSE)</f>
        <v>-300000</v>
      </c>
      <c r="AL38" s="60">
        <f t="shared" si="62"/>
        <v>-1200000</v>
      </c>
    </row>
    <row r="39" spans="1:38" ht="15.95" outlineLevel="2">
      <c r="A39" s="31"/>
      <c r="C39" s="32" t="s">
        <v>280</v>
      </c>
      <c r="D39" s="185">
        <f>'Key financial and ops fig.s LCY'!D39*VLOOKUP(Assumptions!$D$7, Lists!$B$7:$C$10, 2, FALSE)*Assumptions!$D$10/VLOOKUP(Assumptions!$D$9, Lists!$B$7:$C$10, 2, FALSE)</f>
        <v>-3000</v>
      </c>
      <c r="E39" s="185">
        <f>'Key financial and ops fig.s LCY'!E39*VLOOKUP(Assumptions!$D$7, Lists!$B$7:$C$10, 2, FALSE)*Assumptions!$D$10/VLOOKUP(Assumptions!$D$9, Lists!$B$7:$C$10, 2, FALSE)</f>
        <v>-4500</v>
      </c>
      <c r="F39" s="185">
        <f>'Key financial and ops fig.s LCY'!F39*VLOOKUP(Assumptions!$D$7, Lists!$B$7:$C$10, 2, FALSE)*Assumptions!$D$10/VLOOKUP(Assumptions!$D$9, Lists!$B$7:$C$10, 2, FALSE)</f>
        <v>-6000</v>
      </c>
      <c r="G39" s="185">
        <f>'Key financial and ops fig.s LCY'!G39*VLOOKUP(Assumptions!$D$7, Lists!$B$7:$C$10, 2, FALSE)*Assumptions!$D$10/VLOOKUP(Assumptions!$D$9, Lists!$B$7:$C$10, 2, FALSE)</f>
        <v>-7500</v>
      </c>
      <c r="H39" s="60">
        <f t="shared" si="56"/>
        <v>-21000</v>
      </c>
      <c r="I39" s="185">
        <f>'Key financial and ops fig.s LCY'!I39*VLOOKUP(Assumptions!$D$7, Lists!$B$7:$C$10, 2, FALSE)*Assumptions!$D$10/VLOOKUP(Assumptions!$D$9, Lists!$B$7:$C$10, 2, FALSE)</f>
        <v>-9000</v>
      </c>
      <c r="J39" s="185">
        <f>'Key financial and ops fig.s LCY'!J39*VLOOKUP(Assumptions!$D$7, Lists!$B$7:$C$10, 2, FALSE)*Assumptions!$D$10/VLOOKUP(Assumptions!$D$9, Lists!$B$7:$C$10, 2, FALSE)</f>
        <v>-10500</v>
      </c>
      <c r="K39" s="185">
        <f>'Key financial and ops fig.s LCY'!K39*VLOOKUP(Assumptions!$D$7, Lists!$B$7:$C$10, 2, FALSE)*Assumptions!$D$10/VLOOKUP(Assumptions!$D$9, Lists!$B$7:$C$10, 2, FALSE)</f>
        <v>-12000</v>
      </c>
      <c r="L39" s="185">
        <f>'Key financial and ops fig.s LCY'!L39*VLOOKUP(Assumptions!$D$7, Lists!$B$7:$C$10, 2, FALSE)*Assumptions!$D$10/VLOOKUP(Assumptions!$D$9, Lists!$B$7:$C$10, 2, FALSE)</f>
        <v>-13500</v>
      </c>
      <c r="M39" s="48">
        <f t="shared" si="57"/>
        <v>-45000</v>
      </c>
      <c r="N39" s="185">
        <f>'Key financial and ops fig.s LCY'!N39*VLOOKUP(Assumptions!$D$7, Lists!$B$7:$C$10, 2, FALSE)*Assumptions!$D$10/VLOOKUP(Assumptions!$D$9, Lists!$B$7:$C$10, 2, FALSE)</f>
        <v>-15000</v>
      </c>
      <c r="O39" s="185">
        <f>'Key financial and ops fig.s LCY'!O39*VLOOKUP(Assumptions!$D$7, Lists!$B$7:$C$10, 2, FALSE)*Assumptions!$D$10/VLOOKUP(Assumptions!$D$9, Lists!$B$7:$C$10, 2, FALSE)</f>
        <v>-16500</v>
      </c>
      <c r="P39" s="185">
        <f>'Key financial and ops fig.s LCY'!P39*VLOOKUP(Assumptions!$D$7, Lists!$B$7:$C$10, 2, FALSE)*Assumptions!$D$10/VLOOKUP(Assumptions!$D$9, Lists!$B$7:$C$10, 2, FALSE)</f>
        <v>-18000</v>
      </c>
      <c r="Q39" s="185">
        <f>'Key financial and ops fig.s LCY'!Q39*VLOOKUP(Assumptions!$D$7, Lists!$B$7:$C$10, 2, FALSE)*Assumptions!$D$10/VLOOKUP(Assumptions!$D$9, Lists!$B$7:$C$10, 2, FALSE)</f>
        <v>-19500</v>
      </c>
      <c r="R39" s="48">
        <f t="shared" si="58"/>
        <v>-69000</v>
      </c>
      <c r="S39" s="185">
        <f>'Key financial and ops fig.s LCY'!S39*VLOOKUP(Assumptions!$D$7, Lists!$B$7:$C$10, 2, FALSE)*Assumptions!$D$10/VLOOKUP(Assumptions!$D$9, Lists!$B$7:$C$10, 2, FALSE)</f>
        <v>-21000</v>
      </c>
      <c r="T39" s="185">
        <f>'Key financial and ops fig.s LCY'!T39*VLOOKUP(Assumptions!$D$7, Lists!$B$7:$C$10, 2, FALSE)*Assumptions!$D$10/VLOOKUP(Assumptions!$D$9, Lists!$B$7:$C$10, 2, FALSE)</f>
        <v>-22500</v>
      </c>
      <c r="U39" s="185">
        <f>'Key financial and ops fig.s LCY'!U39*VLOOKUP(Assumptions!$D$7, Lists!$B$7:$C$10, 2, FALSE)*Assumptions!$D$10/VLOOKUP(Assumptions!$D$9, Lists!$B$7:$C$10, 2, FALSE)</f>
        <v>-24000</v>
      </c>
      <c r="V39" s="185">
        <f>'Key financial and ops fig.s LCY'!V39*VLOOKUP(Assumptions!$D$7, Lists!$B$7:$C$10, 2, FALSE)*Assumptions!$D$10/VLOOKUP(Assumptions!$D$9, Lists!$B$7:$C$10, 2, FALSE)</f>
        <v>-25500</v>
      </c>
      <c r="W39" s="48">
        <f t="shared" si="59"/>
        <v>-93000</v>
      </c>
      <c r="X39" s="185">
        <f>'Key financial and ops fig.s LCY'!X39*VLOOKUP(Assumptions!$D$7, Lists!$B$7:$C$10, 2, FALSE)*Assumptions!$D$10/VLOOKUP(Assumptions!$D$9, Lists!$B$7:$C$10, 2, FALSE)</f>
        <v>-27000</v>
      </c>
      <c r="Y39" s="185">
        <f>'Key financial and ops fig.s LCY'!Y39*VLOOKUP(Assumptions!$D$7, Lists!$B$7:$C$10, 2, FALSE)*Assumptions!$D$10/VLOOKUP(Assumptions!$D$9, Lists!$B$7:$C$10, 2, FALSE)</f>
        <v>-28500</v>
      </c>
      <c r="Z39" s="185">
        <f>'Key financial and ops fig.s LCY'!Z39*VLOOKUP(Assumptions!$D$7, Lists!$B$7:$C$10, 2, FALSE)*Assumptions!$D$10/VLOOKUP(Assumptions!$D$9, Lists!$B$7:$C$10, 2, FALSE)</f>
        <v>-30000</v>
      </c>
      <c r="AA39" s="185">
        <f>'Key financial and ops fig.s LCY'!AA39*VLOOKUP(Assumptions!$D$7, Lists!$B$7:$C$10, 2, FALSE)*Assumptions!$D$10/VLOOKUP(Assumptions!$D$9, Lists!$B$7:$C$10, 2, FALSE)</f>
        <v>-31500</v>
      </c>
      <c r="AB39" s="48">
        <f t="shared" si="60"/>
        <v>-117000</v>
      </c>
      <c r="AC39" s="185">
        <f>'Key financial and ops fig.s LCY'!AC39*VLOOKUP(Assumptions!$D$7, Lists!$B$7:$C$10, 2, FALSE)*Assumptions!$D$10/VLOOKUP(Assumptions!$D$9, Lists!$B$7:$C$10, 2, FALSE)</f>
        <v>-31500</v>
      </c>
      <c r="AD39" s="185">
        <f>'Key financial and ops fig.s LCY'!AD39*VLOOKUP(Assumptions!$D$7, Lists!$B$7:$C$10, 2, FALSE)*Assumptions!$D$10/VLOOKUP(Assumptions!$D$9, Lists!$B$7:$C$10, 2, FALSE)</f>
        <v>-30000</v>
      </c>
      <c r="AE39" s="185">
        <f>'Key financial and ops fig.s LCY'!AE39*VLOOKUP(Assumptions!$D$7, Lists!$B$7:$C$10, 2, FALSE)*Assumptions!$D$10/VLOOKUP(Assumptions!$D$9, Lists!$B$7:$C$10, 2, FALSE)</f>
        <v>-30000</v>
      </c>
      <c r="AF39" s="185">
        <f>'Key financial and ops fig.s LCY'!AF39*VLOOKUP(Assumptions!$D$7, Lists!$B$7:$C$10, 2, FALSE)*Assumptions!$D$10/VLOOKUP(Assumptions!$D$9, Lists!$B$7:$C$10, 2, FALSE)</f>
        <v>-30000</v>
      </c>
      <c r="AG39" s="48">
        <f t="shared" si="61"/>
        <v>-121500</v>
      </c>
      <c r="AH39" s="63">
        <f>'Key financial and ops fig.s LCY'!AH39*VLOOKUP(Assumptions!$D$7, Lists!$B$7:$C$10, 2, FALSE)*Assumptions!$D$10/VLOOKUP(Assumptions!$D$9, Lists!$B$7:$C$10, 2, FALSE)</f>
        <v>-30000</v>
      </c>
      <c r="AI39" s="64">
        <f>'Key financial and ops fig.s LCY'!AI39*VLOOKUP(Assumptions!$D$7, Lists!$B$7:$C$10, 2, FALSE)*Assumptions!$D$10/VLOOKUP(Assumptions!$D$9, Lists!$B$7:$C$10, 2, FALSE)</f>
        <v>-30000</v>
      </c>
      <c r="AJ39" s="64">
        <f>'Key financial and ops fig.s LCY'!AJ39*VLOOKUP(Assumptions!$D$7, Lists!$B$7:$C$10, 2, FALSE)*Assumptions!$D$10/VLOOKUP(Assumptions!$D$9, Lists!$B$7:$C$10, 2, FALSE)</f>
        <v>-30000</v>
      </c>
      <c r="AK39" s="108">
        <f>'Key financial and ops fig.s LCY'!AK39*VLOOKUP(Assumptions!$D$7, Lists!$B$7:$C$10, 2, FALSE)*Assumptions!$D$10/VLOOKUP(Assumptions!$D$9, Lists!$B$7:$C$10, 2, FALSE)</f>
        <v>-30000</v>
      </c>
      <c r="AL39" s="60">
        <f t="shared" si="62"/>
        <v>-120000</v>
      </c>
    </row>
    <row r="40" spans="1:38" ht="15.95" outlineLevel="2">
      <c r="A40" s="31"/>
      <c r="C40" s="32" t="s">
        <v>281</v>
      </c>
      <c r="D40" s="185">
        <f>'Key financial and ops fig.s LCY'!D40*VLOOKUP(Assumptions!$D$7, Lists!$B$7:$C$10, 2, FALSE)*Assumptions!$D$10/VLOOKUP(Assumptions!$D$9, Lists!$B$7:$C$10, 2, FALSE)</f>
        <v>-1247400</v>
      </c>
      <c r="E40" s="185">
        <f>'Key financial and ops fig.s LCY'!E40*VLOOKUP(Assumptions!$D$7, Lists!$B$7:$C$10, 2, FALSE)*Assumptions!$D$10/VLOOKUP(Assumptions!$D$9, Lists!$B$7:$C$10, 2, FALSE)</f>
        <v>-995640</v>
      </c>
      <c r="F40" s="185">
        <f>'Key financial and ops fig.s LCY'!F40*VLOOKUP(Assumptions!$D$7, Lists!$B$7:$C$10, 2, FALSE)*Assumptions!$D$10/VLOOKUP(Assumptions!$D$9, Lists!$B$7:$C$10, 2, FALSE)</f>
        <v>-815460</v>
      </c>
      <c r="G40" s="185">
        <f>'Key financial and ops fig.s LCY'!G40*VLOOKUP(Assumptions!$D$7, Lists!$B$7:$C$10, 2, FALSE)*Assumptions!$D$10/VLOOKUP(Assumptions!$D$9, Lists!$B$7:$C$10, 2, FALSE)</f>
        <v>-635280</v>
      </c>
      <c r="H40" s="60">
        <f t="shared" si="56"/>
        <v>-3693780</v>
      </c>
      <c r="I40" s="185">
        <f>'Key financial and ops fig.s LCY'!I40*VLOOKUP(Assumptions!$D$7, Lists!$B$7:$C$10, 2, FALSE)*Assumptions!$D$10/VLOOKUP(Assumptions!$D$9, Lists!$B$7:$C$10, 2, FALSE)</f>
        <v>-455100</v>
      </c>
      <c r="J40" s="185">
        <f>'Key financial and ops fig.s LCY'!J40*VLOOKUP(Assumptions!$D$7, Lists!$B$7:$C$10, 2, FALSE)*Assumptions!$D$10/VLOOKUP(Assumptions!$D$9, Lists!$B$7:$C$10, 2, FALSE)</f>
        <v>-274920.00000000006</v>
      </c>
      <c r="K40" s="185">
        <f>'Key financial and ops fig.s LCY'!K40*VLOOKUP(Assumptions!$D$7, Lists!$B$7:$C$10, 2, FALSE)*Assumptions!$D$10/VLOOKUP(Assumptions!$D$9, Lists!$B$7:$C$10, 2, FALSE)</f>
        <v>-94740.000000000058</v>
      </c>
      <c r="L40" s="185">
        <f>'Key financial and ops fig.s LCY'!L40*VLOOKUP(Assumptions!$D$7, Lists!$B$7:$C$10, 2, FALSE)*Assumptions!$D$10/VLOOKUP(Assumptions!$D$9, Lists!$B$7:$C$10, 2, FALSE)</f>
        <v>0</v>
      </c>
      <c r="M40" s="48">
        <f t="shared" si="57"/>
        <v>-824760</v>
      </c>
      <c r="N40" s="185">
        <f>'Key financial and ops fig.s LCY'!N40*VLOOKUP(Assumptions!$D$7, Lists!$B$7:$C$10, 2, FALSE)*Assumptions!$D$10/VLOOKUP(Assumptions!$D$9, Lists!$B$7:$C$10, 2, FALSE)</f>
        <v>0</v>
      </c>
      <c r="O40" s="185">
        <f>'Key financial and ops fig.s LCY'!O40*VLOOKUP(Assumptions!$D$7, Lists!$B$7:$C$10, 2, FALSE)*Assumptions!$D$10/VLOOKUP(Assumptions!$D$9, Lists!$B$7:$C$10, 2, FALSE)</f>
        <v>0</v>
      </c>
      <c r="P40" s="185">
        <f>'Key financial and ops fig.s LCY'!P40*VLOOKUP(Assumptions!$D$7, Lists!$B$7:$C$10, 2, FALSE)*Assumptions!$D$10/VLOOKUP(Assumptions!$D$9, Lists!$B$7:$C$10, 2, FALSE)</f>
        <v>0</v>
      </c>
      <c r="Q40" s="185">
        <f>'Key financial and ops fig.s LCY'!Q40*VLOOKUP(Assumptions!$D$7, Lists!$B$7:$C$10, 2, FALSE)*Assumptions!$D$10/VLOOKUP(Assumptions!$D$9, Lists!$B$7:$C$10, 2, FALSE)</f>
        <v>0</v>
      </c>
      <c r="R40" s="48">
        <f t="shared" si="58"/>
        <v>0</v>
      </c>
      <c r="S40" s="185">
        <f>'Key financial and ops fig.s LCY'!S40*VLOOKUP(Assumptions!$D$7, Lists!$B$7:$C$10, 2, FALSE)*Assumptions!$D$10/VLOOKUP(Assumptions!$D$9, Lists!$B$7:$C$10, 2, FALSE)</f>
        <v>0</v>
      </c>
      <c r="T40" s="185">
        <f>'Key financial and ops fig.s LCY'!T40*VLOOKUP(Assumptions!$D$7, Lists!$B$7:$C$10, 2, FALSE)*Assumptions!$D$10/VLOOKUP(Assumptions!$D$9, Lists!$B$7:$C$10, 2, FALSE)</f>
        <v>0</v>
      </c>
      <c r="U40" s="185">
        <f>'Key financial and ops fig.s LCY'!U40*VLOOKUP(Assumptions!$D$7, Lists!$B$7:$C$10, 2, FALSE)*Assumptions!$D$10/VLOOKUP(Assumptions!$D$9, Lists!$B$7:$C$10, 2, FALSE)</f>
        <v>0</v>
      </c>
      <c r="V40" s="185">
        <f>'Key financial and ops fig.s LCY'!V40*VLOOKUP(Assumptions!$D$7, Lists!$B$7:$C$10, 2, FALSE)*Assumptions!$D$10/VLOOKUP(Assumptions!$D$9, Lists!$B$7:$C$10, 2, FALSE)</f>
        <v>0</v>
      </c>
      <c r="W40" s="48">
        <f t="shared" si="59"/>
        <v>0</v>
      </c>
      <c r="X40" s="185">
        <f>'Key financial and ops fig.s LCY'!X40*VLOOKUP(Assumptions!$D$7, Lists!$B$7:$C$10, 2, FALSE)*Assumptions!$D$10/VLOOKUP(Assumptions!$D$9, Lists!$B$7:$C$10, 2, FALSE)</f>
        <v>0</v>
      </c>
      <c r="Y40" s="185">
        <f>'Key financial and ops fig.s LCY'!Y40*VLOOKUP(Assumptions!$D$7, Lists!$B$7:$C$10, 2, FALSE)*Assumptions!$D$10/VLOOKUP(Assumptions!$D$9, Lists!$B$7:$C$10, 2, FALSE)</f>
        <v>0</v>
      </c>
      <c r="Z40" s="185">
        <f>'Key financial and ops fig.s LCY'!Z40*VLOOKUP(Assumptions!$D$7, Lists!$B$7:$C$10, 2, FALSE)*Assumptions!$D$10/VLOOKUP(Assumptions!$D$9, Lists!$B$7:$C$10, 2, FALSE)</f>
        <v>0</v>
      </c>
      <c r="AA40" s="185">
        <f>'Key financial and ops fig.s LCY'!AA40*VLOOKUP(Assumptions!$D$7, Lists!$B$7:$C$10, 2, FALSE)*Assumptions!$D$10/VLOOKUP(Assumptions!$D$9, Lists!$B$7:$C$10, 2, FALSE)</f>
        <v>0</v>
      </c>
      <c r="AB40" s="48">
        <f t="shared" si="60"/>
        <v>0</v>
      </c>
      <c r="AC40" s="185">
        <f>'Key financial and ops fig.s LCY'!AC40*VLOOKUP(Assumptions!$D$7, Lists!$B$7:$C$10, 2, FALSE)*Assumptions!$D$10/VLOOKUP(Assumptions!$D$9, Lists!$B$7:$C$10, 2, FALSE)</f>
        <v>0</v>
      </c>
      <c r="AD40" s="185">
        <f>'Key financial and ops fig.s LCY'!AD40*VLOOKUP(Assumptions!$D$7, Lists!$B$7:$C$10, 2, FALSE)*Assumptions!$D$10/VLOOKUP(Assumptions!$D$9, Lists!$B$7:$C$10, 2, FALSE)</f>
        <v>0</v>
      </c>
      <c r="AE40" s="185">
        <f>'Key financial and ops fig.s LCY'!AE40*VLOOKUP(Assumptions!$D$7, Lists!$B$7:$C$10, 2, FALSE)*Assumptions!$D$10/VLOOKUP(Assumptions!$D$9, Lists!$B$7:$C$10, 2, FALSE)</f>
        <v>0</v>
      </c>
      <c r="AF40" s="185">
        <f>'Key financial and ops fig.s LCY'!AF40*VLOOKUP(Assumptions!$D$7, Lists!$B$7:$C$10, 2, FALSE)*Assumptions!$D$10/VLOOKUP(Assumptions!$D$9, Lists!$B$7:$C$10, 2, FALSE)</f>
        <v>0</v>
      </c>
      <c r="AG40" s="48">
        <f t="shared" si="61"/>
        <v>0</v>
      </c>
      <c r="AH40" s="63">
        <f>'Key financial and ops fig.s LCY'!AH40*VLOOKUP(Assumptions!$D$7, Lists!$B$7:$C$10, 2, FALSE)*Assumptions!$D$10/VLOOKUP(Assumptions!$D$9, Lists!$B$7:$C$10, 2, FALSE)</f>
        <v>0</v>
      </c>
      <c r="AI40" s="64">
        <f>'Key financial and ops fig.s LCY'!AI40*VLOOKUP(Assumptions!$D$7, Lists!$B$7:$C$10, 2, FALSE)*Assumptions!$D$10/VLOOKUP(Assumptions!$D$9, Lists!$B$7:$C$10, 2, FALSE)</f>
        <v>0</v>
      </c>
      <c r="AJ40" s="64">
        <f>'Key financial and ops fig.s LCY'!AJ40*VLOOKUP(Assumptions!$D$7, Lists!$B$7:$C$10, 2, FALSE)*Assumptions!$D$10/VLOOKUP(Assumptions!$D$9, Lists!$B$7:$C$10, 2, FALSE)</f>
        <v>0</v>
      </c>
      <c r="AK40" s="108">
        <f>'Key financial and ops fig.s LCY'!AK40*VLOOKUP(Assumptions!$D$7, Lists!$B$7:$C$10, 2, FALSE)*Assumptions!$D$10/VLOOKUP(Assumptions!$D$9, Lists!$B$7:$C$10, 2, FALSE)</f>
        <v>0</v>
      </c>
      <c r="AL40" s="60">
        <f t="shared" si="62"/>
        <v>0</v>
      </c>
    </row>
    <row r="41" spans="1:38" ht="15.95" outlineLevel="2">
      <c r="A41" s="31"/>
      <c r="C41" s="32" t="s">
        <v>282</v>
      </c>
      <c r="D41" s="185">
        <f>'Key financial and ops fig.s LCY'!D41*VLOOKUP(Assumptions!$D$7, Lists!$B$7:$C$10, 2, FALSE)*Assumptions!$D$10/VLOOKUP(Assumptions!$D$9, Lists!$B$7:$C$10, 2, FALSE)</f>
        <v>-55440</v>
      </c>
      <c r="E41" s="185">
        <f>'Key financial and ops fig.s LCY'!E41*VLOOKUP(Assumptions!$D$7, Lists!$B$7:$C$10, 2, FALSE)*Assumptions!$D$10/VLOOKUP(Assumptions!$D$9, Lists!$B$7:$C$10, 2, FALSE)</f>
        <v>-74400</v>
      </c>
      <c r="F41" s="185">
        <f>'Key financial and ops fig.s LCY'!F41*VLOOKUP(Assumptions!$D$7, Lists!$B$7:$C$10, 2, FALSE)*Assumptions!$D$10/VLOOKUP(Assumptions!$D$9, Lists!$B$7:$C$10, 2, FALSE)</f>
        <v>-74400</v>
      </c>
      <c r="G41" s="185">
        <f>'Key financial and ops fig.s LCY'!G41*VLOOKUP(Assumptions!$D$7, Lists!$B$7:$C$10, 2, FALSE)*Assumptions!$D$10/VLOOKUP(Assumptions!$D$9, Lists!$B$7:$C$10, 2, FALSE)</f>
        <v>-74400</v>
      </c>
      <c r="H41" s="60">
        <f t="shared" si="56"/>
        <v>-278640</v>
      </c>
      <c r="I41" s="185">
        <f>'Key financial and ops fig.s LCY'!I41*VLOOKUP(Assumptions!$D$7, Lists!$B$7:$C$10, 2, FALSE)*Assumptions!$D$10/VLOOKUP(Assumptions!$D$9, Lists!$B$7:$C$10, 2, FALSE)</f>
        <v>-74400</v>
      </c>
      <c r="J41" s="185">
        <f>'Key financial and ops fig.s LCY'!J41*VLOOKUP(Assumptions!$D$7, Lists!$B$7:$C$10, 2, FALSE)*Assumptions!$D$10/VLOOKUP(Assumptions!$D$9, Lists!$B$7:$C$10, 2, FALSE)</f>
        <v>-74400</v>
      </c>
      <c r="K41" s="185">
        <f>'Key financial and ops fig.s LCY'!K41*VLOOKUP(Assumptions!$D$7, Lists!$B$7:$C$10, 2, FALSE)*Assumptions!$D$10/VLOOKUP(Assumptions!$D$9, Lists!$B$7:$C$10, 2, FALSE)</f>
        <v>-74400</v>
      </c>
      <c r="L41" s="185">
        <f>'Key financial and ops fig.s LCY'!L41*VLOOKUP(Assumptions!$D$7, Lists!$B$7:$C$10, 2, FALSE)*Assumptions!$D$10/VLOOKUP(Assumptions!$D$9, Lists!$B$7:$C$10, 2, FALSE)</f>
        <v>-74400</v>
      </c>
      <c r="M41" s="48">
        <f t="shared" si="57"/>
        <v>-297600</v>
      </c>
      <c r="N41" s="185">
        <f>'Key financial and ops fig.s LCY'!N41*VLOOKUP(Assumptions!$D$7, Lists!$B$7:$C$10, 2, FALSE)*Assumptions!$D$10/VLOOKUP(Assumptions!$D$9, Lists!$B$7:$C$10, 2, FALSE)</f>
        <v>-74400</v>
      </c>
      <c r="O41" s="185">
        <f>'Key financial and ops fig.s LCY'!O41*VLOOKUP(Assumptions!$D$7, Lists!$B$7:$C$10, 2, FALSE)*Assumptions!$D$10/VLOOKUP(Assumptions!$D$9, Lists!$B$7:$C$10, 2, FALSE)</f>
        <v>-74400</v>
      </c>
      <c r="P41" s="185">
        <f>'Key financial and ops fig.s LCY'!P41*VLOOKUP(Assumptions!$D$7, Lists!$B$7:$C$10, 2, FALSE)*Assumptions!$D$10/VLOOKUP(Assumptions!$D$9, Lists!$B$7:$C$10, 2, FALSE)</f>
        <v>-74400</v>
      </c>
      <c r="Q41" s="185">
        <f>'Key financial and ops fig.s LCY'!Q41*VLOOKUP(Assumptions!$D$7, Lists!$B$7:$C$10, 2, FALSE)*Assumptions!$D$10/VLOOKUP(Assumptions!$D$9, Lists!$B$7:$C$10, 2, FALSE)</f>
        <v>-74400</v>
      </c>
      <c r="R41" s="48">
        <f t="shared" si="58"/>
        <v>-297600</v>
      </c>
      <c r="S41" s="185">
        <f>'Key financial and ops fig.s LCY'!S41*VLOOKUP(Assumptions!$D$7, Lists!$B$7:$C$10, 2, FALSE)*Assumptions!$D$10/VLOOKUP(Assumptions!$D$9, Lists!$B$7:$C$10, 2, FALSE)</f>
        <v>-74400</v>
      </c>
      <c r="T41" s="185">
        <f>'Key financial and ops fig.s LCY'!T41*VLOOKUP(Assumptions!$D$7, Lists!$B$7:$C$10, 2, FALSE)*Assumptions!$D$10/VLOOKUP(Assumptions!$D$9, Lists!$B$7:$C$10, 2, FALSE)</f>
        <v>-74400</v>
      </c>
      <c r="U41" s="185">
        <f>'Key financial and ops fig.s LCY'!U41*VLOOKUP(Assumptions!$D$7, Lists!$B$7:$C$10, 2, FALSE)*Assumptions!$D$10/VLOOKUP(Assumptions!$D$9, Lists!$B$7:$C$10, 2, FALSE)</f>
        <v>-74400</v>
      </c>
      <c r="V41" s="185">
        <f>'Key financial and ops fig.s LCY'!V41*VLOOKUP(Assumptions!$D$7, Lists!$B$7:$C$10, 2, FALSE)*Assumptions!$D$10/VLOOKUP(Assumptions!$D$9, Lists!$B$7:$C$10, 2, FALSE)</f>
        <v>-74400</v>
      </c>
      <c r="W41" s="48">
        <f t="shared" si="59"/>
        <v>-297600</v>
      </c>
      <c r="X41" s="185">
        <f>'Key financial and ops fig.s LCY'!X41*VLOOKUP(Assumptions!$D$7, Lists!$B$7:$C$10, 2, FALSE)*Assumptions!$D$10/VLOOKUP(Assumptions!$D$9, Lists!$B$7:$C$10, 2, FALSE)</f>
        <v>-74400</v>
      </c>
      <c r="Y41" s="185">
        <f>'Key financial and ops fig.s LCY'!Y41*VLOOKUP(Assumptions!$D$7, Lists!$B$7:$C$10, 2, FALSE)*Assumptions!$D$10/VLOOKUP(Assumptions!$D$9, Lists!$B$7:$C$10, 2, FALSE)</f>
        <v>-74400</v>
      </c>
      <c r="Z41" s="185">
        <f>'Key financial and ops fig.s LCY'!Z41*VLOOKUP(Assumptions!$D$7, Lists!$B$7:$C$10, 2, FALSE)*Assumptions!$D$10/VLOOKUP(Assumptions!$D$9, Lists!$B$7:$C$10, 2, FALSE)</f>
        <v>-74400</v>
      </c>
      <c r="AA41" s="185">
        <f>'Key financial and ops fig.s LCY'!AA41*VLOOKUP(Assumptions!$D$7, Lists!$B$7:$C$10, 2, FALSE)*Assumptions!$D$10/VLOOKUP(Assumptions!$D$9, Lists!$B$7:$C$10, 2, FALSE)</f>
        <v>-74400</v>
      </c>
      <c r="AB41" s="48">
        <f t="shared" si="60"/>
        <v>-297600</v>
      </c>
      <c r="AC41" s="185">
        <f>'Key financial and ops fig.s LCY'!AC41*VLOOKUP(Assumptions!$D$7, Lists!$B$7:$C$10, 2, FALSE)*Assumptions!$D$10/VLOOKUP(Assumptions!$D$9, Lists!$B$7:$C$10, 2, FALSE)</f>
        <v>0</v>
      </c>
      <c r="AD41" s="185">
        <f>'Key financial and ops fig.s LCY'!AD41*VLOOKUP(Assumptions!$D$7, Lists!$B$7:$C$10, 2, FALSE)*Assumptions!$D$10/VLOOKUP(Assumptions!$D$9, Lists!$B$7:$C$10, 2, FALSE)</f>
        <v>0</v>
      </c>
      <c r="AE41" s="185">
        <f>'Key financial and ops fig.s LCY'!AE41*VLOOKUP(Assumptions!$D$7, Lists!$B$7:$C$10, 2, FALSE)*Assumptions!$D$10/VLOOKUP(Assumptions!$D$9, Lists!$B$7:$C$10, 2, FALSE)</f>
        <v>0</v>
      </c>
      <c r="AF41" s="185">
        <f>'Key financial and ops fig.s LCY'!AF41*VLOOKUP(Assumptions!$D$7, Lists!$B$7:$C$10, 2, FALSE)*Assumptions!$D$10/VLOOKUP(Assumptions!$D$9, Lists!$B$7:$C$10, 2, FALSE)</f>
        <v>0</v>
      </c>
      <c r="AG41" s="48">
        <f t="shared" si="61"/>
        <v>0</v>
      </c>
      <c r="AH41" s="63">
        <f>'Key financial and ops fig.s LCY'!AH41*VLOOKUP(Assumptions!$D$7, Lists!$B$7:$C$10, 2, FALSE)*Assumptions!$D$10/VLOOKUP(Assumptions!$D$9, Lists!$B$7:$C$10, 2, FALSE)</f>
        <v>0</v>
      </c>
      <c r="AI41" s="64">
        <f>'Key financial and ops fig.s LCY'!AI41*VLOOKUP(Assumptions!$D$7, Lists!$B$7:$C$10, 2, FALSE)*Assumptions!$D$10/VLOOKUP(Assumptions!$D$9, Lists!$B$7:$C$10, 2, FALSE)</f>
        <v>0</v>
      </c>
      <c r="AJ41" s="64">
        <f>'Key financial and ops fig.s LCY'!AJ41*VLOOKUP(Assumptions!$D$7, Lists!$B$7:$C$10, 2, FALSE)*Assumptions!$D$10/VLOOKUP(Assumptions!$D$9, Lists!$B$7:$C$10, 2, FALSE)</f>
        <v>0</v>
      </c>
      <c r="AK41" s="108">
        <f>'Key financial and ops fig.s LCY'!AK41*VLOOKUP(Assumptions!$D$7, Lists!$B$7:$C$10, 2, FALSE)*Assumptions!$D$10/VLOOKUP(Assumptions!$D$9, Lists!$B$7:$C$10, 2, FALSE)</f>
        <v>0</v>
      </c>
      <c r="AL41" s="60">
        <f t="shared" si="62"/>
        <v>0</v>
      </c>
    </row>
    <row r="42" spans="1:38" ht="15.95" outlineLevel="2">
      <c r="A42" s="31"/>
      <c r="C42" s="32" t="s">
        <v>283</v>
      </c>
      <c r="D42" s="185">
        <f>'Key financial and ops fig.s LCY'!D42*VLOOKUP(Assumptions!$D$7, Lists!$B$7:$C$10, 2, FALSE)*Assumptions!$D$10/VLOOKUP(Assumptions!$D$9, Lists!$B$7:$C$10, 2, FALSE)</f>
        <v>-13773.375</v>
      </c>
      <c r="E42" s="185">
        <f>'Key financial and ops fig.s LCY'!E42*VLOOKUP(Assumptions!$D$7, Lists!$B$7:$C$10, 2, FALSE)*Assumptions!$D$10/VLOOKUP(Assumptions!$D$9, Lists!$B$7:$C$10, 2, FALSE)</f>
        <v>-27373.5</v>
      </c>
      <c r="F42" s="185">
        <f>'Key financial and ops fig.s LCY'!F42*VLOOKUP(Assumptions!$D$7, Lists!$B$7:$C$10, 2, FALSE)*Assumptions!$D$10/VLOOKUP(Assumptions!$D$9, Lists!$B$7:$C$10, 2, FALSE)</f>
        <v>-40800.375</v>
      </c>
      <c r="G42" s="185">
        <f>'Key financial and ops fig.s LCY'!G42*VLOOKUP(Assumptions!$D$7, Lists!$B$7:$C$10, 2, FALSE)*Assumptions!$D$10/VLOOKUP(Assumptions!$D$9, Lists!$B$7:$C$10, 2, FALSE)</f>
        <v>-54054</v>
      </c>
      <c r="H42" s="60">
        <f t="shared" si="56"/>
        <v>-136001.25</v>
      </c>
      <c r="I42" s="185">
        <f>'Key financial and ops fig.s LCY'!I42*VLOOKUP(Assumptions!$D$7, Lists!$B$7:$C$10, 2, FALSE)*Assumptions!$D$10/VLOOKUP(Assumptions!$D$9, Lists!$B$7:$C$10, 2, FALSE)</f>
        <v>-67134.375</v>
      </c>
      <c r="J42" s="185">
        <f>'Key financial and ops fig.s LCY'!J42*VLOOKUP(Assumptions!$D$7, Lists!$B$7:$C$10, 2, FALSE)*Assumptions!$D$10/VLOOKUP(Assumptions!$D$9, Lists!$B$7:$C$10, 2, FALSE)</f>
        <v>-80041.5</v>
      </c>
      <c r="K42" s="185">
        <f>'Key financial and ops fig.s LCY'!K42*VLOOKUP(Assumptions!$D$7, Lists!$B$7:$C$10, 2, FALSE)*Assumptions!$D$10/VLOOKUP(Assumptions!$D$9, Lists!$B$7:$C$10, 2, FALSE)</f>
        <v>-92775.375000000015</v>
      </c>
      <c r="L42" s="185">
        <f>'Key financial and ops fig.s LCY'!L42*VLOOKUP(Assumptions!$D$7, Lists!$B$7:$C$10, 2, FALSE)*Assumptions!$D$10/VLOOKUP(Assumptions!$D$9, Lists!$B$7:$C$10, 2, FALSE)</f>
        <v>-105336</v>
      </c>
      <c r="M42" s="48">
        <f t="shared" si="57"/>
        <v>-345287.25</v>
      </c>
      <c r="N42" s="185">
        <f>'Key financial and ops fig.s LCY'!N42*VLOOKUP(Assumptions!$D$7, Lists!$B$7:$C$10, 2, FALSE)*Assumptions!$D$10/VLOOKUP(Assumptions!$D$9, Lists!$B$7:$C$10, 2, FALSE)</f>
        <v>-117723.375</v>
      </c>
      <c r="O42" s="185">
        <f>'Key financial and ops fig.s LCY'!O42*VLOOKUP(Assumptions!$D$7, Lists!$B$7:$C$10, 2, FALSE)*Assumptions!$D$10/VLOOKUP(Assumptions!$D$9, Lists!$B$7:$C$10, 2, FALSE)</f>
        <v>-129937.5</v>
      </c>
      <c r="P42" s="185">
        <f>'Key financial and ops fig.s LCY'!P42*VLOOKUP(Assumptions!$D$7, Lists!$B$7:$C$10, 2, FALSE)*Assumptions!$D$10/VLOOKUP(Assumptions!$D$9, Lists!$B$7:$C$10, 2, FALSE)</f>
        <v>-141978.375</v>
      </c>
      <c r="Q42" s="185">
        <f>'Key financial and ops fig.s LCY'!Q42*VLOOKUP(Assumptions!$D$7, Lists!$B$7:$C$10, 2, FALSE)*Assumptions!$D$10/VLOOKUP(Assumptions!$D$9, Lists!$B$7:$C$10, 2, FALSE)</f>
        <v>-153846.00000000003</v>
      </c>
      <c r="R42" s="48">
        <f t="shared" si="58"/>
        <v>-543485.25</v>
      </c>
      <c r="S42" s="185">
        <f>'Key financial and ops fig.s LCY'!S42*VLOOKUP(Assumptions!$D$7, Lists!$B$7:$C$10, 2, FALSE)*Assumptions!$D$10/VLOOKUP(Assumptions!$D$9, Lists!$B$7:$C$10, 2, FALSE)</f>
        <v>-165540.375</v>
      </c>
      <c r="T42" s="185">
        <f>'Key financial and ops fig.s LCY'!T42*VLOOKUP(Assumptions!$D$7, Lists!$B$7:$C$10, 2, FALSE)*Assumptions!$D$10/VLOOKUP(Assumptions!$D$9, Lists!$B$7:$C$10, 2, FALSE)</f>
        <v>-177061.50000000003</v>
      </c>
      <c r="U42" s="185">
        <f>'Key financial and ops fig.s LCY'!U42*VLOOKUP(Assumptions!$D$7, Lists!$B$7:$C$10, 2, FALSE)*Assumptions!$D$10/VLOOKUP(Assumptions!$D$9, Lists!$B$7:$C$10, 2, FALSE)</f>
        <v>-188409.375</v>
      </c>
      <c r="V42" s="185">
        <f>'Key financial and ops fig.s LCY'!V42*VLOOKUP(Assumptions!$D$7, Lists!$B$7:$C$10, 2, FALSE)*Assumptions!$D$10/VLOOKUP(Assumptions!$D$9, Lists!$B$7:$C$10, 2, FALSE)</f>
        <v>-199584</v>
      </c>
      <c r="W42" s="48">
        <f t="shared" si="59"/>
        <v>-730595.25</v>
      </c>
      <c r="X42" s="185">
        <f>'Key financial and ops fig.s LCY'!X42*VLOOKUP(Assumptions!$D$7, Lists!$B$7:$C$10, 2, FALSE)*Assumptions!$D$10/VLOOKUP(Assumptions!$D$9, Lists!$B$7:$C$10, 2, FALSE)</f>
        <v>-210585.375</v>
      </c>
      <c r="Y42" s="185">
        <f>'Key financial and ops fig.s LCY'!Y42*VLOOKUP(Assumptions!$D$7, Lists!$B$7:$C$10, 2, FALSE)*Assumptions!$D$10/VLOOKUP(Assumptions!$D$9, Lists!$B$7:$C$10, 2, FALSE)</f>
        <v>-221413.5</v>
      </c>
      <c r="Z42" s="185">
        <f>'Key financial and ops fig.s LCY'!Z42*VLOOKUP(Assumptions!$D$7, Lists!$B$7:$C$10, 2, FALSE)*Assumptions!$D$10/VLOOKUP(Assumptions!$D$9, Lists!$B$7:$C$10, 2, FALSE)</f>
        <v>-232068.375</v>
      </c>
      <c r="AA42" s="185">
        <f>'Key financial and ops fig.s LCY'!AA42*VLOOKUP(Assumptions!$D$7, Lists!$B$7:$C$10, 2, FALSE)*Assumptions!$D$10/VLOOKUP(Assumptions!$D$9, Lists!$B$7:$C$10, 2, FALSE)</f>
        <v>-242550</v>
      </c>
      <c r="AB42" s="48">
        <f t="shared" si="60"/>
        <v>-906617.25</v>
      </c>
      <c r="AC42" s="185">
        <f>'Key financial and ops fig.s LCY'!AC42*VLOOKUP(Assumptions!$D$7, Lists!$B$7:$C$10, 2, FALSE)*Assumptions!$D$10/VLOOKUP(Assumptions!$D$9, Lists!$B$7:$C$10, 2, FALSE)</f>
        <v>-240817.5</v>
      </c>
      <c r="AD42" s="185">
        <f>'Key financial and ops fig.s LCY'!AD42*VLOOKUP(Assumptions!$D$7, Lists!$B$7:$C$10, 2, FALSE)*Assumptions!$D$10/VLOOKUP(Assumptions!$D$9, Lists!$B$7:$C$10, 2, FALSE)</f>
        <v>-239085</v>
      </c>
      <c r="AE42" s="185">
        <f>'Key financial and ops fig.s LCY'!AE42*VLOOKUP(Assumptions!$D$7, Lists!$B$7:$C$10, 2, FALSE)*Assumptions!$D$10/VLOOKUP(Assumptions!$D$9, Lists!$B$7:$C$10, 2, FALSE)</f>
        <v>-237352.5</v>
      </c>
      <c r="AF42" s="185">
        <f>'Key financial and ops fig.s LCY'!AF42*VLOOKUP(Assumptions!$D$7, Lists!$B$7:$C$10, 2, FALSE)*Assumptions!$D$10/VLOOKUP(Assumptions!$D$9, Lists!$B$7:$C$10, 2, FALSE)</f>
        <v>-235620</v>
      </c>
      <c r="AG42" s="48">
        <f t="shared" si="61"/>
        <v>-952875</v>
      </c>
      <c r="AH42" s="63">
        <f>'Key financial and ops fig.s LCY'!AH42*VLOOKUP(Assumptions!$D$7, Lists!$B$7:$C$10, 2, FALSE)*Assumptions!$D$10/VLOOKUP(Assumptions!$D$9, Lists!$B$7:$C$10, 2, FALSE)</f>
        <v>-233887.5</v>
      </c>
      <c r="AI42" s="64">
        <f>'Key financial and ops fig.s LCY'!AI42*VLOOKUP(Assumptions!$D$7, Lists!$B$7:$C$10, 2, FALSE)*Assumptions!$D$10/VLOOKUP(Assumptions!$D$9, Lists!$B$7:$C$10, 2, FALSE)</f>
        <v>-232155</v>
      </c>
      <c r="AJ42" s="64">
        <f>'Key financial and ops fig.s LCY'!AJ42*VLOOKUP(Assumptions!$D$7, Lists!$B$7:$C$10, 2, FALSE)*Assumptions!$D$10/VLOOKUP(Assumptions!$D$9, Lists!$B$7:$C$10, 2, FALSE)</f>
        <v>-230422.5</v>
      </c>
      <c r="AK42" s="108">
        <f>'Key financial and ops fig.s LCY'!AK42*VLOOKUP(Assumptions!$D$7, Lists!$B$7:$C$10, 2, FALSE)*Assumptions!$D$10/VLOOKUP(Assumptions!$D$9, Lists!$B$7:$C$10, 2, FALSE)</f>
        <v>-228690</v>
      </c>
      <c r="AL42" s="60">
        <f t="shared" si="62"/>
        <v>-925155</v>
      </c>
    </row>
    <row r="43" spans="1:38" ht="15.95" outlineLevel="2">
      <c r="A43" s="31"/>
      <c r="C43" s="32" t="s">
        <v>284</v>
      </c>
      <c r="D43" s="185">
        <f>'Key financial and ops fig.s LCY'!D43*VLOOKUP(Assumptions!$D$7, Lists!$B$7:$C$10, 2, FALSE)*Assumptions!$D$10/VLOOKUP(Assumptions!$D$9, Lists!$B$7:$C$10, 2, FALSE)</f>
        <v>-150000</v>
      </c>
      <c r="E43" s="185">
        <f>'Key financial and ops fig.s LCY'!E43*VLOOKUP(Assumptions!$D$7, Lists!$B$7:$C$10, 2, FALSE)*Assumptions!$D$10/VLOOKUP(Assumptions!$D$9, Lists!$B$7:$C$10, 2, FALSE)</f>
        <v>-150000</v>
      </c>
      <c r="F43" s="185">
        <f>'Key financial and ops fig.s LCY'!F43*VLOOKUP(Assumptions!$D$7, Lists!$B$7:$C$10, 2, FALSE)*Assumptions!$D$10/VLOOKUP(Assumptions!$D$9, Lists!$B$7:$C$10, 2, FALSE)</f>
        <v>-150000</v>
      </c>
      <c r="G43" s="185">
        <f>'Key financial and ops fig.s LCY'!G43*VLOOKUP(Assumptions!$D$7, Lists!$B$7:$C$10, 2, FALSE)*Assumptions!$D$10/VLOOKUP(Assumptions!$D$9, Lists!$B$7:$C$10, 2, FALSE)</f>
        <v>-150000</v>
      </c>
      <c r="H43" s="60">
        <f t="shared" si="56"/>
        <v>-600000</v>
      </c>
      <c r="I43" s="185">
        <f>'Key financial and ops fig.s LCY'!I43*VLOOKUP(Assumptions!$D$7, Lists!$B$7:$C$10, 2, FALSE)*Assumptions!$D$10/VLOOKUP(Assumptions!$D$9, Lists!$B$7:$C$10, 2, FALSE)</f>
        <v>-150000</v>
      </c>
      <c r="J43" s="185">
        <f>'Key financial and ops fig.s LCY'!J43*VLOOKUP(Assumptions!$D$7, Lists!$B$7:$C$10, 2, FALSE)*Assumptions!$D$10/VLOOKUP(Assumptions!$D$9, Lists!$B$7:$C$10, 2, FALSE)</f>
        <v>-150000</v>
      </c>
      <c r="K43" s="185">
        <f>'Key financial and ops fig.s LCY'!K43*VLOOKUP(Assumptions!$D$7, Lists!$B$7:$C$10, 2, FALSE)*Assumptions!$D$10/VLOOKUP(Assumptions!$D$9, Lists!$B$7:$C$10, 2, FALSE)</f>
        <v>-150000</v>
      </c>
      <c r="L43" s="185">
        <f>'Key financial and ops fig.s LCY'!L43*VLOOKUP(Assumptions!$D$7, Lists!$B$7:$C$10, 2, FALSE)*Assumptions!$D$10/VLOOKUP(Assumptions!$D$9, Lists!$B$7:$C$10, 2, FALSE)</f>
        <v>-150000</v>
      </c>
      <c r="M43" s="48">
        <f t="shared" si="57"/>
        <v>-600000</v>
      </c>
      <c r="N43" s="185">
        <f>'Key financial and ops fig.s LCY'!N43*VLOOKUP(Assumptions!$D$7, Lists!$B$7:$C$10, 2, FALSE)*Assumptions!$D$10/VLOOKUP(Assumptions!$D$9, Lists!$B$7:$C$10, 2, FALSE)</f>
        <v>-150000</v>
      </c>
      <c r="O43" s="185">
        <f>'Key financial and ops fig.s LCY'!O43*VLOOKUP(Assumptions!$D$7, Lists!$B$7:$C$10, 2, FALSE)*Assumptions!$D$10/VLOOKUP(Assumptions!$D$9, Lists!$B$7:$C$10, 2, FALSE)</f>
        <v>-150000</v>
      </c>
      <c r="P43" s="185">
        <f>'Key financial and ops fig.s LCY'!P43*VLOOKUP(Assumptions!$D$7, Lists!$B$7:$C$10, 2, FALSE)*Assumptions!$D$10/VLOOKUP(Assumptions!$D$9, Lists!$B$7:$C$10, 2, FALSE)</f>
        <v>-150000</v>
      </c>
      <c r="Q43" s="185">
        <f>'Key financial and ops fig.s LCY'!Q43*VLOOKUP(Assumptions!$D$7, Lists!$B$7:$C$10, 2, FALSE)*Assumptions!$D$10/VLOOKUP(Assumptions!$D$9, Lists!$B$7:$C$10, 2, FALSE)</f>
        <v>-150000</v>
      </c>
      <c r="R43" s="48">
        <f t="shared" si="58"/>
        <v>-600000</v>
      </c>
      <c r="S43" s="185">
        <f>'Key financial and ops fig.s LCY'!S43*VLOOKUP(Assumptions!$D$7, Lists!$B$7:$C$10, 2, FALSE)*Assumptions!$D$10/VLOOKUP(Assumptions!$D$9, Lists!$B$7:$C$10, 2, FALSE)</f>
        <v>-150000</v>
      </c>
      <c r="T43" s="185">
        <f>'Key financial and ops fig.s LCY'!T43*VLOOKUP(Assumptions!$D$7, Lists!$B$7:$C$10, 2, FALSE)*Assumptions!$D$10/VLOOKUP(Assumptions!$D$9, Lists!$B$7:$C$10, 2, FALSE)</f>
        <v>-150000</v>
      </c>
      <c r="U43" s="185">
        <f>'Key financial and ops fig.s LCY'!U43*VLOOKUP(Assumptions!$D$7, Lists!$B$7:$C$10, 2, FALSE)*Assumptions!$D$10/VLOOKUP(Assumptions!$D$9, Lists!$B$7:$C$10, 2, FALSE)</f>
        <v>-150000</v>
      </c>
      <c r="V43" s="185">
        <f>'Key financial and ops fig.s LCY'!V43*VLOOKUP(Assumptions!$D$7, Lists!$B$7:$C$10, 2, FALSE)*Assumptions!$D$10/VLOOKUP(Assumptions!$D$9, Lists!$B$7:$C$10, 2, FALSE)</f>
        <v>-150000</v>
      </c>
      <c r="W43" s="48">
        <f t="shared" si="59"/>
        <v>-600000</v>
      </c>
      <c r="X43" s="185">
        <f>'Key financial and ops fig.s LCY'!X43*VLOOKUP(Assumptions!$D$7, Lists!$B$7:$C$10, 2, FALSE)*Assumptions!$D$10/VLOOKUP(Assumptions!$D$9, Lists!$B$7:$C$10, 2, FALSE)</f>
        <v>-150000</v>
      </c>
      <c r="Y43" s="185">
        <f>'Key financial and ops fig.s LCY'!Y43*VLOOKUP(Assumptions!$D$7, Lists!$B$7:$C$10, 2, FALSE)*Assumptions!$D$10/VLOOKUP(Assumptions!$D$9, Lists!$B$7:$C$10, 2, FALSE)</f>
        <v>-150000</v>
      </c>
      <c r="Z43" s="185">
        <f>'Key financial and ops fig.s LCY'!Z43*VLOOKUP(Assumptions!$D$7, Lists!$B$7:$C$10, 2, FALSE)*Assumptions!$D$10/VLOOKUP(Assumptions!$D$9, Lists!$B$7:$C$10, 2, FALSE)</f>
        <v>-150000</v>
      </c>
      <c r="AA43" s="185">
        <f>'Key financial and ops fig.s LCY'!AA43*VLOOKUP(Assumptions!$D$7, Lists!$B$7:$C$10, 2, FALSE)*Assumptions!$D$10/VLOOKUP(Assumptions!$D$9, Lists!$B$7:$C$10, 2, FALSE)</f>
        <v>-150000</v>
      </c>
      <c r="AB43" s="48">
        <f t="shared" si="60"/>
        <v>-600000</v>
      </c>
      <c r="AC43" s="185">
        <f>'Key financial and ops fig.s LCY'!AC43*VLOOKUP(Assumptions!$D$7, Lists!$B$7:$C$10, 2, FALSE)*Assumptions!$D$10/VLOOKUP(Assumptions!$D$9, Lists!$B$7:$C$10, 2, FALSE)</f>
        <v>-150000</v>
      </c>
      <c r="AD43" s="185">
        <f>'Key financial and ops fig.s LCY'!AD43*VLOOKUP(Assumptions!$D$7, Lists!$B$7:$C$10, 2, FALSE)*Assumptions!$D$10/VLOOKUP(Assumptions!$D$9, Lists!$B$7:$C$10, 2, FALSE)</f>
        <v>-150000</v>
      </c>
      <c r="AE43" s="185">
        <f>'Key financial and ops fig.s LCY'!AE43*VLOOKUP(Assumptions!$D$7, Lists!$B$7:$C$10, 2, FALSE)*Assumptions!$D$10/VLOOKUP(Assumptions!$D$9, Lists!$B$7:$C$10, 2, FALSE)</f>
        <v>-150000</v>
      </c>
      <c r="AF43" s="185">
        <f>'Key financial and ops fig.s LCY'!AF43*VLOOKUP(Assumptions!$D$7, Lists!$B$7:$C$10, 2, FALSE)*Assumptions!$D$10/VLOOKUP(Assumptions!$D$9, Lists!$B$7:$C$10, 2, FALSE)</f>
        <v>-150000</v>
      </c>
      <c r="AG43" s="48">
        <f t="shared" si="61"/>
        <v>-600000</v>
      </c>
      <c r="AH43" s="63">
        <f>'Key financial and ops fig.s LCY'!AH43*VLOOKUP(Assumptions!$D$7, Lists!$B$7:$C$10, 2, FALSE)*Assumptions!$D$10/VLOOKUP(Assumptions!$D$9, Lists!$B$7:$C$10, 2, FALSE)</f>
        <v>-150000</v>
      </c>
      <c r="AI43" s="64">
        <f>'Key financial and ops fig.s LCY'!AI43*VLOOKUP(Assumptions!$D$7, Lists!$B$7:$C$10, 2, FALSE)*Assumptions!$D$10/VLOOKUP(Assumptions!$D$9, Lists!$B$7:$C$10, 2, FALSE)</f>
        <v>-150000</v>
      </c>
      <c r="AJ43" s="64">
        <f>'Key financial and ops fig.s LCY'!AJ43*VLOOKUP(Assumptions!$D$7, Lists!$B$7:$C$10, 2, FALSE)*Assumptions!$D$10/VLOOKUP(Assumptions!$D$9, Lists!$B$7:$C$10, 2, FALSE)</f>
        <v>-150000</v>
      </c>
      <c r="AK43" s="108">
        <f>'Key financial and ops fig.s LCY'!AK43*VLOOKUP(Assumptions!$D$7, Lists!$B$7:$C$10, 2, FALSE)*Assumptions!$D$10/VLOOKUP(Assumptions!$D$9, Lists!$B$7:$C$10, 2, FALSE)</f>
        <v>-150000</v>
      </c>
      <c r="AL43" s="60">
        <f t="shared" si="62"/>
        <v>-600000</v>
      </c>
    </row>
    <row r="44" spans="1:38" ht="17.100000000000001" outlineLevel="1" thickBot="1">
      <c r="A44" s="31"/>
      <c r="B44" s="34" t="s">
        <v>285</v>
      </c>
      <c r="D44" s="184">
        <f>SUM(D38:D43)</f>
        <v>-1499613.375</v>
      </c>
      <c r="E44" s="184">
        <f>SUM(E38:E43)</f>
        <v>-1296913.5</v>
      </c>
      <c r="F44" s="184">
        <f>SUM(F38:F43)</f>
        <v>-1146660.375</v>
      </c>
      <c r="G44" s="184">
        <f>SUM(G38:G43)</f>
        <v>-996234</v>
      </c>
      <c r="H44" s="61">
        <f t="shared" si="56"/>
        <v>-4939421.25</v>
      </c>
      <c r="I44" s="184">
        <f>SUM(I38:I43)</f>
        <v>-845634.375</v>
      </c>
      <c r="J44" s="184">
        <f>SUM(J38:J43)</f>
        <v>-694861.5</v>
      </c>
      <c r="K44" s="184">
        <f>SUM(K38:K43)</f>
        <v>-543915.375</v>
      </c>
      <c r="L44" s="184">
        <f>SUM(L38:L43)</f>
        <v>-478236</v>
      </c>
      <c r="M44" s="51">
        <f t="shared" si="57"/>
        <v>-2562647.25</v>
      </c>
      <c r="N44" s="184">
        <f>SUM(N38:N43)</f>
        <v>-507123.375</v>
      </c>
      <c r="O44" s="184">
        <f>SUM(O38:O43)</f>
        <v>-535837.5</v>
      </c>
      <c r="P44" s="184">
        <f>SUM(P38:P43)</f>
        <v>-564378.375</v>
      </c>
      <c r="Q44" s="184">
        <f>SUM(Q38:Q43)</f>
        <v>-592746</v>
      </c>
      <c r="R44" s="51">
        <f t="shared" si="58"/>
        <v>-2200085.25</v>
      </c>
      <c r="S44" s="184">
        <f>SUM(S38:S43)</f>
        <v>-620940.375</v>
      </c>
      <c r="T44" s="184">
        <f>SUM(T38:T43)</f>
        <v>-648961.5</v>
      </c>
      <c r="U44" s="184">
        <f>SUM(U38:U43)</f>
        <v>-676809.375</v>
      </c>
      <c r="V44" s="184">
        <f>SUM(V38:V43)</f>
        <v>-704484</v>
      </c>
      <c r="W44" s="51">
        <f t="shared" si="59"/>
        <v>-2651195.25</v>
      </c>
      <c r="X44" s="184">
        <f>SUM(X38:X43)</f>
        <v>-731985.375</v>
      </c>
      <c r="Y44" s="184">
        <f>SUM(Y38:Y43)</f>
        <v>-759313.5</v>
      </c>
      <c r="Z44" s="184">
        <f>SUM(Z38:Z43)</f>
        <v>-786468.375</v>
      </c>
      <c r="AA44" s="184">
        <f>SUM(AA38:AA43)</f>
        <v>-813450</v>
      </c>
      <c r="AB44" s="51">
        <f t="shared" si="60"/>
        <v>-3091217.25</v>
      </c>
      <c r="AC44" s="184">
        <f>SUM(AC38:AC43)</f>
        <v>-737317.5</v>
      </c>
      <c r="AD44" s="184">
        <f>SUM(AD38:AD43)</f>
        <v>-719085</v>
      </c>
      <c r="AE44" s="184">
        <f>SUM(AE38:AE43)</f>
        <v>-717352.5</v>
      </c>
      <c r="AF44" s="184">
        <f>SUM(AF38:AF43)</f>
        <v>-715620</v>
      </c>
      <c r="AG44" s="51">
        <f t="shared" si="61"/>
        <v>-2889375</v>
      </c>
      <c r="AH44" s="142">
        <f>SUM(AH38:AH43)</f>
        <v>-713887.5</v>
      </c>
      <c r="AI44" s="143">
        <f>SUM(AI38:AI43)</f>
        <v>-712155</v>
      </c>
      <c r="AJ44" s="143">
        <f>SUM(AJ38:AJ43)</f>
        <v>-710422.5</v>
      </c>
      <c r="AK44" s="144">
        <f>SUM(AK38:AK43)</f>
        <v>-708690</v>
      </c>
      <c r="AL44" s="61">
        <f t="shared" si="62"/>
        <v>-2845155</v>
      </c>
    </row>
    <row r="45" spans="1:38" ht="17.100000000000001" thickBot="1">
      <c r="A45" s="36" t="s">
        <v>286</v>
      </c>
      <c r="B45" s="37"/>
      <c r="C45" s="38"/>
      <c r="D45" s="53">
        <f>D28+D33+D37+D44</f>
        <v>-1013288.6544642857</v>
      </c>
      <c r="E45" s="53">
        <f>E28+E33+E37+E44</f>
        <v>-453532.24285714293</v>
      </c>
      <c r="F45" s="53">
        <f>F28+F33+F37+F44</f>
        <v>48238.18125000014</v>
      </c>
      <c r="G45" s="53">
        <f>G28+G33+G37+G44</f>
        <v>531078.33214285714</v>
      </c>
      <c r="H45" s="44">
        <f t="shared" si="56"/>
        <v>-887504.38392857136</v>
      </c>
      <c r="I45" s="53">
        <f>I28+I33+I37+I44</f>
        <v>1020616.78125</v>
      </c>
      <c r="J45" s="53">
        <f>J28+J33+J37+J44</f>
        <v>1506289.2428571433</v>
      </c>
      <c r="K45" s="53">
        <f>K28+K33+K37+K44</f>
        <v>1991160.0026785717</v>
      </c>
      <c r="L45" s="53">
        <f>L28+L33+L37+L44</f>
        <v>2385224.7749999999</v>
      </c>
      <c r="M45" s="44">
        <f t="shared" si="57"/>
        <v>6903290.8017857149</v>
      </c>
      <c r="N45" s="53">
        <f>N28+N33+N37+N44</f>
        <v>2674619.2741071428</v>
      </c>
      <c r="O45" s="53">
        <f>O28+O33+O37+O44</f>
        <v>2963212.0714285714</v>
      </c>
      <c r="P45" s="53">
        <f>P28+P33+P37+P44</f>
        <v>3240374.5955357146</v>
      </c>
      <c r="Q45" s="53">
        <f>Q28+Q33+Q37+Q44</f>
        <v>3518235.4178571431</v>
      </c>
      <c r="R45" s="44">
        <f t="shared" si="58"/>
        <v>12396441.358928572</v>
      </c>
      <c r="S45" s="53">
        <f>S28+S33+S37+S44</f>
        <v>3795294.5383928576</v>
      </c>
      <c r="T45" s="53">
        <f>T28+T33+T37+T44</f>
        <v>4062423.385714286</v>
      </c>
      <c r="U45" s="53">
        <f>U28+U33+U37+U44</f>
        <v>4324186.2455357146</v>
      </c>
      <c r="V45" s="53">
        <f>V28+V33+V37+V44</f>
        <v>4580583.1178571424</v>
      </c>
      <c r="W45" s="44">
        <f t="shared" si="59"/>
        <v>16762487.287500001</v>
      </c>
      <c r="X45" s="53">
        <f>X28+X33+X37+X44</f>
        <v>4836178.2883928576</v>
      </c>
      <c r="Y45" s="53">
        <f>Y28+Y33+Y37+Y44</f>
        <v>5099971.7571428576</v>
      </c>
      <c r="Z45" s="53">
        <f>Z28+Z33+Z37+Z44</f>
        <v>5344834.9526785715</v>
      </c>
      <c r="AA45" s="53">
        <f>AA28+AA33+AA37+AA44</f>
        <v>5579767.875</v>
      </c>
      <c r="AB45" s="44">
        <f t="shared" si="60"/>
        <v>20860752.873214286</v>
      </c>
      <c r="AC45" s="53">
        <f>AC28+AC33+AC37+AC44</f>
        <v>5338529.4107142854</v>
      </c>
      <c r="AD45" s="53">
        <f>AD28+AD33+AD37+AD44</f>
        <v>5334412.3928571427</v>
      </c>
      <c r="AE45" s="53">
        <f>AE28+AE33+AE37+AE44</f>
        <v>5285316.8035714282</v>
      </c>
      <c r="AF45" s="53">
        <f>AF28+AF33+AF37+AF44</f>
        <v>5231656.9285714282</v>
      </c>
      <c r="AG45" s="44">
        <f t="shared" si="61"/>
        <v>21189915.535714287</v>
      </c>
      <c r="AH45" s="52">
        <f>AH28+AH33+AH37+AH44</f>
        <v>5200689.9107142854</v>
      </c>
      <c r="AI45" s="52">
        <f>AI28+AI33+AI37+AI44</f>
        <v>5151594.3214285718</v>
      </c>
      <c r="AJ45" s="52">
        <f>AJ28+AJ33+AJ37+AJ44</f>
        <v>5097934.4464285718</v>
      </c>
      <c r="AK45" s="52">
        <f>AK28+AK33+AK37+AK44</f>
        <v>5054903.1428571427</v>
      </c>
      <c r="AL45" s="44">
        <f t="shared" si="62"/>
        <v>20505121.821428571</v>
      </c>
    </row>
    <row r="46" spans="1:38" ht="15.95" outlineLevel="2">
      <c r="A46" s="31"/>
      <c r="C46" s="33" t="s">
        <v>287</v>
      </c>
      <c r="D46" s="46"/>
      <c r="E46" s="47"/>
      <c r="F46" s="47"/>
      <c r="G46" s="47"/>
      <c r="H46" s="48">
        <f t="shared" si="56"/>
        <v>0</v>
      </c>
      <c r="I46" s="46"/>
      <c r="J46" s="47"/>
      <c r="K46" s="47"/>
      <c r="L46" s="47"/>
      <c r="M46" s="48">
        <f t="shared" si="57"/>
        <v>0</v>
      </c>
      <c r="N46" s="46"/>
      <c r="O46" s="47"/>
      <c r="P46" s="47"/>
      <c r="Q46" s="47"/>
      <c r="R46" s="48">
        <f t="shared" si="58"/>
        <v>0</v>
      </c>
      <c r="S46" s="46"/>
      <c r="T46" s="47"/>
      <c r="U46" s="47"/>
      <c r="V46" s="47"/>
      <c r="W46" s="48">
        <f t="shared" si="59"/>
        <v>0</v>
      </c>
      <c r="X46" s="46"/>
      <c r="Y46" s="47"/>
      <c r="Z46" s="47"/>
      <c r="AA46" s="47"/>
      <c r="AB46" s="48">
        <f t="shared" si="60"/>
        <v>0</v>
      </c>
      <c r="AC46" s="46"/>
      <c r="AD46" s="47"/>
      <c r="AE46" s="47"/>
      <c r="AF46" s="47"/>
      <c r="AG46" s="48">
        <f t="shared" si="61"/>
        <v>0</v>
      </c>
      <c r="AH46" s="46"/>
      <c r="AI46" s="47"/>
      <c r="AJ46" s="47"/>
      <c r="AK46" s="47"/>
      <c r="AL46" s="48">
        <f t="shared" si="62"/>
        <v>0</v>
      </c>
    </row>
    <row r="47" spans="1:38" ht="15.95" outlineLevel="1">
      <c r="A47" s="31"/>
      <c r="B47" s="34" t="s">
        <v>287</v>
      </c>
      <c r="C47" s="35"/>
      <c r="D47" s="49"/>
      <c r="E47" s="50"/>
      <c r="F47" s="50"/>
      <c r="G47" s="50"/>
      <c r="H47" s="51">
        <f>IF(H45&gt;0,H45*-Assumptions!$D$62,0)</f>
        <v>0</v>
      </c>
      <c r="I47" s="49"/>
      <c r="J47" s="50"/>
      <c r="K47" s="50"/>
      <c r="L47" s="50"/>
      <c r="M47" s="51">
        <f>M45*-Assumptions!$D$62</f>
        <v>-690329.08017857152</v>
      </c>
      <c r="N47" s="49"/>
      <c r="O47" s="50"/>
      <c r="P47" s="50"/>
      <c r="Q47" s="50"/>
      <c r="R47" s="51">
        <f>R45*-Assumptions!$D$62</f>
        <v>-1239644.1358928573</v>
      </c>
      <c r="S47" s="49"/>
      <c r="T47" s="50"/>
      <c r="U47" s="50"/>
      <c r="V47" s="50"/>
      <c r="W47" s="51">
        <f>W45*-Assumptions!$D$62</f>
        <v>-1676248.7287500002</v>
      </c>
      <c r="X47" s="49"/>
      <c r="Y47" s="50"/>
      <c r="Z47" s="50"/>
      <c r="AA47" s="50"/>
      <c r="AB47" s="51">
        <f>AB45*-Assumptions!$D$62</f>
        <v>-2086075.2873214288</v>
      </c>
      <c r="AC47" s="49"/>
      <c r="AD47" s="50"/>
      <c r="AE47" s="50"/>
      <c r="AF47" s="50"/>
      <c r="AG47" s="51">
        <f>AG45*-Assumptions!$D$62</f>
        <v>-2118991.5535714286</v>
      </c>
      <c r="AH47" s="49"/>
      <c r="AI47" s="50"/>
      <c r="AJ47" s="50"/>
      <c r="AK47" s="50"/>
      <c r="AL47" s="51">
        <f>AL45*-Assumptions!$D$62</f>
        <v>-2050512.1821428572</v>
      </c>
    </row>
    <row r="48" spans="1:38" ht="17.100000000000001" thickBot="1">
      <c r="A48" s="39" t="s">
        <v>288</v>
      </c>
      <c r="B48" s="40"/>
      <c r="C48" s="41"/>
      <c r="D48" s="52"/>
      <c r="E48" s="45"/>
      <c r="F48" s="45"/>
      <c r="G48" s="45"/>
      <c r="H48" s="53">
        <f>H45+H47</f>
        <v>-887504.38392857136</v>
      </c>
      <c r="I48" s="52"/>
      <c r="J48" s="45"/>
      <c r="K48" s="45"/>
      <c r="L48" s="45"/>
      <c r="M48" s="53">
        <f>M45+M47</f>
        <v>6212961.7216071431</v>
      </c>
      <c r="N48" s="52"/>
      <c r="O48" s="45"/>
      <c r="P48" s="45"/>
      <c r="Q48" s="45"/>
      <c r="R48" s="53">
        <f>R45+R47</f>
        <v>11156797.223035716</v>
      </c>
      <c r="S48" s="52"/>
      <c r="T48" s="45"/>
      <c r="U48" s="45"/>
      <c r="V48" s="45"/>
      <c r="W48" s="53">
        <f>W45+W47</f>
        <v>15086238.558750002</v>
      </c>
      <c r="X48" s="52"/>
      <c r="Y48" s="45"/>
      <c r="Z48" s="45"/>
      <c r="AA48" s="45"/>
      <c r="AB48" s="53">
        <f>AB45+AB47</f>
        <v>18774677.585892856</v>
      </c>
      <c r="AC48" s="52"/>
      <c r="AD48" s="45"/>
      <c r="AE48" s="45"/>
      <c r="AF48" s="45"/>
      <c r="AG48" s="53">
        <f>AG45+AG47</f>
        <v>19070923.982142858</v>
      </c>
      <c r="AH48" s="52"/>
      <c r="AI48" s="45"/>
      <c r="AJ48" s="45"/>
      <c r="AK48" s="45"/>
      <c r="AL48" s="53">
        <f>AL45+AL47</f>
        <v>18454609.639285713</v>
      </c>
    </row>
    <row r="49" spans="1:38" ht="18.95">
      <c r="A49" s="42" t="s">
        <v>289</v>
      </c>
      <c r="B49" s="42"/>
      <c r="C49" s="42"/>
      <c r="D49" s="54"/>
      <c r="E49" s="54"/>
      <c r="F49" s="54"/>
      <c r="G49" s="54"/>
      <c r="H49" s="54">
        <f>H48</f>
        <v>-887504.38392857136</v>
      </c>
      <c r="I49" s="54"/>
      <c r="J49" s="54"/>
      <c r="K49" s="54"/>
      <c r="L49" s="54"/>
      <c r="M49" s="54">
        <f>H49+M48</f>
        <v>5325457.3376785722</v>
      </c>
      <c r="N49" s="54"/>
      <c r="O49" s="54"/>
      <c r="P49" s="54"/>
      <c r="Q49" s="54"/>
      <c r="R49" s="54">
        <f>M49+R48</f>
        <v>16482254.560714288</v>
      </c>
      <c r="S49" s="54"/>
      <c r="T49" s="54"/>
      <c r="U49" s="54"/>
      <c r="V49" s="54"/>
      <c r="W49" s="54">
        <f>R49+W48</f>
        <v>31568493.119464289</v>
      </c>
      <c r="X49" s="54"/>
      <c r="Y49" s="54"/>
      <c r="Z49" s="54"/>
      <c r="AA49" s="54"/>
      <c r="AB49" s="54">
        <f>W49+AB48</f>
        <v>50343170.705357149</v>
      </c>
      <c r="AC49" s="54"/>
      <c r="AD49" s="54"/>
      <c r="AE49" s="54"/>
      <c r="AF49" s="54"/>
      <c r="AG49" s="54">
        <f>AB49+AG48</f>
        <v>69414094.6875</v>
      </c>
      <c r="AH49" s="54"/>
      <c r="AI49" s="54"/>
      <c r="AJ49" s="54"/>
      <c r="AK49" s="54"/>
      <c r="AL49" s="54">
        <f>AG49+AL48</f>
        <v>87868704.326785713</v>
      </c>
    </row>
    <row r="50" spans="1:38" ht="17.100000000000001" thickBot="1">
      <c r="A50" s="56"/>
      <c r="C50" s="56"/>
      <c r="D50" s="67"/>
      <c r="E50" s="67"/>
      <c r="F50" s="67"/>
      <c r="G50" s="67"/>
      <c r="H50" s="58"/>
      <c r="I50" s="67"/>
      <c r="J50" s="67"/>
      <c r="K50" s="67"/>
      <c r="L50" s="67"/>
      <c r="M50" s="58"/>
      <c r="N50" s="67"/>
      <c r="O50" s="67"/>
      <c r="P50" s="67"/>
      <c r="Q50" s="67"/>
      <c r="R50" s="58"/>
      <c r="S50" s="67"/>
      <c r="T50" s="67"/>
      <c r="U50" s="67"/>
      <c r="V50" s="67"/>
      <c r="W50" s="58"/>
      <c r="X50" s="67"/>
      <c r="Y50" s="67"/>
      <c r="Z50" s="67"/>
      <c r="AA50" s="67"/>
      <c r="AB50" s="58"/>
      <c r="AC50" s="67"/>
      <c r="AD50" s="67"/>
      <c r="AE50" s="67"/>
      <c r="AF50" s="67"/>
      <c r="AG50" s="58"/>
      <c r="AH50" s="67"/>
      <c r="AI50" s="67"/>
      <c r="AJ50" s="67"/>
      <c r="AK50" s="67"/>
      <c r="AL50" s="58"/>
    </row>
    <row r="51" spans="1:38" ht="17.100000000000001" thickBot="1">
      <c r="A51" s="28" t="s">
        <v>290</v>
      </c>
      <c r="B51" s="28"/>
      <c r="C51" s="28"/>
      <c r="D51" s="103" t="s">
        <v>214</v>
      </c>
      <c r="E51" s="104" t="s">
        <v>215</v>
      </c>
      <c r="F51" s="104" t="s">
        <v>216</v>
      </c>
      <c r="G51" s="104" t="s">
        <v>217</v>
      </c>
      <c r="H51" s="43" t="s">
        <v>218</v>
      </c>
      <c r="I51" s="103" t="s">
        <v>219</v>
      </c>
      <c r="J51" s="104" t="s">
        <v>220</v>
      </c>
      <c r="K51" s="104" t="s">
        <v>221</v>
      </c>
      <c r="L51" s="104" t="s">
        <v>222</v>
      </c>
      <c r="M51" s="43" t="s">
        <v>223</v>
      </c>
      <c r="N51" s="103" t="s">
        <v>224</v>
      </c>
      <c r="O51" s="104" t="s">
        <v>225</v>
      </c>
      <c r="P51" s="104" t="s">
        <v>226</v>
      </c>
      <c r="Q51" s="104" t="s">
        <v>227</v>
      </c>
      <c r="R51" s="43" t="s">
        <v>228</v>
      </c>
      <c r="S51" s="103" t="s">
        <v>229</v>
      </c>
      <c r="T51" s="104" t="s">
        <v>230</v>
      </c>
      <c r="U51" s="104" t="s">
        <v>231</v>
      </c>
      <c r="V51" s="104" t="s">
        <v>232</v>
      </c>
      <c r="W51" s="43" t="s">
        <v>233</v>
      </c>
      <c r="X51" s="103" t="s">
        <v>234</v>
      </c>
      <c r="Y51" s="104" t="s">
        <v>235</v>
      </c>
      <c r="Z51" s="104" t="s">
        <v>236</v>
      </c>
      <c r="AA51" s="104" t="s">
        <v>237</v>
      </c>
      <c r="AB51" s="43" t="s">
        <v>238</v>
      </c>
      <c r="AC51" s="103" t="s">
        <v>239</v>
      </c>
      <c r="AD51" s="104" t="s">
        <v>240</v>
      </c>
      <c r="AE51" s="104" t="s">
        <v>241</v>
      </c>
      <c r="AF51" s="104" t="s">
        <v>242</v>
      </c>
      <c r="AG51" s="43" t="s">
        <v>243</v>
      </c>
      <c r="AH51" s="103" t="s">
        <v>244</v>
      </c>
      <c r="AI51" s="104" t="s">
        <v>245</v>
      </c>
      <c r="AJ51" s="104" t="s">
        <v>246</v>
      </c>
      <c r="AK51" s="104" t="s">
        <v>247</v>
      </c>
      <c r="AL51" s="43" t="s">
        <v>248</v>
      </c>
    </row>
    <row r="52" spans="1:38" ht="15.95">
      <c r="A52" s="36"/>
      <c r="B52" s="34" t="s">
        <v>255</v>
      </c>
      <c r="C52" s="56"/>
      <c r="D52" s="105">
        <f>'Key financial and ops fig.s LCY'!D52*VLOOKUP(Assumptions!$D$7, Lists!$B$7:$C$10, 2, FALSE)*Assumptions!$D$10/VLOOKUP(Assumptions!$D$9, Lists!$B$7:$C$10, 2, FALSE)</f>
        <v>190993.78125</v>
      </c>
      <c r="E52" s="106">
        <f>'Key financial and ops fig.s LCY'!E52*VLOOKUP(Assumptions!$D$7, Lists!$B$7:$C$10, 2, FALSE)*Assumptions!$D$10/VLOOKUP(Assumptions!$D$9, Lists!$B$7:$C$10, 2, FALSE)</f>
        <v>379585.125</v>
      </c>
      <c r="F52" s="106">
        <f>'Key financial and ops fig.s LCY'!F52*VLOOKUP(Assumptions!$D$7, Lists!$B$7:$C$10, 2, FALSE)*Assumptions!$D$10/VLOOKUP(Assumptions!$D$9, Lists!$B$7:$C$10, 2, FALSE)</f>
        <v>565774.03125000012</v>
      </c>
      <c r="G52" s="107">
        <f>'Key financial and ops fig.s LCY'!G52*VLOOKUP(Assumptions!$D$7, Lists!$B$7:$C$10, 2, FALSE)*Assumptions!$D$10/VLOOKUP(Assumptions!$D$9, Lists!$B$7:$C$10, 2, FALSE)</f>
        <v>749560.5</v>
      </c>
      <c r="H52" s="97">
        <f>SUM(D52:G52)</f>
        <v>1885913.4375</v>
      </c>
      <c r="I52" s="105">
        <f>'Key financial and ops fig.s LCY'!I52*VLOOKUP(Assumptions!$D$7, Lists!$B$7:$C$10, 2, FALSE)*Assumptions!$D$10/VLOOKUP(Assumptions!$D$9, Lists!$B$7:$C$10, 2, FALSE)</f>
        <v>930944.53125</v>
      </c>
      <c r="J52" s="106">
        <f>'Key financial and ops fig.s LCY'!J52*VLOOKUP(Assumptions!$D$7, Lists!$B$7:$C$10, 2, FALSE)*Assumptions!$D$10/VLOOKUP(Assumptions!$D$9, Lists!$B$7:$C$10, 2, FALSE)</f>
        <v>1109926.1250000002</v>
      </c>
      <c r="K52" s="106">
        <f>'Key financial and ops fig.s LCY'!K52*VLOOKUP(Assumptions!$D$7, Lists!$B$7:$C$10, 2, FALSE)*Assumptions!$D$10/VLOOKUP(Assumptions!$D$9, Lists!$B$7:$C$10, 2, FALSE)</f>
        <v>1286505.2812500002</v>
      </c>
      <c r="L52" s="107">
        <f>'Key financial and ops fig.s LCY'!L52*VLOOKUP(Assumptions!$D$7, Lists!$B$7:$C$10, 2, FALSE)*Assumptions!$D$10/VLOOKUP(Assumptions!$D$9, Lists!$B$7:$C$10, 2, FALSE)</f>
        <v>1460682</v>
      </c>
      <c r="M52" s="97">
        <f>SUM(I52:L52)</f>
        <v>4788057.9375</v>
      </c>
      <c r="N52" s="105">
        <f>'Key financial and ops fig.s LCY'!N52*VLOOKUP(Assumptions!$D$7, Lists!$B$7:$C$10, 2, FALSE)*Assumptions!$D$10/VLOOKUP(Assumptions!$D$9, Lists!$B$7:$C$10, 2, FALSE)</f>
        <v>1632456.28125</v>
      </c>
      <c r="O52" s="106">
        <f>'Key financial and ops fig.s LCY'!O52*VLOOKUP(Assumptions!$D$7, Lists!$B$7:$C$10, 2, FALSE)*Assumptions!$D$10/VLOOKUP(Assumptions!$D$9, Lists!$B$7:$C$10, 2, FALSE)</f>
        <v>1801828.125</v>
      </c>
      <c r="P52" s="106">
        <f>'Key financial and ops fig.s LCY'!P52*VLOOKUP(Assumptions!$D$7, Lists!$B$7:$C$10, 2, FALSE)*Assumptions!$D$10/VLOOKUP(Assumptions!$D$9, Lists!$B$7:$C$10, 2, FALSE)</f>
        <v>1968797.5312500005</v>
      </c>
      <c r="Q52" s="107">
        <f>'Key financial and ops fig.s LCY'!Q52*VLOOKUP(Assumptions!$D$7, Lists!$B$7:$C$10, 2, FALSE)*Assumptions!$D$10/VLOOKUP(Assumptions!$D$9, Lists!$B$7:$C$10, 2, FALSE)</f>
        <v>2133364.5000000005</v>
      </c>
      <c r="R52" s="97">
        <f>SUM(N52:Q52)</f>
        <v>7536446.4375</v>
      </c>
      <c r="S52" s="105">
        <f>'Key financial and ops fig.s LCY'!S52*VLOOKUP(Assumptions!$D$7, Lists!$B$7:$C$10, 2, FALSE)*Assumptions!$D$10/VLOOKUP(Assumptions!$D$9, Lists!$B$7:$C$10, 2, FALSE)</f>
        <v>2295529.0312500005</v>
      </c>
      <c r="T52" s="106">
        <f>'Key financial and ops fig.s LCY'!T52*VLOOKUP(Assumptions!$D$7, Lists!$B$7:$C$10, 2, FALSE)*Assumptions!$D$10/VLOOKUP(Assumptions!$D$9, Lists!$B$7:$C$10, 2, FALSE)</f>
        <v>2455291.1250000005</v>
      </c>
      <c r="U52" s="106">
        <f>'Key financial and ops fig.s LCY'!U52*VLOOKUP(Assumptions!$D$7, Lists!$B$7:$C$10, 2, FALSE)*Assumptions!$D$10/VLOOKUP(Assumptions!$D$9, Lists!$B$7:$C$10, 2, FALSE)</f>
        <v>2612650.7812500005</v>
      </c>
      <c r="V52" s="107">
        <f>'Key financial and ops fig.s LCY'!V52*VLOOKUP(Assumptions!$D$7, Lists!$B$7:$C$10, 2, FALSE)*Assumptions!$D$10/VLOOKUP(Assumptions!$D$9, Lists!$B$7:$C$10, 2, FALSE)</f>
        <v>2767608</v>
      </c>
      <c r="W52" s="97">
        <f>SUM(S52:V52)</f>
        <v>10131078.937500002</v>
      </c>
      <c r="X52" s="105">
        <f>'Key financial and ops fig.s LCY'!X52*VLOOKUP(Assumptions!$D$7, Lists!$B$7:$C$10, 2, FALSE)*Assumptions!$D$10/VLOOKUP(Assumptions!$D$9, Lists!$B$7:$C$10, 2, FALSE)</f>
        <v>2920162.78125</v>
      </c>
      <c r="Y52" s="106">
        <f>'Key financial and ops fig.s LCY'!Y52*VLOOKUP(Assumptions!$D$7, Lists!$B$7:$C$10, 2, FALSE)*Assumptions!$D$10/VLOOKUP(Assumptions!$D$9, Lists!$B$7:$C$10, 2, FALSE)</f>
        <v>3070315.125</v>
      </c>
      <c r="Z52" s="106">
        <f>'Key financial and ops fig.s LCY'!Z52*VLOOKUP(Assumptions!$D$7, Lists!$B$7:$C$10, 2, FALSE)*Assumptions!$D$10/VLOOKUP(Assumptions!$D$9, Lists!$B$7:$C$10, 2, FALSE)</f>
        <v>3218065.03125</v>
      </c>
      <c r="AA52" s="107">
        <f>'Key financial and ops fig.s LCY'!AA52*VLOOKUP(Assumptions!$D$7, Lists!$B$7:$C$10, 2, FALSE)*Assumptions!$D$10/VLOOKUP(Assumptions!$D$9, Lists!$B$7:$C$10, 2, FALSE)</f>
        <v>3363412.5</v>
      </c>
      <c r="AB52" s="97">
        <f>SUM(X52:AA52)</f>
        <v>12571955.4375</v>
      </c>
      <c r="AC52" s="105">
        <f>'Key financial and ops fig.s LCY'!AC52*VLOOKUP(Assumptions!$D$7, Lists!$B$7:$C$10, 2, FALSE)*Assumptions!$D$10/VLOOKUP(Assumptions!$D$9, Lists!$B$7:$C$10, 2, FALSE)</f>
        <v>3339388.125</v>
      </c>
      <c r="AD52" s="106">
        <f>'Key financial and ops fig.s LCY'!AD52*VLOOKUP(Assumptions!$D$7, Lists!$B$7:$C$10, 2, FALSE)*Assumptions!$D$10/VLOOKUP(Assumptions!$D$9, Lists!$B$7:$C$10, 2, FALSE)</f>
        <v>3315363.75</v>
      </c>
      <c r="AE52" s="106">
        <f>'Key financial and ops fig.s LCY'!AE52*VLOOKUP(Assumptions!$D$7, Lists!$B$7:$C$10, 2, FALSE)*Assumptions!$D$10/VLOOKUP(Assumptions!$D$9, Lists!$B$7:$C$10, 2, FALSE)</f>
        <v>3291339.375</v>
      </c>
      <c r="AF52" s="107">
        <f>'Key financial and ops fig.s LCY'!AF52*VLOOKUP(Assumptions!$D$7, Lists!$B$7:$C$10, 2, FALSE)*Assumptions!$D$10/VLOOKUP(Assumptions!$D$9, Lists!$B$7:$C$10, 2, FALSE)</f>
        <v>3267315</v>
      </c>
      <c r="AG52" s="97">
        <f>SUM(AC52:AF52)</f>
        <v>13213406.25</v>
      </c>
      <c r="AH52" s="105">
        <f>'Key financial and ops fig.s LCY'!AH52*VLOOKUP(Assumptions!$D$7, Lists!$B$7:$C$10, 2, FALSE)*Assumptions!$D$10/VLOOKUP(Assumptions!$D$9, Lists!$B$7:$C$10, 2, FALSE)</f>
        <v>3243290.625</v>
      </c>
      <c r="AI52" s="106">
        <f>'Key financial and ops fig.s LCY'!AI52*VLOOKUP(Assumptions!$D$7, Lists!$B$7:$C$10, 2, FALSE)*Assumptions!$D$10/VLOOKUP(Assumptions!$D$9, Lists!$B$7:$C$10, 2, FALSE)</f>
        <v>3219266.25</v>
      </c>
      <c r="AJ52" s="106">
        <f>'Key financial and ops fig.s LCY'!AJ52*VLOOKUP(Assumptions!$D$7, Lists!$B$7:$C$10, 2, FALSE)*Assumptions!$D$10/VLOOKUP(Assumptions!$D$9, Lists!$B$7:$C$10, 2, FALSE)</f>
        <v>3195241.875</v>
      </c>
      <c r="AK52" s="107">
        <f>'Key financial and ops fig.s LCY'!AK52*VLOOKUP(Assumptions!$D$7, Lists!$B$7:$C$10, 2, FALSE)*Assumptions!$D$10/VLOOKUP(Assumptions!$D$9, Lists!$B$7:$C$10, 2, FALSE)</f>
        <v>3171217.5</v>
      </c>
      <c r="AL52" s="60">
        <f>SUM(AH52:AK52)</f>
        <v>12829016.25</v>
      </c>
    </row>
    <row r="53" spans="1:38" ht="15.95">
      <c r="A53" s="36"/>
      <c r="B53" s="34" t="s">
        <v>261</v>
      </c>
      <c r="C53" s="56"/>
      <c r="D53" s="63">
        <f>'Key financial and ops fig.s LCY'!D53*VLOOKUP(Assumptions!$D$7, Lists!$B$7:$C$10, 2, FALSE)*Assumptions!$D$10/VLOOKUP(Assumptions!$D$9, Lists!$B$7:$C$10, 2, FALSE)</f>
        <v>405935.94375000003</v>
      </c>
      <c r="E53" s="64">
        <f>'Key financial and ops fig.s LCY'!E53*VLOOKUP(Assumptions!$D$7, Lists!$B$7:$C$10, 2, FALSE)*Assumptions!$D$10/VLOOKUP(Assumptions!$D$9, Lists!$B$7:$C$10, 2, FALSE)</f>
        <v>506196.15</v>
      </c>
      <c r="F53" s="64">
        <f>'Key financial and ops fig.s LCY'!F53*VLOOKUP(Assumptions!$D$7, Lists!$B$7:$C$10, 2, FALSE)*Assumptions!$D$10/VLOOKUP(Assumptions!$D$9, Lists!$B$7:$C$10, 2, FALSE)</f>
        <v>605130.99375000002</v>
      </c>
      <c r="G53" s="108">
        <f>'Key financial and ops fig.s LCY'!G53*VLOOKUP(Assumptions!$D$7, Lists!$B$7:$C$10, 2, FALSE)*Assumptions!$D$10/VLOOKUP(Assumptions!$D$9, Lists!$B$7:$C$10, 2, FALSE)</f>
        <v>702740.47499999998</v>
      </c>
      <c r="H53" s="97">
        <f t="shared" ref="H53:H60" si="63">SUM(D53:G53)</f>
        <v>2220003.5625</v>
      </c>
      <c r="I53" s="63">
        <f>'Key financial and ops fig.s LCY'!I53*VLOOKUP(Assumptions!$D$7, Lists!$B$7:$C$10, 2, FALSE)*Assumptions!$D$10/VLOOKUP(Assumptions!$D$9, Lists!$B$7:$C$10, 2, FALSE)</f>
        <v>799024.59375</v>
      </c>
      <c r="J53" s="64">
        <f>'Key financial and ops fig.s LCY'!J53*VLOOKUP(Assumptions!$D$7, Lists!$B$7:$C$10, 2, FALSE)*Assumptions!$D$10/VLOOKUP(Assumptions!$D$9, Lists!$B$7:$C$10, 2, FALSE)</f>
        <v>893983.35</v>
      </c>
      <c r="K53" s="64">
        <f>'Key financial and ops fig.s LCY'!K53*VLOOKUP(Assumptions!$D$7, Lists!$B$7:$C$10, 2, FALSE)*Assumptions!$D$10/VLOOKUP(Assumptions!$D$9, Lists!$B$7:$C$10, 2, FALSE)</f>
        <v>987616.74375000002</v>
      </c>
      <c r="L53" s="108">
        <f>'Key financial and ops fig.s LCY'!L53*VLOOKUP(Assumptions!$D$7, Lists!$B$7:$C$10, 2, FALSE)*Assumptions!$D$10/VLOOKUP(Assumptions!$D$9, Lists!$B$7:$C$10, 2, FALSE)</f>
        <v>1079924.7749999999</v>
      </c>
      <c r="M53" s="97">
        <f t="shared" ref="M53:M60" si="64">SUM(I53:L53)</f>
        <v>3760549.4624999999</v>
      </c>
      <c r="N53" s="63">
        <f>'Key financial and ops fig.s LCY'!N53*VLOOKUP(Assumptions!$D$7, Lists!$B$7:$C$10, 2, FALSE)*Assumptions!$D$10/VLOOKUP(Assumptions!$D$9, Lists!$B$7:$C$10, 2, FALSE)</f>
        <v>1170907.4437500001</v>
      </c>
      <c r="O53" s="64">
        <f>'Key financial and ops fig.s LCY'!O53*VLOOKUP(Assumptions!$D$7, Lists!$B$7:$C$10, 2, FALSE)*Assumptions!$D$10/VLOOKUP(Assumptions!$D$9, Lists!$B$7:$C$10, 2, FALSE)</f>
        <v>1260564.75</v>
      </c>
      <c r="P53" s="64">
        <f>'Key financial and ops fig.s LCY'!P53*VLOOKUP(Assumptions!$D$7, Lists!$B$7:$C$10, 2, FALSE)*Assumptions!$D$10/VLOOKUP(Assumptions!$D$9, Lists!$B$7:$C$10, 2, FALSE)</f>
        <v>1348896.6937500001</v>
      </c>
      <c r="Q53" s="108">
        <f>'Key financial and ops fig.s LCY'!Q53*VLOOKUP(Assumptions!$D$7, Lists!$B$7:$C$10, 2, FALSE)*Assumptions!$D$10/VLOOKUP(Assumptions!$D$9, Lists!$B$7:$C$10, 2, FALSE)</f>
        <v>1435903.2750000001</v>
      </c>
      <c r="R53" s="97">
        <f t="shared" ref="R53:R60" si="65">SUM(N53:Q53)</f>
        <v>5216272.1625000006</v>
      </c>
      <c r="S53" s="63">
        <f>'Key financial and ops fig.s LCY'!S53*VLOOKUP(Assumptions!$D$7, Lists!$B$7:$C$10, 2, FALSE)*Assumptions!$D$10/VLOOKUP(Assumptions!$D$9, Lists!$B$7:$C$10, 2, FALSE)</f>
        <v>1521584.4937500001</v>
      </c>
      <c r="T53" s="64">
        <f>'Key financial and ops fig.s LCY'!T53*VLOOKUP(Assumptions!$D$7, Lists!$B$7:$C$10, 2, FALSE)*Assumptions!$D$10/VLOOKUP(Assumptions!$D$9, Lists!$B$7:$C$10, 2, FALSE)</f>
        <v>1605940.35</v>
      </c>
      <c r="U53" s="64">
        <f>'Key financial and ops fig.s LCY'!U53*VLOOKUP(Assumptions!$D$7, Lists!$B$7:$C$10, 2, FALSE)*Assumptions!$D$10/VLOOKUP(Assumptions!$D$9, Lists!$B$7:$C$10, 2, FALSE)</f>
        <v>1688970.84375</v>
      </c>
      <c r="V53" s="108">
        <f>'Key financial and ops fig.s LCY'!V53*VLOOKUP(Assumptions!$D$7, Lists!$B$7:$C$10, 2, FALSE)*Assumptions!$D$10/VLOOKUP(Assumptions!$D$9, Lists!$B$7:$C$10, 2, FALSE)</f>
        <v>1770675.9750000001</v>
      </c>
      <c r="W53" s="97">
        <f t="shared" ref="W53:W60" si="66">SUM(S53:V53)</f>
        <v>6587171.6624999996</v>
      </c>
      <c r="X53" s="63">
        <f>'Key financial and ops fig.s LCY'!X53*VLOOKUP(Assumptions!$D$7, Lists!$B$7:$C$10, 2, FALSE)*Assumptions!$D$10/VLOOKUP(Assumptions!$D$9, Lists!$B$7:$C$10, 2, FALSE)</f>
        <v>1851055.7437500001</v>
      </c>
      <c r="Y53" s="64">
        <f>'Key financial and ops fig.s LCY'!Y53*VLOOKUP(Assumptions!$D$7, Lists!$B$7:$C$10, 2, FALSE)*Assumptions!$D$10/VLOOKUP(Assumptions!$D$9, Lists!$B$7:$C$10, 2, FALSE)</f>
        <v>1930110.1500000001</v>
      </c>
      <c r="Z53" s="64">
        <f>'Key financial and ops fig.s LCY'!Z53*VLOOKUP(Assumptions!$D$7, Lists!$B$7:$C$10, 2, FALSE)*Assumptions!$D$10/VLOOKUP(Assumptions!$D$9, Lists!$B$7:$C$10, 2, FALSE)</f>
        <v>2007839.1937500001</v>
      </c>
      <c r="AA53" s="108">
        <f>'Key financial and ops fig.s LCY'!AA53*VLOOKUP(Assumptions!$D$7, Lists!$B$7:$C$10, 2, FALSE)*Assumptions!$D$10/VLOOKUP(Assumptions!$D$9, Lists!$B$7:$C$10, 2, FALSE)</f>
        <v>2084242.875</v>
      </c>
      <c r="AB53" s="97">
        <f t="shared" ref="AB53:AB60" si="67">SUM(X53:AA53)</f>
        <v>7873247.9625000004</v>
      </c>
      <c r="AC53" s="63">
        <f>'Key financial and ops fig.s LCY'!AC53*VLOOKUP(Assumptions!$D$7, Lists!$B$7:$C$10, 2, FALSE)*Assumptions!$D$10/VLOOKUP(Assumptions!$D$9, Lists!$B$7:$C$10, 2, FALSE)</f>
        <v>1804446.375</v>
      </c>
      <c r="AD53" s="64">
        <f>'Key financial and ops fig.s LCY'!AD53*VLOOKUP(Assumptions!$D$7, Lists!$B$7:$C$10, 2, FALSE)*Assumptions!$D$10/VLOOKUP(Assumptions!$D$9, Lists!$B$7:$C$10, 2, FALSE)</f>
        <v>1791192.75</v>
      </c>
      <c r="AE53" s="64">
        <f>'Key financial and ops fig.s LCY'!AE53*VLOOKUP(Assumptions!$D$7, Lists!$B$7:$C$10, 2, FALSE)*Assumptions!$D$10/VLOOKUP(Assumptions!$D$9, Lists!$B$7:$C$10, 2, FALSE)</f>
        <v>1777939.125</v>
      </c>
      <c r="AF53" s="108">
        <f>'Key financial and ops fig.s LCY'!AF53*VLOOKUP(Assumptions!$D$7, Lists!$B$7:$C$10, 2, FALSE)*Assumptions!$D$10/VLOOKUP(Assumptions!$D$9, Lists!$B$7:$C$10, 2, FALSE)</f>
        <v>1764685.5</v>
      </c>
      <c r="AG53" s="97">
        <f t="shared" ref="AG53:AG60" si="68">SUM(AC53:AF53)</f>
        <v>7138263.75</v>
      </c>
      <c r="AH53" s="63">
        <f>'Key financial and ops fig.s LCY'!AH53*VLOOKUP(Assumptions!$D$7, Lists!$B$7:$C$10, 2, FALSE)*Assumptions!$D$10/VLOOKUP(Assumptions!$D$9, Lists!$B$7:$C$10, 2, FALSE)</f>
        <v>1751431.875</v>
      </c>
      <c r="AI53" s="64">
        <f>'Key financial and ops fig.s LCY'!AI53*VLOOKUP(Assumptions!$D$7, Lists!$B$7:$C$10, 2, FALSE)*Assumptions!$D$10/VLOOKUP(Assumptions!$D$9, Lists!$B$7:$C$10, 2, FALSE)</f>
        <v>1738178.25</v>
      </c>
      <c r="AJ53" s="64">
        <f>'Key financial and ops fig.s LCY'!AJ53*VLOOKUP(Assumptions!$D$7, Lists!$B$7:$C$10, 2, FALSE)*Assumptions!$D$10/VLOOKUP(Assumptions!$D$9, Lists!$B$7:$C$10, 2, FALSE)</f>
        <v>1724924.625</v>
      </c>
      <c r="AK53" s="108">
        <f>'Key financial and ops fig.s LCY'!AK53*VLOOKUP(Assumptions!$D$7, Lists!$B$7:$C$10, 2, FALSE)*Assumptions!$D$10/VLOOKUP(Assumptions!$D$9, Lists!$B$7:$C$10, 2, FALSE)</f>
        <v>1711671</v>
      </c>
      <c r="AL53" s="60">
        <f t="shared" ref="AL53:AL60" si="69">SUM(AH53:AK53)</f>
        <v>6926205.75</v>
      </c>
    </row>
    <row r="54" spans="1:38" ht="15.95">
      <c r="A54" s="36"/>
      <c r="B54" s="34" t="s">
        <v>291</v>
      </c>
      <c r="C54" s="56"/>
      <c r="D54" s="63">
        <f>'Key financial and ops fig.s LCY'!D54*VLOOKUP(Assumptions!$D$7, Lists!$B$7:$C$10, 2, FALSE)*Assumptions!$D$10/VLOOKUP(Assumptions!$D$9, Lists!$B$7:$C$10, 2, FALSE)</f>
        <v>23866.875</v>
      </c>
      <c r="E54" s="64">
        <f>'Key financial and ops fig.s LCY'!E54*VLOOKUP(Assumptions!$D$7, Lists!$B$7:$C$10, 2, FALSE)*Assumptions!$D$10/VLOOKUP(Assumptions!$D$9, Lists!$B$7:$C$10, 2, FALSE)</f>
        <v>91867.5</v>
      </c>
      <c r="F54" s="64">
        <f>'Key financial and ops fig.s LCY'!F54*VLOOKUP(Assumptions!$D$7, Lists!$B$7:$C$10, 2, FALSE)*Assumptions!$D$10/VLOOKUP(Assumptions!$D$9, Lists!$B$7:$C$10, 2, FALSE)</f>
        <v>159001.875</v>
      </c>
      <c r="G54" s="108">
        <f>'Key financial and ops fig.s LCY'!G54*VLOOKUP(Assumptions!$D$7, Lists!$B$7:$C$10, 2, FALSE)*Assumptions!$D$10/VLOOKUP(Assumptions!$D$9, Lists!$B$7:$C$10, 2, FALSE)</f>
        <v>225270</v>
      </c>
      <c r="H54" s="97">
        <f t="shared" si="63"/>
        <v>500006.25</v>
      </c>
      <c r="I54" s="63">
        <f>'Key financial and ops fig.s LCY'!I54*VLOOKUP(Assumptions!$D$7, Lists!$B$7:$C$10, 2, FALSE)*Assumptions!$D$10/VLOOKUP(Assumptions!$D$9, Lists!$B$7:$C$10, 2, FALSE)</f>
        <v>290671.875</v>
      </c>
      <c r="J54" s="64">
        <f>'Key financial and ops fig.s LCY'!J54*VLOOKUP(Assumptions!$D$7, Lists!$B$7:$C$10, 2, FALSE)*Assumptions!$D$10/VLOOKUP(Assumptions!$D$9, Lists!$B$7:$C$10, 2, FALSE)</f>
        <v>355207.5</v>
      </c>
      <c r="K54" s="64">
        <f>'Key financial and ops fig.s LCY'!K54*VLOOKUP(Assumptions!$D$7, Lists!$B$7:$C$10, 2, FALSE)*Assumptions!$D$10/VLOOKUP(Assumptions!$D$9, Lists!$B$7:$C$10, 2, FALSE)</f>
        <v>418876.875</v>
      </c>
      <c r="L54" s="108">
        <f>'Key financial and ops fig.s LCY'!L54*VLOOKUP(Assumptions!$D$7, Lists!$B$7:$C$10, 2, FALSE)*Assumptions!$D$10/VLOOKUP(Assumptions!$D$9, Lists!$B$7:$C$10, 2, FALSE)</f>
        <v>481680</v>
      </c>
      <c r="M54" s="97">
        <f t="shared" si="64"/>
        <v>1546436.25</v>
      </c>
      <c r="N54" s="63">
        <f>'Key financial and ops fig.s LCY'!N54*VLOOKUP(Assumptions!$D$7, Lists!$B$7:$C$10, 2, FALSE)*Assumptions!$D$10/VLOOKUP(Assumptions!$D$9, Lists!$B$7:$C$10, 2, FALSE)</f>
        <v>543616.875</v>
      </c>
      <c r="O54" s="64">
        <f>'Key financial and ops fig.s LCY'!O54*VLOOKUP(Assumptions!$D$7, Lists!$B$7:$C$10, 2, FALSE)*Assumptions!$D$10/VLOOKUP(Assumptions!$D$9, Lists!$B$7:$C$10, 2, FALSE)</f>
        <v>604687.5</v>
      </c>
      <c r="P54" s="64">
        <f>'Key financial and ops fig.s LCY'!P54*VLOOKUP(Assumptions!$D$7, Lists!$B$7:$C$10, 2, FALSE)*Assumptions!$D$10/VLOOKUP(Assumptions!$D$9, Lists!$B$7:$C$10, 2, FALSE)</f>
        <v>664891.875</v>
      </c>
      <c r="Q54" s="108">
        <f>'Key financial and ops fig.s LCY'!Q54*VLOOKUP(Assumptions!$D$7, Lists!$B$7:$C$10, 2, FALSE)*Assumptions!$D$10/VLOOKUP(Assumptions!$D$9, Lists!$B$7:$C$10, 2, FALSE)</f>
        <v>724230</v>
      </c>
      <c r="R54" s="97">
        <f t="shared" si="65"/>
        <v>2537426.25</v>
      </c>
      <c r="S54" s="63">
        <f>'Key financial and ops fig.s LCY'!S54*VLOOKUP(Assumptions!$D$7, Lists!$B$7:$C$10, 2, FALSE)*Assumptions!$D$10/VLOOKUP(Assumptions!$D$9, Lists!$B$7:$C$10, 2, FALSE)</f>
        <v>782701.875</v>
      </c>
      <c r="T54" s="64">
        <f>'Key financial and ops fig.s LCY'!T54*VLOOKUP(Assumptions!$D$7, Lists!$B$7:$C$10, 2, FALSE)*Assumptions!$D$10/VLOOKUP(Assumptions!$D$9, Lists!$B$7:$C$10, 2, FALSE)</f>
        <v>840307.5</v>
      </c>
      <c r="U54" s="64">
        <f>'Key financial and ops fig.s LCY'!U54*VLOOKUP(Assumptions!$D$7, Lists!$B$7:$C$10, 2, FALSE)*Assumptions!$D$10/VLOOKUP(Assumptions!$D$9, Lists!$B$7:$C$10, 2, FALSE)</f>
        <v>897046.875</v>
      </c>
      <c r="V54" s="108">
        <f>'Key financial and ops fig.s LCY'!V54*VLOOKUP(Assumptions!$D$7, Lists!$B$7:$C$10, 2, FALSE)*Assumptions!$D$10/VLOOKUP(Assumptions!$D$9, Lists!$B$7:$C$10, 2, FALSE)</f>
        <v>952920</v>
      </c>
      <c r="W54" s="97">
        <f t="shared" si="66"/>
        <v>3472976.25</v>
      </c>
      <c r="X54" s="63">
        <f>'Key financial and ops fig.s LCY'!X54*VLOOKUP(Assumptions!$D$7, Lists!$B$7:$C$10, 2, FALSE)*Assumptions!$D$10/VLOOKUP(Assumptions!$D$9, Lists!$B$7:$C$10, 2, FALSE)</f>
        <v>1007926.875</v>
      </c>
      <c r="Y54" s="64">
        <f>'Key financial and ops fig.s LCY'!Y54*VLOOKUP(Assumptions!$D$7, Lists!$B$7:$C$10, 2, FALSE)*Assumptions!$D$10/VLOOKUP(Assumptions!$D$9, Lists!$B$7:$C$10, 2, FALSE)</f>
        <v>1062067.5</v>
      </c>
      <c r="Z54" s="64">
        <f>'Key financial and ops fig.s LCY'!Z54*VLOOKUP(Assumptions!$D$7, Lists!$B$7:$C$10, 2, FALSE)*Assumptions!$D$10/VLOOKUP(Assumptions!$D$9, Lists!$B$7:$C$10, 2, FALSE)</f>
        <v>1115341.875</v>
      </c>
      <c r="AA54" s="108">
        <f>'Key financial and ops fig.s LCY'!AA54*VLOOKUP(Assumptions!$D$7, Lists!$B$7:$C$10, 2, FALSE)*Assumptions!$D$10/VLOOKUP(Assumptions!$D$9, Lists!$B$7:$C$10, 2, FALSE)</f>
        <v>1167750</v>
      </c>
      <c r="AB54" s="97">
        <f t="shared" si="67"/>
        <v>4353086.25</v>
      </c>
      <c r="AC54" s="63">
        <f>'Key financial and ops fig.s LCY'!AC54*VLOOKUP(Assumptions!$D$7, Lists!$B$7:$C$10, 2, FALSE)*Assumptions!$D$10/VLOOKUP(Assumptions!$D$9, Lists!$B$7:$C$10, 2, FALSE)</f>
        <v>1159087.5</v>
      </c>
      <c r="AD54" s="64">
        <f>'Key financial and ops fig.s LCY'!AD54*VLOOKUP(Assumptions!$D$7, Lists!$B$7:$C$10, 2, FALSE)*Assumptions!$D$10/VLOOKUP(Assumptions!$D$9, Lists!$B$7:$C$10, 2, FALSE)</f>
        <v>1150425</v>
      </c>
      <c r="AE54" s="64">
        <f>'Key financial and ops fig.s LCY'!AE54*VLOOKUP(Assumptions!$D$7, Lists!$B$7:$C$10, 2, FALSE)*Assumptions!$D$10/VLOOKUP(Assumptions!$D$9, Lists!$B$7:$C$10, 2, FALSE)</f>
        <v>1141762.5</v>
      </c>
      <c r="AF54" s="108">
        <f>'Key financial and ops fig.s LCY'!AF54*VLOOKUP(Assumptions!$D$7, Lists!$B$7:$C$10, 2, FALSE)*Assumptions!$D$10/VLOOKUP(Assumptions!$D$9, Lists!$B$7:$C$10, 2, FALSE)</f>
        <v>1133100</v>
      </c>
      <c r="AG54" s="97">
        <f t="shared" si="68"/>
        <v>4584375</v>
      </c>
      <c r="AH54" s="63">
        <f>'Key financial and ops fig.s LCY'!AH54*VLOOKUP(Assumptions!$D$7, Lists!$B$7:$C$10, 2, FALSE)*Assumptions!$D$10/VLOOKUP(Assumptions!$D$9, Lists!$B$7:$C$10, 2, FALSE)</f>
        <v>1124437.5</v>
      </c>
      <c r="AI54" s="64">
        <f>'Key financial and ops fig.s LCY'!AI54*VLOOKUP(Assumptions!$D$7, Lists!$B$7:$C$10, 2, FALSE)*Assumptions!$D$10/VLOOKUP(Assumptions!$D$9, Lists!$B$7:$C$10, 2, FALSE)</f>
        <v>1115775</v>
      </c>
      <c r="AJ54" s="64">
        <f>'Key financial and ops fig.s LCY'!AJ54*VLOOKUP(Assumptions!$D$7, Lists!$B$7:$C$10, 2, FALSE)*Assumptions!$D$10/VLOOKUP(Assumptions!$D$9, Lists!$B$7:$C$10, 2, FALSE)</f>
        <v>1107112.5</v>
      </c>
      <c r="AK54" s="108">
        <f>'Key financial and ops fig.s LCY'!AK54*VLOOKUP(Assumptions!$D$7, Lists!$B$7:$C$10, 2, FALSE)*Assumptions!$D$10/VLOOKUP(Assumptions!$D$9, Lists!$B$7:$C$10, 2, FALSE)</f>
        <v>1098450</v>
      </c>
      <c r="AL54" s="60">
        <f t="shared" si="69"/>
        <v>4445775</v>
      </c>
    </row>
    <row r="55" spans="1:38" ht="15.95">
      <c r="A55" s="36"/>
      <c r="B55" s="34" t="s">
        <v>292</v>
      </c>
      <c r="C55" s="56"/>
      <c r="D55" s="63">
        <f>'Key financial and ops fig.s LCY'!D55*VLOOKUP(Assumptions!$D$7, Lists!$B$7:$C$10, 2, FALSE)*Assumptions!$D$10/VLOOKUP(Assumptions!$D$9, Lists!$B$7:$C$10, 2, FALSE)</f>
        <v>-75142.40625</v>
      </c>
      <c r="E55" s="64">
        <f>'Key financial and ops fig.s LCY'!E55*VLOOKUP(Assumptions!$D$7, Lists!$B$7:$C$10, 2, FALSE)*Assumptions!$D$10/VLOOKUP(Assumptions!$D$9, Lists!$B$7:$C$10, 2, FALSE)</f>
        <v>-149339.625</v>
      </c>
      <c r="F55" s="64">
        <f>'Key financial and ops fig.s LCY'!F55*VLOOKUP(Assumptions!$D$7, Lists!$B$7:$C$10, 2, FALSE)*Assumptions!$D$10/VLOOKUP(Assumptions!$D$9, Lists!$B$7:$C$10, 2, FALSE)</f>
        <v>-222591.65625</v>
      </c>
      <c r="G55" s="108">
        <f>'Key financial and ops fig.s LCY'!G55*VLOOKUP(Assumptions!$D$7, Lists!$B$7:$C$10, 2, FALSE)*Assumptions!$D$10/VLOOKUP(Assumptions!$D$9, Lists!$B$7:$C$10, 2, FALSE)</f>
        <v>-294898.5</v>
      </c>
      <c r="H55" s="97">
        <f t="shared" si="63"/>
        <v>-741972.1875</v>
      </c>
      <c r="I55" s="63">
        <f>'Key financial and ops fig.s LCY'!I55*VLOOKUP(Assumptions!$D$7, Lists!$B$7:$C$10, 2, FALSE)*Assumptions!$D$10/VLOOKUP(Assumptions!$D$9, Lists!$B$7:$C$10, 2, FALSE)</f>
        <v>-366260.15625</v>
      </c>
      <c r="J55" s="64">
        <f>'Key financial and ops fig.s LCY'!J55*VLOOKUP(Assumptions!$D$7, Lists!$B$7:$C$10, 2, FALSE)*Assumptions!$D$10/VLOOKUP(Assumptions!$D$9, Lists!$B$7:$C$10, 2, FALSE)</f>
        <v>-436676.625</v>
      </c>
      <c r="K55" s="64">
        <f>'Key financial and ops fig.s LCY'!K55*VLOOKUP(Assumptions!$D$7, Lists!$B$7:$C$10, 2, FALSE)*Assumptions!$D$10/VLOOKUP(Assumptions!$D$9, Lists!$B$7:$C$10, 2, FALSE)</f>
        <v>-506147.90625</v>
      </c>
      <c r="L55" s="108">
        <f>'Key financial and ops fig.s LCY'!L55*VLOOKUP(Assumptions!$D$7, Lists!$B$7:$C$10, 2, FALSE)*Assumptions!$D$10/VLOOKUP(Assumptions!$D$9, Lists!$B$7:$C$10, 2, FALSE)</f>
        <v>-574674</v>
      </c>
      <c r="M55" s="97">
        <f t="shared" si="64"/>
        <v>-1883758.6875</v>
      </c>
      <c r="N55" s="63">
        <f>'Key financial and ops fig.s LCY'!N55*VLOOKUP(Assumptions!$D$7, Lists!$B$7:$C$10, 2, FALSE)*Assumptions!$D$10/VLOOKUP(Assumptions!$D$9, Lists!$B$7:$C$10, 2, FALSE)</f>
        <v>-642254.90625</v>
      </c>
      <c r="O55" s="64">
        <f>'Key financial and ops fig.s LCY'!O55*VLOOKUP(Assumptions!$D$7, Lists!$B$7:$C$10, 2, FALSE)*Assumptions!$D$10/VLOOKUP(Assumptions!$D$9, Lists!$B$7:$C$10, 2, FALSE)</f>
        <v>-708890.625</v>
      </c>
      <c r="P55" s="64">
        <f>'Key financial and ops fig.s LCY'!P55*VLOOKUP(Assumptions!$D$7, Lists!$B$7:$C$10, 2, FALSE)*Assumptions!$D$10/VLOOKUP(Assumptions!$D$9, Lists!$B$7:$C$10, 2, FALSE)</f>
        <v>-774581.15625</v>
      </c>
      <c r="Q55" s="108">
        <f>'Key financial and ops fig.s LCY'!Q55*VLOOKUP(Assumptions!$D$7, Lists!$B$7:$C$10, 2, FALSE)*Assumptions!$D$10/VLOOKUP(Assumptions!$D$9, Lists!$B$7:$C$10, 2, FALSE)</f>
        <v>-839326.5</v>
      </c>
      <c r="R55" s="97">
        <f t="shared" si="65"/>
        <v>-2965053.1875</v>
      </c>
      <c r="S55" s="63">
        <f>'Key financial and ops fig.s LCY'!S55*VLOOKUP(Assumptions!$D$7, Lists!$B$7:$C$10, 2, FALSE)*Assumptions!$D$10/VLOOKUP(Assumptions!$D$9, Lists!$B$7:$C$10, 2, FALSE)</f>
        <v>-903126.65625</v>
      </c>
      <c r="T55" s="64">
        <f>'Key financial and ops fig.s LCY'!T55*VLOOKUP(Assumptions!$D$7, Lists!$B$7:$C$10, 2, FALSE)*Assumptions!$D$10/VLOOKUP(Assumptions!$D$9, Lists!$B$7:$C$10, 2, FALSE)</f>
        <v>-965981.625</v>
      </c>
      <c r="U55" s="64">
        <f>'Key financial and ops fig.s LCY'!U55*VLOOKUP(Assumptions!$D$7, Lists!$B$7:$C$10, 2, FALSE)*Assumptions!$D$10/VLOOKUP(Assumptions!$D$9, Lists!$B$7:$C$10, 2, FALSE)</f>
        <v>-1027891.40625</v>
      </c>
      <c r="V55" s="108">
        <f>'Key financial and ops fig.s LCY'!V55*VLOOKUP(Assumptions!$D$7, Lists!$B$7:$C$10, 2, FALSE)*Assumptions!$D$10/VLOOKUP(Assumptions!$D$9, Lists!$B$7:$C$10, 2, FALSE)</f>
        <v>-1088856</v>
      </c>
      <c r="W55" s="97">
        <f t="shared" si="66"/>
        <v>-3985855.6875</v>
      </c>
      <c r="X55" s="63">
        <f>'Key financial and ops fig.s LCY'!X55*VLOOKUP(Assumptions!$D$7, Lists!$B$7:$C$10, 2, FALSE)*Assumptions!$D$10/VLOOKUP(Assumptions!$D$9, Lists!$B$7:$C$10, 2, FALSE)</f>
        <v>-1148875.40625</v>
      </c>
      <c r="Y55" s="64">
        <f>'Key financial and ops fig.s LCY'!Y55*VLOOKUP(Assumptions!$D$7, Lists!$B$7:$C$10, 2, FALSE)*Assumptions!$D$10/VLOOKUP(Assumptions!$D$9, Lists!$B$7:$C$10, 2, FALSE)</f>
        <v>-1207949.625</v>
      </c>
      <c r="Z55" s="64">
        <f>'Key financial and ops fig.s LCY'!Z55*VLOOKUP(Assumptions!$D$7, Lists!$B$7:$C$10, 2, FALSE)*Assumptions!$D$10/VLOOKUP(Assumptions!$D$9, Lists!$B$7:$C$10, 2, FALSE)</f>
        <v>-1266078.65625</v>
      </c>
      <c r="AA55" s="108">
        <f>'Key financial and ops fig.s LCY'!AA55*VLOOKUP(Assumptions!$D$7, Lists!$B$7:$C$10, 2, FALSE)*Assumptions!$D$10/VLOOKUP(Assumptions!$D$9, Lists!$B$7:$C$10, 2, FALSE)</f>
        <v>-1323262.5</v>
      </c>
      <c r="AB55" s="97">
        <f t="shared" si="67"/>
        <v>-4946166.1875</v>
      </c>
      <c r="AC55" s="63">
        <f>'Key financial and ops fig.s LCY'!AC55*VLOOKUP(Assumptions!$D$7, Lists!$B$7:$C$10, 2, FALSE)*Assumptions!$D$10/VLOOKUP(Assumptions!$D$9, Lists!$B$7:$C$10, 2, FALSE)</f>
        <v>-1313810.625</v>
      </c>
      <c r="AD55" s="64">
        <f>'Key financial and ops fig.s LCY'!AD55*VLOOKUP(Assumptions!$D$7, Lists!$B$7:$C$10, 2, FALSE)*Assumptions!$D$10/VLOOKUP(Assumptions!$D$9, Lists!$B$7:$C$10, 2, FALSE)</f>
        <v>-1304358.75</v>
      </c>
      <c r="AE55" s="64">
        <f>'Key financial and ops fig.s LCY'!AE55*VLOOKUP(Assumptions!$D$7, Lists!$B$7:$C$10, 2, FALSE)*Assumptions!$D$10/VLOOKUP(Assumptions!$D$9, Lists!$B$7:$C$10, 2, FALSE)</f>
        <v>-1294906.875</v>
      </c>
      <c r="AF55" s="108">
        <f>'Key financial and ops fig.s LCY'!AF55*VLOOKUP(Assumptions!$D$7, Lists!$B$7:$C$10, 2, FALSE)*Assumptions!$D$10/VLOOKUP(Assumptions!$D$9, Lists!$B$7:$C$10, 2, FALSE)</f>
        <v>-1285455</v>
      </c>
      <c r="AG55" s="97">
        <f t="shared" si="68"/>
        <v>-5198531.25</v>
      </c>
      <c r="AH55" s="63">
        <f>'Key financial and ops fig.s LCY'!AH55*VLOOKUP(Assumptions!$D$7, Lists!$B$7:$C$10, 2, FALSE)*Assumptions!$D$10/VLOOKUP(Assumptions!$D$9, Lists!$B$7:$C$10, 2, FALSE)</f>
        <v>-1276003.125</v>
      </c>
      <c r="AI55" s="64">
        <f>'Key financial and ops fig.s LCY'!AI55*VLOOKUP(Assumptions!$D$7, Lists!$B$7:$C$10, 2, FALSE)*Assumptions!$D$10/VLOOKUP(Assumptions!$D$9, Lists!$B$7:$C$10, 2, FALSE)</f>
        <v>-1266551.25</v>
      </c>
      <c r="AJ55" s="64">
        <f>'Key financial and ops fig.s LCY'!AJ55*VLOOKUP(Assumptions!$D$7, Lists!$B$7:$C$10, 2, FALSE)*Assumptions!$D$10/VLOOKUP(Assumptions!$D$9, Lists!$B$7:$C$10, 2, FALSE)</f>
        <v>-1257099.375</v>
      </c>
      <c r="AK55" s="108">
        <f>'Key financial and ops fig.s LCY'!AK55*VLOOKUP(Assumptions!$D$7, Lists!$B$7:$C$10, 2, FALSE)*Assumptions!$D$10/VLOOKUP(Assumptions!$D$9, Lists!$B$7:$C$10, 2, FALSE)</f>
        <v>-1247647.5</v>
      </c>
      <c r="AL55" s="60">
        <f t="shared" si="69"/>
        <v>-5047301.25</v>
      </c>
    </row>
    <row r="56" spans="1:38" ht="15.95">
      <c r="A56" s="36"/>
      <c r="B56" s="34" t="s">
        <v>293</v>
      </c>
      <c r="C56" s="56"/>
      <c r="D56" s="63">
        <f>'Key financial and ops fig.s LCY'!D56*VLOOKUP(Assumptions!$D$7, Lists!$B$7:$C$10, 2, FALSE)*Assumptions!$D$10/VLOOKUP(Assumptions!$D$9, Lists!$B$7:$C$10, 2, FALSE)</f>
        <v>-93000</v>
      </c>
      <c r="E56" s="64">
        <f>'Key financial and ops fig.s LCY'!E56*VLOOKUP(Assumptions!$D$7, Lists!$B$7:$C$10, 2, FALSE)*Assumptions!$D$10/VLOOKUP(Assumptions!$D$9, Lists!$B$7:$C$10, 2, FALSE)</f>
        <v>-162000</v>
      </c>
      <c r="F56" s="64">
        <f>'Key financial and ops fig.s LCY'!F56*VLOOKUP(Assumptions!$D$7, Lists!$B$7:$C$10, 2, FALSE)*Assumptions!$D$10/VLOOKUP(Assumptions!$D$9, Lists!$B$7:$C$10, 2, FALSE)</f>
        <v>-231000</v>
      </c>
      <c r="G56" s="108">
        <f>'Key financial and ops fig.s LCY'!G56*VLOOKUP(Assumptions!$D$7, Lists!$B$7:$C$10, 2, FALSE)*Assumptions!$D$10/VLOOKUP(Assumptions!$D$9, Lists!$B$7:$C$10, 2, FALSE)</f>
        <v>-313500</v>
      </c>
      <c r="H56" s="97">
        <f t="shared" si="63"/>
        <v>-799500</v>
      </c>
      <c r="I56" s="63">
        <f>'Key financial and ops fig.s LCY'!I56*VLOOKUP(Assumptions!$D$7, Lists!$B$7:$C$10, 2, FALSE)*Assumptions!$D$10/VLOOKUP(Assumptions!$D$9, Lists!$B$7:$C$10, 2, FALSE)</f>
        <v>-384000</v>
      </c>
      <c r="J56" s="64">
        <f>'Key financial and ops fig.s LCY'!J56*VLOOKUP(Assumptions!$D$7, Lists!$B$7:$C$10, 2, FALSE)*Assumptions!$D$10/VLOOKUP(Assumptions!$D$9, Lists!$B$7:$C$10, 2, FALSE)</f>
        <v>-453000</v>
      </c>
      <c r="K56" s="64">
        <f>'Key financial and ops fig.s LCY'!K56*VLOOKUP(Assumptions!$D$7, Lists!$B$7:$C$10, 2, FALSE)*Assumptions!$D$10/VLOOKUP(Assumptions!$D$9, Lists!$B$7:$C$10, 2, FALSE)</f>
        <v>-517500</v>
      </c>
      <c r="L56" s="108">
        <f>'Key financial and ops fig.s LCY'!L56*VLOOKUP(Assumptions!$D$7, Lists!$B$7:$C$10, 2, FALSE)*Assumptions!$D$10/VLOOKUP(Assumptions!$D$9, Lists!$B$7:$C$10, 2, FALSE)</f>
        <v>-582000</v>
      </c>
      <c r="M56" s="97">
        <f t="shared" si="64"/>
        <v>-1936500</v>
      </c>
      <c r="N56" s="63">
        <f>'Key financial and ops fig.s LCY'!N56*VLOOKUP(Assumptions!$D$7, Lists!$B$7:$C$10, 2, FALSE)*Assumptions!$D$10/VLOOKUP(Assumptions!$D$9, Lists!$B$7:$C$10, 2, FALSE)</f>
        <v>-651000</v>
      </c>
      <c r="O56" s="64">
        <f>'Key financial and ops fig.s LCY'!O56*VLOOKUP(Assumptions!$D$7, Lists!$B$7:$C$10, 2, FALSE)*Assumptions!$D$10/VLOOKUP(Assumptions!$D$9, Lists!$B$7:$C$10, 2, FALSE)</f>
        <v>-715500</v>
      </c>
      <c r="P56" s="64">
        <f>'Key financial and ops fig.s LCY'!P56*VLOOKUP(Assumptions!$D$7, Lists!$B$7:$C$10, 2, FALSE)*Assumptions!$D$10/VLOOKUP(Assumptions!$D$9, Lists!$B$7:$C$10, 2, FALSE)</f>
        <v>-786000</v>
      </c>
      <c r="Q56" s="108">
        <f>'Key financial and ops fig.s LCY'!Q56*VLOOKUP(Assumptions!$D$7, Lists!$B$7:$C$10, 2, FALSE)*Assumptions!$D$10/VLOOKUP(Assumptions!$D$9, Lists!$B$7:$C$10, 2, FALSE)</f>
        <v>-850500</v>
      </c>
      <c r="R56" s="97">
        <f t="shared" si="65"/>
        <v>-3003000</v>
      </c>
      <c r="S56" s="63">
        <f>'Key financial and ops fig.s LCY'!S56*VLOOKUP(Assumptions!$D$7, Lists!$B$7:$C$10, 2, FALSE)*Assumptions!$D$10/VLOOKUP(Assumptions!$D$9, Lists!$B$7:$C$10, 2, FALSE)</f>
        <v>-910500</v>
      </c>
      <c r="T56" s="64">
        <f>'Key financial and ops fig.s LCY'!T56*VLOOKUP(Assumptions!$D$7, Lists!$B$7:$C$10, 2, FALSE)*Assumptions!$D$10/VLOOKUP(Assumptions!$D$9, Lists!$B$7:$C$10, 2, FALSE)</f>
        <v>-975000</v>
      </c>
      <c r="U56" s="64">
        <f>'Key financial and ops fig.s LCY'!U56*VLOOKUP(Assumptions!$D$7, Lists!$B$7:$C$10, 2, FALSE)*Assumptions!$D$10/VLOOKUP(Assumptions!$D$9, Lists!$B$7:$C$10, 2, FALSE)</f>
        <v>-1039500</v>
      </c>
      <c r="V56" s="108">
        <f>'Key financial and ops fig.s LCY'!V56*VLOOKUP(Assumptions!$D$7, Lists!$B$7:$C$10, 2, FALSE)*Assumptions!$D$10/VLOOKUP(Assumptions!$D$9, Lists!$B$7:$C$10, 2, FALSE)</f>
        <v>-1104000</v>
      </c>
      <c r="W56" s="97">
        <f t="shared" si="66"/>
        <v>-4029000</v>
      </c>
      <c r="X56" s="63">
        <f>'Key financial and ops fig.s LCY'!X56*VLOOKUP(Assumptions!$D$7, Lists!$B$7:$C$10, 2, FALSE)*Assumptions!$D$10/VLOOKUP(Assumptions!$D$9, Lists!$B$7:$C$10, 2, FALSE)</f>
        <v>-1164000</v>
      </c>
      <c r="Y56" s="64">
        <f>'Key financial and ops fig.s LCY'!Y56*VLOOKUP(Assumptions!$D$7, Lists!$B$7:$C$10, 2, FALSE)*Assumptions!$D$10/VLOOKUP(Assumptions!$D$9, Lists!$B$7:$C$10, 2, FALSE)</f>
        <v>-1210500</v>
      </c>
      <c r="Z56" s="64">
        <f>'Key financial and ops fig.s LCY'!Z56*VLOOKUP(Assumptions!$D$7, Lists!$B$7:$C$10, 2, FALSE)*Assumptions!$D$10/VLOOKUP(Assumptions!$D$9, Lists!$B$7:$C$10, 2, FALSE)</f>
        <v>-1270500</v>
      </c>
      <c r="AA56" s="108">
        <f>'Key financial and ops fig.s LCY'!AA56*VLOOKUP(Assumptions!$D$7, Lists!$B$7:$C$10, 2, FALSE)*Assumptions!$D$10/VLOOKUP(Assumptions!$D$9, Lists!$B$7:$C$10, 2, FALSE)</f>
        <v>-1335000</v>
      </c>
      <c r="AB56" s="97">
        <f t="shared" si="67"/>
        <v>-4980000</v>
      </c>
      <c r="AC56" s="63">
        <f>'Key financial and ops fig.s LCY'!AC56*VLOOKUP(Assumptions!$D$7, Lists!$B$7:$C$10, 2, FALSE)*Assumptions!$D$10/VLOOKUP(Assumptions!$D$9, Lists!$B$7:$C$10, 2, FALSE)</f>
        <v>-1330500</v>
      </c>
      <c r="AD56" s="64">
        <f>'Key financial and ops fig.s LCY'!AD56*VLOOKUP(Assumptions!$D$7, Lists!$B$7:$C$10, 2, FALSE)*Assumptions!$D$10/VLOOKUP(Assumptions!$D$9, Lists!$B$7:$C$10, 2, FALSE)</f>
        <v>-1302000</v>
      </c>
      <c r="AE56" s="64">
        <f>'Key financial and ops fig.s LCY'!AE56*VLOOKUP(Assumptions!$D$7, Lists!$B$7:$C$10, 2, FALSE)*Assumptions!$D$10/VLOOKUP(Assumptions!$D$9, Lists!$B$7:$C$10, 2, FALSE)</f>
        <v>-1297500</v>
      </c>
      <c r="AF56" s="108">
        <f>'Key financial and ops fig.s LCY'!AF56*VLOOKUP(Assumptions!$D$7, Lists!$B$7:$C$10, 2, FALSE)*Assumptions!$D$10/VLOOKUP(Assumptions!$D$9, Lists!$B$7:$C$10, 2, FALSE)</f>
        <v>-1297500</v>
      </c>
      <c r="AG56" s="97">
        <f t="shared" si="68"/>
        <v>-5227500</v>
      </c>
      <c r="AH56" s="63">
        <f>'Key financial and ops fig.s LCY'!AH56*VLOOKUP(Assumptions!$D$7, Lists!$B$7:$C$10, 2, FALSE)*Assumptions!$D$10/VLOOKUP(Assumptions!$D$9, Lists!$B$7:$C$10, 2, FALSE)</f>
        <v>-1275000</v>
      </c>
      <c r="AI56" s="64">
        <f>'Key financial and ops fig.s LCY'!AI56*VLOOKUP(Assumptions!$D$7, Lists!$B$7:$C$10, 2, FALSE)*Assumptions!$D$10/VLOOKUP(Assumptions!$D$9, Lists!$B$7:$C$10, 2, FALSE)</f>
        <v>-1270500</v>
      </c>
      <c r="AJ56" s="64">
        <f>'Key financial and ops fig.s LCY'!AJ56*VLOOKUP(Assumptions!$D$7, Lists!$B$7:$C$10, 2, FALSE)*Assumptions!$D$10/VLOOKUP(Assumptions!$D$9, Lists!$B$7:$C$10, 2, FALSE)</f>
        <v>-1270500</v>
      </c>
      <c r="AK56" s="108">
        <f>'Key financial and ops fig.s LCY'!AK56*VLOOKUP(Assumptions!$D$7, Lists!$B$7:$C$10, 2, FALSE)*Assumptions!$D$10/VLOOKUP(Assumptions!$D$9, Lists!$B$7:$C$10, 2, FALSE)</f>
        <v>-1260000</v>
      </c>
      <c r="AL56" s="60">
        <f t="shared" si="69"/>
        <v>-5076000</v>
      </c>
    </row>
    <row r="57" spans="1:38" ht="15.95">
      <c r="A57" s="36"/>
      <c r="B57" s="34" t="s">
        <v>294</v>
      </c>
      <c r="C57" s="56"/>
      <c r="D57" s="63">
        <f>'Key financial and ops fig.s LCY'!D57*VLOOKUP(Assumptions!$D$7, Lists!$B$7:$C$10, 2, FALSE)*Assumptions!$D$10/VLOOKUP(Assumptions!$D$9, Lists!$B$7:$C$10, 2, FALSE)</f>
        <v>-1499613.375</v>
      </c>
      <c r="E57" s="64">
        <f>'Key financial and ops fig.s LCY'!E57*VLOOKUP(Assumptions!$D$7, Lists!$B$7:$C$10, 2, FALSE)*Assumptions!$D$10/VLOOKUP(Assumptions!$D$9, Lists!$B$7:$C$10, 2, FALSE)</f>
        <v>-1296913.5</v>
      </c>
      <c r="F57" s="64">
        <f>'Key financial and ops fig.s LCY'!F57*VLOOKUP(Assumptions!$D$7, Lists!$B$7:$C$10, 2, FALSE)*Assumptions!$D$10/VLOOKUP(Assumptions!$D$9, Lists!$B$7:$C$10, 2, FALSE)</f>
        <v>-1146660.375</v>
      </c>
      <c r="G57" s="108">
        <f>'Key financial and ops fig.s LCY'!G57*VLOOKUP(Assumptions!$D$7, Lists!$B$7:$C$10, 2, FALSE)*Assumptions!$D$10/VLOOKUP(Assumptions!$D$9, Lists!$B$7:$C$10, 2, FALSE)</f>
        <v>-996234</v>
      </c>
      <c r="H57" s="97">
        <f t="shared" si="63"/>
        <v>-4939421.25</v>
      </c>
      <c r="I57" s="63">
        <f>'Key financial and ops fig.s LCY'!I57*VLOOKUP(Assumptions!$D$7, Lists!$B$7:$C$10, 2, FALSE)*Assumptions!$D$10/VLOOKUP(Assumptions!$D$9, Lists!$B$7:$C$10, 2, FALSE)</f>
        <v>-845634.375</v>
      </c>
      <c r="J57" s="64">
        <f>'Key financial and ops fig.s LCY'!J57*VLOOKUP(Assumptions!$D$7, Lists!$B$7:$C$10, 2, FALSE)*Assumptions!$D$10/VLOOKUP(Assumptions!$D$9, Lists!$B$7:$C$10, 2, FALSE)</f>
        <v>-694861.5</v>
      </c>
      <c r="K57" s="64">
        <f>'Key financial and ops fig.s LCY'!K57*VLOOKUP(Assumptions!$D$7, Lists!$B$7:$C$10, 2, FALSE)*Assumptions!$D$10/VLOOKUP(Assumptions!$D$9, Lists!$B$7:$C$10, 2, FALSE)</f>
        <v>-543915.375</v>
      </c>
      <c r="L57" s="108">
        <f>'Key financial and ops fig.s LCY'!L57*VLOOKUP(Assumptions!$D$7, Lists!$B$7:$C$10, 2, FALSE)*Assumptions!$D$10/VLOOKUP(Assumptions!$D$9, Lists!$B$7:$C$10, 2, FALSE)</f>
        <v>-478236</v>
      </c>
      <c r="M57" s="97">
        <f t="shared" si="64"/>
        <v>-2562647.25</v>
      </c>
      <c r="N57" s="63">
        <f>'Key financial and ops fig.s LCY'!N57*VLOOKUP(Assumptions!$D$7, Lists!$B$7:$C$10, 2, FALSE)*Assumptions!$D$10/VLOOKUP(Assumptions!$D$9, Lists!$B$7:$C$10, 2, FALSE)</f>
        <v>-507123.375</v>
      </c>
      <c r="O57" s="64">
        <f>'Key financial and ops fig.s LCY'!O57*VLOOKUP(Assumptions!$D$7, Lists!$B$7:$C$10, 2, FALSE)*Assumptions!$D$10/VLOOKUP(Assumptions!$D$9, Lists!$B$7:$C$10, 2, FALSE)</f>
        <v>-535837.5</v>
      </c>
      <c r="P57" s="64">
        <f>'Key financial and ops fig.s LCY'!P57*VLOOKUP(Assumptions!$D$7, Lists!$B$7:$C$10, 2, FALSE)*Assumptions!$D$10/VLOOKUP(Assumptions!$D$9, Lists!$B$7:$C$10, 2, FALSE)</f>
        <v>-564378.375</v>
      </c>
      <c r="Q57" s="108">
        <f>'Key financial and ops fig.s LCY'!Q57*VLOOKUP(Assumptions!$D$7, Lists!$B$7:$C$10, 2, FALSE)*Assumptions!$D$10/VLOOKUP(Assumptions!$D$9, Lists!$B$7:$C$10, 2, FALSE)</f>
        <v>-592746</v>
      </c>
      <c r="R57" s="97">
        <f t="shared" si="65"/>
        <v>-2200085.25</v>
      </c>
      <c r="S57" s="63">
        <f>'Key financial and ops fig.s LCY'!S57*VLOOKUP(Assumptions!$D$7, Lists!$B$7:$C$10, 2, FALSE)*Assumptions!$D$10/VLOOKUP(Assumptions!$D$9, Lists!$B$7:$C$10, 2, FALSE)</f>
        <v>-620940.375</v>
      </c>
      <c r="T57" s="64">
        <f>'Key financial and ops fig.s LCY'!T57*VLOOKUP(Assumptions!$D$7, Lists!$B$7:$C$10, 2, FALSE)*Assumptions!$D$10/VLOOKUP(Assumptions!$D$9, Lists!$B$7:$C$10, 2, FALSE)</f>
        <v>-648961.5</v>
      </c>
      <c r="U57" s="64">
        <f>'Key financial and ops fig.s LCY'!U57*VLOOKUP(Assumptions!$D$7, Lists!$B$7:$C$10, 2, FALSE)*Assumptions!$D$10/VLOOKUP(Assumptions!$D$9, Lists!$B$7:$C$10, 2, FALSE)</f>
        <v>-676809.375</v>
      </c>
      <c r="V57" s="108">
        <f>'Key financial and ops fig.s LCY'!V57*VLOOKUP(Assumptions!$D$7, Lists!$B$7:$C$10, 2, FALSE)*Assumptions!$D$10/VLOOKUP(Assumptions!$D$9, Lists!$B$7:$C$10, 2, FALSE)</f>
        <v>-704484</v>
      </c>
      <c r="W57" s="97">
        <f t="shared" si="66"/>
        <v>-2651195.25</v>
      </c>
      <c r="X57" s="63">
        <f>'Key financial and ops fig.s LCY'!X57*VLOOKUP(Assumptions!$D$7, Lists!$B$7:$C$10, 2, FALSE)*Assumptions!$D$10/VLOOKUP(Assumptions!$D$9, Lists!$B$7:$C$10, 2, FALSE)</f>
        <v>-731985.375</v>
      </c>
      <c r="Y57" s="64">
        <f>'Key financial and ops fig.s LCY'!Y57*VLOOKUP(Assumptions!$D$7, Lists!$B$7:$C$10, 2, FALSE)*Assumptions!$D$10/VLOOKUP(Assumptions!$D$9, Lists!$B$7:$C$10, 2, FALSE)</f>
        <v>-759313.5</v>
      </c>
      <c r="Z57" s="64">
        <f>'Key financial and ops fig.s LCY'!Z57*VLOOKUP(Assumptions!$D$7, Lists!$B$7:$C$10, 2, FALSE)*Assumptions!$D$10/VLOOKUP(Assumptions!$D$9, Lists!$B$7:$C$10, 2, FALSE)</f>
        <v>-786468.375</v>
      </c>
      <c r="AA57" s="108">
        <f>'Key financial and ops fig.s LCY'!AA57*VLOOKUP(Assumptions!$D$7, Lists!$B$7:$C$10, 2, FALSE)*Assumptions!$D$10/VLOOKUP(Assumptions!$D$9, Lists!$B$7:$C$10, 2, FALSE)</f>
        <v>-813450</v>
      </c>
      <c r="AB57" s="97">
        <f t="shared" si="67"/>
        <v>-3091217.25</v>
      </c>
      <c r="AC57" s="63">
        <f>'Key financial and ops fig.s LCY'!AC57*VLOOKUP(Assumptions!$D$7, Lists!$B$7:$C$10, 2, FALSE)*Assumptions!$D$10/VLOOKUP(Assumptions!$D$9, Lists!$B$7:$C$10, 2, FALSE)</f>
        <v>-737317.5</v>
      </c>
      <c r="AD57" s="64">
        <f>'Key financial and ops fig.s LCY'!AD57*VLOOKUP(Assumptions!$D$7, Lists!$B$7:$C$10, 2, FALSE)*Assumptions!$D$10/VLOOKUP(Assumptions!$D$9, Lists!$B$7:$C$10, 2, FALSE)</f>
        <v>-719085</v>
      </c>
      <c r="AE57" s="64">
        <f>'Key financial and ops fig.s LCY'!AE57*VLOOKUP(Assumptions!$D$7, Lists!$B$7:$C$10, 2, FALSE)*Assumptions!$D$10/VLOOKUP(Assumptions!$D$9, Lists!$B$7:$C$10, 2, FALSE)</f>
        <v>-717352.5</v>
      </c>
      <c r="AF57" s="108">
        <f>'Key financial and ops fig.s LCY'!AF57*VLOOKUP(Assumptions!$D$7, Lists!$B$7:$C$10, 2, FALSE)*Assumptions!$D$10/VLOOKUP(Assumptions!$D$9, Lists!$B$7:$C$10, 2, FALSE)</f>
        <v>-715620</v>
      </c>
      <c r="AG57" s="97">
        <f t="shared" si="68"/>
        <v>-2889375</v>
      </c>
      <c r="AH57" s="63">
        <f>'Key financial and ops fig.s LCY'!AH57*VLOOKUP(Assumptions!$D$7, Lists!$B$7:$C$10, 2, FALSE)*Assumptions!$D$10/VLOOKUP(Assumptions!$D$9, Lists!$B$7:$C$10, 2, FALSE)</f>
        <v>-713887.5</v>
      </c>
      <c r="AI57" s="64">
        <f>'Key financial and ops fig.s LCY'!AI57*VLOOKUP(Assumptions!$D$7, Lists!$B$7:$C$10, 2, FALSE)*Assumptions!$D$10/VLOOKUP(Assumptions!$D$9, Lists!$B$7:$C$10, 2, FALSE)</f>
        <v>-712155</v>
      </c>
      <c r="AJ57" s="64">
        <f>'Key financial and ops fig.s LCY'!AJ57*VLOOKUP(Assumptions!$D$7, Lists!$B$7:$C$10, 2, FALSE)*Assumptions!$D$10/VLOOKUP(Assumptions!$D$9, Lists!$B$7:$C$10, 2, FALSE)</f>
        <v>-710422.5</v>
      </c>
      <c r="AK57" s="108">
        <f>'Key financial and ops fig.s LCY'!AK57*VLOOKUP(Assumptions!$D$7, Lists!$B$7:$C$10, 2, FALSE)*Assumptions!$D$10/VLOOKUP(Assumptions!$D$9, Lists!$B$7:$C$10, 2, FALSE)</f>
        <v>-708690</v>
      </c>
      <c r="AL57" s="60">
        <f t="shared" si="69"/>
        <v>-2845155</v>
      </c>
    </row>
    <row r="58" spans="1:38" ht="15.95">
      <c r="A58" s="36"/>
      <c r="B58" s="34" t="s">
        <v>295</v>
      </c>
      <c r="C58" s="56"/>
      <c r="D58" s="63">
        <f>'Key financial and ops fig.s LCY'!D58*VLOOKUP(Assumptions!$D$7, Lists!$B$7:$C$10, 2, FALSE)*Assumptions!$D$10/VLOOKUP(Assumptions!$D$9, Lists!$B$7:$C$10, 2, FALSE)</f>
        <v>-3265200</v>
      </c>
      <c r="E58" s="64">
        <f>'Key financial and ops fig.s LCY'!E58*VLOOKUP(Assumptions!$D$7, Lists!$B$7:$C$10, 2, FALSE)*Assumptions!$D$10/VLOOKUP(Assumptions!$D$9, Lists!$B$7:$C$10, 2, FALSE)</f>
        <v>-139800</v>
      </c>
      <c r="F58" s="64">
        <f>'Key financial and ops fig.s LCY'!F58*VLOOKUP(Assumptions!$D$7, Lists!$B$7:$C$10, 2, FALSE)*Assumptions!$D$10/VLOOKUP(Assumptions!$D$9, Lists!$B$7:$C$10, 2, FALSE)</f>
        <v>-139800</v>
      </c>
      <c r="G58" s="108">
        <f>'Key financial and ops fig.s LCY'!G58*VLOOKUP(Assumptions!$D$7, Lists!$B$7:$C$10, 2, FALSE)*Assumptions!$D$10/VLOOKUP(Assumptions!$D$9, Lists!$B$7:$C$10, 2, FALSE)</f>
        <v>-141600</v>
      </c>
      <c r="H58" s="97">
        <f t="shared" si="63"/>
        <v>-3686400</v>
      </c>
      <c r="I58" s="63">
        <f>'Key financial and ops fig.s LCY'!I58*VLOOKUP(Assumptions!$D$7, Lists!$B$7:$C$10, 2, FALSE)*Assumptions!$D$10/VLOOKUP(Assumptions!$D$9, Lists!$B$7:$C$10, 2, FALSE)</f>
        <v>-139800</v>
      </c>
      <c r="J58" s="64">
        <f>'Key financial and ops fig.s LCY'!J58*VLOOKUP(Assumptions!$D$7, Lists!$B$7:$C$10, 2, FALSE)*Assumptions!$D$10/VLOOKUP(Assumptions!$D$9, Lists!$B$7:$C$10, 2, FALSE)</f>
        <v>-139800</v>
      </c>
      <c r="K58" s="64">
        <f>'Key financial and ops fig.s LCY'!K58*VLOOKUP(Assumptions!$D$7, Lists!$B$7:$C$10, 2, FALSE)*Assumptions!$D$10/VLOOKUP(Assumptions!$D$9, Lists!$B$7:$C$10, 2, FALSE)</f>
        <v>-138000</v>
      </c>
      <c r="L58" s="108">
        <f>'Key financial and ops fig.s LCY'!L58*VLOOKUP(Assumptions!$D$7, Lists!$B$7:$C$10, 2, FALSE)*Assumptions!$D$10/VLOOKUP(Assumptions!$D$9, Lists!$B$7:$C$10, 2, FALSE)</f>
        <v>-138000</v>
      </c>
      <c r="M58" s="97">
        <f t="shared" si="64"/>
        <v>-555600</v>
      </c>
      <c r="N58" s="63">
        <f>'Key financial and ops fig.s LCY'!N58*VLOOKUP(Assumptions!$D$7, Lists!$B$7:$C$10, 2, FALSE)*Assumptions!$D$10/VLOOKUP(Assumptions!$D$9, Lists!$B$7:$C$10, 2, FALSE)</f>
        <v>-139800</v>
      </c>
      <c r="O58" s="64">
        <f>'Key financial and ops fig.s LCY'!O58*VLOOKUP(Assumptions!$D$7, Lists!$B$7:$C$10, 2, FALSE)*Assumptions!$D$10/VLOOKUP(Assumptions!$D$9, Lists!$B$7:$C$10, 2, FALSE)</f>
        <v>-138000</v>
      </c>
      <c r="P58" s="64">
        <f>'Key financial and ops fig.s LCY'!P58*VLOOKUP(Assumptions!$D$7, Lists!$B$7:$C$10, 2, FALSE)*Assumptions!$D$10/VLOOKUP(Assumptions!$D$9, Lists!$B$7:$C$10, 2, FALSE)</f>
        <v>-139800</v>
      </c>
      <c r="Q58" s="108">
        <f>'Key financial and ops fig.s LCY'!Q58*VLOOKUP(Assumptions!$D$7, Lists!$B$7:$C$10, 2, FALSE)*Assumptions!$D$10/VLOOKUP(Assumptions!$D$9, Lists!$B$7:$C$10, 2, FALSE)</f>
        <v>-138000</v>
      </c>
      <c r="R58" s="97">
        <f t="shared" si="65"/>
        <v>-555600</v>
      </c>
      <c r="S58" s="63">
        <f>'Key financial and ops fig.s LCY'!S58*VLOOKUP(Assumptions!$D$7, Lists!$B$7:$C$10, 2, FALSE)*Assumptions!$D$10/VLOOKUP(Assumptions!$D$9, Lists!$B$7:$C$10, 2, FALSE)</f>
        <v>-136200</v>
      </c>
      <c r="T58" s="64">
        <f>'Key financial and ops fig.s LCY'!T58*VLOOKUP(Assumptions!$D$7, Lists!$B$7:$C$10, 2, FALSE)*Assumptions!$D$10/VLOOKUP(Assumptions!$D$9, Lists!$B$7:$C$10, 2, FALSE)</f>
        <v>-138000</v>
      </c>
      <c r="U58" s="64">
        <f>'Key financial and ops fig.s LCY'!U58*VLOOKUP(Assumptions!$D$7, Lists!$B$7:$C$10, 2, FALSE)*Assumptions!$D$10/VLOOKUP(Assumptions!$D$9, Lists!$B$7:$C$10, 2, FALSE)</f>
        <v>-138000</v>
      </c>
      <c r="V58" s="108">
        <f>'Key financial and ops fig.s LCY'!V58*VLOOKUP(Assumptions!$D$7, Lists!$B$7:$C$10, 2, FALSE)*Assumptions!$D$10/VLOOKUP(Assumptions!$D$9, Lists!$B$7:$C$10, 2, FALSE)</f>
        <v>-138000</v>
      </c>
      <c r="W58" s="97">
        <f t="shared" si="66"/>
        <v>-550200</v>
      </c>
      <c r="X58" s="63">
        <f>'Key financial and ops fig.s LCY'!X58*VLOOKUP(Assumptions!$D$7, Lists!$B$7:$C$10, 2, FALSE)*Assumptions!$D$10/VLOOKUP(Assumptions!$D$9, Lists!$B$7:$C$10, 2, FALSE)</f>
        <v>-136200</v>
      </c>
      <c r="Y58" s="64">
        <f>'Key financial and ops fig.s LCY'!Y58*VLOOKUP(Assumptions!$D$7, Lists!$B$7:$C$10, 2, FALSE)*Assumptions!$D$10/VLOOKUP(Assumptions!$D$9, Lists!$B$7:$C$10, 2, FALSE)</f>
        <v>-134400</v>
      </c>
      <c r="Z58" s="64">
        <f>'Key financial and ops fig.s LCY'!Z58*VLOOKUP(Assumptions!$D$7, Lists!$B$7:$C$10, 2, FALSE)*Assumptions!$D$10/VLOOKUP(Assumptions!$D$9, Lists!$B$7:$C$10, 2, FALSE)</f>
        <v>-136200</v>
      </c>
      <c r="AA58" s="108">
        <f>'Key financial and ops fig.s LCY'!AA58*VLOOKUP(Assumptions!$D$7, Lists!$B$7:$C$10, 2, FALSE)*Assumptions!$D$10/VLOOKUP(Assumptions!$D$9, Lists!$B$7:$C$10, 2, FALSE)</f>
        <v>-138000</v>
      </c>
      <c r="AB58" s="97">
        <f t="shared" si="67"/>
        <v>-544800</v>
      </c>
      <c r="AC58" s="63">
        <f>'Key financial and ops fig.s LCY'!AC58*VLOOKUP(Assumptions!$D$7, Lists!$B$7:$C$10, 2, FALSE)*Assumptions!$D$10/VLOOKUP(Assumptions!$D$9, Lists!$B$7:$C$10, 2, FALSE)</f>
        <v>1800</v>
      </c>
      <c r="AD58" s="64">
        <f>'Key financial and ops fig.s LCY'!AD58*VLOOKUP(Assumptions!$D$7, Lists!$B$7:$C$10, 2, FALSE)*Assumptions!$D$10/VLOOKUP(Assumptions!$D$9, Lists!$B$7:$C$10, 2, FALSE)</f>
        <v>127200</v>
      </c>
      <c r="AE58" s="64">
        <f>'Key financial and ops fig.s LCY'!AE58*VLOOKUP(Assumptions!$D$7, Lists!$B$7:$C$10, 2, FALSE)*Assumptions!$D$10/VLOOKUP(Assumptions!$D$9, Lists!$B$7:$C$10, 2, FALSE)</f>
        <v>1800</v>
      </c>
      <c r="AF58" s="108">
        <f>'Key financial and ops fig.s LCY'!AF58*VLOOKUP(Assumptions!$D$7, Lists!$B$7:$C$10, 2, FALSE)*Assumptions!$D$10/VLOOKUP(Assumptions!$D$9, Lists!$B$7:$C$10, 2, FALSE)</f>
        <v>0</v>
      </c>
      <c r="AG58" s="97">
        <f t="shared" si="68"/>
        <v>130800</v>
      </c>
      <c r="AH58" s="63">
        <f>'Key financial and ops fig.s LCY'!AH58*VLOOKUP(Assumptions!$D$7, Lists!$B$7:$C$10, 2, FALSE)*Assumptions!$D$10/VLOOKUP(Assumptions!$D$9, Lists!$B$7:$C$10, 2, FALSE)</f>
        <v>5400</v>
      </c>
      <c r="AI58" s="64">
        <f>'Key financial and ops fig.s LCY'!AI58*VLOOKUP(Assumptions!$D$7, Lists!$B$7:$C$10, 2, FALSE)*Assumptions!$D$10/VLOOKUP(Assumptions!$D$9, Lists!$B$7:$C$10, 2, FALSE)</f>
        <v>1800</v>
      </c>
      <c r="AJ58" s="64">
        <f>'Key financial and ops fig.s LCY'!AJ58*VLOOKUP(Assumptions!$D$7, Lists!$B$7:$C$10, 2, FALSE)*Assumptions!$D$10/VLOOKUP(Assumptions!$D$9, Lists!$B$7:$C$10, 2, FALSE)</f>
        <v>0</v>
      </c>
      <c r="AK58" s="108">
        <f>'Key financial and ops fig.s LCY'!AK58*VLOOKUP(Assumptions!$D$7, Lists!$B$7:$C$10, 2, FALSE)*Assumptions!$D$10/VLOOKUP(Assumptions!$D$9, Lists!$B$7:$C$10, 2, FALSE)</f>
        <v>3600</v>
      </c>
      <c r="AL58" s="60">
        <f t="shared" si="69"/>
        <v>10800</v>
      </c>
    </row>
    <row r="59" spans="1:38" ht="15.95">
      <c r="A59" s="36"/>
      <c r="B59" s="34" t="s">
        <v>296</v>
      </c>
      <c r="C59" s="56"/>
      <c r="D59" s="63"/>
      <c r="E59" s="64"/>
      <c r="F59" s="64"/>
      <c r="G59" s="108"/>
      <c r="H59" s="97">
        <f t="shared" si="63"/>
        <v>0</v>
      </c>
      <c r="I59" s="63">
        <f>-H47</f>
        <v>0</v>
      </c>
      <c r="J59" s="64"/>
      <c r="K59" s="64"/>
      <c r="L59" s="108"/>
      <c r="M59" s="97">
        <f t="shared" si="64"/>
        <v>0</v>
      </c>
      <c r="N59" s="63">
        <f>-M47</f>
        <v>690329.08017857152</v>
      </c>
      <c r="O59" s="64"/>
      <c r="P59" s="64"/>
      <c r="Q59" s="108"/>
      <c r="R59" s="97">
        <f t="shared" si="65"/>
        <v>690329.08017857152</v>
      </c>
      <c r="S59" s="63">
        <f>-R47</f>
        <v>1239644.1358928573</v>
      </c>
      <c r="T59" s="64"/>
      <c r="U59" s="64"/>
      <c r="V59" s="108"/>
      <c r="W59" s="97">
        <f t="shared" si="66"/>
        <v>1239644.1358928573</v>
      </c>
      <c r="X59" s="63">
        <f>-W47</f>
        <v>1676248.7287500002</v>
      </c>
      <c r="Y59" s="64"/>
      <c r="Z59" s="64"/>
      <c r="AA59" s="108"/>
      <c r="AB59" s="97">
        <f t="shared" si="67"/>
        <v>1676248.7287500002</v>
      </c>
      <c r="AC59" s="63">
        <f>-AB47</f>
        <v>2086075.2873214288</v>
      </c>
      <c r="AD59" s="64"/>
      <c r="AE59" s="64"/>
      <c r="AF59" s="108"/>
      <c r="AG59" s="97">
        <f t="shared" si="68"/>
        <v>2086075.2873214288</v>
      </c>
      <c r="AH59" s="63">
        <f>-AG47</f>
        <v>2118991.5535714286</v>
      </c>
      <c r="AI59" s="64"/>
      <c r="AJ59" s="64"/>
      <c r="AK59" s="108"/>
      <c r="AL59" s="60">
        <f t="shared" si="69"/>
        <v>2118991.5535714286</v>
      </c>
    </row>
    <row r="60" spans="1:38" ht="17.100000000000001" thickBot="1">
      <c r="A60" s="102" t="s">
        <v>297</v>
      </c>
      <c r="B60" s="34"/>
      <c r="C60" s="56"/>
      <c r="D60" s="142">
        <f>SUM(D52:D59)</f>
        <v>-4312159.1812500004</v>
      </c>
      <c r="E60" s="143">
        <f>SUM(E52:E59)</f>
        <v>-770404.35</v>
      </c>
      <c r="F60" s="143">
        <f>SUM(F52:F59)</f>
        <v>-410145.13124999986</v>
      </c>
      <c r="G60" s="144">
        <f>SUM(G52:G59)</f>
        <v>-68661.524999999907</v>
      </c>
      <c r="H60" s="112">
        <f t="shared" si="63"/>
        <v>-5561370.1875</v>
      </c>
      <c r="I60" s="142">
        <f>SUM(I52:I59)</f>
        <v>284946.46875</v>
      </c>
      <c r="J60" s="143">
        <f>SUM(J52:J59)</f>
        <v>634778.85000000009</v>
      </c>
      <c r="K60" s="143">
        <f>SUM(K52:K59)</f>
        <v>987435.61875000037</v>
      </c>
      <c r="L60" s="144">
        <f>SUM(L52:L59)</f>
        <v>1249376.7749999999</v>
      </c>
      <c r="M60" s="112">
        <f t="shared" si="64"/>
        <v>3156537.7125000004</v>
      </c>
      <c r="N60" s="142">
        <f>SUM(N52:N59)</f>
        <v>2097131.3989285715</v>
      </c>
      <c r="O60" s="143">
        <f>SUM(O52:O59)</f>
        <v>1568852.25</v>
      </c>
      <c r="P60" s="143">
        <f>SUM(P52:P59)</f>
        <v>1717826.5687500006</v>
      </c>
      <c r="Q60" s="144">
        <f>SUM(Q52:Q59)</f>
        <v>1872925.2750000004</v>
      </c>
      <c r="R60" s="112">
        <f t="shared" si="65"/>
        <v>7256735.4926785724</v>
      </c>
      <c r="S60" s="142">
        <f>SUM(S52:S59)</f>
        <v>3268692.5046428577</v>
      </c>
      <c r="T60" s="143">
        <f>SUM(T52:T59)</f>
        <v>2173595.8500000006</v>
      </c>
      <c r="U60" s="143">
        <f>SUM(U52:U59)</f>
        <v>2316467.71875</v>
      </c>
      <c r="V60" s="144">
        <f>SUM(V52:V59)</f>
        <v>2455863.9749999996</v>
      </c>
      <c r="W60" s="112">
        <f t="shared" si="66"/>
        <v>10214620.048392858</v>
      </c>
      <c r="X60" s="142">
        <f>SUM(X52:X59)</f>
        <v>4274333.3475000001</v>
      </c>
      <c r="Y60" s="143">
        <f>SUM(Y52:Y59)</f>
        <v>2750329.6500000004</v>
      </c>
      <c r="Z60" s="143">
        <f>SUM(Z52:Z59)</f>
        <v>2881999.0687499996</v>
      </c>
      <c r="AA60" s="144">
        <f>SUM(AA52:AA59)</f>
        <v>3005692.875</v>
      </c>
      <c r="AB60" s="112">
        <f t="shared" si="67"/>
        <v>12912354.94125</v>
      </c>
      <c r="AC60" s="142">
        <f>SUM(AC52:AC59)</f>
        <v>5009169.1623214288</v>
      </c>
      <c r="AD60" s="143">
        <f>SUM(AD52:AD59)</f>
        <v>3058737.75</v>
      </c>
      <c r="AE60" s="143">
        <f>SUM(AE52:AE59)</f>
        <v>2903081.625</v>
      </c>
      <c r="AF60" s="144">
        <f>SUM(AF52:AF59)</f>
        <v>2866525.5</v>
      </c>
      <c r="AG60" s="112">
        <f t="shared" si="68"/>
        <v>13837514.03732143</v>
      </c>
      <c r="AH60" s="142">
        <f>SUM(AH52:AH59)</f>
        <v>4978660.9285714291</v>
      </c>
      <c r="AI60" s="143">
        <f>SUM(AI52:AI59)</f>
        <v>2825813.25</v>
      </c>
      <c r="AJ60" s="143">
        <f>SUM(AJ52:AJ59)</f>
        <v>2789257.125</v>
      </c>
      <c r="AK60" s="144">
        <f>SUM(AK52:AK59)</f>
        <v>2768601</v>
      </c>
      <c r="AL60" s="61">
        <f t="shared" si="69"/>
        <v>13362332.303571429</v>
      </c>
    </row>
    <row r="61" spans="1:38" s="109" customFormat="1" ht="20.100000000000001" thickBot="1">
      <c r="A61" s="197" t="s">
        <v>298</v>
      </c>
      <c r="B61" s="198"/>
      <c r="C61" s="199"/>
      <c r="D61" s="145">
        <f>D60</f>
        <v>-4312159.1812500004</v>
      </c>
      <c r="E61" s="146">
        <f>D61+E60</f>
        <v>-5082563.53125</v>
      </c>
      <c r="F61" s="146">
        <f>E61+F60</f>
        <v>-5492708.6624999996</v>
      </c>
      <c r="G61" s="147">
        <f>F61+G60</f>
        <v>-5561370.1875</v>
      </c>
      <c r="H61" s="193">
        <f>G61</f>
        <v>-5561370.1875</v>
      </c>
      <c r="I61" s="194">
        <f>G61+I60</f>
        <v>-5276423.71875</v>
      </c>
      <c r="J61" s="195">
        <f>I61+J60</f>
        <v>-4641644.8687500004</v>
      </c>
      <c r="K61" s="195">
        <f>J61+K60</f>
        <v>-3654209.25</v>
      </c>
      <c r="L61" s="196">
        <f>K61+L60</f>
        <v>-2404832.4750000001</v>
      </c>
      <c r="M61" s="110">
        <f>L61</f>
        <v>-2404832.4750000001</v>
      </c>
      <c r="N61" s="194">
        <f>L61+N60</f>
        <v>-307701.0760714286</v>
      </c>
      <c r="O61" s="195">
        <f>N61+O60</f>
        <v>1261151.1739285714</v>
      </c>
      <c r="P61" s="195">
        <f>O61+P60</f>
        <v>2978977.742678572</v>
      </c>
      <c r="Q61" s="196">
        <f>P61+Q60</f>
        <v>4851903.0176785719</v>
      </c>
      <c r="R61" s="110">
        <f>Q61</f>
        <v>4851903.0176785719</v>
      </c>
      <c r="S61" s="194">
        <f>Q61+S60</f>
        <v>8120595.5223214291</v>
      </c>
      <c r="T61" s="195">
        <f>S61+T60</f>
        <v>10294191.372321431</v>
      </c>
      <c r="U61" s="195">
        <f>T61+U60</f>
        <v>12610659.091071431</v>
      </c>
      <c r="V61" s="196">
        <f>U61+V60</f>
        <v>15066523.06607143</v>
      </c>
      <c r="W61" s="110">
        <f>V61</f>
        <v>15066523.06607143</v>
      </c>
      <c r="X61" s="194">
        <f>V61+X60</f>
        <v>19340856.413571432</v>
      </c>
      <c r="Y61" s="195">
        <f>X61+Y60</f>
        <v>22091186.063571431</v>
      </c>
      <c r="Z61" s="195">
        <f>Y61+Z60</f>
        <v>24973185.132321432</v>
      </c>
      <c r="AA61" s="196">
        <f>Z61+AA60</f>
        <v>27978878.007321432</v>
      </c>
      <c r="AB61" s="110">
        <f>AA61</f>
        <v>27978878.007321432</v>
      </c>
      <c r="AC61" s="194">
        <f>AA61+AC60</f>
        <v>32988047.169642862</v>
      </c>
      <c r="AD61" s="195">
        <f>AC61+AD60</f>
        <v>36046784.919642866</v>
      </c>
      <c r="AE61" s="195">
        <f>AD61+AE60</f>
        <v>38949866.544642866</v>
      </c>
      <c r="AF61" s="196">
        <f>AE61+AF60</f>
        <v>41816392.044642866</v>
      </c>
      <c r="AG61" s="110">
        <f>AF61</f>
        <v>41816392.044642866</v>
      </c>
      <c r="AH61" s="194">
        <f>AF61+AH60</f>
        <v>46795052.973214298</v>
      </c>
      <c r="AI61" s="195">
        <f>AH61+AI60</f>
        <v>49620866.223214298</v>
      </c>
      <c r="AJ61" s="195">
        <f>AI61+AJ60</f>
        <v>52410123.348214298</v>
      </c>
      <c r="AK61" s="196">
        <f>AJ61+AK60</f>
        <v>55178724.348214298</v>
      </c>
      <c r="AL61" s="111">
        <f>AK61</f>
        <v>55178724.348214298</v>
      </c>
    </row>
    <row r="62" spans="1:38" ht="15.95" thickBot="1"/>
    <row r="63" spans="1:38" ht="17.100000000000001" thickBot="1">
      <c r="A63" s="28" t="s">
        <v>299</v>
      </c>
      <c r="B63" s="28"/>
      <c r="C63" s="28"/>
      <c r="D63" s="148" t="s">
        <v>214</v>
      </c>
      <c r="E63" s="149" t="s">
        <v>215</v>
      </c>
      <c r="F63" s="149" t="s">
        <v>216</v>
      </c>
      <c r="G63" s="149" t="s">
        <v>217</v>
      </c>
      <c r="H63" s="43" t="s">
        <v>218</v>
      </c>
      <c r="I63" s="148" t="s">
        <v>219</v>
      </c>
      <c r="J63" s="149" t="s">
        <v>220</v>
      </c>
      <c r="K63" s="149" t="s">
        <v>221</v>
      </c>
      <c r="L63" s="149" t="s">
        <v>222</v>
      </c>
      <c r="M63" s="43" t="s">
        <v>223</v>
      </c>
      <c r="N63" s="148" t="s">
        <v>224</v>
      </c>
      <c r="O63" s="149" t="s">
        <v>225</v>
      </c>
      <c r="P63" s="149" t="s">
        <v>226</v>
      </c>
      <c r="Q63" s="149" t="s">
        <v>227</v>
      </c>
      <c r="R63" s="43" t="s">
        <v>228</v>
      </c>
      <c r="S63" s="148" t="s">
        <v>229</v>
      </c>
      <c r="T63" s="149" t="s">
        <v>230</v>
      </c>
      <c r="U63" s="149" t="s">
        <v>231</v>
      </c>
      <c r="V63" s="149" t="s">
        <v>232</v>
      </c>
      <c r="W63" s="43" t="s">
        <v>233</v>
      </c>
      <c r="X63" s="148" t="s">
        <v>234</v>
      </c>
      <c r="Y63" s="149" t="s">
        <v>235</v>
      </c>
      <c r="Z63" s="149" t="s">
        <v>236</v>
      </c>
      <c r="AA63" s="149" t="s">
        <v>237</v>
      </c>
      <c r="AB63" s="43" t="s">
        <v>238</v>
      </c>
      <c r="AC63" s="148" t="s">
        <v>239</v>
      </c>
      <c r="AD63" s="149" t="s">
        <v>240</v>
      </c>
      <c r="AE63" s="149" t="s">
        <v>241</v>
      </c>
      <c r="AF63" s="149" t="s">
        <v>242</v>
      </c>
      <c r="AG63" s="43" t="s">
        <v>243</v>
      </c>
      <c r="AH63" s="148" t="s">
        <v>244</v>
      </c>
      <c r="AI63" s="149" t="s">
        <v>245</v>
      </c>
      <c r="AJ63" s="149" t="s">
        <v>246</v>
      </c>
      <c r="AK63" s="149" t="s">
        <v>247</v>
      </c>
      <c r="AL63" s="43" t="s">
        <v>248</v>
      </c>
    </row>
    <row r="64" spans="1:38" ht="15.95">
      <c r="A64" s="188"/>
      <c r="B64" s="29"/>
      <c r="C64" s="30" t="s">
        <v>300</v>
      </c>
      <c r="D64" s="130">
        <f>IFERROR(D72/(_xlfn.XLOOKUP(Assumptions!$D$5, 'Baseline Headcount Estimates'!$B$13:$B$180, 'Baseline Headcount Estimates'!$R$13:$R$180, "")*1000), "N/A")</f>
        <v>3.4927718458987911E-3</v>
      </c>
      <c r="E64" s="150">
        <f>IFERROR(E72/(_xlfn.XLOOKUP(Assumptions!$D$5, 'Baseline Headcount Estimates'!$B$13:$B$180, 'Baseline Headcount Estimates'!$R$13:$R$180, "")*1000), "N/A")</f>
        <v>6.9416094547422513E-3</v>
      </c>
      <c r="F64" s="150">
        <f>IFERROR(F72/(_xlfn.XLOOKUP(Assumptions!$D$5, 'Baseline Headcount Estimates'!$B$13:$B$180, 'Baseline Headcount Estimates'!$R$13:$R$180, "")*1000), "N/A")</f>
        <v>1.0346512826530381E-2</v>
      </c>
      <c r="G64" s="151">
        <f>IFERROR(G72/(_xlfn.XLOOKUP(Assumptions!$D$5, 'Baseline Headcount Estimates'!$B$13:$B$180, 'Baseline Headcount Estimates'!$R$13:$R$180, "")*1000), "N/A")</f>
        <v>1.3707481961263179E-2</v>
      </c>
      <c r="H64" s="129">
        <f t="shared" ref="H64:H81" si="70">G64</f>
        <v>1.3707481961263179E-2</v>
      </c>
      <c r="I64" s="130">
        <f>IFERROR(I72/(_xlfn.XLOOKUP(Assumptions!$D$5, 'Baseline Headcount Estimates'!$B$13:$B$180, 'Baseline Headcount Estimates'!$R$13:$R$180, "")*1000), "N/A")</f>
        <v>1.7024516858940648E-2</v>
      </c>
      <c r="J64" s="150">
        <f>IFERROR(J72/(_xlfn.XLOOKUP(Assumptions!$D$5, 'Baseline Headcount Estimates'!$B$13:$B$180, 'Baseline Headcount Estimates'!$R$13:$R$180, "")*1000), "N/A")</f>
        <v>2.0297617519562786E-2</v>
      </c>
      <c r="K64" s="150">
        <f>IFERROR(K72/(_xlfn.XLOOKUP(Assumptions!$D$5, 'Baseline Headcount Estimates'!$B$13:$B$180, 'Baseline Headcount Estimates'!$R$13:$R$180, "")*1000), "N/A")</f>
        <v>2.3526783943129591E-2</v>
      </c>
      <c r="L64" s="151">
        <f>IFERROR(L72/(_xlfn.XLOOKUP(Assumptions!$D$5, 'Baseline Headcount Estimates'!$B$13:$B$180, 'Baseline Headcount Estimates'!$R$13:$R$180, "")*1000), "N/A")</f>
        <v>2.6712016129641067E-2</v>
      </c>
      <c r="M64" s="129">
        <f t="shared" ref="M64:M81" si="71">L64</f>
        <v>2.6712016129641067E-2</v>
      </c>
      <c r="N64" s="130">
        <f>IFERROR(N72/(_xlfn.XLOOKUP(Assumptions!$D$5, 'Baseline Headcount Estimates'!$B$13:$B$180, 'Baseline Headcount Estimates'!$R$13:$R$180, "")*1000), "N/A")</f>
        <v>2.9853314079097214E-2</v>
      </c>
      <c r="O64" s="150">
        <f>IFERROR(O72/(_xlfn.XLOOKUP(Assumptions!$D$5, 'Baseline Headcount Estimates'!$B$13:$B$180, 'Baseline Headcount Estimates'!$R$13:$R$180, "")*1000), "N/A")</f>
        <v>3.2950677791498025E-2</v>
      </c>
      <c r="P64" s="150">
        <f>IFERROR(P72/(_xlfn.XLOOKUP(Assumptions!$D$5, 'Baseline Headcount Estimates'!$B$13:$B$180, 'Baseline Headcount Estimates'!$R$13:$R$180, "")*1000), "N/A")</f>
        <v>3.6004107266843513E-2</v>
      </c>
      <c r="Q64" s="151">
        <f>IFERROR(Q72/(_xlfn.XLOOKUP(Assumptions!$D$5, 'Baseline Headcount Estimates'!$B$13:$B$180, 'Baseline Headcount Estimates'!$R$13:$R$180, "")*1000), "N/A")</f>
        <v>3.9013602505133665E-2</v>
      </c>
      <c r="R64" s="129">
        <f t="shared" ref="R64:R81" si="72">Q64</f>
        <v>3.9013602505133665E-2</v>
      </c>
      <c r="S64" s="130">
        <f>IFERROR(S72/(_xlfn.XLOOKUP(Assumptions!$D$5, 'Baseline Headcount Estimates'!$B$13:$B$180, 'Baseline Headcount Estimates'!$R$13:$R$180, "")*1000), "N/A")</f>
        <v>4.1979163506368489E-2</v>
      </c>
      <c r="T64" s="150">
        <f>IFERROR(T72/(_xlfn.XLOOKUP(Assumptions!$D$5, 'Baseline Headcount Estimates'!$B$13:$B$180, 'Baseline Headcount Estimates'!$R$13:$R$180, "")*1000), "N/A")</f>
        <v>4.4900790270547976E-2</v>
      </c>
      <c r="U64" s="150">
        <f>IFERROR(U72/(_xlfn.XLOOKUP(Assumptions!$D$5, 'Baseline Headcount Estimates'!$B$13:$B$180, 'Baseline Headcount Estimates'!$R$13:$R$180, "")*1000), "N/A")</f>
        <v>4.7778482797672141E-2</v>
      </c>
      <c r="V64" s="151">
        <f>IFERROR(V72/(_xlfn.XLOOKUP(Assumptions!$D$5, 'Baseline Headcount Estimates'!$B$13:$B$180, 'Baseline Headcount Estimates'!$R$13:$R$180, "")*1000), "N/A")</f>
        <v>5.061224108774097E-2</v>
      </c>
      <c r="W64" s="129">
        <f t="shared" ref="W64:W81" si="73">V64</f>
        <v>5.061224108774097E-2</v>
      </c>
      <c r="X64" s="130">
        <f>IFERROR(X72/(_xlfn.XLOOKUP(Assumptions!$D$5, 'Baseline Headcount Estimates'!$B$13:$B$180, 'Baseline Headcount Estimates'!$R$13:$R$180, "")*1000), "N/A")</f>
        <v>5.3402065140754469E-2</v>
      </c>
      <c r="Y64" s="150">
        <f>IFERROR(Y72/(_xlfn.XLOOKUP(Assumptions!$D$5, 'Baseline Headcount Estimates'!$B$13:$B$180, 'Baseline Headcount Estimates'!$R$13:$R$180, "")*1000), "N/A")</f>
        <v>5.614795495671264E-2</v>
      </c>
      <c r="Z64" s="150">
        <f>IFERROR(Z72/(_xlfn.XLOOKUP(Assumptions!$D$5, 'Baseline Headcount Estimates'!$B$13:$B$180, 'Baseline Headcount Estimates'!$R$13:$R$180, "")*1000), "N/A")</f>
        <v>5.8849910535615474E-2</v>
      </c>
      <c r="AA64" s="151">
        <f>IFERROR(AA72/(_xlfn.XLOOKUP(Assumptions!$D$5, 'Baseline Headcount Estimates'!$B$13:$B$180, 'Baseline Headcount Estimates'!$R$13:$R$180, "")*1000), "N/A")</f>
        <v>6.1507931877462986E-2</v>
      </c>
      <c r="AB64" s="180">
        <f>AA64</f>
        <v>6.1507931877462986E-2</v>
      </c>
      <c r="AC64" s="130">
        <f>IFERROR(AC72/(_xlfn.XLOOKUP(Assumptions!$D$5, 'Baseline Headcount Estimates'!$B$13:$B$180, 'Baseline Headcount Estimates'!$R$13:$R$180, "")*1000), "N/A")</f>
        <v>6.106858950690968E-2</v>
      </c>
      <c r="AD64" s="150">
        <f>IFERROR(AD72/(_xlfn.XLOOKUP(Assumptions!$D$5, 'Baseline Headcount Estimates'!$B$13:$B$180, 'Baseline Headcount Estimates'!$R$13:$R$180, "")*1000), "N/A")</f>
        <v>6.0629247136356368E-2</v>
      </c>
      <c r="AE64" s="150">
        <f>IFERROR(AE72/(_xlfn.XLOOKUP(Assumptions!$D$5, 'Baseline Headcount Estimates'!$B$13:$B$180, 'Baseline Headcount Estimates'!$R$13:$R$180, "")*1000), "N/A")</f>
        <v>6.0189904765803062E-2</v>
      </c>
      <c r="AF64" s="151">
        <f>IFERROR(AF72/(_xlfn.XLOOKUP(Assumptions!$D$5, 'Baseline Headcount Estimates'!$B$13:$B$180, 'Baseline Headcount Estimates'!$R$13:$R$180, "")*1000), "N/A")</f>
        <v>5.9750562395249757E-2</v>
      </c>
      <c r="AG64" s="180">
        <f>AF64</f>
        <v>5.9750562395249757E-2</v>
      </c>
      <c r="AH64" s="130">
        <f>IFERROR(AH72/(_xlfn.XLOOKUP(Assumptions!$D$5, 'Baseline Headcount Estimates'!$B$13:$B$180, 'Baseline Headcount Estimates'!$R$13:$R$180, "")*1000), "N/A")</f>
        <v>5.9311220024696451E-2</v>
      </c>
      <c r="AI64" s="150">
        <f>IFERROR(AI72/(_xlfn.XLOOKUP(Assumptions!$D$5, 'Baseline Headcount Estimates'!$B$13:$B$180, 'Baseline Headcount Estimates'!$R$13:$R$180, "")*1000), "N/A")</f>
        <v>5.8871877654143145E-2</v>
      </c>
      <c r="AJ64" s="150">
        <f>IFERROR(AJ72/(_xlfn.XLOOKUP(Assumptions!$D$5, 'Baseline Headcount Estimates'!$B$13:$B$180, 'Baseline Headcount Estimates'!$R$13:$R$180, "")*1000), "N/A")</f>
        <v>5.8432535283589833E-2</v>
      </c>
      <c r="AK64" s="151">
        <f>IFERROR(AK72/(_xlfn.XLOOKUP(Assumptions!$D$5, 'Baseline Headcount Estimates'!$B$13:$B$180, 'Baseline Headcount Estimates'!$R$13:$R$180, "")*1000), "N/A")</f>
        <v>5.7993192913036527E-2</v>
      </c>
      <c r="AL64" s="129">
        <f>AK64</f>
        <v>5.7993192913036527E-2</v>
      </c>
    </row>
    <row r="65" spans="1:38" ht="15.95">
      <c r="A65" s="31"/>
      <c r="C65" s="33" t="s">
        <v>301</v>
      </c>
      <c r="D65" s="132">
        <f>IFERROR(D73/(_xlfn.XLOOKUP(Assumptions!$D$5, 'Baseline Headcount Estimates'!$B$13:$B$180, 'Baseline Headcount Estimates'!$Q$13:$Q$180, "")*1000), "N/A")</f>
        <v>5.971471512259836E-3</v>
      </c>
      <c r="E65" s="131">
        <f>IFERROR(E73/(_xlfn.XLOOKUP(Assumptions!$D$5, 'Baseline Headcount Estimates'!$B$13:$B$180, 'Baseline Headcount Estimates'!$Q$13:$Q$180, "")*1000), "N/A")</f>
        <v>1.1867830175308857E-2</v>
      </c>
      <c r="F65" s="131">
        <f>IFERROR(F73/(_xlfn.XLOOKUP(Assumptions!$D$5, 'Baseline Headcount Estimates'!$B$13:$B$180, 'Baseline Headcount Estimates'!$Q$13:$Q$180, "")*1000), "N/A")</f>
        <v>1.7689075989147061E-2</v>
      </c>
      <c r="G65" s="133">
        <f>IFERROR(G73/(_xlfn.XLOOKUP(Assumptions!$D$5, 'Baseline Headcount Estimates'!$B$13:$B$180, 'Baseline Headcount Estimates'!$Q$13:$Q$180, "")*1000), "N/A")</f>
        <v>2.3435208953774451E-2</v>
      </c>
      <c r="H65" s="129">
        <f t="shared" si="70"/>
        <v>2.3435208953774451E-2</v>
      </c>
      <c r="I65" s="132">
        <f>IFERROR(I73/(_xlfn.XLOOKUP(Assumptions!$D$5, 'Baseline Headcount Estimates'!$B$13:$B$180, 'Baseline Headcount Estimates'!$Q$13:$Q$180, "")*1000), "N/A")</f>
        <v>2.9106229069191025E-2</v>
      </c>
      <c r="J65" s="131">
        <f>IFERROR(J73/(_xlfn.XLOOKUP(Assumptions!$D$5, 'Baseline Headcount Estimates'!$B$13:$B$180, 'Baseline Headcount Estimates'!$Q$13:$Q$180, "")*1000), "N/A")</f>
        <v>3.4702136335396781E-2</v>
      </c>
      <c r="K65" s="131">
        <f>IFERROR(K73/(_xlfn.XLOOKUP(Assumptions!$D$5, 'Baseline Headcount Estimates'!$B$13:$B$180, 'Baseline Headcount Estimates'!$Q$13:$Q$180, "")*1000), "N/A")</f>
        <v>4.0222930752391722E-2</v>
      </c>
      <c r="L65" s="133">
        <f>IFERROR(L73/(_xlfn.XLOOKUP(Assumptions!$D$5, 'Baseline Headcount Estimates'!$B$13:$B$180, 'Baseline Headcount Estimates'!$Q$13:$Q$180, "")*1000), "N/A")</f>
        <v>4.5668612320175855E-2</v>
      </c>
      <c r="M65" s="129">
        <f t="shared" si="71"/>
        <v>4.5668612320175855E-2</v>
      </c>
      <c r="N65" s="132">
        <f>IFERROR(N73/(_xlfn.XLOOKUP(Assumptions!$D$5, 'Baseline Headcount Estimates'!$B$13:$B$180, 'Baseline Headcount Estimates'!$Q$13:$Q$180, "")*1000), "N/A")</f>
        <v>5.1039181038749167E-2</v>
      </c>
      <c r="O65" s="131">
        <f>IFERROR(O73/(_xlfn.XLOOKUP(Assumptions!$D$5, 'Baseline Headcount Estimates'!$B$13:$B$180, 'Baseline Headcount Estimates'!$Q$13:$Q$180, "")*1000), "N/A")</f>
        <v>5.6334636908111663E-2</v>
      </c>
      <c r="P65" s="131">
        <f>IFERROR(P73/(_xlfn.XLOOKUP(Assumptions!$D$5, 'Baseline Headcount Estimates'!$B$13:$B$180, 'Baseline Headcount Estimates'!$Q$13:$Q$180, "")*1000), "N/A")</f>
        <v>6.1554979928263344E-2</v>
      </c>
      <c r="Q65" s="133">
        <f>IFERROR(Q73/(_xlfn.XLOOKUP(Assumptions!$D$5, 'Baseline Headcount Estimates'!$B$13:$B$180, 'Baseline Headcount Estimates'!$Q$13:$Q$180, "")*1000), "N/A")</f>
        <v>6.670021009920421E-2</v>
      </c>
      <c r="R65" s="129">
        <f t="shared" si="72"/>
        <v>6.670021009920421E-2</v>
      </c>
      <c r="S65" s="132">
        <f>IFERROR(S73/(_xlfn.XLOOKUP(Assumptions!$D$5, 'Baseline Headcount Estimates'!$B$13:$B$180, 'Baseline Headcount Estimates'!$Q$13:$Q$180, "")*1000), "N/A")</f>
        <v>7.1770327420934255E-2</v>
      </c>
      <c r="T65" s="131">
        <f>IFERROR(T73/(_xlfn.XLOOKUP(Assumptions!$D$5, 'Baseline Headcount Estimates'!$B$13:$B$180, 'Baseline Headcount Estimates'!$Q$13:$Q$180, "")*1000), "N/A")</f>
        <v>7.6765331893453484E-2</v>
      </c>
      <c r="U65" s="131">
        <f>IFERROR(U73/(_xlfn.XLOOKUP(Assumptions!$D$5, 'Baseline Headcount Estimates'!$B$13:$B$180, 'Baseline Headcount Estimates'!$Q$13:$Q$180, "")*1000), "N/A")</f>
        <v>8.1685223516761912E-2</v>
      </c>
      <c r="V65" s="133">
        <f>IFERROR(V73/(_xlfn.XLOOKUP(Assumptions!$D$5, 'Baseline Headcount Estimates'!$B$13:$B$180, 'Baseline Headcount Estimates'!$Q$13:$Q$180, "")*1000), "N/A")</f>
        <v>8.6530002290859512E-2</v>
      </c>
      <c r="W65" s="129">
        <f t="shared" si="73"/>
        <v>8.6530002290859512E-2</v>
      </c>
      <c r="X65" s="132">
        <f>IFERROR(X73/(_xlfn.XLOOKUP(Assumptions!$D$5, 'Baseline Headcount Estimates'!$B$13:$B$180, 'Baseline Headcount Estimates'!$Q$13:$Q$180, "")*1000), "N/A")</f>
        <v>9.1299668215746296E-2</v>
      </c>
      <c r="Y65" s="131">
        <f>IFERROR(Y73/(_xlfn.XLOOKUP(Assumptions!$D$5, 'Baseline Headcount Estimates'!$B$13:$B$180, 'Baseline Headcount Estimates'!$Q$13:$Q$180, "")*1000), "N/A")</f>
        <v>9.5994221291422266E-2</v>
      </c>
      <c r="Z65" s="131">
        <f>IFERROR(Z73/(_xlfn.XLOOKUP(Assumptions!$D$5, 'Baseline Headcount Estimates'!$B$13:$B$180, 'Baseline Headcount Estimates'!$Q$13:$Q$180, "")*1000), "N/A")</f>
        <v>0.10061366151788742</v>
      </c>
      <c r="AA65" s="133">
        <f>IFERROR(AA73/(_xlfn.XLOOKUP(Assumptions!$D$5, 'Baseline Headcount Estimates'!$B$13:$B$180, 'Baseline Headcount Estimates'!$Q$13:$Q$180, "")*1000), "N/A")</f>
        <v>0.10515798889514176</v>
      </c>
      <c r="AB65" s="181">
        <f>AA65</f>
        <v>0.10515798889514176</v>
      </c>
      <c r="AC65" s="132">
        <f>IFERROR(AC73/(_xlfn.XLOOKUP(Assumptions!$D$5, 'Baseline Headcount Estimates'!$B$13:$B$180, 'Baseline Headcount Estimates'!$Q$13:$Q$180, "")*1000), "N/A")</f>
        <v>0.10440686040303361</v>
      </c>
      <c r="AD65" s="131">
        <f>IFERROR(AD73/(_xlfn.XLOOKUP(Assumptions!$D$5, 'Baseline Headcount Estimates'!$B$13:$B$180, 'Baseline Headcount Estimates'!$Q$13:$Q$180, "")*1000), "N/A")</f>
        <v>0.10365573191092546</v>
      </c>
      <c r="AE65" s="131">
        <f>IFERROR(AE73/(_xlfn.XLOOKUP(Assumptions!$D$5, 'Baseline Headcount Estimates'!$B$13:$B$180, 'Baseline Headcount Estimates'!$Q$13:$Q$180, "")*1000), "N/A")</f>
        <v>0.1029046034188173</v>
      </c>
      <c r="AF65" s="133">
        <f>IFERROR(AF73/(_xlfn.XLOOKUP(Assumptions!$D$5, 'Baseline Headcount Estimates'!$B$13:$B$180, 'Baseline Headcount Estimates'!$Q$13:$Q$180, "")*1000), "N/A")</f>
        <v>0.10215347492670915</v>
      </c>
      <c r="AG65" s="181">
        <f>AF65</f>
        <v>0.10215347492670915</v>
      </c>
      <c r="AH65" s="132">
        <f>IFERROR(AH73/(_xlfn.XLOOKUP(Assumptions!$D$5, 'Baseline Headcount Estimates'!$B$13:$B$180, 'Baseline Headcount Estimates'!$Q$13:$Q$180, "")*1000), "N/A")</f>
        <v>0.10140234643460098</v>
      </c>
      <c r="AI65" s="131">
        <f>IFERROR(AI73/(_xlfn.XLOOKUP(Assumptions!$D$5, 'Baseline Headcount Estimates'!$B$13:$B$180, 'Baseline Headcount Estimates'!$Q$13:$Q$180, "")*1000), "N/A")</f>
        <v>0.10065121794249283</v>
      </c>
      <c r="AJ65" s="131">
        <f>IFERROR(AJ73/(_xlfn.XLOOKUP(Assumptions!$D$5, 'Baseline Headcount Estimates'!$B$13:$B$180, 'Baseline Headcount Estimates'!$Q$13:$Q$180, "")*1000), "N/A")</f>
        <v>9.9900089450384671E-2</v>
      </c>
      <c r="AK65" s="133">
        <f>IFERROR(AK73/(_xlfn.XLOOKUP(Assumptions!$D$5, 'Baseline Headcount Estimates'!$B$13:$B$180, 'Baseline Headcount Estimates'!$Q$13:$Q$180, "")*1000), "N/A")</f>
        <v>9.9148960958276522E-2</v>
      </c>
      <c r="AL65" s="129">
        <f>AK65</f>
        <v>9.9148960958276522E-2</v>
      </c>
    </row>
    <row r="66" spans="1:38" ht="15.95">
      <c r="A66" s="31"/>
      <c r="C66" s="33" t="s">
        <v>302</v>
      </c>
      <c r="D66" s="132">
        <f>IFERROR(D74/(_xlfn.XLOOKUP(Assumptions!$D$5, 'Baseline Headcount Estimates'!$B$13:$B$180, 'Baseline Headcount Estimates'!$P$13:$P$180, "")*1000), "N/A")</f>
        <v>9.8181020050228194E-3</v>
      </c>
      <c r="E66" s="131">
        <f>IFERROR(E74/(_xlfn.XLOOKUP(Assumptions!$D$5, 'Baseline Headcount Estimates'!$B$13:$B$180, 'Baseline Headcount Estimates'!$P$13:$P$180, "")*1000), "N/A")</f>
        <v>1.9512705871617679E-2</v>
      </c>
      <c r="F66" s="131">
        <f>IFERROR(F74/(_xlfn.XLOOKUP(Assumptions!$D$5, 'Baseline Headcount Estimates'!$B$13:$B$180, 'Baseline Headcount Estimates'!$P$13:$P$180, "")*1000), "N/A")</f>
        <v>2.9083811599784577E-2</v>
      </c>
      <c r="G66" s="133">
        <f>IFERROR(G74/(_xlfn.XLOOKUP(Assumptions!$D$5, 'Baseline Headcount Estimates'!$B$13:$B$180, 'Baseline Headcount Estimates'!$P$13:$P$180, "")*1000), "N/A")</f>
        <v>3.8531419189523519E-2</v>
      </c>
      <c r="H66" s="129">
        <f t="shared" si="70"/>
        <v>3.8531419189523519E-2</v>
      </c>
      <c r="I66" s="132">
        <f>IFERROR(I74/(_xlfn.XLOOKUP(Assumptions!$D$5, 'Baseline Headcount Estimates'!$B$13:$B$180, 'Baseline Headcount Estimates'!$P$13:$P$180, "")*1000), "N/A")</f>
        <v>4.7855528640834498E-2</v>
      </c>
      <c r="J66" s="131">
        <f>IFERROR(J74/(_xlfn.XLOOKUP(Assumptions!$D$5, 'Baseline Headcount Estimates'!$B$13:$B$180, 'Baseline Headcount Estimates'!$P$13:$P$180, "")*1000), "N/A")</f>
        <v>5.7056139953717513E-2</v>
      </c>
      <c r="K66" s="131">
        <f>IFERROR(K74/(_xlfn.XLOOKUP(Assumptions!$D$5, 'Baseline Headcount Estimates'!$B$13:$B$180, 'Baseline Headcount Estimates'!$P$13:$P$180, "")*1000), "N/A")</f>
        <v>6.6133253128172573E-2</v>
      </c>
      <c r="L66" s="133">
        <f>IFERROR(L74/(_xlfn.XLOOKUP(Assumptions!$D$5, 'Baseline Headcount Estimates'!$B$13:$B$180, 'Baseline Headcount Estimates'!$P$13:$P$180, "")*1000), "N/A")</f>
        <v>7.5086868164199669E-2</v>
      </c>
      <c r="M66" s="129">
        <f t="shared" si="71"/>
        <v>7.5086868164199669E-2</v>
      </c>
      <c r="N66" s="132">
        <f>IFERROR(N74/(_xlfn.XLOOKUP(Assumptions!$D$5, 'Baseline Headcount Estimates'!$B$13:$B$180, 'Baseline Headcount Estimates'!$P$13:$P$180, "")*1000), "N/A")</f>
        <v>8.3916985061798816E-2</v>
      </c>
      <c r="O66" s="131">
        <f>IFERROR(O74/(_xlfn.XLOOKUP(Assumptions!$D$5, 'Baseline Headcount Estimates'!$B$13:$B$180, 'Baseline Headcount Estimates'!$P$13:$P$180, "")*1000), "N/A")</f>
        <v>9.2623603820969999E-2</v>
      </c>
      <c r="P66" s="131">
        <f>IFERROR(P74/(_xlfn.XLOOKUP(Assumptions!$D$5, 'Baseline Headcount Estimates'!$B$13:$B$180, 'Baseline Headcount Estimates'!$P$13:$P$180, "")*1000), "N/A")</f>
        <v>0.10120672444171321</v>
      </c>
      <c r="Q66" s="133">
        <f>IFERROR(Q74/(_xlfn.XLOOKUP(Assumptions!$D$5, 'Baseline Headcount Estimates'!$B$13:$B$180, 'Baseline Headcount Estimates'!$P$13:$P$180, "")*1000), "N/A")</f>
        <v>0.10966634692402848</v>
      </c>
      <c r="R66" s="129">
        <f t="shared" si="72"/>
        <v>0.10966634692402848</v>
      </c>
      <c r="S66" s="132">
        <f>IFERROR(S74/(_xlfn.XLOOKUP(Assumptions!$D$5, 'Baseline Headcount Estimates'!$B$13:$B$180, 'Baseline Headcount Estimates'!$P$13:$P$180, "")*1000), "N/A")</f>
        <v>0.11800247126791577</v>
      </c>
      <c r="T66" s="131">
        <f>IFERROR(T74/(_xlfn.XLOOKUP(Assumptions!$D$5, 'Baseline Headcount Estimates'!$B$13:$B$180, 'Baseline Headcount Estimates'!$P$13:$P$180, "")*1000), "N/A")</f>
        <v>0.12621509747337512</v>
      </c>
      <c r="U66" s="131">
        <f>IFERROR(U74/(_xlfn.XLOOKUP(Assumptions!$D$5, 'Baseline Headcount Estimates'!$B$13:$B$180, 'Baseline Headcount Estimates'!$P$13:$P$180, "")*1000), "N/A")</f>
        <v>0.1343042255404065</v>
      </c>
      <c r="V66" s="133">
        <f>IFERROR(V74/(_xlfn.XLOOKUP(Assumptions!$D$5, 'Baseline Headcount Estimates'!$B$13:$B$180, 'Baseline Headcount Estimates'!$P$13:$P$180, "")*1000), "N/A")</f>
        <v>0.14226985546900991</v>
      </c>
      <c r="W66" s="129">
        <f t="shared" si="73"/>
        <v>0.14226985546900991</v>
      </c>
      <c r="X66" s="132">
        <f>IFERROR(X74/(_xlfn.XLOOKUP(Assumptions!$D$5, 'Baseline Headcount Estimates'!$B$13:$B$180, 'Baseline Headcount Estimates'!$P$13:$P$180, "")*1000), "N/A")</f>
        <v>0.15011198725918537</v>
      </c>
      <c r="Y66" s="131">
        <f>IFERROR(Y74/(_xlfn.XLOOKUP(Assumptions!$D$5, 'Baseline Headcount Estimates'!$B$13:$B$180, 'Baseline Headcount Estimates'!$P$13:$P$180, "")*1000), "N/A")</f>
        <v>0.15783062091093286</v>
      </c>
      <c r="Z66" s="131">
        <f>IFERROR(Z74/(_xlfn.XLOOKUP(Assumptions!$D$5, 'Baseline Headcount Estimates'!$B$13:$B$180, 'Baseline Headcount Estimates'!$P$13:$P$180, "")*1000), "N/A")</f>
        <v>0.16542575642425242</v>
      </c>
      <c r="AA66" s="133">
        <f>IFERROR(AA74/(_xlfn.XLOOKUP(Assumptions!$D$5, 'Baseline Headcount Estimates'!$B$13:$B$180, 'Baseline Headcount Estimates'!$P$13:$P$180, "")*1000), "N/A")</f>
        <v>0.17289739379914398</v>
      </c>
      <c r="AB66" s="181">
        <f>AA66</f>
        <v>0.17289739379914398</v>
      </c>
      <c r="AC66" s="132">
        <f>IFERROR(AC74/(_xlfn.XLOOKUP(Assumptions!$D$5, 'Baseline Headcount Estimates'!$B$13:$B$180, 'Baseline Headcount Estimates'!$P$13:$P$180, "")*1000), "N/A")</f>
        <v>0.17166241241486438</v>
      </c>
      <c r="AD66" s="131">
        <f>IFERROR(AD74/(_xlfn.XLOOKUP(Assumptions!$D$5, 'Baseline Headcount Estimates'!$B$13:$B$180, 'Baseline Headcount Estimates'!$P$13:$P$180, "")*1000), "N/A")</f>
        <v>0.17042743103058478</v>
      </c>
      <c r="AE66" s="131">
        <f>IFERROR(AE74/(_xlfn.XLOOKUP(Assumptions!$D$5, 'Baseline Headcount Estimates'!$B$13:$B$180, 'Baseline Headcount Estimates'!$P$13:$P$180, "")*1000), "N/A")</f>
        <v>0.1691924496463052</v>
      </c>
      <c r="AF66" s="133">
        <f>IFERROR(AF74/(_xlfn.XLOOKUP(Assumptions!$D$5, 'Baseline Headcount Estimates'!$B$13:$B$180, 'Baseline Headcount Estimates'!$P$13:$P$180, "")*1000), "N/A")</f>
        <v>0.16795746826202559</v>
      </c>
      <c r="AG66" s="181">
        <f>AF66</f>
        <v>0.16795746826202559</v>
      </c>
      <c r="AH66" s="132">
        <f>IFERROR(AH74/(_xlfn.XLOOKUP(Assumptions!$D$5, 'Baseline Headcount Estimates'!$B$13:$B$180, 'Baseline Headcount Estimates'!$P$13:$P$180, "")*1000), "N/A")</f>
        <v>0.16672248687774599</v>
      </c>
      <c r="AI66" s="131">
        <f>IFERROR(AI74/(_xlfn.XLOOKUP(Assumptions!$D$5, 'Baseline Headcount Estimates'!$B$13:$B$180, 'Baseline Headcount Estimates'!$P$13:$P$180, "")*1000), "N/A")</f>
        <v>0.16548750549346639</v>
      </c>
      <c r="AJ66" s="131">
        <f>IFERROR(AJ74/(_xlfn.XLOOKUP(Assumptions!$D$5, 'Baseline Headcount Estimates'!$B$13:$B$180, 'Baseline Headcount Estimates'!$P$13:$P$180, "")*1000), "N/A")</f>
        <v>0.16425252410918678</v>
      </c>
      <c r="AK66" s="133">
        <f>IFERROR(AK74/(_xlfn.XLOOKUP(Assumptions!$D$5, 'Baseline Headcount Estimates'!$B$13:$B$180, 'Baseline Headcount Estimates'!$P$13:$P$180, "")*1000), "N/A")</f>
        <v>0.16301754272490718</v>
      </c>
      <c r="AL66" s="129">
        <f>AK66</f>
        <v>0.16301754272490718</v>
      </c>
    </row>
    <row r="67" spans="1:38" ht="15.95">
      <c r="A67" s="31"/>
      <c r="C67" s="33" t="s">
        <v>303</v>
      </c>
      <c r="D67" s="132">
        <f>IFERROR(D75/(_xlfn.XLOOKUP(Assumptions!$D$5, 'Baseline Headcount Estimates'!$B$13:$B$180, 'Baseline Headcount Estimates'!$O$13:$O$180, "")*1000), "N/A")</f>
        <v>9.4418130698424082E-3</v>
      </c>
      <c r="E67" s="131">
        <f>IFERROR(E75/(_xlfn.XLOOKUP(Assumptions!$D$5, 'Baseline Headcount Estimates'!$B$13:$B$180, 'Baseline Headcount Estimates'!$O$13:$O$180, "")*1000), "N/A")</f>
        <v>1.8764861195410067E-2</v>
      </c>
      <c r="F67" s="131">
        <f>IFERROR(F75/(_xlfn.XLOOKUP(Assumptions!$D$5, 'Baseline Headcount Estimates'!$B$13:$B$180, 'Baseline Headcount Estimates'!$O$13:$O$180, "")*1000), "N/A")</f>
        <v>2.7969144376702979E-2</v>
      </c>
      <c r="G67" s="133">
        <f>IFERROR(G75/(_xlfn.XLOOKUP(Assumptions!$D$5, 'Baseline Headcount Estimates'!$B$13:$B$180, 'Baseline Headcount Estimates'!$O$13:$O$180, "")*1000), "N/A")</f>
        <v>3.7054662613721145E-2</v>
      </c>
      <c r="H67" s="129">
        <f t="shared" si="70"/>
        <v>3.7054662613721145E-2</v>
      </c>
      <c r="I67" s="132">
        <f>IFERROR(I75/(_xlfn.XLOOKUP(Assumptions!$D$5, 'Baseline Headcount Estimates'!$B$13:$B$180, 'Baseline Headcount Estimates'!$O$13:$O$180, "")*1000), "N/A")</f>
        <v>4.6021415906464566E-2</v>
      </c>
      <c r="J67" s="131">
        <f>IFERROR(J75/(_xlfn.XLOOKUP(Assumptions!$D$5, 'Baseline Headcount Estimates'!$B$13:$B$180, 'Baseline Headcount Estimates'!$O$13:$O$180, "")*1000), "N/A")</f>
        <v>5.4869404254933238E-2</v>
      </c>
      <c r="K67" s="131">
        <f>IFERROR(K75/(_xlfn.XLOOKUP(Assumptions!$D$5, 'Baseline Headcount Estimates'!$B$13:$B$180, 'Baseline Headcount Estimates'!$O$13:$O$180, "")*1000), "N/A")</f>
        <v>6.359862765912716E-2</v>
      </c>
      <c r="L67" s="133">
        <f>IFERROR(L75/(_xlfn.XLOOKUP(Assumptions!$D$5, 'Baseline Headcount Estimates'!$B$13:$B$180, 'Baseline Headcount Estimates'!$O$13:$O$180, "")*1000), "N/A")</f>
        <v>7.2209086119046334E-2</v>
      </c>
      <c r="M67" s="129">
        <f t="shared" si="71"/>
        <v>7.2209086119046334E-2</v>
      </c>
      <c r="N67" s="132">
        <f>IFERROR(N75/(_xlfn.XLOOKUP(Assumptions!$D$5, 'Baseline Headcount Estimates'!$B$13:$B$180, 'Baseline Headcount Estimates'!$O$13:$O$180, "")*1000), "N/A")</f>
        <v>8.0700779634690772E-2</v>
      </c>
      <c r="O67" s="131">
        <f>IFERROR(O75/(_xlfn.XLOOKUP(Assumptions!$D$5, 'Baseline Headcount Estimates'!$B$13:$B$180, 'Baseline Headcount Estimates'!$O$13:$O$180, "")*1000), "N/A")</f>
        <v>8.9073708206060448E-2</v>
      </c>
      <c r="P67" s="131">
        <f>IFERROR(P75/(_xlfn.XLOOKUP(Assumptions!$D$5, 'Baseline Headcount Estimates'!$B$13:$B$180, 'Baseline Headcount Estimates'!$O$13:$O$180, "")*1000), "N/A")</f>
        <v>9.7327871833155388E-2</v>
      </c>
      <c r="Q67" s="133">
        <f>IFERROR(Q75/(_xlfn.XLOOKUP(Assumptions!$D$5, 'Baseline Headcount Estimates'!$B$13:$B$180, 'Baseline Headcount Estimates'!$O$13:$O$180, "")*1000), "N/A")</f>
        <v>0.10546327051597557</v>
      </c>
      <c r="R67" s="129">
        <f t="shared" si="72"/>
        <v>0.10546327051597557</v>
      </c>
      <c r="S67" s="132">
        <f>IFERROR(S75/(_xlfn.XLOOKUP(Assumptions!$D$5, 'Baseline Headcount Estimates'!$B$13:$B$180, 'Baseline Headcount Estimates'!$O$13:$O$180, "")*1000), "N/A")</f>
        <v>0.11347990425452101</v>
      </c>
      <c r="T67" s="131">
        <f>IFERROR(T75/(_xlfn.XLOOKUP(Assumptions!$D$5, 'Baseline Headcount Estimates'!$B$13:$B$180, 'Baseline Headcount Estimates'!$O$13:$O$180, "")*1000), "N/A")</f>
        <v>0.1213777730487917</v>
      </c>
      <c r="U67" s="131">
        <f>IFERROR(U75/(_xlfn.XLOOKUP(Assumptions!$D$5, 'Baseline Headcount Estimates'!$B$13:$B$180, 'Baseline Headcount Estimates'!$O$13:$O$180, "")*1000), "N/A")</f>
        <v>0.12915687689878766</v>
      </c>
      <c r="V67" s="133">
        <f>IFERROR(V75/(_xlfn.XLOOKUP(Assumptions!$D$5, 'Baseline Headcount Estimates'!$B$13:$B$180, 'Baseline Headcount Estimates'!$O$13:$O$180, "")*1000), "N/A")</f>
        <v>0.13681721580450884</v>
      </c>
      <c r="W67" s="129">
        <f t="shared" si="73"/>
        <v>0.13681721580450884</v>
      </c>
      <c r="X67" s="132">
        <f>IFERROR(X75/(_xlfn.XLOOKUP(Assumptions!$D$5, 'Baseline Headcount Estimates'!$B$13:$B$180, 'Baseline Headcount Estimates'!$O$13:$O$180, "")*1000), "N/A")</f>
        <v>0.14435878976595529</v>
      </c>
      <c r="Y67" s="131">
        <f>IFERROR(Y75/(_xlfn.XLOOKUP(Assumptions!$D$5, 'Baseline Headcount Estimates'!$B$13:$B$180, 'Baseline Headcount Estimates'!$O$13:$O$180, "")*1000), "N/A")</f>
        <v>0.151781598783127</v>
      </c>
      <c r="Z67" s="131">
        <f>IFERROR(Z75/(_xlfn.XLOOKUP(Assumptions!$D$5, 'Baseline Headcount Estimates'!$B$13:$B$180, 'Baseline Headcount Estimates'!$O$13:$O$180, "")*1000), "N/A")</f>
        <v>0.15908564285602397</v>
      </c>
      <c r="AA67" s="133">
        <f>IFERROR(AA75/(_xlfn.XLOOKUP(Assumptions!$D$5, 'Baseline Headcount Estimates'!$B$13:$B$180, 'Baseline Headcount Estimates'!$O$13:$O$180, "")*1000), "N/A")</f>
        <v>0.16627092198464616</v>
      </c>
      <c r="AB67" s="181">
        <f>AA67</f>
        <v>0.16627092198464616</v>
      </c>
      <c r="AC67" s="132">
        <f>IFERROR(AC75/(_xlfn.XLOOKUP(Assumptions!$D$5, 'Baseline Headcount Estimates'!$B$13:$B$180, 'Baseline Headcount Estimates'!$O$13:$O$180, "")*1000), "N/A")</f>
        <v>0.1650832725418987</v>
      </c>
      <c r="AD67" s="131">
        <f>IFERROR(AD75/(_xlfn.XLOOKUP(Assumptions!$D$5, 'Baseline Headcount Estimates'!$B$13:$B$180, 'Baseline Headcount Estimates'!$O$13:$O$180, "")*1000), "N/A")</f>
        <v>0.16389562309915123</v>
      </c>
      <c r="AE67" s="131">
        <f>IFERROR(AE75/(_xlfn.XLOOKUP(Assumptions!$D$5, 'Baseline Headcount Estimates'!$B$13:$B$180, 'Baseline Headcount Estimates'!$O$13:$O$180, "")*1000), "N/A")</f>
        <v>0.16270797365640374</v>
      </c>
      <c r="AF67" s="133">
        <f>IFERROR(AF75/(_xlfn.XLOOKUP(Assumptions!$D$5, 'Baseline Headcount Estimates'!$B$13:$B$180, 'Baseline Headcount Estimates'!$O$13:$O$180, "")*1000), "N/A")</f>
        <v>0.16152032421365628</v>
      </c>
      <c r="AG67" s="181">
        <f>AF67</f>
        <v>0.16152032421365628</v>
      </c>
      <c r="AH67" s="132">
        <f>IFERROR(AH75/(_xlfn.XLOOKUP(Assumptions!$D$5, 'Baseline Headcount Estimates'!$B$13:$B$180, 'Baseline Headcount Estimates'!$O$13:$O$180, "")*1000), "N/A")</f>
        <v>0.16033267477090882</v>
      </c>
      <c r="AI67" s="131">
        <f>IFERROR(AI75/(_xlfn.XLOOKUP(Assumptions!$D$5, 'Baseline Headcount Estimates'!$B$13:$B$180, 'Baseline Headcount Estimates'!$O$13:$O$180, "")*1000), "N/A")</f>
        <v>0.15914502532816133</v>
      </c>
      <c r="AJ67" s="131">
        <f>IFERROR(AJ75/(_xlfn.XLOOKUP(Assumptions!$D$5, 'Baseline Headcount Estimates'!$B$13:$B$180, 'Baseline Headcount Estimates'!$O$13:$O$180, "")*1000), "N/A")</f>
        <v>0.15795737588541386</v>
      </c>
      <c r="AK67" s="133">
        <f>IFERROR(AK75/(_xlfn.XLOOKUP(Assumptions!$D$5, 'Baseline Headcount Estimates'!$B$13:$B$180, 'Baseline Headcount Estimates'!$O$13:$O$180, "")*1000), "N/A")</f>
        <v>0.1567697264426664</v>
      </c>
      <c r="AL67" s="129">
        <f>AK67</f>
        <v>0.1567697264426664</v>
      </c>
    </row>
    <row r="68" spans="1:38" ht="15.95">
      <c r="A68" s="55"/>
      <c r="C68" s="189" t="s">
        <v>304</v>
      </c>
      <c r="D68" s="68">
        <f>Assumptions!$D$12*(1/(Assumptions!$D$16*4))</f>
        <v>10</v>
      </c>
      <c r="E68" s="69">
        <f>D68+Assumptions!$D$12*(1/(Assumptions!$D$16*4))</f>
        <v>20</v>
      </c>
      <c r="F68" s="69">
        <f>E68+Assumptions!$D$12*(1/(Assumptions!$D$16*4))</f>
        <v>30</v>
      </c>
      <c r="G68" s="92">
        <f>F68+Assumptions!$D$12*(1/(Assumptions!$D$16*4))</f>
        <v>40</v>
      </c>
      <c r="H68" s="91">
        <f t="shared" si="70"/>
        <v>40</v>
      </c>
      <c r="I68" s="68">
        <f>IF($H$68&lt;Assumptions!$D$12,(H68+Assumptions!$D$12*(1/(Assumptions!$D$16*4))),$H$68)</f>
        <v>50</v>
      </c>
      <c r="J68" s="69">
        <f>IF($H$68&lt;Assumptions!$D$12,(I68+Assumptions!$D$12*(1/(Assumptions!$D$16*4))),$H$68)</f>
        <v>60</v>
      </c>
      <c r="K68" s="69">
        <f>IF($H$68&lt;Assumptions!$D$12,(J68+Assumptions!$D$12*(1/(Assumptions!$D$16*4))),$H$68)</f>
        <v>70</v>
      </c>
      <c r="L68" s="92">
        <f>IF($H$68&lt;Assumptions!$D$12,(K68+Assumptions!$D$12*(1/(Assumptions!$D$16*4))),$H$68)</f>
        <v>80</v>
      </c>
      <c r="M68" s="57">
        <f t="shared" si="71"/>
        <v>80</v>
      </c>
      <c r="N68" s="68">
        <f>IF($M$68&lt;Assumptions!$D$12,(M68+Assumptions!$D$12*(1/(Assumptions!$D$16*4))),$M$68)</f>
        <v>90</v>
      </c>
      <c r="O68" s="69">
        <f>IF($M$68&lt;Assumptions!$D$12,(N68+Assumptions!$D$12*(1/(Assumptions!$D$16*4))),$M$68)</f>
        <v>100</v>
      </c>
      <c r="P68" s="69">
        <f>IF($M$68&lt;Assumptions!$D$12,(O68+Assumptions!$D$12*(1/(Assumptions!$D$16*4))),$M$68)</f>
        <v>110</v>
      </c>
      <c r="Q68" s="92">
        <f>IF($M$68&lt;Assumptions!$D$12,(P68+Assumptions!$D$12*(1/(Assumptions!$D$16*4))),$M$68)</f>
        <v>120</v>
      </c>
      <c r="R68" s="57">
        <f t="shared" si="72"/>
        <v>120</v>
      </c>
      <c r="S68" s="68">
        <f>IF($R$68&lt;Assumptions!$D$12,(R68+Assumptions!$D$12*(1/(Assumptions!$D$16*4))),$R$68)</f>
        <v>130</v>
      </c>
      <c r="T68" s="69">
        <f>IF($R$68&lt;Assumptions!$D$12,(S68+Assumptions!$D$12*(1/(Assumptions!$D$16*4))),$R$68)</f>
        <v>140</v>
      </c>
      <c r="U68" s="69">
        <f>IF($R$68&lt;Assumptions!$D$12,(T68+Assumptions!$D$12*(1/(Assumptions!$D$16*4))),$R$68)</f>
        <v>150</v>
      </c>
      <c r="V68" s="92">
        <f>IF($R$68&lt;Assumptions!$D$12,(U68+Assumptions!$D$12*(1/(Assumptions!$D$16*4))),$R$68)</f>
        <v>160</v>
      </c>
      <c r="W68" s="57">
        <f t="shared" si="73"/>
        <v>160</v>
      </c>
      <c r="X68" s="68">
        <f>IF($W$68&lt;Assumptions!$D$12,(W68+Assumptions!$D$12*(1/(Assumptions!$D$16*4))),$W$68)</f>
        <v>170</v>
      </c>
      <c r="Y68" s="69">
        <f>IF($W$68&lt;Assumptions!$D$12,(X68+Assumptions!$D$12*(1/(Assumptions!$D$16*4))),$W$68)</f>
        <v>180</v>
      </c>
      <c r="Z68" s="69">
        <f>IF($W$68&lt;Assumptions!$D$12,(Y68+Assumptions!$D$12*(1/(Assumptions!$D$16*4))),$W$68)</f>
        <v>190</v>
      </c>
      <c r="AA68" s="92">
        <f>IF($W$68&lt;Assumptions!$D$12,(Z68+Assumptions!$D$12*(1/(Assumptions!$D$16*4))),$W$68)</f>
        <v>200</v>
      </c>
      <c r="AB68" s="57">
        <f t="shared" ref="AB68:AL71" si="74">AA68</f>
        <v>200</v>
      </c>
      <c r="AC68" s="68">
        <f>IF($AB$68&lt;Assumptions!$D$12,(AB68+Assumptions!$D$12*(1/(Assumptions!$D$16*4))),$AB$68)</f>
        <v>200</v>
      </c>
      <c r="AD68" s="69">
        <f>IF($AB$68&lt;Assumptions!$D$12,(AC68+Assumptions!$D$12*(1/(Assumptions!$D$16*4))),$AB$68)</f>
        <v>200</v>
      </c>
      <c r="AE68" s="69">
        <f>IF($AB$68&lt;Assumptions!$D$12,(AD68+Assumptions!$D$12*(1/(Assumptions!$D$16*4))),$AB$68)</f>
        <v>200</v>
      </c>
      <c r="AF68" s="92">
        <f>IF($AB$68&lt;Assumptions!$D$12,(AE68+Assumptions!$D$12*(1/(Assumptions!$D$16*4))),$AB$68)</f>
        <v>200</v>
      </c>
      <c r="AG68" s="57">
        <f t="shared" si="74"/>
        <v>200</v>
      </c>
      <c r="AH68" s="68">
        <f>IF($AB$68&lt;Assumptions!$D$12,(AG68+Assumptions!$D$12*(1/(Assumptions!$D$16*4))),$AB$68)</f>
        <v>200</v>
      </c>
      <c r="AI68" s="69">
        <f>IF($AB$68&lt;Assumptions!$D$12,(AH68+Assumptions!$D$12*(1/(Assumptions!$D$16*4))),$AB$68)</f>
        <v>200</v>
      </c>
      <c r="AJ68" s="69">
        <f>IF($AB$68&lt;Assumptions!$D$12,(AI68+Assumptions!$D$12*(1/(Assumptions!$D$16*4))),$AB$68)</f>
        <v>200</v>
      </c>
      <c r="AK68" s="92">
        <f>IF($AB$68&lt;Assumptions!$D$12,(AJ68+Assumptions!$D$12*(1/(Assumptions!$D$16*4))),$AB$68)</f>
        <v>200</v>
      </c>
      <c r="AL68" s="91">
        <f t="shared" si="74"/>
        <v>200</v>
      </c>
    </row>
    <row r="69" spans="1:38" ht="15.95">
      <c r="A69" s="55"/>
      <c r="C69" s="189" t="s">
        <v>305</v>
      </c>
      <c r="D69" s="68">
        <f>Assumptions!$D$13*(1/(Assumptions!$D$16*4))</f>
        <v>50</v>
      </c>
      <c r="E69" s="69">
        <f>D69+Assumptions!$D$13*(1/(Assumptions!$D$16*4))</f>
        <v>100</v>
      </c>
      <c r="F69" s="69">
        <f>E69+Assumptions!$D$13*(1/(Assumptions!$D$16*4))</f>
        <v>150</v>
      </c>
      <c r="G69" s="92">
        <f>F69+Assumptions!$D$13*(1/(Assumptions!$D$16*4))</f>
        <v>200</v>
      </c>
      <c r="H69" s="91">
        <f t="shared" si="70"/>
        <v>200</v>
      </c>
      <c r="I69" s="68">
        <f>IF($H$69&lt;Assumptions!$D$13,(H69+Assumptions!$D$13*(1/(Assumptions!$D$16*4))),$H$69)</f>
        <v>250</v>
      </c>
      <c r="J69" s="69">
        <f>IF($H$69&lt;Assumptions!$D$13,(I69+Assumptions!$D$13*(1/(Assumptions!$D$16*4))),$H$69)</f>
        <v>300</v>
      </c>
      <c r="K69" s="69">
        <f>IF($H$69&lt;Assumptions!$D$13,(J69+Assumptions!$D$13*(1/(Assumptions!$D$16*4))),$H$69)</f>
        <v>350</v>
      </c>
      <c r="L69" s="92">
        <f>IF($H$69&lt;Assumptions!$D$13,(K69+Assumptions!$D$13*(1/(Assumptions!$D$16*4))),$H$69)</f>
        <v>400</v>
      </c>
      <c r="M69" s="57">
        <f t="shared" si="71"/>
        <v>400</v>
      </c>
      <c r="N69" s="68">
        <f>IF($M$69&lt;Assumptions!$D$13,(M69+Assumptions!$D$13*(1/(Assumptions!$D$16*4))),$M$69)</f>
        <v>450</v>
      </c>
      <c r="O69" s="69">
        <f>IF($M$69&lt;Assumptions!$D$13,(N69+Assumptions!$D$13*(1/(Assumptions!$D$16*4))),$M$69)</f>
        <v>500</v>
      </c>
      <c r="P69" s="69">
        <f>IF($M$69&lt;Assumptions!$D$13,(O69+Assumptions!$D$13*(1/(Assumptions!$D$16*4))),$M$69)</f>
        <v>550</v>
      </c>
      <c r="Q69" s="92">
        <f>IF($M$69&lt;Assumptions!$D$13,(P69+Assumptions!$D$13*(1/(Assumptions!$D$16*4))),$M$69)</f>
        <v>600</v>
      </c>
      <c r="R69" s="57">
        <f t="shared" si="72"/>
        <v>600</v>
      </c>
      <c r="S69" s="68">
        <f>IF($R$69&lt;Assumptions!$D$13,(R69+Assumptions!$D$13*(1/(Assumptions!$D$16*4))),$R$69)</f>
        <v>650</v>
      </c>
      <c r="T69" s="69">
        <f>IF($R$69&lt;Assumptions!$D$13,(S69+Assumptions!$D$13*(1/(Assumptions!$D$16*4))),$R$69)</f>
        <v>700</v>
      </c>
      <c r="U69" s="69">
        <f>IF($R$69&lt;Assumptions!$D$13,(T69+Assumptions!$D$13*(1/(Assumptions!$D$16*4))),$R$69)</f>
        <v>750</v>
      </c>
      <c r="V69" s="92">
        <f>IF($R$69&lt;Assumptions!$D$13,(U69+Assumptions!$D$13*(1/(Assumptions!$D$16*4))),$R$69)</f>
        <v>800</v>
      </c>
      <c r="W69" s="57">
        <f t="shared" si="73"/>
        <v>800</v>
      </c>
      <c r="X69" s="68">
        <f>IF($W$69&lt;Assumptions!$D$13,(W69+Assumptions!$D$13*(1/(Assumptions!$D$16*4))),$W$69)</f>
        <v>850</v>
      </c>
      <c r="Y69" s="69">
        <f>IF($W$69&lt;Assumptions!$D$13,(X69+Assumptions!$D$13*(1/(Assumptions!$D$16*4))),$W$69)</f>
        <v>900</v>
      </c>
      <c r="Z69" s="69">
        <f>IF($W$69&lt;Assumptions!$D$13,(Y69+Assumptions!$D$13*(1/(Assumptions!$D$16*4))),$W$69)</f>
        <v>950</v>
      </c>
      <c r="AA69" s="92">
        <f>IF($W$69&lt;Assumptions!$D$13,(Z69+Assumptions!$D$13*(1/(Assumptions!$D$16*4))),$W$69)</f>
        <v>1000</v>
      </c>
      <c r="AB69" s="57">
        <f t="shared" si="74"/>
        <v>1000</v>
      </c>
      <c r="AC69" s="68">
        <f>IF($AB$69&lt;Assumptions!$D$13,(AB69+Assumptions!$D$13*(1/(Assumptions!$D$16*4))),$AB$69)</f>
        <v>1000</v>
      </c>
      <c r="AD69" s="69">
        <f>IF($AB$69&lt;Assumptions!$D$13,(AC69+Assumptions!$D$13*(1/(Assumptions!$D$16*4))),$AB$69)</f>
        <v>1000</v>
      </c>
      <c r="AE69" s="69">
        <f>IF($AB$69&lt;Assumptions!$D$13,(AD69+Assumptions!$D$13*(1/(Assumptions!$D$16*4))),$AB$69)</f>
        <v>1000</v>
      </c>
      <c r="AF69" s="92">
        <f>IF($AB$69&lt;Assumptions!$D$13,(AE69+Assumptions!$D$13*(1/(Assumptions!$D$16*4))),$AB$69)</f>
        <v>1000</v>
      </c>
      <c r="AG69" s="57">
        <f t="shared" si="74"/>
        <v>1000</v>
      </c>
      <c r="AH69" s="68">
        <f>IF($AB$69&lt;Assumptions!$D$13,(AG69+Assumptions!$D$13*(1/(Assumptions!$D$16*4))),$AB$69)</f>
        <v>1000</v>
      </c>
      <c r="AI69" s="69">
        <f>IF($AB$69&lt;Assumptions!$D$13,(AH69+Assumptions!$D$13*(1/(Assumptions!$D$16*4))),$AB$69)</f>
        <v>1000</v>
      </c>
      <c r="AJ69" s="69">
        <f>IF($AB$69&lt;Assumptions!$D$13,(AI69+Assumptions!$D$13*(1/(Assumptions!$D$16*4))),$AB$69)</f>
        <v>1000</v>
      </c>
      <c r="AK69" s="92">
        <f>IF($AB$69&lt;Assumptions!$D$13,(AJ69+Assumptions!$D$13*(1/(Assumptions!$D$16*4))),$AB$69)</f>
        <v>1000</v>
      </c>
      <c r="AL69" s="91">
        <f t="shared" si="74"/>
        <v>1000</v>
      </c>
    </row>
    <row r="70" spans="1:38" ht="15.95">
      <c r="A70" s="55"/>
      <c r="C70" s="189" t="s">
        <v>306</v>
      </c>
      <c r="D70" s="68">
        <f>Assumptions!$D$14*(1/(Assumptions!$D$16*4))</f>
        <v>250</v>
      </c>
      <c r="E70" s="69">
        <f>D70+Assumptions!$D$14*(1/(Assumptions!$D$16*4))</f>
        <v>500</v>
      </c>
      <c r="F70" s="69">
        <f>E70+Assumptions!$D$14*(1/(Assumptions!$D$16*4))</f>
        <v>750</v>
      </c>
      <c r="G70" s="92">
        <f>F70+Assumptions!$D$14*(1/(Assumptions!$D$16*4))</f>
        <v>1000</v>
      </c>
      <c r="H70" s="91">
        <f t="shared" si="70"/>
        <v>1000</v>
      </c>
      <c r="I70" s="68">
        <f>IF($H$70&lt;Assumptions!$D$14,(H70+Assumptions!$D$14*(1/(Assumptions!$D$16*4))),$H$70)</f>
        <v>1250</v>
      </c>
      <c r="J70" s="69">
        <f>IF($H$70&lt;Assumptions!$D$14,(I70+Assumptions!$D$14*(1/(Assumptions!$D$16*4))),$H$70)</f>
        <v>1500</v>
      </c>
      <c r="K70" s="69">
        <f>IF($H$70&lt;Assumptions!$D$14,(J70+Assumptions!$D$14*(1/(Assumptions!$D$16*4))),$H$70)</f>
        <v>1750</v>
      </c>
      <c r="L70" s="92">
        <f>IF($H$70&lt;Assumptions!$D$14,(K70+Assumptions!$D$14*(1/(Assumptions!$D$16*4))),$H$70)</f>
        <v>2000</v>
      </c>
      <c r="M70" s="57">
        <f t="shared" si="71"/>
        <v>2000</v>
      </c>
      <c r="N70" s="68">
        <f>IF($M$70&lt;Assumptions!$D$14,(M70+Assumptions!$D$14*(1/(Assumptions!$D$16*4))),$M$70)</f>
        <v>2250</v>
      </c>
      <c r="O70" s="69">
        <f>IF($M$70&lt;Assumptions!$D$14,(N70+Assumptions!$D$14*(1/(Assumptions!$D$16*4))),$M$70)</f>
        <v>2500</v>
      </c>
      <c r="P70" s="69">
        <f>IF($M$70&lt;Assumptions!$D$14,(O70+Assumptions!$D$14*(1/(Assumptions!$D$16*4))),$M$70)</f>
        <v>2750</v>
      </c>
      <c r="Q70" s="92">
        <f>IF($M$70&lt;Assumptions!$D$14,(P70+Assumptions!$D$14*(1/(Assumptions!$D$16*4))),$M$70)</f>
        <v>3000</v>
      </c>
      <c r="R70" s="57">
        <f t="shared" si="72"/>
        <v>3000</v>
      </c>
      <c r="S70" s="68">
        <f>IF($R$70&lt;Assumptions!$D$14,(R70+Assumptions!$D$14*(1/(Assumptions!$D$16*4))),$R$70)</f>
        <v>3250</v>
      </c>
      <c r="T70" s="69">
        <f>IF($R$70&lt;Assumptions!$D$14,(S70+Assumptions!$D$14*(1/(Assumptions!$D$16*4))),$R$70)</f>
        <v>3500</v>
      </c>
      <c r="U70" s="69">
        <f>IF($R$70&lt;Assumptions!$D$14,(T70+Assumptions!$D$14*(1/(Assumptions!$D$16*4))),$R$70)</f>
        <v>3750</v>
      </c>
      <c r="V70" s="92">
        <f>IF($R$70&lt;Assumptions!$D$14,(U70+Assumptions!$D$14*(1/(Assumptions!$D$16*4))),$R$70)</f>
        <v>4000</v>
      </c>
      <c r="W70" s="57">
        <f t="shared" si="73"/>
        <v>4000</v>
      </c>
      <c r="X70" s="68">
        <f>IF($W$70&lt;Assumptions!$D$14,(W70+Assumptions!$D$14*(1/(Assumptions!$D$16*4))),$W$70)</f>
        <v>4250</v>
      </c>
      <c r="Y70" s="69">
        <f>IF($W$70&lt;Assumptions!$D$14,(X70+Assumptions!$D$14*(1/(Assumptions!$D$16*4))),$W$70)</f>
        <v>4500</v>
      </c>
      <c r="Z70" s="69">
        <f>IF($W$70&lt;Assumptions!$D$14,(Y70+Assumptions!$D$14*(1/(Assumptions!$D$16*4))),$W$70)</f>
        <v>4750</v>
      </c>
      <c r="AA70" s="92">
        <f>IF($W$70&lt;Assumptions!$D$14,(Z70+Assumptions!$D$14*(1/(Assumptions!$D$16*4))),$W$70)</f>
        <v>5000</v>
      </c>
      <c r="AB70" s="57">
        <f t="shared" si="74"/>
        <v>5000</v>
      </c>
      <c r="AC70" s="68">
        <f>IF($AB$70&lt;Assumptions!$D$14,(AB70+Assumptions!$D$14*(1/(Assumptions!$D$16*4))),$AB$70)</f>
        <v>5000</v>
      </c>
      <c r="AD70" s="69">
        <f>IF($AB$70&lt;Assumptions!$D$14,(AC70+Assumptions!$D$14*(1/(Assumptions!$D$16*4))),$AB$70)</f>
        <v>5000</v>
      </c>
      <c r="AE70" s="69">
        <f>IF($AB$70&lt;Assumptions!$D$14,(AD70+Assumptions!$D$14*(1/(Assumptions!$D$16*4))),$AB$70)</f>
        <v>5000</v>
      </c>
      <c r="AF70" s="92">
        <f>IF($AB$70&lt;Assumptions!$D$14,(AE70+Assumptions!$D$14*(1/(Assumptions!$D$16*4))),$AB$70)</f>
        <v>5000</v>
      </c>
      <c r="AG70" s="57">
        <f t="shared" si="74"/>
        <v>5000</v>
      </c>
      <c r="AH70" s="68">
        <f>IF($AB$70&lt;Assumptions!$D$14,(AG70+Assumptions!$D$14*(1/(Assumptions!$D$16*4))),$AB$70)</f>
        <v>5000</v>
      </c>
      <c r="AI70" s="69">
        <f>IF($AB$70&lt;Assumptions!$D$14,(AH70+Assumptions!$D$14*(1/(Assumptions!$D$16*4))),$AB$70)</f>
        <v>5000</v>
      </c>
      <c r="AJ70" s="69">
        <f>IF($AB$70&lt;Assumptions!$D$14,(AI70+Assumptions!$D$14*(1/(Assumptions!$D$16*4))),$AB$70)</f>
        <v>5000</v>
      </c>
      <c r="AK70" s="92">
        <f>IF($AB$70&lt;Assumptions!$D$14,(AJ70+Assumptions!$D$14*(1/(Assumptions!$D$16*4))),$AB$70)</f>
        <v>5000</v>
      </c>
      <c r="AL70" s="91">
        <f t="shared" si="74"/>
        <v>5000</v>
      </c>
    </row>
    <row r="71" spans="1:38" ht="15.95">
      <c r="A71" s="55"/>
      <c r="C71" s="189" t="s">
        <v>307</v>
      </c>
      <c r="D71" s="68">
        <f>Assumptions!$D$15*(1/(Assumptions!$D$16*4))</f>
        <v>2000</v>
      </c>
      <c r="E71" s="69">
        <f>D71+Assumptions!$D$15*(1/(Assumptions!$D$16*4))</f>
        <v>4000</v>
      </c>
      <c r="F71" s="69">
        <f>E71+Assumptions!$D$15*(1/(Assumptions!$D$16*4))</f>
        <v>6000</v>
      </c>
      <c r="G71" s="92">
        <f>F71+Assumptions!$D$15*(1/(Assumptions!$D$16*4))</f>
        <v>8000</v>
      </c>
      <c r="H71" s="91">
        <f t="shared" si="70"/>
        <v>8000</v>
      </c>
      <c r="I71" s="68">
        <f>IF($H$71&lt;Assumptions!$D$15,(H71+Assumptions!$D$15*(1/(Assumptions!$D$16*4))),$H$71)</f>
        <v>10000</v>
      </c>
      <c r="J71" s="69">
        <f>IF($H$71&lt;Assumptions!$D$15,(I71+Assumptions!$D$15*(1/(Assumptions!$D$16*4))),$H$71)</f>
        <v>12000</v>
      </c>
      <c r="K71" s="69">
        <f>IF($H$71&lt;Assumptions!$D$15,(J71+Assumptions!$D$15*(1/(Assumptions!$D$16*4))),$H$71)</f>
        <v>14000</v>
      </c>
      <c r="L71" s="92">
        <f>IF($H$71&lt;Assumptions!$D$15,(K71+Assumptions!$D$15*(1/(Assumptions!$D$16*4))),$H$71)</f>
        <v>16000</v>
      </c>
      <c r="M71" s="57">
        <f t="shared" si="71"/>
        <v>16000</v>
      </c>
      <c r="N71" s="68">
        <f>IF($M$71&lt;Assumptions!$D$15,(M71+Assumptions!$D$15*(1/(Assumptions!$D$16*4))),$M$71)</f>
        <v>18000</v>
      </c>
      <c r="O71" s="69">
        <f>IF($M$71&lt;Assumptions!$D$15,(N71+Assumptions!$D$15*(1/(Assumptions!$D$16*4))),$M$71)</f>
        <v>20000</v>
      </c>
      <c r="P71" s="69">
        <f>IF($M$71&lt;Assumptions!$D$15,(O71+Assumptions!$D$15*(1/(Assumptions!$D$16*4))),$M$71)</f>
        <v>22000</v>
      </c>
      <c r="Q71" s="92">
        <f>IF($M$71&lt;Assumptions!$D$15,(P71+Assumptions!$D$15*(1/(Assumptions!$D$16*4))),$M$71)</f>
        <v>24000</v>
      </c>
      <c r="R71" s="57">
        <f t="shared" si="72"/>
        <v>24000</v>
      </c>
      <c r="S71" s="68">
        <f>IF($R$71&lt;Assumptions!$D$15,(R71+Assumptions!$D$15*(1/(Assumptions!$D$16*4))),$R$71)</f>
        <v>26000</v>
      </c>
      <c r="T71" s="69">
        <f>IF($R$71&lt;Assumptions!$D$15,(S71+Assumptions!$D$15*(1/(Assumptions!$D$16*4))),$R$71)</f>
        <v>28000</v>
      </c>
      <c r="U71" s="69">
        <f>IF($R$71&lt;Assumptions!$D$15,(T71+Assumptions!$D$15*(1/(Assumptions!$D$16*4))),$R$71)</f>
        <v>30000</v>
      </c>
      <c r="V71" s="92">
        <f>IF($R$71&lt;Assumptions!$D$15,(U71+Assumptions!$D$15*(1/(Assumptions!$D$16*4))),$R$71)</f>
        <v>32000</v>
      </c>
      <c r="W71" s="57">
        <f t="shared" si="73"/>
        <v>32000</v>
      </c>
      <c r="X71" s="68">
        <f>IF($W$71&lt;Assumptions!$D$15,(W71+Assumptions!$D$15*(1/(Assumptions!$D$16*4))),$W$71)</f>
        <v>34000</v>
      </c>
      <c r="Y71" s="69">
        <f>IF($W$71&lt;Assumptions!$D$15,(X71+Assumptions!$D$15*(1/(Assumptions!$D$16*4))),$W$71)</f>
        <v>36000</v>
      </c>
      <c r="Z71" s="69">
        <f>IF($W$71&lt;Assumptions!$D$15,(Y71+Assumptions!$D$15*(1/(Assumptions!$D$16*4))),$W$71)</f>
        <v>38000</v>
      </c>
      <c r="AA71" s="92">
        <f>IF($W$71&lt;Assumptions!$D$15,(Z71+Assumptions!$D$15*(1/(Assumptions!$D$16*4))),$W$71)</f>
        <v>40000</v>
      </c>
      <c r="AB71" s="57">
        <f t="shared" si="74"/>
        <v>40000</v>
      </c>
      <c r="AC71" s="68">
        <f>IF($AB$71&lt;Assumptions!$D$15,(AB71+Assumptions!$D$15*(1/(Assumptions!$D$16*4))),$AB$71)</f>
        <v>40000</v>
      </c>
      <c r="AD71" s="69">
        <f>IF($AB$71&lt;Assumptions!$D$15,(AC71+Assumptions!$D$15*(1/(Assumptions!$D$16*4))),$AB$71)</f>
        <v>40000</v>
      </c>
      <c r="AE71" s="69">
        <f>IF($AB$71&lt;Assumptions!$D$15,(AD71+Assumptions!$D$15*(1/(Assumptions!$D$16*4))),$AB$71)</f>
        <v>40000</v>
      </c>
      <c r="AF71" s="92">
        <f>IF($AB$71&lt;Assumptions!$D$15,(AE71+Assumptions!$D$15*(1/(Assumptions!$D$16*4))),$AB$71)</f>
        <v>40000</v>
      </c>
      <c r="AG71" s="57">
        <f t="shared" si="74"/>
        <v>40000</v>
      </c>
      <c r="AH71" s="68">
        <f>IF($AB$71&lt;Assumptions!$D$15,(AG71+Assumptions!$D$15*(1/(Assumptions!$D$16*4))),$AB$71)</f>
        <v>40000</v>
      </c>
      <c r="AI71" s="69">
        <f>IF($AB$71&lt;Assumptions!$D$15,(AH71+Assumptions!$D$15*(1/(Assumptions!$D$16*4))),$AB$71)</f>
        <v>40000</v>
      </c>
      <c r="AJ71" s="69">
        <f>IF($AB$71&lt;Assumptions!$D$15,(AI71+Assumptions!$D$15*(1/(Assumptions!$D$16*4))),$AB$71)</f>
        <v>40000</v>
      </c>
      <c r="AK71" s="92">
        <f>IF($AB$71&lt;Assumptions!$D$15,(AJ71+Assumptions!$D$15*(1/(Assumptions!$D$16*4))),$AB$71)</f>
        <v>40000</v>
      </c>
      <c r="AL71" s="91">
        <f t="shared" si="74"/>
        <v>40000</v>
      </c>
    </row>
    <row r="72" spans="1:38" s="56" customFormat="1" ht="15.95">
      <c r="A72" s="55"/>
      <c r="C72" s="189" t="s">
        <v>308</v>
      </c>
      <c r="D72" s="68">
        <f>D68*(1-(Assumptions!$D$85/4))</f>
        <v>9.9375</v>
      </c>
      <c r="E72" s="69">
        <f>E68*(1-2*(Assumptions!$D$85/4))</f>
        <v>19.75</v>
      </c>
      <c r="F72" s="69">
        <f>F68*(1-3*(Assumptions!$D$85/4))</f>
        <v>29.4375</v>
      </c>
      <c r="G72" s="92">
        <f>G68*(1-4*(Assumptions!$D$85/4))</f>
        <v>39</v>
      </c>
      <c r="H72" s="91">
        <f t="shared" si="70"/>
        <v>39</v>
      </c>
      <c r="I72" s="68">
        <f>I68*(1-5*(Assumptions!$D$85/4))</f>
        <v>48.4375</v>
      </c>
      <c r="J72" s="69">
        <f>J68*(1-6*(Assumptions!$D$85/4))</f>
        <v>57.75</v>
      </c>
      <c r="K72" s="69">
        <f>K68*(1-7*(Assumptions!$D$85/4))</f>
        <v>66.9375</v>
      </c>
      <c r="L72" s="92">
        <f>L68*(1-8*(Assumptions!$D$85/4))</f>
        <v>76</v>
      </c>
      <c r="M72" s="57">
        <f t="shared" si="71"/>
        <v>76</v>
      </c>
      <c r="N72" s="68">
        <f>N68*(1-9*(Assumptions!$D$85/4))</f>
        <v>84.9375</v>
      </c>
      <c r="O72" s="69">
        <f>O68*(1-10*(Assumptions!$D$85/4))</f>
        <v>93.75</v>
      </c>
      <c r="P72" s="69">
        <f>P68*(1-11*(Assumptions!$D$85/4))</f>
        <v>102.4375</v>
      </c>
      <c r="Q72" s="92">
        <f>Q68*(1-12*(Assumptions!$D$85/4))</f>
        <v>111</v>
      </c>
      <c r="R72" s="57">
        <f t="shared" si="72"/>
        <v>111</v>
      </c>
      <c r="S72" s="68">
        <f>S68*(1-13*(Assumptions!$D$85/4))</f>
        <v>119.4375</v>
      </c>
      <c r="T72" s="69">
        <f>T68*(1-14*(Assumptions!$D$85/4))</f>
        <v>127.75</v>
      </c>
      <c r="U72" s="69">
        <f>U68*(1-15*(Assumptions!$D$85/4))</f>
        <v>135.9375</v>
      </c>
      <c r="V72" s="92">
        <f>V68*(1-16*(Assumptions!$D$85/4))</f>
        <v>144</v>
      </c>
      <c r="W72" s="57">
        <f t="shared" si="73"/>
        <v>144</v>
      </c>
      <c r="X72" s="68">
        <f>X68*(1-17*(Assumptions!$D$85/4))</f>
        <v>151.9375</v>
      </c>
      <c r="Y72" s="69">
        <f>Y68*(1-18*(Assumptions!$D$85/4))</f>
        <v>159.75</v>
      </c>
      <c r="Z72" s="69">
        <f>Z68*(1-19*(Assumptions!$D$85/4))</f>
        <v>167.4375</v>
      </c>
      <c r="AA72" s="92">
        <f>AA68*(1-20*(Assumptions!$D$85/4))</f>
        <v>175</v>
      </c>
      <c r="AB72" s="57">
        <f>AA72</f>
        <v>175</v>
      </c>
      <c r="AC72" s="68">
        <f>AC68*(1-21*(Assumptions!$D$85/4))</f>
        <v>173.75</v>
      </c>
      <c r="AD72" s="69">
        <f>AD68*(1-22*(Assumptions!$D$85/4))</f>
        <v>172.5</v>
      </c>
      <c r="AE72" s="69">
        <f>AE68*(1-23*(Assumptions!$D$85/4))</f>
        <v>171.25</v>
      </c>
      <c r="AF72" s="92">
        <f>AF68*(1-24*(Assumptions!$D$85/4))</f>
        <v>170</v>
      </c>
      <c r="AG72" s="57">
        <f>AF72</f>
        <v>170</v>
      </c>
      <c r="AH72" s="68">
        <f>AH68*(1-25*(Assumptions!$D$85/4))</f>
        <v>168.75</v>
      </c>
      <c r="AI72" s="69">
        <f>AI68*(1-26*(Assumptions!$D$85/4))</f>
        <v>167.5</v>
      </c>
      <c r="AJ72" s="69">
        <f>AJ68*(1-27*(Assumptions!$D$85/4))</f>
        <v>166.25</v>
      </c>
      <c r="AK72" s="92">
        <f>AK68*(1-28*(Assumptions!$D$85/4))</f>
        <v>165</v>
      </c>
      <c r="AL72" s="91">
        <f>AK72</f>
        <v>165</v>
      </c>
    </row>
    <row r="73" spans="1:38" s="56" customFormat="1" ht="15.95">
      <c r="A73" s="55"/>
      <c r="C73" s="189" t="s">
        <v>309</v>
      </c>
      <c r="D73" s="68">
        <f>D69*(1-(Assumptions!$D$85/4))</f>
        <v>49.6875</v>
      </c>
      <c r="E73" s="69">
        <f>E69*(1-2*(Assumptions!$D$85/4))</f>
        <v>98.75</v>
      </c>
      <c r="F73" s="69">
        <f>F69*(1-3*(Assumptions!$D$85/4))</f>
        <v>147.1875</v>
      </c>
      <c r="G73" s="92">
        <f>G69*(1-4*(Assumptions!$D$85/4))</f>
        <v>195</v>
      </c>
      <c r="H73" s="91">
        <f t="shared" si="70"/>
        <v>195</v>
      </c>
      <c r="I73" s="68">
        <f>I69*(1-5*(Assumptions!$D$85/4))</f>
        <v>242.1875</v>
      </c>
      <c r="J73" s="69">
        <f>J69*(1-6*(Assumptions!$D$85/4))</f>
        <v>288.75</v>
      </c>
      <c r="K73" s="69">
        <f>K69*(1-7*(Assumptions!$D$85/4))</f>
        <v>334.6875</v>
      </c>
      <c r="L73" s="92">
        <f>L69*(1-8*(Assumptions!$D$85/4))</f>
        <v>380</v>
      </c>
      <c r="M73" s="57">
        <f t="shared" si="71"/>
        <v>380</v>
      </c>
      <c r="N73" s="68">
        <f>N69*(1-9*(Assumptions!$D$85/4))</f>
        <v>424.6875</v>
      </c>
      <c r="O73" s="69">
        <f>O69*(1-10*(Assumptions!$D$85/4))</f>
        <v>468.75</v>
      </c>
      <c r="P73" s="69">
        <f>P69*(1-11*(Assumptions!$D$85/4))</f>
        <v>512.1875</v>
      </c>
      <c r="Q73" s="92">
        <f>Q69*(1-12*(Assumptions!$D$85/4))</f>
        <v>555</v>
      </c>
      <c r="R73" s="57">
        <f t="shared" si="72"/>
        <v>555</v>
      </c>
      <c r="S73" s="68">
        <f>S69*(1-13*(Assumptions!$D$85/4))</f>
        <v>597.1875</v>
      </c>
      <c r="T73" s="69">
        <f>T69*(1-14*(Assumptions!$D$85/4))</f>
        <v>638.75</v>
      </c>
      <c r="U73" s="69">
        <f>U69*(1-15*(Assumptions!$D$85/4))</f>
        <v>679.6875</v>
      </c>
      <c r="V73" s="92">
        <f>V69*(1-16*(Assumptions!$D$85/4))</f>
        <v>720</v>
      </c>
      <c r="W73" s="57">
        <f t="shared" si="73"/>
        <v>720</v>
      </c>
      <c r="X73" s="68">
        <f>X69*(1-17*(Assumptions!$D$85/4))</f>
        <v>759.6875</v>
      </c>
      <c r="Y73" s="69">
        <f>Y69*(1-18*(Assumptions!$D$85/4))</f>
        <v>798.75</v>
      </c>
      <c r="Z73" s="69">
        <f>Z69*(1-19*(Assumptions!$D$85/4))</f>
        <v>837.1875</v>
      </c>
      <c r="AA73" s="92">
        <f>AA69*(1-20*(Assumptions!$D$85/4))</f>
        <v>875</v>
      </c>
      <c r="AB73" s="57">
        <f t="shared" ref="AB73:AB81" si="75">AA73</f>
        <v>875</v>
      </c>
      <c r="AC73" s="68">
        <f>AC69*(1-21*(Assumptions!$D$85/4))</f>
        <v>868.75</v>
      </c>
      <c r="AD73" s="69">
        <f>AD69*(1-22*(Assumptions!$D$85/4))</f>
        <v>862.5</v>
      </c>
      <c r="AE73" s="69">
        <f>AE69*(1-23*(Assumptions!$D$85/4))</f>
        <v>856.25</v>
      </c>
      <c r="AF73" s="92">
        <f>AF69*(1-24*(Assumptions!$D$85/4))</f>
        <v>850</v>
      </c>
      <c r="AG73" s="57">
        <f t="shared" ref="AG73:AG81" si="76">AF73</f>
        <v>850</v>
      </c>
      <c r="AH73" s="68">
        <f>AH69*(1-25*(Assumptions!$D$85/4))</f>
        <v>843.75</v>
      </c>
      <c r="AI73" s="69">
        <f>AI69*(1-26*(Assumptions!$D$85/4))</f>
        <v>837.5</v>
      </c>
      <c r="AJ73" s="69">
        <f>AJ69*(1-27*(Assumptions!$D$85/4))</f>
        <v>831.25</v>
      </c>
      <c r="AK73" s="92">
        <f>AK69*(1-28*(Assumptions!$D$85/4))</f>
        <v>825</v>
      </c>
      <c r="AL73" s="91">
        <f t="shared" ref="AL73:AL81" si="77">AK73</f>
        <v>825</v>
      </c>
    </row>
    <row r="74" spans="1:38" s="56" customFormat="1" ht="15.95">
      <c r="A74" s="55"/>
      <c r="C74" s="189" t="s">
        <v>310</v>
      </c>
      <c r="D74" s="68">
        <f>D70*(1-(Assumptions!$D$85/4))</f>
        <v>248.4375</v>
      </c>
      <c r="E74" s="69">
        <f>E70*(1-2*(Assumptions!$D$85/4))</f>
        <v>493.75</v>
      </c>
      <c r="F74" s="69">
        <f>F70*(1-3*(Assumptions!$D$85/4))</f>
        <v>735.9375</v>
      </c>
      <c r="G74" s="92">
        <f>G70*(1-4*(Assumptions!$D$85/4))</f>
        <v>975</v>
      </c>
      <c r="H74" s="91">
        <f t="shared" si="70"/>
        <v>975</v>
      </c>
      <c r="I74" s="68">
        <f>I70*(1-5*(Assumptions!$D$85/4))</f>
        <v>1210.9375</v>
      </c>
      <c r="J74" s="69">
        <f>J70*(1-6*(Assumptions!$D$85/4))</f>
        <v>1443.75</v>
      </c>
      <c r="K74" s="69">
        <f>K70*(1-7*(Assumptions!$D$85/4))</f>
        <v>1673.4375</v>
      </c>
      <c r="L74" s="92">
        <f>L70*(1-8*(Assumptions!$D$85/4))</f>
        <v>1900</v>
      </c>
      <c r="M74" s="57">
        <f t="shared" si="71"/>
        <v>1900</v>
      </c>
      <c r="N74" s="68">
        <f>N70*(1-9*(Assumptions!$D$85/4))</f>
        <v>2123.4375</v>
      </c>
      <c r="O74" s="69">
        <f>O70*(1-10*(Assumptions!$D$85/4))</f>
        <v>2343.75</v>
      </c>
      <c r="P74" s="69">
        <f>P70*(1-11*(Assumptions!$D$85/4))</f>
        <v>2560.9375</v>
      </c>
      <c r="Q74" s="92">
        <f>Q70*(1-12*(Assumptions!$D$85/4))</f>
        <v>2775</v>
      </c>
      <c r="R74" s="57">
        <f t="shared" si="72"/>
        <v>2775</v>
      </c>
      <c r="S74" s="68">
        <f>S70*(1-13*(Assumptions!$D$85/4))</f>
        <v>2985.9375</v>
      </c>
      <c r="T74" s="69">
        <f>T70*(1-14*(Assumptions!$D$85/4))</f>
        <v>3193.75</v>
      </c>
      <c r="U74" s="69">
        <f>U70*(1-15*(Assumptions!$D$85/4))</f>
        <v>3398.4375</v>
      </c>
      <c r="V74" s="92">
        <f>V70*(1-16*(Assumptions!$D$85/4))</f>
        <v>3600</v>
      </c>
      <c r="W74" s="57">
        <f t="shared" si="73"/>
        <v>3600</v>
      </c>
      <c r="X74" s="68">
        <f>X70*(1-17*(Assumptions!$D$85/4))</f>
        <v>3798.4375</v>
      </c>
      <c r="Y74" s="69">
        <f>Y70*(1-18*(Assumptions!$D$85/4))</f>
        <v>3993.75</v>
      </c>
      <c r="Z74" s="69">
        <f>Z70*(1-19*(Assumptions!$D$85/4))</f>
        <v>4185.9375</v>
      </c>
      <c r="AA74" s="92">
        <f>AA70*(1-20*(Assumptions!$D$85/4))</f>
        <v>4375</v>
      </c>
      <c r="AB74" s="57">
        <f t="shared" si="75"/>
        <v>4375</v>
      </c>
      <c r="AC74" s="68">
        <f>AC70*(1-21*(Assumptions!$D$85/4))</f>
        <v>4343.75</v>
      </c>
      <c r="AD74" s="69">
        <f>AD70*(1-22*(Assumptions!$D$85/4))</f>
        <v>4312.5</v>
      </c>
      <c r="AE74" s="69">
        <f>AE70*(1-23*(Assumptions!$D$85/4))</f>
        <v>4281.25</v>
      </c>
      <c r="AF74" s="92">
        <f>AF70*(1-24*(Assumptions!$D$85/4))</f>
        <v>4250</v>
      </c>
      <c r="AG74" s="57">
        <f t="shared" si="76"/>
        <v>4250</v>
      </c>
      <c r="AH74" s="68">
        <f>AH70*(1-25*(Assumptions!$D$85/4))</f>
        <v>4218.75</v>
      </c>
      <c r="AI74" s="69">
        <f>AI70*(1-26*(Assumptions!$D$85/4))</f>
        <v>4187.5</v>
      </c>
      <c r="AJ74" s="69">
        <f>AJ70*(1-27*(Assumptions!$D$85/4))</f>
        <v>4156.25</v>
      </c>
      <c r="AK74" s="92">
        <f>AK70*(1-28*(Assumptions!$D$85/4))</f>
        <v>4125</v>
      </c>
      <c r="AL74" s="91">
        <f t="shared" si="77"/>
        <v>4125</v>
      </c>
    </row>
    <row r="75" spans="1:38" s="56" customFormat="1" ht="15.95">
      <c r="A75" s="55"/>
      <c r="C75" s="189" t="s">
        <v>311</v>
      </c>
      <c r="D75" s="68">
        <f>D71*(1-(Assumptions!$D$85/4))</f>
        <v>1987.5</v>
      </c>
      <c r="E75" s="69">
        <f>E71*(1-2*(Assumptions!$D$85/4))</f>
        <v>3950</v>
      </c>
      <c r="F75" s="69">
        <f>F71*(1-3*(Assumptions!$D$85/4))</f>
        <v>5887.5</v>
      </c>
      <c r="G75" s="92">
        <f>G71*(1-4*(Assumptions!$D$85/4))</f>
        <v>7800</v>
      </c>
      <c r="H75" s="91">
        <f t="shared" si="70"/>
        <v>7800</v>
      </c>
      <c r="I75" s="68">
        <f>I71*(1-5*(Assumptions!$D$85/4))</f>
        <v>9687.5</v>
      </c>
      <c r="J75" s="69">
        <f>J71*(1-6*(Assumptions!$D$85/4))</f>
        <v>11550</v>
      </c>
      <c r="K75" s="69">
        <f>K71*(1-7*(Assumptions!$D$85/4))</f>
        <v>13387.5</v>
      </c>
      <c r="L75" s="92">
        <f>L71*(1-8*(Assumptions!$D$85/4))</f>
        <v>15200</v>
      </c>
      <c r="M75" s="57">
        <f t="shared" si="71"/>
        <v>15200</v>
      </c>
      <c r="N75" s="68">
        <f>N71*(1-9*(Assumptions!$D$85/4))</f>
        <v>16987.5</v>
      </c>
      <c r="O75" s="69">
        <f>O71*(1-10*(Assumptions!$D$85/4))</f>
        <v>18750</v>
      </c>
      <c r="P75" s="69">
        <f>P71*(1-11*(Assumptions!$D$85/4))</f>
        <v>20487.5</v>
      </c>
      <c r="Q75" s="92">
        <f>Q71*(1-12*(Assumptions!$D$85/4))</f>
        <v>22200</v>
      </c>
      <c r="R75" s="57">
        <f t="shared" si="72"/>
        <v>22200</v>
      </c>
      <c r="S75" s="68">
        <f>S71*(1-13*(Assumptions!$D$85/4))</f>
        <v>23887.5</v>
      </c>
      <c r="T75" s="69">
        <f>T71*(1-14*(Assumptions!$D$85/4))</f>
        <v>25550</v>
      </c>
      <c r="U75" s="69">
        <f>U71*(1-15*(Assumptions!$D$85/4))</f>
        <v>27187.5</v>
      </c>
      <c r="V75" s="92">
        <f>V71*(1-16*(Assumptions!$D$85/4))</f>
        <v>28800</v>
      </c>
      <c r="W75" s="57">
        <f t="shared" si="73"/>
        <v>28800</v>
      </c>
      <c r="X75" s="68">
        <f>X71*(1-17*(Assumptions!$D$85/4))</f>
        <v>30387.5</v>
      </c>
      <c r="Y75" s="69">
        <f>Y71*(1-18*(Assumptions!$D$85/4))</f>
        <v>31950</v>
      </c>
      <c r="Z75" s="69">
        <f>Z71*(1-19*(Assumptions!$D$85/4))</f>
        <v>33487.5</v>
      </c>
      <c r="AA75" s="92">
        <f>AA71*(1-20*(Assumptions!$D$85/4))</f>
        <v>35000</v>
      </c>
      <c r="AB75" s="57">
        <f t="shared" si="75"/>
        <v>35000</v>
      </c>
      <c r="AC75" s="68">
        <f>AC71*(1-21*(Assumptions!$D$85/4))</f>
        <v>34750</v>
      </c>
      <c r="AD75" s="69">
        <f>AD71*(1-22*(Assumptions!$D$85/4))</f>
        <v>34500</v>
      </c>
      <c r="AE75" s="69">
        <f>AE71*(1-23*(Assumptions!$D$85/4))</f>
        <v>34250</v>
      </c>
      <c r="AF75" s="92">
        <f>AF71*(1-24*(Assumptions!$D$85/4))</f>
        <v>34000</v>
      </c>
      <c r="AG75" s="57">
        <f t="shared" si="76"/>
        <v>34000</v>
      </c>
      <c r="AH75" s="68">
        <f>AH71*(1-25*(Assumptions!$D$85/4))</f>
        <v>33750</v>
      </c>
      <c r="AI75" s="69">
        <f>AI71*(1-26*(Assumptions!$D$85/4))</f>
        <v>33500</v>
      </c>
      <c r="AJ75" s="69">
        <f>AJ71*(1-27*(Assumptions!$D$85/4))</f>
        <v>33250</v>
      </c>
      <c r="AK75" s="92">
        <f>AK71*(1-28*(Assumptions!$D$85/4))</f>
        <v>33000</v>
      </c>
      <c r="AL75" s="91">
        <f t="shared" si="77"/>
        <v>33000</v>
      </c>
    </row>
    <row r="76" spans="1:38" s="56" customFormat="1" ht="15.95">
      <c r="A76" s="55"/>
      <c r="C76" s="189" t="s">
        <v>312</v>
      </c>
      <c r="D76" s="68">
        <f>'Key financial and ops fig.s LCY'!D76*VLOOKUP(Assumptions!$D$7, Lists!$B$7:$C$10, 2, FALSE)*Assumptions!$D$10/VLOOKUP(Assumptions!$D$9, Lists!$B$7:$C$10, 2, FALSE)</f>
        <v>14906250</v>
      </c>
      <c r="E76" s="69">
        <f>'Key financial and ops fig.s LCY'!E76*VLOOKUP(Assumptions!$D$7, Lists!$B$7:$C$10, 2, FALSE)*Assumptions!$D$10/VLOOKUP(Assumptions!$D$9, Lists!$B$7:$C$10, 2, FALSE)</f>
        <v>29625000</v>
      </c>
      <c r="F76" s="69">
        <f>'Key financial and ops fig.s LCY'!F76*VLOOKUP(Assumptions!$D$7, Lists!$B$7:$C$10, 2, FALSE)*Assumptions!$D$10/VLOOKUP(Assumptions!$D$9, Lists!$B$7:$C$10, 2, FALSE)</f>
        <v>44156250</v>
      </c>
      <c r="G76" s="92">
        <f>'Key financial and ops fig.s LCY'!G76*VLOOKUP(Assumptions!$D$7, Lists!$B$7:$C$10, 2, FALSE)*Assumptions!$D$10/VLOOKUP(Assumptions!$D$9, Lists!$B$7:$C$10, 2, FALSE)</f>
        <v>58500000</v>
      </c>
      <c r="H76" s="91">
        <f t="shared" si="70"/>
        <v>58500000</v>
      </c>
      <c r="I76" s="68">
        <f>'Key financial and ops fig.s LCY'!I76*VLOOKUP(Assumptions!$D$7, Lists!$B$7:$C$10, 2, FALSE)*Assumptions!$D$10/VLOOKUP(Assumptions!$D$9, Lists!$B$7:$C$10, 2, FALSE)</f>
        <v>72656250</v>
      </c>
      <c r="J76" s="69">
        <f>'Key financial and ops fig.s LCY'!J76*VLOOKUP(Assumptions!$D$7, Lists!$B$7:$C$10, 2, FALSE)*Assumptions!$D$10/VLOOKUP(Assumptions!$D$9, Lists!$B$7:$C$10, 2, FALSE)</f>
        <v>86625000</v>
      </c>
      <c r="K76" s="69">
        <f>'Key financial and ops fig.s LCY'!K76*VLOOKUP(Assumptions!$D$7, Lists!$B$7:$C$10, 2, FALSE)*Assumptions!$D$10/VLOOKUP(Assumptions!$D$9, Lists!$B$7:$C$10, 2, FALSE)</f>
        <v>100406250</v>
      </c>
      <c r="L76" s="92">
        <f>'Key financial and ops fig.s LCY'!L76*VLOOKUP(Assumptions!$D$7, Lists!$B$7:$C$10, 2, FALSE)*Assumptions!$D$10/VLOOKUP(Assumptions!$D$9, Lists!$B$7:$C$10, 2, FALSE)</f>
        <v>114000000</v>
      </c>
      <c r="M76" s="48">
        <f t="shared" si="71"/>
        <v>114000000</v>
      </c>
      <c r="N76" s="68">
        <f>'Key financial and ops fig.s LCY'!N76*VLOOKUP(Assumptions!$D$7, Lists!$B$7:$C$10, 2, FALSE)*Assumptions!$D$10/VLOOKUP(Assumptions!$D$9, Lists!$B$7:$C$10, 2, FALSE)</f>
        <v>127406250</v>
      </c>
      <c r="O76" s="69">
        <f>'Key financial and ops fig.s LCY'!O76*VLOOKUP(Assumptions!$D$7, Lists!$B$7:$C$10, 2, FALSE)*Assumptions!$D$10/VLOOKUP(Assumptions!$D$9, Lists!$B$7:$C$10, 2, FALSE)</f>
        <v>140625000</v>
      </c>
      <c r="P76" s="69">
        <f>'Key financial and ops fig.s LCY'!P76*VLOOKUP(Assumptions!$D$7, Lists!$B$7:$C$10, 2, FALSE)*Assumptions!$D$10/VLOOKUP(Assumptions!$D$9, Lists!$B$7:$C$10, 2, FALSE)</f>
        <v>153656250</v>
      </c>
      <c r="Q76" s="92">
        <f>'Key financial and ops fig.s LCY'!Q76*VLOOKUP(Assumptions!$D$7, Lists!$B$7:$C$10, 2, FALSE)*Assumptions!$D$10/VLOOKUP(Assumptions!$D$9, Lists!$B$7:$C$10, 2, FALSE)</f>
        <v>166500000</v>
      </c>
      <c r="R76" s="48">
        <f t="shared" si="72"/>
        <v>166500000</v>
      </c>
      <c r="S76" s="68">
        <f>'Key financial and ops fig.s LCY'!S76*VLOOKUP(Assumptions!$D$7, Lists!$B$7:$C$10, 2, FALSE)*Assumptions!$D$10/VLOOKUP(Assumptions!$D$9, Lists!$B$7:$C$10, 2, FALSE)</f>
        <v>179156250</v>
      </c>
      <c r="T76" s="69">
        <f>'Key financial and ops fig.s LCY'!T76*VLOOKUP(Assumptions!$D$7, Lists!$B$7:$C$10, 2, FALSE)*Assumptions!$D$10/VLOOKUP(Assumptions!$D$9, Lists!$B$7:$C$10, 2, FALSE)</f>
        <v>191625000</v>
      </c>
      <c r="U76" s="69">
        <f>'Key financial and ops fig.s LCY'!U76*VLOOKUP(Assumptions!$D$7, Lists!$B$7:$C$10, 2, FALSE)*Assumptions!$D$10/VLOOKUP(Assumptions!$D$9, Lists!$B$7:$C$10, 2, FALSE)</f>
        <v>203906250</v>
      </c>
      <c r="V76" s="92">
        <f>'Key financial and ops fig.s LCY'!V76*VLOOKUP(Assumptions!$D$7, Lists!$B$7:$C$10, 2, FALSE)*Assumptions!$D$10/VLOOKUP(Assumptions!$D$9, Lists!$B$7:$C$10, 2, FALSE)</f>
        <v>216000000</v>
      </c>
      <c r="W76" s="48">
        <f t="shared" si="73"/>
        <v>216000000</v>
      </c>
      <c r="X76" s="68">
        <f>'Key financial and ops fig.s LCY'!X76*VLOOKUP(Assumptions!$D$7, Lists!$B$7:$C$10, 2, FALSE)*Assumptions!$D$10/VLOOKUP(Assumptions!$D$9, Lists!$B$7:$C$10, 2, FALSE)</f>
        <v>227906250</v>
      </c>
      <c r="Y76" s="69">
        <f>'Key financial and ops fig.s LCY'!Y76*VLOOKUP(Assumptions!$D$7, Lists!$B$7:$C$10, 2, FALSE)*Assumptions!$D$10/VLOOKUP(Assumptions!$D$9, Lists!$B$7:$C$10, 2, FALSE)</f>
        <v>239625000</v>
      </c>
      <c r="Z76" s="69">
        <f>'Key financial and ops fig.s LCY'!Z76*VLOOKUP(Assumptions!$D$7, Lists!$B$7:$C$10, 2, FALSE)*Assumptions!$D$10/VLOOKUP(Assumptions!$D$9, Lists!$B$7:$C$10, 2, FALSE)</f>
        <v>251156250</v>
      </c>
      <c r="AA76" s="92">
        <f>'Key financial and ops fig.s LCY'!AA76*VLOOKUP(Assumptions!$D$7, Lists!$B$7:$C$10, 2, FALSE)*Assumptions!$D$10/VLOOKUP(Assumptions!$D$9, Lists!$B$7:$C$10, 2, FALSE)</f>
        <v>262500000</v>
      </c>
      <c r="AB76" s="48">
        <f t="shared" si="75"/>
        <v>262500000</v>
      </c>
      <c r="AC76" s="68">
        <f>'Key financial and ops fig.s LCY'!AC76*VLOOKUP(Assumptions!$D$7, Lists!$B$7:$C$10, 2, FALSE)*Assumptions!$D$10/VLOOKUP(Assumptions!$D$9, Lists!$B$7:$C$10, 2, FALSE)</f>
        <v>260625000</v>
      </c>
      <c r="AD76" s="69">
        <f>'Key financial and ops fig.s LCY'!AD76*VLOOKUP(Assumptions!$D$7, Lists!$B$7:$C$10, 2, FALSE)*Assumptions!$D$10/VLOOKUP(Assumptions!$D$9, Lists!$B$7:$C$10, 2, FALSE)</f>
        <v>258750000</v>
      </c>
      <c r="AE76" s="69">
        <f>'Key financial and ops fig.s LCY'!AE76*VLOOKUP(Assumptions!$D$7, Lists!$B$7:$C$10, 2, FALSE)*Assumptions!$D$10/VLOOKUP(Assumptions!$D$9, Lists!$B$7:$C$10, 2, FALSE)</f>
        <v>256875000</v>
      </c>
      <c r="AF76" s="92">
        <f>'Key financial and ops fig.s LCY'!AF76*VLOOKUP(Assumptions!$D$7, Lists!$B$7:$C$10, 2, FALSE)*Assumptions!$D$10/VLOOKUP(Assumptions!$D$9, Lists!$B$7:$C$10, 2, FALSE)</f>
        <v>255000000</v>
      </c>
      <c r="AG76" s="48">
        <f t="shared" si="76"/>
        <v>255000000</v>
      </c>
      <c r="AH76" s="68">
        <f>'Key financial and ops fig.s LCY'!AH76*VLOOKUP(Assumptions!$D$7, Lists!$B$7:$C$10, 2, FALSE)*Assumptions!$D$10/VLOOKUP(Assumptions!$D$9, Lists!$B$7:$C$10, 2, FALSE)</f>
        <v>253125000</v>
      </c>
      <c r="AI76" s="69">
        <f>'Key financial and ops fig.s LCY'!AI76*VLOOKUP(Assumptions!$D$7, Lists!$B$7:$C$10, 2, FALSE)*Assumptions!$D$10/VLOOKUP(Assumptions!$D$9, Lists!$B$7:$C$10, 2, FALSE)</f>
        <v>251250000</v>
      </c>
      <c r="AJ76" s="69">
        <f>'Key financial and ops fig.s LCY'!AJ76*VLOOKUP(Assumptions!$D$7, Lists!$B$7:$C$10, 2, FALSE)*Assumptions!$D$10/VLOOKUP(Assumptions!$D$9, Lists!$B$7:$C$10, 2, FALSE)</f>
        <v>249375000</v>
      </c>
      <c r="AK76" s="92">
        <f>'Key financial and ops fig.s LCY'!AK76*VLOOKUP(Assumptions!$D$7, Lists!$B$7:$C$10, 2, FALSE)*Assumptions!$D$10/VLOOKUP(Assumptions!$D$9, Lists!$B$7:$C$10, 2, FALSE)</f>
        <v>247500000</v>
      </c>
      <c r="AL76" s="60">
        <f t="shared" si="77"/>
        <v>247500000</v>
      </c>
    </row>
    <row r="77" spans="1:38" ht="15.95">
      <c r="A77" s="55"/>
      <c r="C77" s="189" t="s">
        <v>313</v>
      </c>
      <c r="D77" s="68">
        <f>'Key financial and ops fig.s LCY'!D77*VLOOKUP(Assumptions!$D$7, Lists!$B$7:$C$10, 2, FALSE)*Assumptions!$D$10/VLOOKUP(Assumptions!$D$9, Lists!$B$7:$C$10, 2, FALSE)</f>
        <v>13773375</v>
      </c>
      <c r="E77" s="69">
        <f>'Key financial and ops fig.s LCY'!E77*VLOOKUP(Assumptions!$D$7, Lists!$B$7:$C$10, 2, FALSE)*Assumptions!$D$10/VLOOKUP(Assumptions!$D$9, Lists!$B$7:$C$10, 2, FALSE)</f>
        <v>27373500</v>
      </c>
      <c r="F77" s="69">
        <f>'Key financial and ops fig.s LCY'!F77*VLOOKUP(Assumptions!$D$7, Lists!$B$7:$C$10, 2, FALSE)*Assumptions!$D$10/VLOOKUP(Assumptions!$D$9, Lists!$B$7:$C$10, 2, FALSE)</f>
        <v>40800375</v>
      </c>
      <c r="G77" s="92">
        <f>'Key financial and ops fig.s LCY'!G77*VLOOKUP(Assumptions!$D$7, Lists!$B$7:$C$10, 2, FALSE)*Assumptions!$D$10/VLOOKUP(Assumptions!$D$9, Lists!$B$7:$C$10, 2, FALSE)</f>
        <v>54054000</v>
      </c>
      <c r="H77" s="91">
        <f t="shared" si="70"/>
        <v>54054000</v>
      </c>
      <c r="I77" s="68">
        <f>'Key financial and ops fig.s LCY'!I77*VLOOKUP(Assumptions!$D$7, Lists!$B$7:$C$10, 2, FALSE)*Assumptions!$D$10/VLOOKUP(Assumptions!$D$9, Lists!$B$7:$C$10, 2, FALSE)</f>
        <v>67134375</v>
      </c>
      <c r="J77" s="69">
        <f>'Key financial and ops fig.s LCY'!J77*VLOOKUP(Assumptions!$D$7, Lists!$B$7:$C$10, 2, FALSE)*Assumptions!$D$10/VLOOKUP(Assumptions!$D$9, Lists!$B$7:$C$10, 2, FALSE)</f>
        <v>80041500</v>
      </c>
      <c r="K77" s="69">
        <f>'Key financial and ops fig.s LCY'!K77*VLOOKUP(Assumptions!$D$7, Lists!$B$7:$C$10, 2, FALSE)*Assumptions!$D$10/VLOOKUP(Assumptions!$D$9, Lists!$B$7:$C$10, 2, FALSE)</f>
        <v>92775375</v>
      </c>
      <c r="L77" s="92">
        <f>'Key financial and ops fig.s LCY'!L77*VLOOKUP(Assumptions!$D$7, Lists!$B$7:$C$10, 2, FALSE)*Assumptions!$D$10/VLOOKUP(Assumptions!$D$9, Lists!$B$7:$C$10, 2, FALSE)</f>
        <v>105336000</v>
      </c>
      <c r="M77" s="57">
        <f t="shared" si="71"/>
        <v>105336000</v>
      </c>
      <c r="N77" s="68">
        <f>'Key financial and ops fig.s LCY'!N77*VLOOKUP(Assumptions!$D$7, Lists!$B$7:$C$10, 2, FALSE)*Assumptions!$D$10/VLOOKUP(Assumptions!$D$9, Lists!$B$7:$C$10, 2, FALSE)</f>
        <v>117723375</v>
      </c>
      <c r="O77" s="69">
        <f>'Key financial and ops fig.s LCY'!O77*VLOOKUP(Assumptions!$D$7, Lists!$B$7:$C$10, 2, FALSE)*Assumptions!$D$10/VLOOKUP(Assumptions!$D$9, Lists!$B$7:$C$10, 2, FALSE)</f>
        <v>129937500</v>
      </c>
      <c r="P77" s="69">
        <f>'Key financial and ops fig.s LCY'!P77*VLOOKUP(Assumptions!$D$7, Lists!$B$7:$C$10, 2, FALSE)*Assumptions!$D$10/VLOOKUP(Assumptions!$D$9, Lists!$B$7:$C$10, 2, FALSE)</f>
        <v>141978375</v>
      </c>
      <c r="Q77" s="92">
        <f>'Key financial and ops fig.s LCY'!Q77*VLOOKUP(Assumptions!$D$7, Lists!$B$7:$C$10, 2, FALSE)*Assumptions!$D$10/VLOOKUP(Assumptions!$D$9, Lists!$B$7:$C$10, 2, FALSE)</f>
        <v>153846000</v>
      </c>
      <c r="R77" s="57">
        <f t="shared" si="72"/>
        <v>153846000</v>
      </c>
      <c r="S77" s="68">
        <f>'Key financial and ops fig.s LCY'!S77*VLOOKUP(Assumptions!$D$7, Lists!$B$7:$C$10, 2, FALSE)*Assumptions!$D$10/VLOOKUP(Assumptions!$D$9, Lists!$B$7:$C$10, 2, FALSE)</f>
        <v>165540375</v>
      </c>
      <c r="T77" s="69">
        <f>'Key financial and ops fig.s LCY'!T77*VLOOKUP(Assumptions!$D$7, Lists!$B$7:$C$10, 2, FALSE)*Assumptions!$D$10/VLOOKUP(Assumptions!$D$9, Lists!$B$7:$C$10, 2, FALSE)</f>
        <v>177061500</v>
      </c>
      <c r="U77" s="69">
        <f>'Key financial and ops fig.s LCY'!U77*VLOOKUP(Assumptions!$D$7, Lists!$B$7:$C$10, 2, FALSE)*Assumptions!$D$10/VLOOKUP(Assumptions!$D$9, Lists!$B$7:$C$10, 2, FALSE)</f>
        <v>188409375</v>
      </c>
      <c r="V77" s="92">
        <f>'Key financial and ops fig.s LCY'!V77*VLOOKUP(Assumptions!$D$7, Lists!$B$7:$C$10, 2, FALSE)*Assumptions!$D$10/VLOOKUP(Assumptions!$D$9, Lists!$B$7:$C$10, 2, FALSE)</f>
        <v>199584000</v>
      </c>
      <c r="W77" s="57">
        <f t="shared" si="73"/>
        <v>199584000</v>
      </c>
      <c r="X77" s="68">
        <f>'Key financial and ops fig.s LCY'!X77*VLOOKUP(Assumptions!$D$7, Lists!$B$7:$C$10, 2, FALSE)*Assumptions!$D$10/VLOOKUP(Assumptions!$D$9, Lists!$B$7:$C$10, 2, FALSE)</f>
        <v>210585375</v>
      </c>
      <c r="Y77" s="69">
        <f>'Key financial and ops fig.s LCY'!Y77*VLOOKUP(Assumptions!$D$7, Lists!$B$7:$C$10, 2, FALSE)*Assumptions!$D$10/VLOOKUP(Assumptions!$D$9, Lists!$B$7:$C$10, 2, FALSE)</f>
        <v>221413500</v>
      </c>
      <c r="Z77" s="69">
        <f>'Key financial and ops fig.s LCY'!Z77*VLOOKUP(Assumptions!$D$7, Lists!$B$7:$C$10, 2, FALSE)*Assumptions!$D$10/VLOOKUP(Assumptions!$D$9, Lists!$B$7:$C$10, 2, FALSE)</f>
        <v>232068375</v>
      </c>
      <c r="AA77" s="92">
        <f>'Key financial and ops fig.s LCY'!AA77*VLOOKUP(Assumptions!$D$7, Lists!$B$7:$C$10, 2, FALSE)*Assumptions!$D$10/VLOOKUP(Assumptions!$D$9, Lists!$B$7:$C$10, 2, FALSE)</f>
        <v>242550000</v>
      </c>
      <c r="AB77" s="57">
        <f t="shared" si="75"/>
        <v>242550000</v>
      </c>
      <c r="AC77" s="68">
        <f>'Key financial and ops fig.s LCY'!AC77*VLOOKUP(Assumptions!$D$7, Lists!$B$7:$C$10, 2, FALSE)*Assumptions!$D$10/VLOOKUP(Assumptions!$D$9, Lists!$B$7:$C$10, 2, FALSE)</f>
        <v>240817500</v>
      </c>
      <c r="AD77" s="69">
        <f>'Key financial and ops fig.s LCY'!AD77*VLOOKUP(Assumptions!$D$7, Lists!$B$7:$C$10, 2, FALSE)*Assumptions!$D$10/VLOOKUP(Assumptions!$D$9, Lists!$B$7:$C$10, 2, FALSE)</f>
        <v>239085000</v>
      </c>
      <c r="AE77" s="69">
        <f>'Key financial and ops fig.s LCY'!AE77*VLOOKUP(Assumptions!$D$7, Lists!$B$7:$C$10, 2, FALSE)*Assumptions!$D$10/VLOOKUP(Assumptions!$D$9, Lists!$B$7:$C$10, 2, FALSE)</f>
        <v>237352500</v>
      </c>
      <c r="AF77" s="92">
        <f>'Key financial and ops fig.s LCY'!AF77*VLOOKUP(Assumptions!$D$7, Lists!$B$7:$C$10, 2, FALSE)*Assumptions!$D$10/VLOOKUP(Assumptions!$D$9, Lists!$B$7:$C$10, 2, FALSE)</f>
        <v>235620000</v>
      </c>
      <c r="AG77" s="57">
        <f t="shared" si="76"/>
        <v>235620000</v>
      </c>
      <c r="AH77" s="68">
        <f>'Key financial and ops fig.s LCY'!AH77*VLOOKUP(Assumptions!$D$7, Lists!$B$7:$C$10, 2, FALSE)*Assumptions!$D$10/VLOOKUP(Assumptions!$D$9, Lists!$B$7:$C$10, 2, FALSE)</f>
        <v>233887500</v>
      </c>
      <c r="AI77" s="69">
        <f>'Key financial and ops fig.s LCY'!AI77*VLOOKUP(Assumptions!$D$7, Lists!$B$7:$C$10, 2, FALSE)*Assumptions!$D$10/VLOOKUP(Assumptions!$D$9, Lists!$B$7:$C$10, 2, FALSE)</f>
        <v>232155000</v>
      </c>
      <c r="AJ77" s="69">
        <f>'Key financial and ops fig.s LCY'!AJ77*VLOOKUP(Assumptions!$D$7, Lists!$B$7:$C$10, 2, FALSE)*Assumptions!$D$10/VLOOKUP(Assumptions!$D$9, Lists!$B$7:$C$10, 2, FALSE)</f>
        <v>230422500</v>
      </c>
      <c r="AK77" s="92">
        <f>'Key financial and ops fig.s LCY'!AK77*VLOOKUP(Assumptions!$D$7, Lists!$B$7:$C$10, 2, FALSE)*Assumptions!$D$10/VLOOKUP(Assumptions!$D$9, Lists!$B$7:$C$10, 2, FALSE)</f>
        <v>228690000</v>
      </c>
      <c r="AL77" s="91">
        <f t="shared" si="77"/>
        <v>228690000</v>
      </c>
    </row>
    <row r="78" spans="1:38" s="56" customFormat="1" ht="15.95">
      <c r="A78" s="55"/>
      <c r="C78" s="189" t="s">
        <v>314</v>
      </c>
      <c r="D78" s="68">
        <f>'Key financial and ops fig.s LCY'!D78*VLOOKUP(Assumptions!$D$7, Lists!$B$7:$C$10, 2, FALSE)*Assumptions!$D$10/VLOOKUP(Assumptions!$D$9, Lists!$B$7:$C$10, 2, FALSE)</f>
        <v>1377337.5</v>
      </c>
      <c r="E78" s="69">
        <f>'Key financial and ops fig.s LCY'!E78*VLOOKUP(Assumptions!$D$7, Lists!$B$7:$C$10, 2, FALSE)*Assumptions!$D$10/VLOOKUP(Assumptions!$D$9, Lists!$B$7:$C$10, 2, FALSE)</f>
        <v>2737350</v>
      </c>
      <c r="F78" s="69">
        <f>'Key financial and ops fig.s LCY'!F78*VLOOKUP(Assumptions!$D$7, Lists!$B$7:$C$10, 2, FALSE)*Assumptions!$D$10/VLOOKUP(Assumptions!$D$9, Lists!$B$7:$C$10, 2, FALSE)</f>
        <v>4080037.5</v>
      </c>
      <c r="G78" s="92">
        <f>'Key financial and ops fig.s LCY'!G78*VLOOKUP(Assumptions!$D$7, Lists!$B$7:$C$10, 2, FALSE)*Assumptions!$D$10/VLOOKUP(Assumptions!$D$9, Lists!$B$7:$C$10, 2, FALSE)</f>
        <v>5405400</v>
      </c>
      <c r="H78" s="91">
        <f t="shared" si="70"/>
        <v>5405400</v>
      </c>
      <c r="I78" s="68">
        <f>'Key financial and ops fig.s LCY'!I78*VLOOKUP(Assumptions!$D$7, Lists!$B$7:$C$10, 2, FALSE)*Assumptions!$D$10/VLOOKUP(Assumptions!$D$9, Lists!$B$7:$C$10, 2, FALSE)</f>
        <v>6713437.5</v>
      </c>
      <c r="J78" s="69">
        <f>'Key financial and ops fig.s LCY'!J78*VLOOKUP(Assumptions!$D$7, Lists!$B$7:$C$10, 2, FALSE)*Assumptions!$D$10/VLOOKUP(Assumptions!$D$9, Lists!$B$7:$C$10, 2, FALSE)</f>
        <v>8004150</v>
      </c>
      <c r="K78" s="69">
        <f>'Key financial and ops fig.s LCY'!K78*VLOOKUP(Assumptions!$D$7, Lists!$B$7:$C$10, 2, FALSE)*Assumptions!$D$10/VLOOKUP(Assumptions!$D$9, Lists!$B$7:$C$10, 2, FALSE)</f>
        <v>9277537.5</v>
      </c>
      <c r="L78" s="92">
        <f>'Key financial and ops fig.s LCY'!L78*VLOOKUP(Assumptions!$D$7, Lists!$B$7:$C$10, 2, FALSE)*Assumptions!$D$10/VLOOKUP(Assumptions!$D$9, Lists!$B$7:$C$10, 2, FALSE)</f>
        <v>10533600</v>
      </c>
      <c r="M78" s="48">
        <f t="shared" si="71"/>
        <v>10533600</v>
      </c>
      <c r="N78" s="68">
        <f>'Key financial and ops fig.s LCY'!N78*VLOOKUP(Assumptions!$D$7, Lists!$B$7:$C$10, 2, FALSE)*Assumptions!$D$10/VLOOKUP(Assumptions!$D$9, Lists!$B$7:$C$10, 2, FALSE)</f>
        <v>11772337.5</v>
      </c>
      <c r="O78" s="69">
        <f>'Key financial and ops fig.s LCY'!O78*VLOOKUP(Assumptions!$D$7, Lists!$B$7:$C$10, 2, FALSE)*Assumptions!$D$10/VLOOKUP(Assumptions!$D$9, Lists!$B$7:$C$10, 2, FALSE)</f>
        <v>12993750</v>
      </c>
      <c r="P78" s="69">
        <f>'Key financial and ops fig.s LCY'!P78*VLOOKUP(Assumptions!$D$7, Lists!$B$7:$C$10, 2, FALSE)*Assumptions!$D$10/VLOOKUP(Assumptions!$D$9, Lists!$B$7:$C$10, 2, FALSE)</f>
        <v>14197837.5</v>
      </c>
      <c r="Q78" s="92">
        <f>'Key financial and ops fig.s LCY'!Q78*VLOOKUP(Assumptions!$D$7, Lists!$B$7:$C$10, 2, FALSE)*Assumptions!$D$10/VLOOKUP(Assumptions!$D$9, Lists!$B$7:$C$10, 2, FALSE)</f>
        <v>15384600</v>
      </c>
      <c r="R78" s="48">
        <f t="shared" si="72"/>
        <v>15384600</v>
      </c>
      <c r="S78" s="68">
        <f>'Key financial and ops fig.s LCY'!S78*VLOOKUP(Assumptions!$D$7, Lists!$B$7:$C$10, 2, FALSE)*Assumptions!$D$10/VLOOKUP(Assumptions!$D$9, Lists!$B$7:$C$10, 2, FALSE)</f>
        <v>16554037.5</v>
      </c>
      <c r="T78" s="69">
        <f>'Key financial and ops fig.s LCY'!T78*VLOOKUP(Assumptions!$D$7, Lists!$B$7:$C$10, 2, FALSE)*Assumptions!$D$10/VLOOKUP(Assumptions!$D$9, Lists!$B$7:$C$10, 2, FALSE)</f>
        <v>17706150</v>
      </c>
      <c r="U78" s="69">
        <f>'Key financial and ops fig.s LCY'!U78*VLOOKUP(Assumptions!$D$7, Lists!$B$7:$C$10, 2, FALSE)*Assumptions!$D$10/VLOOKUP(Assumptions!$D$9, Lists!$B$7:$C$10, 2, FALSE)</f>
        <v>18840937.5</v>
      </c>
      <c r="V78" s="92">
        <f>'Key financial and ops fig.s LCY'!V78*VLOOKUP(Assumptions!$D$7, Lists!$B$7:$C$10, 2, FALSE)*Assumptions!$D$10/VLOOKUP(Assumptions!$D$9, Lists!$B$7:$C$10, 2, FALSE)</f>
        <v>19958400</v>
      </c>
      <c r="W78" s="48">
        <f t="shared" si="73"/>
        <v>19958400</v>
      </c>
      <c r="X78" s="68">
        <f>'Key financial and ops fig.s LCY'!X78*VLOOKUP(Assumptions!$D$7, Lists!$B$7:$C$10, 2, FALSE)*Assumptions!$D$10/VLOOKUP(Assumptions!$D$9, Lists!$B$7:$C$10, 2, FALSE)</f>
        <v>21058537.5</v>
      </c>
      <c r="Y78" s="69">
        <f>'Key financial and ops fig.s LCY'!Y78*VLOOKUP(Assumptions!$D$7, Lists!$B$7:$C$10, 2, FALSE)*Assumptions!$D$10/VLOOKUP(Assumptions!$D$9, Lists!$B$7:$C$10, 2, FALSE)</f>
        <v>22141350</v>
      </c>
      <c r="Z78" s="69">
        <f>'Key financial and ops fig.s LCY'!Z78*VLOOKUP(Assumptions!$D$7, Lists!$B$7:$C$10, 2, FALSE)*Assumptions!$D$10/VLOOKUP(Assumptions!$D$9, Lists!$B$7:$C$10, 2, FALSE)</f>
        <v>23206837.5</v>
      </c>
      <c r="AA78" s="92">
        <f>'Key financial and ops fig.s LCY'!AA78*VLOOKUP(Assumptions!$D$7, Lists!$B$7:$C$10, 2, FALSE)*Assumptions!$D$10/VLOOKUP(Assumptions!$D$9, Lists!$B$7:$C$10, 2, FALSE)</f>
        <v>24255000</v>
      </c>
      <c r="AB78" s="48">
        <f t="shared" si="75"/>
        <v>24255000</v>
      </c>
      <c r="AC78" s="68">
        <f>'Key financial and ops fig.s LCY'!AC78*VLOOKUP(Assumptions!$D$7, Lists!$B$7:$C$10, 2, FALSE)*Assumptions!$D$10/VLOOKUP(Assumptions!$D$9, Lists!$B$7:$C$10, 2, FALSE)</f>
        <v>24081750</v>
      </c>
      <c r="AD78" s="69">
        <f>'Key financial and ops fig.s LCY'!AD78*VLOOKUP(Assumptions!$D$7, Lists!$B$7:$C$10, 2, FALSE)*Assumptions!$D$10/VLOOKUP(Assumptions!$D$9, Lists!$B$7:$C$10, 2, FALSE)</f>
        <v>23908500</v>
      </c>
      <c r="AE78" s="69">
        <f>'Key financial and ops fig.s LCY'!AE78*VLOOKUP(Assumptions!$D$7, Lists!$B$7:$C$10, 2, FALSE)*Assumptions!$D$10/VLOOKUP(Assumptions!$D$9, Lists!$B$7:$C$10, 2, FALSE)</f>
        <v>23735250</v>
      </c>
      <c r="AF78" s="92">
        <f>'Key financial and ops fig.s LCY'!AF78*VLOOKUP(Assumptions!$D$7, Lists!$B$7:$C$10, 2, FALSE)*Assumptions!$D$10/VLOOKUP(Assumptions!$D$9, Lists!$B$7:$C$10, 2, FALSE)</f>
        <v>23562000</v>
      </c>
      <c r="AG78" s="48">
        <f t="shared" si="76"/>
        <v>23562000</v>
      </c>
      <c r="AH78" s="68">
        <f>'Key financial and ops fig.s LCY'!AH78*VLOOKUP(Assumptions!$D$7, Lists!$B$7:$C$10, 2, FALSE)*Assumptions!$D$10/VLOOKUP(Assumptions!$D$9, Lists!$B$7:$C$10, 2, FALSE)</f>
        <v>23388750</v>
      </c>
      <c r="AI78" s="69">
        <f>'Key financial and ops fig.s LCY'!AI78*VLOOKUP(Assumptions!$D$7, Lists!$B$7:$C$10, 2, FALSE)*Assumptions!$D$10/VLOOKUP(Assumptions!$D$9, Lists!$B$7:$C$10, 2, FALSE)</f>
        <v>23215500</v>
      </c>
      <c r="AJ78" s="69">
        <f>'Key financial and ops fig.s LCY'!AJ78*VLOOKUP(Assumptions!$D$7, Lists!$B$7:$C$10, 2, FALSE)*Assumptions!$D$10/VLOOKUP(Assumptions!$D$9, Lists!$B$7:$C$10, 2, FALSE)</f>
        <v>23042250</v>
      </c>
      <c r="AK78" s="92">
        <f>'Key financial and ops fig.s LCY'!AK78*VLOOKUP(Assumptions!$D$7, Lists!$B$7:$C$10, 2, FALSE)*Assumptions!$D$10/VLOOKUP(Assumptions!$D$9, Lists!$B$7:$C$10, 2, FALSE)</f>
        <v>22869000</v>
      </c>
      <c r="AL78" s="60">
        <f t="shared" si="77"/>
        <v>22869000</v>
      </c>
    </row>
    <row r="79" spans="1:38" s="56" customFormat="1" ht="15.95">
      <c r="A79" s="55"/>
      <c r="C79" s="189" t="s">
        <v>315</v>
      </c>
      <c r="D79" s="68">
        <f>'Key financial and ops fig.s LCY'!D79*VLOOKUP(Assumptions!$D$7, Lists!$B$7:$C$10, 2, FALSE)*Assumptions!$D$10/VLOOKUP(Assumptions!$D$9, Lists!$B$7:$C$10, 2, FALSE)</f>
        <v>1377337.5</v>
      </c>
      <c r="E79" s="69">
        <f>'Key financial and ops fig.s LCY'!E79*VLOOKUP(Assumptions!$D$7, Lists!$B$7:$C$10, 2, FALSE)*Assumptions!$D$10/VLOOKUP(Assumptions!$D$9, Lists!$B$7:$C$10, 2, FALSE)</f>
        <v>2737350</v>
      </c>
      <c r="F79" s="69">
        <f>'Key financial and ops fig.s LCY'!F79*VLOOKUP(Assumptions!$D$7, Lists!$B$7:$C$10, 2, FALSE)*Assumptions!$D$10/VLOOKUP(Assumptions!$D$9, Lists!$B$7:$C$10, 2, FALSE)</f>
        <v>4080037.5</v>
      </c>
      <c r="G79" s="92">
        <f>'Key financial and ops fig.s LCY'!G79*VLOOKUP(Assumptions!$D$7, Lists!$B$7:$C$10, 2, FALSE)*Assumptions!$D$10/VLOOKUP(Assumptions!$D$9, Lists!$B$7:$C$10, 2, FALSE)</f>
        <v>5405400</v>
      </c>
      <c r="H79" s="91">
        <f t="shared" si="70"/>
        <v>5405400</v>
      </c>
      <c r="I79" s="68">
        <f>'Key financial and ops fig.s LCY'!I79*VLOOKUP(Assumptions!$D$7, Lists!$B$7:$C$10, 2, FALSE)*Assumptions!$D$10/VLOOKUP(Assumptions!$D$9, Lists!$B$7:$C$10, 2, FALSE)</f>
        <v>6713437.5</v>
      </c>
      <c r="J79" s="69">
        <f>'Key financial and ops fig.s LCY'!J79*VLOOKUP(Assumptions!$D$7, Lists!$B$7:$C$10, 2, FALSE)*Assumptions!$D$10/VLOOKUP(Assumptions!$D$9, Lists!$B$7:$C$10, 2, FALSE)</f>
        <v>8004150</v>
      </c>
      <c r="K79" s="69">
        <f>'Key financial and ops fig.s LCY'!K79*VLOOKUP(Assumptions!$D$7, Lists!$B$7:$C$10, 2, FALSE)*Assumptions!$D$10/VLOOKUP(Assumptions!$D$9, Lists!$B$7:$C$10, 2, FALSE)</f>
        <v>9277537.5</v>
      </c>
      <c r="L79" s="92">
        <f>'Key financial and ops fig.s LCY'!L79*VLOOKUP(Assumptions!$D$7, Lists!$B$7:$C$10, 2, FALSE)*Assumptions!$D$10/VLOOKUP(Assumptions!$D$9, Lists!$B$7:$C$10, 2, FALSE)</f>
        <v>10533600</v>
      </c>
      <c r="M79" s="48">
        <f t="shared" si="71"/>
        <v>10533600</v>
      </c>
      <c r="N79" s="68">
        <f>'Key financial and ops fig.s LCY'!N79*VLOOKUP(Assumptions!$D$7, Lists!$B$7:$C$10, 2, FALSE)*Assumptions!$D$10/VLOOKUP(Assumptions!$D$9, Lists!$B$7:$C$10, 2, FALSE)</f>
        <v>11772337.5</v>
      </c>
      <c r="O79" s="69">
        <f>'Key financial and ops fig.s LCY'!O79*VLOOKUP(Assumptions!$D$7, Lists!$B$7:$C$10, 2, FALSE)*Assumptions!$D$10/VLOOKUP(Assumptions!$D$9, Lists!$B$7:$C$10, 2, FALSE)</f>
        <v>12993750</v>
      </c>
      <c r="P79" s="69">
        <f>'Key financial and ops fig.s LCY'!P79*VLOOKUP(Assumptions!$D$7, Lists!$B$7:$C$10, 2, FALSE)*Assumptions!$D$10/VLOOKUP(Assumptions!$D$9, Lists!$B$7:$C$10, 2, FALSE)</f>
        <v>14197837.5</v>
      </c>
      <c r="Q79" s="92">
        <f>'Key financial and ops fig.s LCY'!Q79*VLOOKUP(Assumptions!$D$7, Lists!$B$7:$C$10, 2, FALSE)*Assumptions!$D$10/VLOOKUP(Assumptions!$D$9, Lists!$B$7:$C$10, 2, FALSE)</f>
        <v>15384600</v>
      </c>
      <c r="R79" s="48">
        <f t="shared" si="72"/>
        <v>15384600</v>
      </c>
      <c r="S79" s="68">
        <f>'Key financial and ops fig.s LCY'!S79*VLOOKUP(Assumptions!$D$7, Lists!$B$7:$C$10, 2, FALSE)*Assumptions!$D$10/VLOOKUP(Assumptions!$D$9, Lists!$B$7:$C$10, 2, FALSE)</f>
        <v>16554037.5</v>
      </c>
      <c r="T79" s="69">
        <f>'Key financial and ops fig.s LCY'!T79*VLOOKUP(Assumptions!$D$7, Lists!$B$7:$C$10, 2, FALSE)*Assumptions!$D$10/VLOOKUP(Assumptions!$D$9, Lists!$B$7:$C$10, 2, FALSE)</f>
        <v>17706150</v>
      </c>
      <c r="U79" s="69">
        <f>'Key financial and ops fig.s LCY'!U79*VLOOKUP(Assumptions!$D$7, Lists!$B$7:$C$10, 2, FALSE)*Assumptions!$D$10/VLOOKUP(Assumptions!$D$9, Lists!$B$7:$C$10, 2, FALSE)</f>
        <v>18840937.5</v>
      </c>
      <c r="V79" s="92">
        <f>'Key financial and ops fig.s LCY'!V79*VLOOKUP(Assumptions!$D$7, Lists!$B$7:$C$10, 2, FALSE)*Assumptions!$D$10/VLOOKUP(Assumptions!$D$9, Lists!$B$7:$C$10, 2, FALSE)</f>
        <v>19958400</v>
      </c>
      <c r="W79" s="48">
        <f t="shared" si="73"/>
        <v>19958400</v>
      </c>
      <c r="X79" s="68">
        <f>'Key financial and ops fig.s LCY'!X79*VLOOKUP(Assumptions!$D$7, Lists!$B$7:$C$10, 2, FALSE)*Assumptions!$D$10/VLOOKUP(Assumptions!$D$9, Lists!$B$7:$C$10, 2, FALSE)</f>
        <v>21058537.5</v>
      </c>
      <c r="Y79" s="69">
        <f>'Key financial and ops fig.s LCY'!Y79*VLOOKUP(Assumptions!$D$7, Lists!$B$7:$C$10, 2, FALSE)*Assumptions!$D$10/VLOOKUP(Assumptions!$D$9, Lists!$B$7:$C$10, 2, FALSE)</f>
        <v>22141350</v>
      </c>
      <c r="Z79" s="69">
        <f>'Key financial and ops fig.s LCY'!Z79*VLOOKUP(Assumptions!$D$7, Lists!$B$7:$C$10, 2, FALSE)*Assumptions!$D$10/VLOOKUP(Assumptions!$D$9, Lists!$B$7:$C$10, 2, FALSE)</f>
        <v>23206837.5</v>
      </c>
      <c r="AA79" s="92">
        <f>'Key financial and ops fig.s LCY'!AA79*VLOOKUP(Assumptions!$D$7, Lists!$B$7:$C$10, 2, FALSE)*Assumptions!$D$10/VLOOKUP(Assumptions!$D$9, Lists!$B$7:$C$10, 2, FALSE)</f>
        <v>24255000</v>
      </c>
      <c r="AB79" s="48">
        <f t="shared" si="75"/>
        <v>24255000</v>
      </c>
      <c r="AC79" s="68">
        <f>'Key financial and ops fig.s LCY'!AC79*VLOOKUP(Assumptions!$D$7, Lists!$B$7:$C$10, 2, FALSE)*Assumptions!$D$10/VLOOKUP(Assumptions!$D$9, Lists!$B$7:$C$10, 2, FALSE)</f>
        <v>24081750</v>
      </c>
      <c r="AD79" s="69">
        <f>'Key financial and ops fig.s LCY'!AD79*VLOOKUP(Assumptions!$D$7, Lists!$B$7:$C$10, 2, FALSE)*Assumptions!$D$10/VLOOKUP(Assumptions!$D$9, Lists!$B$7:$C$10, 2, FALSE)</f>
        <v>23908500</v>
      </c>
      <c r="AE79" s="69">
        <f>'Key financial and ops fig.s LCY'!AE79*VLOOKUP(Assumptions!$D$7, Lists!$B$7:$C$10, 2, FALSE)*Assumptions!$D$10/VLOOKUP(Assumptions!$D$9, Lists!$B$7:$C$10, 2, FALSE)</f>
        <v>23735250</v>
      </c>
      <c r="AF79" s="92">
        <f>'Key financial and ops fig.s LCY'!AF79*VLOOKUP(Assumptions!$D$7, Lists!$B$7:$C$10, 2, FALSE)*Assumptions!$D$10/VLOOKUP(Assumptions!$D$9, Lists!$B$7:$C$10, 2, FALSE)</f>
        <v>23562000</v>
      </c>
      <c r="AG79" s="48">
        <f t="shared" si="76"/>
        <v>23562000</v>
      </c>
      <c r="AH79" s="68">
        <f>'Key financial and ops fig.s LCY'!AH79*VLOOKUP(Assumptions!$D$7, Lists!$B$7:$C$10, 2, FALSE)*Assumptions!$D$10/VLOOKUP(Assumptions!$D$9, Lists!$B$7:$C$10, 2, FALSE)</f>
        <v>23388750</v>
      </c>
      <c r="AI79" s="69">
        <f>'Key financial and ops fig.s LCY'!AI79*VLOOKUP(Assumptions!$D$7, Lists!$B$7:$C$10, 2, FALSE)*Assumptions!$D$10/VLOOKUP(Assumptions!$D$9, Lists!$B$7:$C$10, 2, FALSE)</f>
        <v>23215500</v>
      </c>
      <c r="AJ79" s="69">
        <f>'Key financial and ops fig.s LCY'!AJ79*VLOOKUP(Assumptions!$D$7, Lists!$B$7:$C$10, 2, FALSE)*Assumptions!$D$10/VLOOKUP(Assumptions!$D$9, Lists!$B$7:$C$10, 2, FALSE)</f>
        <v>23042250</v>
      </c>
      <c r="AK79" s="92">
        <f>'Key financial and ops fig.s LCY'!AK79*VLOOKUP(Assumptions!$D$7, Lists!$B$7:$C$10, 2, FALSE)*Assumptions!$D$10/VLOOKUP(Assumptions!$D$9, Lists!$B$7:$C$10, 2, FALSE)</f>
        <v>22869000</v>
      </c>
      <c r="AL79" s="60">
        <f t="shared" si="77"/>
        <v>22869000</v>
      </c>
    </row>
    <row r="80" spans="1:38" ht="15.95">
      <c r="A80" s="55"/>
      <c r="C80" s="189" t="s">
        <v>316</v>
      </c>
      <c r="D80" s="68">
        <f>'Key financial and ops fig.s LCY'!D80*VLOOKUP(Assumptions!$D$7, Lists!$B$7:$C$10, 2, FALSE)*Assumptions!$D$10/VLOOKUP(Assumptions!$D$9, Lists!$B$7:$C$10, 2, FALSE)</f>
        <v>1377337.5</v>
      </c>
      <c r="E80" s="69">
        <f>'Key financial and ops fig.s LCY'!E80*VLOOKUP(Assumptions!$D$7, Lists!$B$7:$C$10, 2, FALSE)*Assumptions!$D$10/VLOOKUP(Assumptions!$D$9, Lists!$B$7:$C$10, 2, FALSE)</f>
        <v>2737350</v>
      </c>
      <c r="F80" s="69">
        <f>'Key financial and ops fig.s LCY'!F80*VLOOKUP(Assumptions!$D$7, Lists!$B$7:$C$10, 2, FALSE)*Assumptions!$D$10/VLOOKUP(Assumptions!$D$9, Lists!$B$7:$C$10, 2, FALSE)</f>
        <v>4080037.5</v>
      </c>
      <c r="G80" s="92">
        <f>'Key financial and ops fig.s LCY'!G80*VLOOKUP(Assumptions!$D$7, Lists!$B$7:$C$10, 2, FALSE)*Assumptions!$D$10/VLOOKUP(Assumptions!$D$9, Lists!$B$7:$C$10, 2, FALSE)</f>
        <v>5405400</v>
      </c>
      <c r="H80" s="91">
        <f t="shared" si="70"/>
        <v>5405400</v>
      </c>
      <c r="I80" s="68">
        <f>'Key financial and ops fig.s LCY'!I80*VLOOKUP(Assumptions!$D$7, Lists!$B$7:$C$10, 2, FALSE)*Assumptions!$D$10/VLOOKUP(Assumptions!$D$9, Lists!$B$7:$C$10, 2, FALSE)</f>
        <v>6713437.5</v>
      </c>
      <c r="J80" s="69">
        <f>'Key financial and ops fig.s LCY'!J80*VLOOKUP(Assumptions!$D$7, Lists!$B$7:$C$10, 2, FALSE)*Assumptions!$D$10/VLOOKUP(Assumptions!$D$9, Lists!$B$7:$C$10, 2, FALSE)</f>
        <v>8004150</v>
      </c>
      <c r="K80" s="69">
        <f>'Key financial and ops fig.s LCY'!K80*VLOOKUP(Assumptions!$D$7, Lists!$B$7:$C$10, 2, FALSE)*Assumptions!$D$10/VLOOKUP(Assumptions!$D$9, Lists!$B$7:$C$10, 2, FALSE)</f>
        <v>9277537.5</v>
      </c>
      <c r="L80" s="92">
        <f>'Key financial and ops fig.s LCY'!L80*VLOOKUP(Assumptions!$D$7, Lists!$B$7:$C$10, 2, FALSE)*Assumptions!$D$10/VLOOKUP(Assumptions!$D$9, Lists!$B$7:$C$10, 2, FALSE)</f>
        <v>10533600</v>
      </c>
      <c r="M80" s="57">
        <f t="shared" si="71"/>
        <v>10533600</v>
      </c>
      <c r="N80" s="68">
        <f>'Key financial and ops fig.s LCY'!N80*VLOOKUP(Assumptions!$D$7, Lists!$B$7:$C$10, 2, FALSE)*Assumptions!$D$10/VLOOKUP(Assumptions!$D$9, Lists!$B$7:$C$10, 2, FALSE)</f>
        <v>11772337.5</v>
      </c>
      <c r="O80" s="69">
        <f>'Key financial and ops fig.s LCY'!O80*VLOOKUP(Assumptions!$D$7, Lists!$B$7:$C$10, 2, FALSE)*Assumptions!$D$10/VLOOKUP(Assumptions!$D$9, Lists!$B$7:$C$10, 2, FALSE)</f>
        <v>12993750</v>
      </c>
      <c r="P80" s="69">
        <f>'Key financial and ops fig.s LCY'!P80*VLOOKUP(Assumptions!$D$7, Lists!$B$7:$C$10, 2, FALSE)*Assumptions!$D$10/VLOOKUP(Assumptions!$D$9, Lists!$B$7:$C$10, 2, FALSE)</f>
        <v>14197837.5</v>
      </c>
      <c r="Q80" s="92">
        <f>'Key financial and ops fig.s LCY'!Q80*VLOOKUP(Assumptions!$D$7, Lists!$B$7:$C$10, 2, FALSE)*Assumptions!$D$10/VLOOKUP(Assumptions!$D$9, Lists!$B$7:$C$10, 2, FALSE)</f>
        <v>15384600</v>
      </c>
      <c r="R80" s="57">
        <f t="shared" si="72"/>
        <v>15384600</v>
      </c>
      <c r="S80" s="68">
        <f>'Key financial and ops fig.s LCY'!S80*VLOOKUP(Assumptions!$D$7, Lists!$B$7:$C$10, 2, FALSE)*Assumptions!$D$10/VLOOKUP(Assumptions!$D$9, Lists!$B$7:$C$10, 2, FALSE)</f>
        <v>16554037.5</v>
      </c>
      <c r="T80" s="69">
        <f>'Key financial and ops fig.s LCY'!T80*VLOOKUP(Assumptions!$D$7, Lists!$B$7:$C$10, 2, FALSE)*Assumptions!$D$10/VLOOKUP(Assumptions!$D$9, Lists!$B$7:$C$10, 2, FALSE)</f>
        <v>17706150</v>
      </c>
      <c r="U80" s="69">
        <f>'Key financial and ops fig.s LCY'!U80*VLOOKUP(Assumptions!$D$7, Lists!$B$7:$C$10, 2, FALSE)*Assumptions!$D$10/VLOOKUP(Assumptions!$D$9, Lists!$B$7:$C$10, 2, FALSE)</f>
        <v>18840937.5</v>
      </c>
      <c r="V80" s="92">
        <f>'Key financial and ops fig.s LCY'!V80*VLOOKUP(Assumptions!$D$7, Lists!$B$7:$C$10, 2, FALSE)*Assumptions!$D$10/VLOOKUP(Assumptions!$D$9, Lists!$B$7:$C$10, 2, FALSE)</f>
        <v>19958400</v>
      </c>
      <c r="W80" s="57">
        <f t="shared" si="73"/>
        <v>19958400</v>
      </c>
      <c r="X80" s="68">
        <f>'Key financial and ops fig.s LCY'!X80*VLOOKUP(Assumptions!$D$7, Lists!$B$7:$C$10, 2, FALSE)*Assumptions!$D$10/VLOOKUP(Assumptions!$D$9, Lists!$B$7:$C$10, 2, FALSE)</f>
        <v>21058537.5</v>
      </c>
      <c r="Y80" s="69">
        <f>'Key financial and ops fig.s LCY'!Y80*VLOOKUP(Assumptions!$D$7, Lists!$B$7:$C$10, 2, FALSE)*Assumptions!$D$10/VLOOKUP(Assumptions!$D$9, Lists!$B$7:$C$10, 2, FALSE)</f>
        <v>22141350</v>
      </c>
      <c r="Z80" s="69">
        <f>'Key financial and ops fig.s LCY'!Z80*VLOOKUP(Assumptions!$D$7, Lists!$B$7:$C$10, 2, FALSE)*Assumptions!$D$10/VLOOKUP(Assumptions!$D$9, Lists!$B$7:$C$10, 2, FALSE)</f>
        <v>23206837.5</v>
      </c>
      <c r="AA80" s="92">
        <f>'Key financial and ops fig.s LCY'!AA80*VLOOKUP(Assumptions!$D$7, Lists!$B$7:$C$10, 2, FALSE)*Assumptions!$D$10/VLOOKUP(Assumptions!$D$9, Lists!$B$7:$C$10, 2, FALSE)</f>
        <v>24255000</v>
      </c>
      <c r="AB80" s="57">
        <f t="shared" si="75"/>
        <v>24255000</v>
      </c>
      <c r="AC80" s="68">
        <f>'Key financial and ops fig.s LCY'!AC80*VLOOKUP(Assumptions!$D$7, Lists!$B$7:$C$10, 2, FALSE)*Assumptions!$D$10/VLOOKUP(Assumptions!$D$9, Lists!$B$7:$C$10, 2, FALSE)</f>
        <v>24081750</v>
      </c>
      <c r="AD80" s="69">
        <f>'Key financial and ops fig.s LCY'!AD80*VLOOKUP(Assumptions!$D$7, Lists!$B$7:$C$10, 2, FALSE)*Assumptions!$D$10/VLOOKUP(Assumptions!$D$9, Lists!$B$7:$C$10, 2, FALSE)</f>
        <v>23908500</v>
      </c>
      <c r="AE80" s="69">
        <f>'Key financial and ops fig.s LCY'!AE80*VLOOKUP(Assumptions!$D$7, Lists!$B$7:$C$10, 2, FALSE)*Assumptions!$D$10/VLOOKUP(Assumptions!$D$9, Lists!$B$7:$C$10, 2, FALSE)</f>
        <v>23735250</v>
      </c>
      <c r="AF80" s="92">
        <f>'Key financial and ops fig.s LCY'!AF80*VLOOKUP(Assumptions!$D$7, Lists!$B$7:$C$10, 2, FALSE)*Assumptions!$D$10/VLOOKUP(Assumptions!$D$9, Lists!$B$7:$C$10, 2, FALSE)</f>
        <v>23562000</v>
      </c>
      <c r="AG80" s="57">
        <f t="shared" si="76"/>
        <v>23562000</v>
      </c>
      <c r="AH80" s="68">
        <f>'Key financial and ops fig.s LCY'!AH80*VLOOKUP(Assumptions!$D$7, Lists!$B$7:$C$10, 2, FALSE)*Assumptions!$D$10/VLOOKUP(Assumptions!$D$9, Lists!$B$7:$C$10, 2, FALSE)</f>
        <v>23388750</v>
      </c>
      <c r="AI80" s="69">
        <f>'Key financial and ops fig.s LCY'!AI80*VLOOKUP(Assumptions!$D$7, Lists!$B$7:$C$10, 2, FALSE)*Assumptions!$D$10/VLOOKUP(Assumptions!$D$9, Lists!$B$7:$C$10, 2, FALSE)</f>
        <v>23215500</v>
      </c>
      <c r="AJ80" s="69">
        <f>'Key financial and ops fig.s LCY'!AJ80*VLOOKUP(Assumptions!$D$7, Lists!$B$7:$C$10, 2, FALSE)*Assumptions!$D$10/VLOOKUP(Assumptions!$D$9, Lists!$B$7:$C$10, 2, FALSE)</f>
        <v>23042250</v>
      </c>
      <c r="AK80" s="92">
        <f>'Key financial and ops fig.s LCY'!AK80*VLOOKUP(Assumptions!$D$7, Lists!$B$7:$C$10, 2, FALSE)*Assumptions!$D$10/VLOOKUP(Assumptions!$D$9, Lists!$B$7:$C$10, 2, FALSE)</f>
        <v>22869000</v>
      </c>
      <c r="AL80" s="91">
        <f t="shared" si="77"/>
        <v>22869000</v>
      </c>
    </row>
    <row r="81" spans="1:38" ht="15.95">
      <c r="A81" s="55"/>
      <c r="C81" s="189" t="s">
        <v>317</v>
      </c>
      <c r="D81" s="68">
        <f>'Key financial and ops fig.s LCY'!D81*VLOOKUP(Assumptions!$D$7, Lists!$B$7:$C$10, 2, FALSE)*Assumptions!$D$10/VLOOKUP(Assumptions!$D$9, Lists!$B$7:$C$10, 2, FALSE)</f>
        <v>8264025</v>
      </c>
      <c r="E81" s="69">
        <f>'Key financial and ops fig.s LCY'!E81*VLOOKUP(Assumptions!$D$7, Lists!$B$7:$C$10, 2, FALSE)*Assumptions!$D$10/VLOOKUP(Assumptions!$D$9, Lists!$B$7:$C$10, 2, FALSE)</f>
        <v>16424100</v>
      </c>
      <c r="F81" s="69">
        <f>'Key financial and ops fig.s LCY'!F81*VLOOKUP(Assumptions!$D$7, Lists!$B$7:$C$10, 2, FALSE)*Assumptions!$D$10/VLOOKUP(Assumptions!$D$9, Lists!$B$7:$C$10, 2, FALSE)</f>
        <v>24480225</v>
      </c>
      <c r="G81" s="92">
        <f>'Key financial and ops fig.s LCY'!G81*VLOOKUP(Assumptions!$D$7, Lists!$B$7:$C$10, 2, FALSE)*Assumptions!$D$10/VLOOKUP(Assumptions!$D$9, Lists!$B$7:$C$10, 2, FALSE)</f>
        <v>32432400</v>
      </c>
      <c r="H81" s="91">
        <f t="shared" si="70"/>
        <v>32432400</v>
      </c>
      <c r="I81" s="68">
        <f>'Key financial and ops fig.s LCY'!I81*VLOOKUP(Assumptions!$D$7, Lists!$B$7:$C$10, 2, FALSE)*Assumptions!$D$10/VLOOKUP(Assumptions!$D$9, Lists!$B$7:$C$10, 2, FALSE)</f>
        <v>40280625</v>
      </c>
      <c r="J81" s="69">
        <f>'Key financial and ops fig.s LCY'!J81*VLOOKUP(Assumptions!$D$7, Lists!$B$7:$C$10, 2, FALSE)*Assumptions!$D$10/VLOOKUP(Assumptions!$D$9, Lists!$B$7:$C$10, 2, FALSE)</f>
        <v>48024900</v>
      </c>
      <c r="K81" s="69">
        <f>'Key financial and ops fig.s LCY'!K81*VLOOKUP(Assumptions!$D$7, Lists!$B$7:$C$10, 2, FALSE)*Assumptions!$D$10/VLOOKUP(Assumptions!$D$9, Lists!$B$7:$C$10, 2, FALSE)</f>
        <v>55665225</v>
      </c>
      <c r="L81" s="92">
        <f>'Key financial and ops fig.s LCY'!L81*VLOOKUP(Assumptions!$D$7, Lists!$B$7:$C$10, 2, FALSE)*Assumptions!$D$10/VLOOKUP(Assumptions!$D$9, Lists!$B$7:$C$10, 2, FALSE)</f>
        <v>63201600</v>
      </c>
      <c r="M81" s="57">
        <f t="shared" si="71"/>
        <v>63201600</v>
      </c>
      <c r="N81" s="68">
        <f>'Key financial and ops fig.s LCY'!N81*VLOOKUP(Assumptions!$D$7, Lists!$B$7:$C$10, 2, FALSE)*Assumptions!$D$10/VLOOKUP(Assumptions!$D$9, Lists!$B$7:$C$10, 2, FALSE)</f>
        <v>70634025</v>
      </c>
      <c r="O81" s="69">
        <f>'Key financial and ops fig.s LCY'!O81*VLOOKUP(Assumptions!$D$7, Lists!$B$7:$C$10, 2, FALSE)*Assumptions!$D$10/VLOOKUP(Assumptions!$D$9, Lists!$B$7:$C$10, 2, FALSE)</f>
        <v>77962500</v>
      </c>
      <c r="P81" s="69">
        <f>'Key financial and ops fig.s LCY'!P81*VLOOKUP(Assumptions!$D$7, Lists!$B$7:$C$10, 2, FALSE)*Assumptions!$D$10/VLOOKUP(Assumptions!$D$9, Lists!$B$7:$C$10, 2, FALSE)</f>
        <v>85187025</v>
      </c>
      <c r="Q81" s="92">
        <f>'Key financial and ops fig.s LCY'!Q81*VLOOKUP(Assumptions!$D$7, Lists!$B$7:$C$10, 2, FALSE)*Assumptions!$D$10/VLOOKUP(Assumptions!$D$9, Lists!$B$7:$C$10, 2, FALSE)</f>
        <v>92307600</v>
      </c>
      <c r="R81" s="57">
        <f t="shared" si="72"/>
        <v>92307600</v>
      </c>
      <c r="S81" s="68">
        <f>'Key financial and ops fig.s LCY'!S81*VLOOKUP(Assumptions!$D$7, Lists!$B$7:$C$10, 2, FALSE)*Assumptions!$D$10/VLOOKUP(Assumptions!$D$9, Lists!$B$7:$C$10, 2, FALSE)</f>
        <v>99324225</v>
      </c>
      <c r="T81" s="69">
        <f>'Key financial and ops fig.s LCY'!T81*VLOOKUP(Assumptions!$D$7, Lists!$B$7:$C$10, 2, FALSE)*Assumptions!$D$10/VLOOKUP(Assumptions!$D$9, Lists!$B$7:$C$10, 2, FALSE)</f>
        <v>106236900</v>
      </c>
      <c r="U81" s="69">
        <f>'Key financial and ops fig.s LCY'!U81*VLOOKUP(Assumptions!$D$7, Lists!$B$7:$C$10, 2, FALSE)*Assumptions!$D$10/VLOOKUP(Assumptions!$D$9, Lists!$B$7:$C$10, 2, FALSE)</f>
        <v>113045625</v>
      </c>
      <c r="V81" s="92">
        <f>'Key financial and ops fig.s LCY'!V81*VLOOKUP(Assumptions!$D$7, Lists!$B$7:$C$10, 2, FALSE)*Assumptions!$D$10/VLOOKUP(Assumptions!$D$9, Lists!$B$7:$C$10, 2, FALSE)</f>
        <v>119750400</v>
      </c>
      <c r="W81" s="57">
        <f t="shared" si="73"/>
        <v>119750400</v>
      </c>
      <c r="X81" s="68">
        <f>'Key financial and ops fig.s LCY'!X81*VLOOKUP(Assumptions!$D$7, Lists!$B$7:$C$10, 2, FALSE)*Assumptions!$D$10/VLOOKUP(Assumptions!$D$9, Lists!$B$7:$C$10, 2, FALSE)</f>
        <v>126351225</v>
      </c>
      <c r="Y81" s="69">
        <f>'Key financial and ops fig.s LCY'!Y81*VLOOKUP(Assumptions!$D$7, Lists!$B$7:$C$10, 2, FALSE)*Assumptions!$D$10/VLOOKUP(Assumptions!$D$9, Lists!$B$7:$C$10, 2, FALSE)</f>
        <v>132848100</v>
      </c>
      <c r="Z81" s="69">
        <f>'Key financial and ops fig.s LCY'!Z81*VLOOKUP(Assumptions!$D$7, Lists!$B$7:$C$10, 2, FALSE)*Assumptions!$D$10/VLOOKUP(Assumptions!$D$9, Lists!$B$7:$C$10, 2, FALSE)</f>
        <v>139241025</v>
      </c>
      <c r="AA81" s="92">
        <f>'Key financial and ops fig.s LCY'!AA81*VLOOKUP(Assumptions!$D$7, Lists!$B$7:$C$10, 2, FALSE)*Assumptions!$D$10/VLOOKUP(Assumptions!$D$9, Lists!$B$7:$C$10, 2, FALSE)</f>
        <v>145530000</v>
      </c>
      <c r="AB81" s="57">
        <f t="shared" si="75"/>
        <v>145530000</v>
      </c>
      <c r="AC81" s="68">
        <f>'Key financial and ops fig.s LCY'!AC81*VLOOKUP(Assumptions!$D$7, Lists!$B$7:$C$10, 2, FALSE)*Assumptions!$D$10/VLOOKUP(Assumptions!$D$9, Lists!$B$7:$C$10, 2, FALSE)</f>
        <v>144490500</v>
      </c>
      <c r="AD81" s="69">
        <f>'Key financial and ops fig.s LCY'!AD81*VLOOKUP(Assumptions!$D$7, Lists!$B$7:$C$10, 2, FALSE)*Assumptions!$D$10/VLOOKUP(Assumptions!$D$9, Lists!$B$7:$C$10, 2, FALSE)</f>
        <v>143451000</v>
      </c>
      <c r="AE81" s="69">
        <f>'Key financial and ops fig.s LCY'!AE81*VLOOKUP(Assumptions!$D$7, Lists!$B$7:$C$10, 2, FALSE)*Assumptions!$D$10/VLOOKUP(Assumptions!$D$9, Lists!$B$7:$C$10, 2, FALSE)</f>
        <v>142411500</v>
      </c>
      <c r="AF81" s="92">
        <f>'Key financial and ops fig.s LCY'!AF81*VLOOKUP(Assumptions!$D$7, Lists!$B$7:$C$10, 2, FALSE)*Assumptions!$D$10/VLOOKUP(Assumptions!$D$9, Lists!$B$7:$C$10, 2, FALSE)</f>
        <v>141372000</v>
      </c>
      <c r="AG81" s="57">
        <f t="shared" si="76"/>
        <v>141372000</v>
      </c>
      <c r="AH81" s="68">
        <f>'Key financial and ops fig.s LCY'!AH81*VLOOKUP(Assumptions!$D$7, Lists!$B$7:$C$10, 2, FALSE)*Assumptions!$D$10/VLOOKUP(Assumptions!$D$9, Lists!$B$7:$C$10, 2, FALSE)</f>
        <v>140332500</v>
      </c>
      <c r="AI81" s="69">
        <f>'Key financial and ops fig.s LCY'!AI81*VLOOKUP(Assumptions!$D$7, Lists!$B$7:$C$10, 2, FALSE)*Assumptions!$D$10/VLOOKUP(Assumptions!$D$9, Lists!$B$7:$C$10, 2, FALSE)</f>
        <v>139293000</v>
      </c>
      <c r="AJ81" s="69">
        <f>'Key financial and ops fig.s LCY'!AJ81*VLOOKUP(Assumptions!$D$7, Lists!$B$7:$C$10, 2, FALSE)*Assumptions!$D$10/VLOOKUP(Assumptions!$D$9, Lists!$B$7:$C$10, 2, FALSE)</f>
        <v>138253500</v>
      </c>
      <c r="AK81" s="92">
        <f>'Key financial and ops fig.s LCY'!AK81*VLOOKUP(Assumptions!$D$7, Lists!$B$7:$C$10, 2, FALSE)*Assumptions!$D$10/VLOOKUP(Assumptions!$D$9, Lists!$B$7:$C$10, 2, FALSE)</f>
        <v>137214000</v>
      </c>
      <c r="AL81" s="91">
        <f t="shared" si="77"/>
        <v>137214000</v>
      </c>
    </row>
    <row r="82" spans="1:38" s="56" customFormat="1" ht="15.95">
      <c r="A82" s="55"/>
      <c r="C82" s="189" t="s">
        <v>318</v>
      </c>
      <c r="D82" s="68">
        <f>'Key financial and ops fig.s LCY'!D82*VLOOKUP(Assumptions!$D$7, Lists!$B$7:$C$10, 2, FALSE)*Assumptions!$D$10/VLOOKUP(Assumptions!$D$9, Lists!$B$7:$C$10, 2, FALSE)</f>
        <v>8264025</v>
      </c>
      <c r="E82" s="69">
        <f>'Key financial and ops fig.s LCY'!E82*VLOOKUP(Assumptions!$D$7, Lists!$B$7:$C$10, 2, FALSE)*Assumptions!$D$10/VLOOKUP(Assumptions!$D$9, Lists!$B$7:$C$10, 2, FALSE)</f>
        <v>16424100</v>
      </c>
      <c r="F82" s="69">
        <f>'Key financial and ops fig.s LCY'!F82*VLOOKUP(Assumptions!$D$7, Lists!$B$7:$C$10, 2, FALSE)*Assumptions!$D$10/VLOOKUP(Assumptions!$D$9, Lists!$B$7:$C$10, 2, FALSE)</f>
        <v>24480225</v>
      </c>
      <c r="G82" s="92">
        <f>'Key financial and ops fig.s LCY'!G82*VLOOKUP(Assumptions!$D$7, Lists!$B$7:$C$10, 2, FALSE)*Assumptions!$D$10/VLOOKUP(Assumptions!$D$9, Lists!$B$7:$C$10, 2, FALSE)</f>
        <v>32432400</v>
      </c>
      <c r="H82" s="91">
        <f>SUM(D82:G82)</f>
        <v>81600750</v>
      </c>
      <c r="I82" s="68">
        <f>'Key financial and ops fig.s LCY'!I82*VLOOKUP(Assumptions!$D$7, Lists!$B$7:$C$10, 2, FALSE)*Assumptions!$D$10/VLOOKUP(Assumptions!$D$9, Lists!$B$7:$C$10, 2, FALSE)</f>
        <v>40280625</v>
      </c>
      <c r="J82" s="69">
        <f>'Key financial and ops fig.s LCY'!J82*VLOOKUP(Assumptions!$D$7, Lists!$B$7:$C$10, 2, FALSE)*Assumptions!$D$10/VLOOKUP(Assumptions!$D$9, Lists!$B$7:$C$10, 2, FALSE)</f>
        <v>48024900</v>
      </c>
      <c r="K82" s="69">
        <f>'Key financial and ops fig.s LCY'!K82*VLOOKUP(Assumptions!$D$7, Lists!$B$7:$C$10, 2, FALSE)*Assumptions!$D$10/VLOOKUP(Assumptions!$D$9, Lists!$B$7:$C$10, 2, FALSE)</f>
        <v>55665225</v>
      </c>
      <c r="L82" s="92">
        <f>'Key financial and ops fig.s LCY'!L82*VLOOKUP(Assumptions!$D$7, Lists!$B$7:$C$10, 2, FALSE)*Assumptions!$D$10/VLOOKUP(Assumptions!$D$9, Lists!$B$7:$C$10, 2, FALSE)</f>
        <v>63201600</v>
      </c>
      <c r="M82" s="48">
        <f>SUM(I82:L82)</f>
        <v>207172350</v>
      </c>
      <c r="N82" s="68">
        <f>'Key financial and ops fig.s LCY'!N82*VLOOKUP(Assumptions!$D$7, Lists!$B$7:$C$10, 2, FALSE)*Assumptions!$D$10/VLOOKUP(Assumptions!$D$9, Lists!$B$7:$C$10, 2, FALSE)</f>
        <v>70634025</v>
      </c>
      <c r="O82" s="69">
        <f>'Key financial and ops fig.s LCY'!O82*VLOOKUP(Assumptions!$D$7, Lists!$B$7:$C$10, 2, FALSE)*Assumptions!$D$10/VLOOKUP(Assumptions!$D$9, Lists!$B$7:$C$10, 2, FALSE)</f>
        <v>77962500</v>
      </c>
      <c r="P82" s="69">
        <f>'Key financial and ops fig.s LCY'!P82*VLOOKUP(Assumptions!$D$7, Lists!$B$7:$C$10, 2, FALSE)*Assumptions!$D$10/VLOOKUP(Assumptions!$D$9, Lists!$B$7:$C$10, 2, FALSE)</f>
        <v>85187025</v>
      </c>
      <c r="Q82" s="92">
        <f>'Key financial and ops fig.s LCY'!Q82*VLOOKUP(Assumptions!$D$7, Lists!$B$7:$C$10, 2, FALSE)*Assumptions!$D$10/VLOOKUP(Assumptions!$D$9, Lists!$B$7:$C$10, 2, FALSE)</f>
        <v>92307600</v>
      </c>
      <c r="R82" s="48">
        <f>SUM(N82:Q82)</f>
        <v>326091150</v>
      </c>
      <c r="S82" s="68">
        <f>'Key financial and ops fig.s LCY'!S82*VLOOKUP(Assumptions!$D$7, Lists!$B$7:$C$10, 2, FALSE)*Assumptions!$D$10/VLOOKUP(Assumptions!$D$9, Lists!$B$7:$C$10, 2, FALSE)</f>
        <v>99324225</v>
      </c>
      <c r="T82" s="69">
        <f>'Key financial and ops fig.s LCY'!T82*VLOOKUP(Assumptions!$D$7, Lists!$B$7:$C$10, 2, FALSE)*Assumptions!$D$10/VLOOKUP(Assumptions!$D$9, Lists!$B$7:$C$10, 2, FALSE)</f>
        <v>106236900</v>
      </c>
      <c r="U82" s="69">
        <f>'Key financial and ops fig.s LCY'!U82*VLOOKUP(Assumptions!$D$7, Lists!$B$7:$C$10, 2, FALSE)*Assumptions!$D$10/VLOOKUP(Assumptions!$D$9, Lists!$B$7:$C$10, 2, FALSE)</f>
        <v>113045625</v>
      </c>
      <c r="V82" s="92">
        <f>'Key financial and ops fig.s LCY'!V82*VLOOKUP(Assumptions!$D$7, Lists!$B$7:$C$10, 2, FALSE)*Assumptions!$D$10/VLOOKUP(Assumptions!$D$9, Lists!$B$7:$C$10, 2, FALSE)</f>
        <v>119750400</v>
      </c>
      <c r="W82" s="48">
        <f>SUM(S82:V82)</f>
        <v>438357150</v>
      </c>
      <c r="X82" s="68">
        <f>'Key financial and ops fig.s LCY'!X82*VLOOKUP(Assumptions!$D$7, Lists!$B$7:$C$10, 2, FALSE)*Assumptions!$D$10/VLOOKUP(Assumptions!$D$9, Lists!$B$7:$C$10, 2, FALSE)</f>
        <v>126351225</v>
      </c>
      <c r="Y82" s="69">
        <f>'Key financial and ops fig.s LCY'!Y82*VLOOKUP(Assumptions!$D$7, Lists!$B$7:$C$10, 2, FALSE)*Assumptions!$D$10/VLOOKUP(Assumptions!$D$9, Lists!$B$7:$C$10, 2, FALSE)</f>
        <v>132848100</v>
      </c>
      <c r="Z82" s="69">
        <f>'Key financial and ops fig.s LCY'!Z82*VLOOKUP(Assumptions!$D$7, Lists!$B$7:$C$10, 2, FALSE)*Assumptions!$D$10/VLOOKUP(Assumptions!$D$9, Lists!$B$7:$C$10, 2, FALSE)</f>
        <v>139241025</v>
      </c>
      <c r="AA82" s="92">
        <f>'Key financial and ops fig.s LCY'!AA82*VLOOKUP(Assumptions!$D$7, Lists!$B$7:$C$10, 2, FALSE)*Assumptions!$D$10/VLOOKUP(Assumptions!$D$9, Lists!$B$7:$C$10, 2, FALSE)</f>
        <v>145530000</v>
      </c>
      <c r="AB82" s="48">
        <f>SUM(X82:AA82)</f>
        <v>543970350</v>
      </c>
      <c r="AC82" s="68">
        <f>'Key financial and ops fig.s LCY'!AC82*VLOOKUP(Assumptions!$D$7, Lists!$B$7:$C$10, 2, FALSE)*Assumptions!$D$10/VLOOKUP(Assumptions!$D$9, Lists!$B$7:$C$10, 2, FALSE)</f>
        <v>144490500</v>
      </c>
      <c r="AD82" s="69">
        <f>'Key financial and ops fig.s LCY'!AD82*VLOOKUP(Assumptions!$D$7, Lists!$B$7:$C$10, 2, FALSE)*Assumptions!$D$10/VLOOKUP(Assumptions!$D$9, Lists!$B$7:$C$10, 2, FALSE)</f>
        <v>143451000</v>
      </c>
      <c r="AE82" s="69">
        <f>'Key financial and ops fig.s LCY'!AE82*VLOOKUP(Assumptions!$D$7, Lists!$B$7:$C$10, 2, FALSE)*Assumptions!$D$10/VLOOKUP(Assumptions!$D$9, Lists!$B$7:$C$10, 2, FALSE)</f>
        <v>142411500</v>
      </c>
      <c r="AF82" s="92">
        <f>'Key financial and ops fig.s LCY'!AF82*VLOOKUP(Assumptions!$D$7, Lists!$B$7:$C$10, 2, FALSE)*Assumptions!$D$10/VLOOKUP(Assumptions!$D$9, Lists!$B$7:$C$10, 2, FALSE)</f>
        <v>141372000</v>
      </c>
      <c r="AG82" s="48">
        <f>SUM(AC82:AF82)</f>
        <v>571725000</v>
      </c>
      <c r="AH82" s="68">
        <f>'Key financial and ops fig.s LCY'!AH82*VLOOKUP(Assumptions!$D$7, Lists!$B$7:$C$10, 2, FALSE)*Assumptions!$D$10/VLOOKUP(Assumptions!$D$9, Lists!$B$7:$C$10, 2, FALSE)</f>
        <v>140332500</v>
      </c>
      <c r="AI82" s="69">
        <f>'Key financial and ops fig.s LCY'!AI82*VLOOKUP(Assumptions!$D$7, Lists!$B$7:$C$10, 2, FALSE)*Assumptions!$D$10/VLOOKUP(Assumptions!$D$9, Lists!$B$7:$C$10, 2, FALSE)</f>
        <v>139293000</v>
      </c>
      <c r="AJ82" s="69">
        <f>'Key financial and ops fig.s LCY'!AJ82*VLOOKUP(Assumptions!$D$7, Lists!$B$7:$C$10, 2, FALSE)*Assumptions!$D$10/VLOOKUP(Assumptions!$D$9, Lists!$B$7:$C$10, 2, FALSE)</f>
        <v>138253500</v>
      </c>
      <c r="AK82" s="92">
        <f>'Key financial and ops fig.s LCY'!AK82*VLOOKUP(Assumptions!$D$7, Lists!$B$7:$C$10, 2, FALSE)*Assumptions!$D$10/VLOOKUP(Assumptions!$D$9, Lists!$B$7:$C$10, 2, FALSE)</f>
        <v>137214000</v>
      </c>
      <c r="AL82" s="60">
        <f>SUM(AH82:AK82)</f>
        <v>555093000</v>
      </c>
    </row>
    <row r="83" spans="1:38" s="56" customFormat="1" ht="15.95">
      <c r="A83" s="55"/>
      <c r="C83" s="189" t="s">
        <v>319</v>
      </c>
      <c r="D83" s="68">
        <f>'Key financial and ops fig.s LCY'!D83*VLOOKUP(Assumptions!$D$7, Lists!$B$7:$C$10, 2, FALSE)*Assumptions!$D$10/VLOOKUP(Assumptions!$D$9, Lists!$B$7:$C$10, 2, FALSE)</f>
        <v>8264025</v>
      </c>
      <c r="E83" s="69">
        <f>'Key financial and ops fig.s LCY'!E83*VLOOKUP(Assumptions!$D$7, Lists!$B$7:$C$10, 2, FALSE)*Assumptions!$D$10/VLOOKUP(Assumptions!$D$9, Lists!$B$7:$C$10, 2, FALSE)</f>
        <v>16424100</v>
      </c>
      <c r="F83" s="69">
        <f>'Key financial and ops fig.s LCY'!F83*VLOOKUP(Assumptions!$D$7, Lists!$B$7:$C$10, 2, FALSE)*Assumptions!$D$10/VLOOKUP(Assumptions!$D$9, Lists!$B$7:$C$10, 2, FALSE)</f>
        <v>24480225</v>
      </c>
      <c r="G83" s="92">
        <f>'Key financial and ops fig.s LCY'!G83*VLOOKUP(Assumptions!$D$7, Lists!$B$7:$C$10, 2, FALSE)*Assumptions!$D$10/VLOOKUP(Assumptions!$D$9, Lists!$B$7:$C$10, 2, FALSE)</f>
        <v>32432400</v>
      </c>
      <c r="H83" s="91">
        <f>SUM(D83:G83)</f>
        <v>81600750</v>
      </c>
      <c r="I83" s="68">
        <f>'Key financial and ops fig.s LCY'!I83*VLOOKUP(Assumptions!$D$7, Lists!$B$7:$C$10, 2, FALSE)*Assumptions!$D$10/VLOOKUP(Assumptions!$D$9, Lists!$B$7:$C$10, 2, FALSE)</f>
        <v>40280625</v>
      </c>
      <c r="J83" s="69">
        <f>'Key financial and ops fig.s LCY'!J83*VLOOKUP(Assumptions!$D$7, Lists!$B$7:$C$10, 2, FALSE)*Assumptions!$D$10/VLOOKUP(Assumptions!$D$9, Lists!$B$7:$C$10, 2, FALSE)</f>
        <v>48024900</v>
      </c>
      <c r="K83" s="69">
        <f>'Key financial and ops fig.s LCY'!K83*VLOOKUP(Assumptions!$D$7, Lists!$B$7:$C$10, 2, FALSE)*Assumptions!$D$10/VLOOKUP(Assumptions!$D$9, Lists!$B$7:$C$10, 2, FALSE)</f>
        <v>55665225</v>
      </c>
      <c r="L83" s="92">
        <f>'Key financial and ops fig.s LCY'!L83*VLOOKUP(Assumptions!$D$7, Lists!$B$7:$C$10, 2, FALSE)*Assumptions!$D$10/VLOOKUP(Assumptions!$D$9, Lists!$B$7:$C$10, 2, FALSE)</f>
        <v>63201600</v>
      </c>
      <c r="M83" s="48">
        <f>SUM(I83:L83)</f>
        <v>207172350</v>
      </c>
      <c r="N83" s="68">
        <f>'Key financial and ops fig.s LCY'!N83*VLOOKUP(Assumptions!$D$7, Lists!$B$7:$C$10, 2, FALSE)*Assumptions!$D$10/VLOOKUP(Assumptions!$D$9, Lists!$B$7:$C$10, 2, FALSE)</f>
        <v>70634025</v>
      </c>
      <c r="O83" s="69">
        <f>'Key financial and ops fig.s LCY'!O83*VLOOKUP(Assumptions!$D$7, Lists!$B$7:$C$10, 2, FALSE)*Assumptions!$D$10/VLOOKUP(Assumptions!$D$9, Lists!$B$7:$C$10, 2, FALSE)</f>
        <v>77962500</v>
      </c>
      <c r="P83" s="69">
        <f>'Key financial and ops fig.s LCY'!P83*VLOOKUP(Assumptions!$D$7, Lists!$B$7:$C$10, 2, FALSE)*Assumptions!$D$10/VLOOKUP(Assumptions!$D$9, Lists!$B$7:$C$10, 2, FALSE)</f>
        <v>85187025</v>
      </c>
      <c r="Q83" s="92">
        <f>'Key financial and ops fig.s LCY'!Q83*VLOOKUP(Assumptions!$D$7, Lists!$B$7:$C$10, 2, FALSE)*Assumptions!$D$10/VLOOKUP(Assumptions!$D$9, Lists!$B$7:$C$10, 2, FALSE)</f>
        <v>92307600</v>
      </c>
      <c r="R83" s="48">
        <f>SUM(N83:Q83)</f>
        <v>326091150</v>
      </c>
      <c r="S83" s="68">
        <f>'Key financial and ops fig.s LCY'!S83*VLOOKUP(Assumptions!$D$7, Lists!$B$7:$C$10, 2, FALSE)*Assumptions!$D$10/VLOOKUP(Assumptions!$D$9, Lists!$B$7:$C$10, 2, FALSE)</f>
        <v>99324225</v>
      </c>
      <c r="T83" s="69">
        <f>'Key financial and ops fig.s LCY'!T83*VLOOKUP(Assumptions!$D$7, Lists!$B$7:$C$10, 2, FALSE)*Assumptions!$D$10/VLOOKUP(Assumptions!$D$9, Lists!$B$7:$C$10, 2, FALSE)</f>
        <v>106236900</v>
      </c>
      <c r="U83" s="69">
        <f>'Key financial and ops fig.s LCY'!U83*VLOOKUP(Assumptions!$D$7, Lists!$B$7:$C$10, 2, FALSE)*Assumptions!$D$10/VLOOKUP(Assumptions!$D$9, Lists!$B$7:$C$10, 2, FALSE)</f>
        <v>113045625</v>
      </c>
      <c r="V83" s="92">
        <f>'Key financial and ops fig.s LCY'!V83*VLOOKUP(Assumptions!$D$7, Lists!$B$7:$C$10, 2, FALSE)*Assumptions!$D$10/VLOOKUP(Assumptions!$D$9, Lists!$B$7:$C$10, 2, FALSE)</f>
        <v>119750400</v>
      </c>
      <c r="W83" s="48">
        <f>SUM(S83:V83)</f>
        <v>438357150</v>
      </c>
      <c r="X83" s="68">
        <f>'Key financial and ops fig.s LCY'!X83*VLOOKUP(Assumptions!$D$7, Lists!$B$7:$C$10, 2, FALSE)*Assumptions!$D$10/VLOOKUP(Assumptions!$D$9, Lists!$B$7:$C$10, 2, FALSE)</f>
        <v>126351225</v>
      </c>
      <c r="Y83" s="69">
        <f>'Key financial and ops fig.s LCY'!Y83*VLOOKUP(Assumptions!$D$7, Lists!$B$7:$C$10, 2, FALSE)*Assumptions!$D$10/VLOOKUP(Assumptions!$D$9, Lists!$B$7:$C$10, 2, FALSE)</f>
        <v>132848100</v>
      </c>
      <c r="Z83" s="69">
        <f>'Key financial and ops fig.s LCY'!Z83*VLOOKUP(Assumptions!$D$7, Lists!$B$7:$C$10, 2, FALSE)*Assumptions!$D$10/VLOOKUP(Assumptions!$D$9, Lists!$B$7:$C$10, 2, FALSE)</f>
        <v>139241025</v>
      </c>
      <c r="AA83" s="92">
        <f>'Key financial and ops fig.s LCY'!AA83*VLOOKUP(Assumptions!$D$7, Lists!$B$7:$C$10, 2, FALSE)*Assumptions!$D$10/VLOOKUP(Assumptions!$D$9, Lists!$B$7:$C$10, 2, FALSE)</f>
        <v>145530000</v>
      </c>
      <c r="AB83" s="48">
        <f>SUM(X83:AA83)</f>
        <v>543970350</v>
      </c>
      <c r="AC83" s="68">
        <f>'Key financial and ops fig.s LCY'!AC83*VLOOKUP(Assumptions!$D$7, Lists!$B$7:$C$10, 2, FALSE)*Assumptions!$D$10/VLOOKUP(Assumptions!$D$9, Lists!$B$7:$C$10, 2, FALSE)</f>
        <v>144490500</v>
      </c>
      <c r="AD83" s="69">
        <f>'Key financial and ops fig.s LCY'!AD83*VLOOKUP(Assumptions!$D$7, Lists!$B$7:$C$10, 2, FALSE)*Assumptions!$D$10/VLOOKUP(Assumptions!$D$9, Lists!$B$7:$C$10, 2, FALSE)</f>
        <v>143451000</v>
      </c>
      <c r="AE83" s="69">
        <f>'Key financial and ops fig.s LCY'!AE83*VLOOKUP(Assumptions!$D$7, Lists!$B$7:$C$10, 2, FALSE)*Assumptions!$D$10/VLOOKUP(Assumptions!$D$9, Lists!$B$7:$C$10, 2, FALSE)</f>
        <v>142411500</v>
      </c>
      <c r="AF83" s="92">
        <f>'Key financial and ops fig.s LCY'!AF83*VLOOKUP(Assumptions!$D$7, Lists!$B$7:$C$10, 2, FALSE)*Assumptions!$D$10/VLOOKUP(Assumptions!$D$9, Lists!$B$7:$C$10, 2, FALSE)</f>
        <v>141372000</v>
      </c>
      <c r="AG83" s="48">
        <f>SUM(AC83:AF83)</f>
        <v>571725000</v>
      </c>
      <c r="AH83" s="68">
        <f>'Key financial and ops fig.s LCY'!AH83*VLOOKUP(Assumptions!$D$7, Lists!$B$7:$C$10, 2, FALSE)*Assumptions!$D$10/VLOOKUP(Assumptions!$D$9, Lists!$B$7:$C$10, 2, FALSE)</f>
        <v>140332500</v>
      </c>
      <c r="AI83" s="69">
        <f>'Key financial and ops fig.s LCY'!AI83*VLOOKUP(Assumptions!$D$7, Lists!$B$7:$C$10, 2, FALSE)*Assumptions!$D$10/VLOOKUP(Assumptions!$D$9, Lists!$B$7:$C$10, 2, FALSE)</f>
        <v>139293000</v>
      </c>
      <c r="AJ83" s="69">
        <f>'Key financial and ops fig.s LCY'!AJ83*VLOOKUP(Assumptions!$D$7, Lists!$B$7:$C$10, 2, FALSE)*Assumptions!$D$10/VLOOKUP(Assumptions!$D$9, Lists!$B$7:$C$10, 2, FALSE)</f>
        <v>138253500</v>
      </c>
      <c r="AK83" s="92">
        <f>'Key financial and ops fig.s LCY'!AK83*VLOOKUP(Assumptions!$D$7, Lists!$B$7:$C$10, 2, FALSE)*Assumptions!$D$10/VLOOKUP(Assumptions!$D$9, Lists!$B$7:$C$10, 2, FALSE)</f>
        <v>137214000</v>
      </c>
      <c r="AL83" s="60">
        <f>SUM(AH83:AK83)</f>
        <v>555093000</v>
      </c>
    </row>
    <row r="84" spans="1:38" s="56" customFormat="1" ht="15.95">
      <c r="A84" s="55"/>
      <c r="C84" s="189" t="s">
        <v>109</v>
      </c>
      <c r="D84" s="68">
        <f>'Key financial and ops fig.s LCY'!D84*VLOOKUP(Assumptions!$D$7, Lists!$B$7:$C$10, 2, FALSE)*Assumptions!$D$10/VLOOKUP(Assumptions!$D$9, Lists!$B$7:$C$10, 2, FALSE)</f>
        <v>275467.5</v>
      </c>
      <c r="E84" s="69">
        <f>'Key financial and ops fig.s LCY'!E84*VLOOKUP(Assumptions!$D$7, Lists!$B$7:$C$10, 2, FALSE)*Assumptions!$D$10/VLOOKUP(Assumptions!$D$9, Lists!$B$7:$C$10, 2, FALSE)</f>
        <v>547470</v>
      </c>
      <c r="F84" s="69">
        <f>'Key financial and ops fig.s LCY'!F84*VLOOKUP(Assumptions!$D$7, Lists!$B$7:$C$10, 2, FALSE)*Assumptions!$D$10/VLOOKUP(Assumptions!$D$9, Lists!$B$7:$C$10, 2, FALSE)</f>
        <v>816007.5</v>
      </c>
      <c r="G84" s="92">
        <f>'Key financial and ops fig.s LCY'!G84*VLOOKUP(Assumptions!$D$7, Lists!$B$7:$C$10, 2, FALSE)*Assumptions!$D$10/VLOOKUP(Assumptions!$D$9, Lists!$B$7:$C$10, 2, FALSE)</f>
        <v>1081080</v>
      </c>
      <c r="H84" s="91">
        <f>G84</f>
        <v>1081080</v>
      </c>
      <c r="I84" s="68">
        <f>'Key financial and ops fig.s LCY'!I84*VLOOKUP(Assumptions!$D$7, Lists!$B$7:$C$10, 2, FALSE)*Assumptions!$D$10/VLOOKUP(Assumptions!$D$9, Lists!$B$7:$C$10, 2, FALSE)</f>
        <v>1342687.5</v>
      </c>
      <c r="J84" s="69">
        <f>'Key financial and ops fig.s LCY'!J84*VLOOKUP(Assumptions!$D$7, Lists!$B$7:$C$10, 2, FALSE)*Assumptions!$D$10/VLOOKUP(Assumptions!$D$9, Lists!$B$7:$C$10, 2, FALSE)</f>
        <v>1600830</v>
      </c>
      <c r="K84" s="69">
        <f>'Key financial and ops fig.s LCY'!K84*VLOOKUP(Assumptions!$D$7, Lists!$B$7:$C$10, 2, FALSE)*Assumptions!$D$10/VLOOKUP(Assumptions!$D$9, Lists!$B$7:$C$10, 2, FALSE)</f>
        <v>1855507.5</v>
      </c>
      <c r="L84" s="92">
        <f>'Key financial and ops fig.s LCY'!L84*VLOOKUP(Assumptions!$D$7, Lists!$B$7:$C$10, 2, FALSE)*Assumptions!$D$10/VLOOKUP(Assumptions!$D$9, Lists!$B$7:$C$10, 2, FALSE)</f>
        <v>2106720</v>
      </c>
      <c r="M84" s="91">
        <f>L84</f>
        <v>2106720</v>
      </c>
      <c r="N84" s="68">
        <f>'Key financial and ops fig.s LCY'!N84*VLOOKUP(Assumptions!$D$7, Lists!$B$7:$C$10, 2, FALSE)*Assumptions!$D$10/VLOOKUP(Assumptions!$D$9, Lists!$B$7:$C$10, 2, FALSE)</f>
        <v>2354467.5</v>
      </c>
      <c r="O84" s="69">
        <f>'Key financial and ops fig.s LCY'!O84*VLOOKUP(Assumptions!$D$7, Lists!$B$7:$C$10, 2, FALSE)*Assumptions!$D$10/VLOOKUP(Assumptions!$D$9, Lists!$B$7:$C$10, 2, FALSE)</f>
        <v>2598750</v>
      </c>
      <c r="P84" s="69">
        <f>'Key financial and ops fig.s LCY'!P84*VLOOKUP(Assumptions!$D$7, Lists!$B$7:$C$10, 2, FALSE)*Assumptions!$D$10/VLOOKUP(Assumptions!$D$9, Lists!$B$7:$C$10, 2, FALSE)</f>
        <v>2839567.5</v>
      </c>
      <c r="Q84" s="92">
        <f>'Key financial and ops fig.s LCY'!Q84*VLOOKUP(Assumptions!$D$7, Lists!$B$7:$C$10, 2, FALSE)*Assumptions!$D$10/VLOOKUP(Assumptions!$D$9, Lists!$B$7:$C$10, 2, FALSE)</f>
        <v>3076920</v>
      </c>
      <c r="R84" s="91">
        <f>Q84</f>
        <v>3076920</v>
      </c>
      <c r="S84" s="68">
        <f>'Key financial and ops fig.s LCY'!S84*VLOOKUP(Assumptions!$D$7, Lists!$B$7:$C$10, 2, FALSE)*Assumptions!$D$10/VLOOKUP(Assumptions!$D$9, Lists!$B$7:$C$10, 2, FALSE)</f>
        <v>3310807.5</v>
      </c>
      <c r="T84" s="69">
        <f>'Key financial and ops fig.s LCY'!T84*VLOOKUP(Assumptions!$D$7, Lists!$B$7:$C$10, 2, FALSE)*Assumptions!$D$10/VLOOKUP(Assumptions!$D$9, Lists!$B$7:$C$10, 2, FALSE)</f>
        <v>3541230</v>
      </c>
      <c r="U84" s="69">
        <f>'Key financial and ops fig.s LCY'!U84*VLOOKUP(Assumptions!$D$7, Lists!$B$7:$C$10, 2, FALSE)*Assumptions!$D$10/VLOOKUP(Assumptions!$D$9, Lists!$B$7:$C$10, 2, FALSE)</f>
        <v>3768187.5</v>
      </c>
      <c r="V84" s="92">
        <f>'Key financial and ops fig.s LCY'!V84*VLOOKUP(Assumptions!$D$7, Lists!$B$7:$C$10, 2, FALSE)*Assumptions!$D$10/VLOOKUP(Assumptions!$D$9, Lists!$B$7:$C$10, 2, FALSE)</f>
        <v>3991680</v>
      </c>
      <c r="W84" s="91">
        <f>V84</f>
        <v>3991680</v>
      </c>
      <c r="X84" s="68">
        <f>'Key financial and ops fig.s LCY'!X84*VLOOKUP(Assumptions!$D$7, Lists!$B$7:$C$10, 2, FALSE)*Assumptions!$D$10/VLOOKUP(Assumptions!$D$9, Lists!$B$7:$C$10, 2, FALSE)</f>
        <v>4211707.5</v>
      </c>
      <c r="Y84" s="69">
        <f>'Key financial and ops fig.s LCY'!Y84*VLOOKUP(Assumptions!$D$7, Lists!$B$7:$C$10, 2, FALSE)*Assumptions!$D$10/VLOOKUP(Assumptions!$D$9, Lists!$B$7:$C$10, 2, FALSE)</f>
        <v>4428270</v>
      </c>
      <c r="Z84" s="69">
        <f>'Key financial and ops fig.s LCY'!Z84*VLOOKUP(Assumptions!$D$7, Lists!$B$7:$C$10, 2, FALSE)*Assumptions!$D$10/VLOOKUP(Assumptions!$D$9, Lists!$B$7:$C$10, 2, FALSE)</f>
        <v>4641367.5</v>
      </c>
      <c r="AA84" s="92">
        <f>'Key financial and ops fig.s LCY'!AA84*VLOOKUP(Assumptions!$D$7, Lists!$B$7:$C$10, 2, FALSE)*Assumptions!$D$10/VLOOKUP(Assumptions!$D$9, Lists!$B$7:$C$10, 2, FALSE)</f>
        <v>4851000</v>
      </c>
      <c r="AB84" s="57">
        <f>AA84</f>
        <v>4851000</v>
      </c>
      <c r="AC84" s="68">
        <f>'Key financial and ops fig.s LCY'!AC84*VLOOKUP(Assumptions!$D$7, Lists!$B$7:$C$10, 2, FALSE)*Assumptions!$D$10/VLOOKUP(Assumptions!$D$9, Lists!$B$7:$C$10, 2, FALSE)</f>
        <v>4816350</v>
      </c>
      <c r="AD84" s="69">
        <f>'Key financial and ops fig.s LCY'!AD84*VLOOKUP(Assumptions!$D$7, Lists!$B$7:$C$10, 2, FALSE)*Assumptions!$D$10/VLOOKUP(Assumptions!$D$9, Lists!$B$7:$C$10, 2, FALSE)</f>
        <v>4781700</v>
      </c>
      <c r="AE84" s="69">
        <f>'Key financial and ops fig.s LCY'!AE84*VLOOKUP(Assumptions!$D$7, Lists!$B$7:$C$10, 2, FALSE)*Assumptions!$D$10/VLOOKUP(Assumptions!$D$9, Lists!$B$7:$C$10, 2, FALSE)</f>
        <v>4747050</v>
      </c>
      <c r="AF84" s="92">
        <f>'Key financial and ops fig.s LCY'!AF84*VLOOKUP(Assumptions!$D$7, Lists!$B$7:$C$10, 2, FALSE)*Assumptions!$D$10/VLOOKUP(Assumptions!$D$9, Lists!$B$7:$C$10, 2, FALSE)</f>
        <v>4712400</v>
      </c>
      <c r="AG84" s="57">
        <f>AF84</f>
        <v>4712400</v>
      </c>
      <c r="AH84" s="68">
        <f>'Key financial and ops fig.s LCY'!AH84*VLOOKUP(Assumptions!$D$7, Lists!$B$7:$C$10, 2, FALSE)*Assumptions!$D$10/VLOOKUP(Assumptions!$D$9, Lists!$B$7:$C$10, 2, FALSE)</f>
        <v>4677750</v>
      </c>
      <c r="AI84" s="69">
        <f>'Key financial and ops fig.s LCY'!AI84*VLOOKUP(Assumptions!$D$7, Lists!$B$7:$C$10, 2, FALSE)*Assumptions!$D$10/VLOOKUP(Assumptions!$D$9, Lists!$B$7:$C$10, 2, FALSE)</f>
        <v>4643100</v>
      </c>
      <c r="AJ84" s="69">
        <f>'Key financial and ops fig.s LCY'!AJ84*VLOOKUP(Assumptions!$D$7, Lists!$B$7:$C$10, 2, FALSE)*Assumptions!$D$10/VLOOKUP(Assumptions!$D$9, Lists!$B$7:$C$10, 2, FALSE)</f>
        <v>4608450</v>
      </c>
      <c r="AK84" s="92">
        <f>'Key financial and ops fig.s LCY'!AK84*VLOOKUP(Assumptions!$D$7, Lists!$B$7:$C$10, 2, FALSE)*Assumptions!$D$10/VLOOKUP(Assumptions!$D$9, Lists!$B$7:$C$10, 2, FALSE)</f>
        <v>4573800</v>
      </c>
      <c r="AL84" s="91">
        <f>AK84</f>
        <v>4573800</v>
      </c>
    </row>
    <row r="85" spans="1:38" s="56" customFormat="1" ht="15.95">
      <c r="A85" s="55"/>
      <c r="C85" s="189" t="s">
        <v>320</v>
      </c>
      <c r="D85" s="68">
        <f>SUM(D72:D75)*Assumptions!$D$76/Assumptions!$D$75</f>
        <v>11.477812500000001</v>
      </c>
      <c r="E85" s="69">
        <f>SUM(E72:E75)*Assumptions!$D$76/Assumptions!$D$75</f>
        <v>22.811250000000001</v>
      </c>
      <c r="F85" s="69">
        <f>SUM(F72:F75)*Assumptions!$D$76/Assumptions!$D$75</f>
        <v>34.0003125</v>
      </c>
      <c r="G85" s="92">
        <f>SUM(G72:G75)*Assumptions!$D$76/Assumptions!$D$75</f>
        <v>45.045000000000002</v>
      </c>
      <c r="H85" s="62">
        <f t="shared" ref="H85:H90" si="78">AVERAGE(D85:G85)</f>
        <v>28.333593750000002</v>
      </c>
      <c r="I85" s="68">
        <f>SUM(I72:I75)*Assumptions!$D$76/Assumptions!$D$75</f>
        <v>55.9453125</v>
      </c>
      <c r="J85" s="69">
        <f>SUM(J72:J75)*Assumptions!$D$76/Assumptions!$D$75</f>
        <v>66.701250000000002</v>
      </c>
      <c r="K85" s="69">
        <f>SUM(K72:K75)*Assumptions!$D$76/Assumptions!$D$75</f>
        <v>77.312812500000007</v>
      </c>
      <c r="L85" s="92">
        <f>SUM(L72:L75)*Assumptions!$D$76/Assumptions!$D$75</f>
        <v>87.78</v>
      </c>
      <c r="M85" s="62">
        <f t="shared" ref="M85:M90" si="79">AVERAGE(I85:L85)</f>
        <v>71.934843749999999</v>
      </c>
      <c r="N85" s="68">
        <f>SUM(N72:N75)*Assumptions!$D$76/Assumptions!$D$75</f>
        <v>98.102812499999999</v>
      </c>
      <c r="O85" s="69">
        <f>SUM(O72:O75)*Assumptions!$D$76/Assumptions!$D$75</f>
        <v>108.28125</v>
      </c>
      <c r="P85" s="69">
        <f>SUM(P72:P75)*Assumptions!$D$76/Assumptions!$D$75</f>
        <v>118.3153125</v>
      </c>
      <c r="Q85" s="92">
        <f>SUM(Q72:Q75)*Assumptions!$D$76/Assumptions!$D$75</f>
        <v>128.20500000000001</v>
      </c>
      <c r="R85" s="62">
        <f t="shared" ref="R85:R90" si="80">AVERAGE(N85:Q85)</f>
        <v>113.22609375000002</v>
      </c>
      <c r="S85" s="68">
        <f>SUM(S72:S75)*Assumptions!$D$76/Assumptions!$D$75</f>
        <v>137.9503125</v>
      </c>
      <c r="T85" s="69">
        <f>SUM(T72:T75)*Assumptions!$D$76/Assumptions!$D$75</f>
        <v>147.55125000000001</v>
      </c>
      <c r="U85" s="69">
        <f>SUM(U72:U75)*Assumptions!$D$76/Assumptions!$D$75</f>
        <v>157.0078125</v>
      </c>
      <c r="V85" s="92">
        <f>SUM(V72:V75)*Assumptions!$D$76/Assumptions!$D$75</f>
        <v>166.32</v>
      </c>
      <c r="W85" s="62">
        <f t="shared" ref="W85:W90" si="81">AVERAGE(S85:V85)</f>
        <v>152.20734375000001</v>
      </c>
      <c r="X85" s="68">
        <f>SUM(X72:X75)*Assumptions!$D$76/Assumptions!$D$75</f>
        <v>175.48781249999999</v>
      </c>
      <c r="Y85" s="69">
        <f>SUM(Y72:Y75)*Assumptions!$D$76/Assumptions!$D$75</f>
        <v>184.51124999999999</v>
      </c>
      <c r="Z85" s="69">
        <f>SUM(Z72:Z75)*Assumptions!$D$76/Assumptions!$D$75</f>
        <v>193.39031249999999</v>
      </c>
      <c r="AA85" s="92">
        <f>SUM(AA72:AA75)*Assumptions!$D$76/Assumptions!$D$75</f>
        <v>202.125</v>
      </c>
      <c r="AB85" s="59">
        <f t="shared" ref="AB85:AB90" si="82">AVERAGE(X85:AA85)</f>
        <v>188.87859374999999</v>
      </c>
      <c r="AC85" s="68">
        <f>SUM(AC72:AC75)*Assumptions!$D$76/Assumptions!$D$75</f>
        <v>200.68125000000001</v>
      </c>
      <c r="AD85" s="69">
        <f>SUM(AD72:AD75)*Assumptions!$D$76/Assumptions!$D$75</f>
        <v>199.23750000000001</v>
      </c>
      <c r="AE85" s="69">
        <f>SUM(AE72:AE75)*Assumptions!$D$76/Assumptions!$D$75</f>
        <v>197.79374999999999</v>
      </c>
      <c r="AF85" s="92">
        <f>SUM(AF72:AF75)*Assumptions!$D$76/Assumptions!$D$75</f>
        <v>196.35</v>
      </c>
      <c r="AG85" s="59">
        <f t="shared" ref="AG85:AG90" si="83">AVERAGE(AC85:AF85)</f>
        <v>198.51562500000003</v>
      </c>
      <c r="AH85" s="68">
        <f>SUM(AH72:AH75)*Assumptions!$D$76/Assumptions!$D$75</f>
        <v>194.90625</v>
      </c>
      <c r="AI85" s="69">
        <f>SUM(AI72:AI75)*Assumptions!$D$76/Assumptions!$D$75</f>
        <v>193.46250000000001</v>
      </c>
      <c r="AJ85" s="69">
        <f>SUM(AJ72:AJ75)*Assumptions!$D$76/Assumptions!$D$75</f>
        <v>192.01875000000001</v>
      </c>
      <c r="AK85" s="92">
        <f>SUM(AK72:AK75)*Assumptions!$D$76/Assumptions!$D$75</f>
        <v>190.57499999999999</v>
      </c>
      <c r="AL85" s="62">
        <f t="shared" ref="AL85:AL90" si="84">AVERAGE(AH85:AK85)</f>
        <v>192.74062500000002</v>
      </c>
    </row>
    <row r="86" spans="1:38" s="56" customFormat="1" ht="15.95">
      <c r="A86" s="55"/>
      <c r="C86" s="189" t="s">
        <v>321</v>
      </c>
      <c r="D86" s="68">
        <f>ROUNDUP((SUM(D72:D75)*(1-Assumptions!$D$17))/Assumptions!$D$74,0)</f>
        <v>2</v>
      </c>
      <c r="E86" s="69">
        <f>ROUNDUP((SUM(E72:E75)*(1-Assumptions!$D$17))/Assumptions!$D$74,0)</f>
        <v>3</v>
      </c>
      <c r="F86" s="69">
        <f>ROUNDUP((SUM(F72:F75)*(1-Assumptions!$D$17))/Assumptions!$D$74,0)</f>
        <v>4</v>
      </c>
      <c r="G86" s="92">
        <f>ROUNDUP((SUM(G72:G75)*(1-Assumptions!$D$17))/Assumptions!$D$74,0)</f>
        <v>5</v>
      </c>
      <c r="H86" s="62">
        <f t="shared" si="78"/>
        <v>3.5</v>
      </c>
      <c r="I86" s="68">
        <f>ROUNDUP((SUM(I72:I75)*(1-Assumptions!$D$17))/Assumptions!$D$74,0)</f>
        <v>6</v>
      </c>
      <c r="J86" s="69">
        <f>ROUNDUP((SUM(J72:J75)*(1-Assumptions!$D$17))/Assumptions!$D$74,0)</f>
        <v>7</v>
      </c>
      <c r="K86" s="69">
        <f>ROUNDUP((SUM(K72:K75)*(1-Assumptions!$D$17))/Assumptions!$D$74,0)</f>
        <v>8</v>
      </c>
      <c r="L86" s="92">
        <f>ROUNDUP((SUM(L72:L75)*(1-Assumptions!$D$17))/Assumptions!$D$74,0)</f>
        <v>9</v>
      </c>
      <c r="M86" s="59">
        <f t="shared" si="79"/>
        <v>7.5</v>
      </c>
      <c r="N86" s="68">
        <f>ROUNDUP((SUM(N72:N75)*(1-Assumptions!$D$17))/Assumptions!$D$74,0)</f>
        <v>10</v>
      </c>
      <c r="O86" s="69">
        <f>ROUNDUP((SUM(O72:O75)*(1-Assumptions!$D$17))/Assumptions!$D$74,0)</f>
        <v>11</v>
      </c>
      <c r="P86" s="69">
        <f>ROUNDUP((SUM(P72:P75)*(1-Assumptions!$D$17))/Assumptions!$D$74,0)</f>
        <v>12</v>
      </c>
      <c r="Q86" s="92">
        <f>ROUNDUP((SUM(Q72:Q75)*(1-Assumptions!$D$17))/Assumptions!$D$74,0)</f>
        <v>13</v>
      </c>
      <c r="R86" s="59">
        <f t="shared" si="80"/>
        <v>11.5</v>
      </c>
      <c r="S86" s="68">
        <f>ROUNDUP((SUM(S72:S75)*(1-Assumptions!$D$17))/Assumptions!$D$74,0)</f>
        <v>14</v>
      </c>
      <c r="T86" s="69">
        <f>ROUNDUP((SUM(T72:T75)*(1-Assumptions!$D$17))/Assumptions!$D$74,0)</f>
        <v>15</v>
      </c>
      <c r="U86" s="69">
        <f>ROUNDUP((SUM(U72:U75)*(1-Assumptions!$D$17))/Assumptions!$D$74,0)</f>
        <v>16</v>
      </c>
      <c r="V86" s="92">
        <f>ROUNDUP((SUM(V72:V75)*(1-Assumptions!$D$17))/Assumptions!$D$74,0)</f>
        <v>17</v>
      </c>
      <c r="W86" s="59">
        <f t="shared" si="81"/>
        <v>15.5</v>
      </c>
      <c r="X86" s="68">
        <f>ROUNDUP((SUM(X72:X75)*(1-Assumptions!$D$17))/Assumptions!$D$74,0)</f>
        <v>18</v>
      </c>
      <c r="Y86" s="69">
        <f>ROUNDUP((SUM(Y72:Y75)*(1-Assumptions!$D$17))/Assumptions!$D$74,0)</f>
        <v>19</v>
      </c>
      <c r="Z86" s="69">
        <f>ROUNDUP((SUM(Z72:Z75)*(1-Assumptions!$D$17))/Assumptions!$D$74,0)</f>
        <v>20</v>
      </c>
      <c r="AA86" s="92">
        <f>ROUNDUP((SUM(AA72:AA75)*(1-Assumptions!$D$17))/Assumptions!$D$74,0)</f>
        <v>21</v>
      </c>
      <c r="AB86" s="59">
        <f t="shared" si="82"/>
        <v>19.5</v>
      </c>
      <c r="AC86" s="68">
        <f>ROUNDUP((SUM(AC72:AC75)*(1-Assumptions!$D$17))/Assumptions!$D$74,0)</f>
        <v>21</v>
      </c>
      <c r="AD86" s="69">
        <f>ROUNDUP((SUM(AD72:AD75)*(1-Assumptions!$D$17))/Assumptions!$D$74,0)</f>
        <v>20</v>
      </c>
      <c r="AE86" s="69">
        <f>ROUNDUP((SUM(AE72:AE75)*(1-Assumptions!$D$17))/Assumptions!$D$74,0)</f>
        <v>20</v>
      </c>
      <c r="AF86" s="92">
        <f>ROUNDUP((SUM(AF72:AF75)*(1-Assumptions!$D$17))/Assumptions!$D$74,0)</f>
        <v>20</v>
      </c>
      <c r="AG86" s="59">
        <f t="shared" si="83"/>
        <v>20.25</v>
      </c>
      <c r="AH86" s="68">
        <f>ROUNDUP((SUM(AH72:AH75)*(1-Assumptions!$D$17))/Assumptions!$D$74,0)</f>
        <v>20</v>
      </c>
      <c r="AI86" s="69">
        <f>ROUNDUP((SUM(AI72:AI75)*(1-Assumptions!$D$17))/Assumptions!$D$74,0)</f>
        <v>20</v>
      </c>
      <c r="AJ86" s="69">
        <f>ROUNDUP((SUM(AJ72:AJ75)*(1-Assumptions!$D$17))/Assumptions!$D$74,0)</f>
        <v>20</v>
      </c>
      <c r="AK86" s="92">
        <f>ROUNDUP((SUM(AK72:AK75)*(1-Assumptions!$D$17))/Assumptions!$D$74,0)</f>
        <v>20</v>
      </c>
      <c r="AL86" s="59">
        <f t="shared" si="84"/>
        <v>20</v>
      </c>
    </row>
    <row r="87" spans="1:38" ht="15.95">
      <c r="A87" s="36"/>
      <c r="B87" s="37"/>
      <c r="C87" s="189" t="s">
        <v>322</v>
      </c>
      <c r="D87" s="70">
        <f>ROUNDUP(SUM(D72:D75)*(1-Assumptions!$D$17)/Assumptions!$D$64,0)</f>
        <v>6</v>
      </c>
      <c r="E87" s="71">
        <f>ROUNDUP(SUM(E72:E75)*(1-Assumptions!$D$17)/Assumptions!$D$64,0)</f>
        <v>12</v>
      </c>
      <c r="F87" s="71">
        <f>ROUNDUP(SUM(F72:F75)*(1-Assumptions!$D$17)/Assumptions!$D$64,0)</f>
        <v>18</v>
      </c>
      <c r="G87" s="93">
        <f>ROUNDUP(SUM(G72:G75)*(1-Assumptions!$D$17)/Assumptions!$D$64,0)</f>
        <v>23</v>
      </c>
      <c r="H87" s="62">
        <f t="shared" si="78"/>
        <v>14.75</v>
      </c>
      <c r="I87" s="70">
        <f>ROUNDUP(SUM(I72:I75)*(1-Assumptions!$D$17)/Assumptions!$D$64,0)</f>
        <v>28</v>
      </c>
      <c r="J87" s="71">
        <f>ROUNDUP(SUM(J72:J75)*(1-Assumptions!$D$17)/Assumptions!$D$64,0)</f>
        <v>34</v>
      </c>
      <c r="K87" s="71">
        <f>ROUNDUP(SUM(K72:K75)*(1-Assumptions!$D$17)/Assumptions!$D$64,0)</f>
        <v>39</v>
      </c>
      <c r="L87" s="93">
        <f>ROUNDUP(SUM(L72:L75)*(1-Assumptions!$D$17)/Assumptions!$D$64,0)</f>
        <v>44</v>
      </c>
      <c r="M87" s="59">
        <f t="shared" si="79"/>
        <v>36.25</v>
      </c>
      <c r="N87" s="70">
        <f>ROUNDUP(SUM(N72:N75)*(1-Assumptions!$D$17)/Assumptions!$D$64,0)</f>
        <v>50</v>
      </c>
      <c r="O87" s="71">
        <f>ROUNDUP(SUM(O72:O75)*(1-Assumptions!$D$17)/Assumptions!$D$64,0)</f>
        <v>55</v>
      </c>
      <c r="P87" s="71">
        <f>ROUNDUP(SUM(P72:P75)*(1-Assumptions!$D$17)/Assumptions!$D$64,0)</f>
        <v>60</v>
      </c>
      <c r="Q87" s="93">
        <f>ROUNDUP(SUM(Q72:Q75)*(1-Assumptions!$D$17)/Assumptions!$D$64,0)</f>
        <v>65</v>
      </c>
      <c r="R87" s="59">
        <f t="shared" si="80"/>
        <v>57.5</v>
      </c>
      <c r="S87" s="70">
        <f>ROUNDUP(SUM(S72:S75)*(1-Assumptions!$D$17)/Assumptions!$D$64,0)</f>
        <v>69</v>
      </c>
      <c r="T87" s="71">
        <f>ROUNDUP(SUM(T72:T75)*(1-Assumptions!$D$17)/Assumptions!$D$64,0)</f>
        <v>74</v>
      </c>
      <c r="U87" s="71">
        <f>ROUNDUP(SUM(U72:U75)*(1-Assumptions!$D$17)/Assumptions!$D$64,0)</f>
        <v>79</v>
      </c>
      <c r="V87" s="93">
        <f>ROUNDUP(SUM(V72:V75)*(1-Assumptions!$D$17)/Assumptions!$D$64,0)</f>
        <v>84</v>
      </c>
      <c r="W87" s="59">
        <f t="shared" si="81"/>
        <v>76.5</v>
      </c>
      <c r="X87" s="70">
        <f>ROUNDUP(SUM(X72:X75)*(1-Assumptions!$D$17)/Assumptions!$D$64,0)</f>
        <v>88</v>
      </c>
      <c r="Y87" s="71">
        <f>ROUNDUP(SUM(Y72:Y75)*(1-Assumptions!$D$17)/Assumptions!$D$64,0)</f>
        <v>93</v>
      </c>
      <c r="Z87" s="71">
        <f>ROUNDUP(SUM(Z72:Z75)*(1-Assumptions!$D$17)/Assumptions!$D$64,0)</f>
        <v>97</v>
      </c>
      <c r="AA87" s="93">
        <f>ROUNDUP(SUM(AA72:AA75)*(1-Assumptions!$D$17)/Assumptions!$D$64,0)</f>
        <v>102</v>
      </c>
      <c r="AB87" s="59">
        <f t="shared" si="82"/>
        <v>95</v>
      </c>
      <c r="AC87" s="70">
        <f>ROUNDUP(SUM(AC72:AC75)*(1-Assumptions!$D$17)/Assumptions!$D$64,0)</f>
        <v>101</v>
      </c>
      <c r="AD87" s="71">
        <f>ROUNDUP(SUM(AD72:AD75)*(1-Assumptions!$D$17)/Assumptions!$D$64,0)</f>
        <v>100</v>
      </c>
      <c r="AE87" s="71">
        <f>ROUNDUP(SUM(AE72:AE75)*(1-Assumptions!$D$17)/Assumptions!$D$64,0)</f>
        <v>99</v>
      </c>
      <c r="AF87" s="93">
        <f>ROUNDUP(SUM(AF72:AF75)*(1-Assumptions!$D$17)/Assumptions!$D$64,0)</f>
        <v>99</v>
      </c>
      <c r="AG87" s="59">
        <f t="shared" si="83"/>
        <v>99.75</v>
      </c>
      <c r="AH87" s="70">
        <f>ROUNDUP(SUM(AH72:AH75)*(1-Assumptions!$D$17)/Assumptions!$D$64,0)</f>
        <v>98</v>
      </c>
      <c r="AI87" s="71">
        <f>ROUNDUP(SUM(AI72:AI75)*(1-Assumptions!$D$17)/Assumptions!$D$64,0)</f>
        <v>97</v>
      </c>
      <c r="AJ87" s="71">
        <f>ROUNDUP(SUM(AJ72:AJ75)*(1-Assumptions!$D$17)/Assumptions!$D$64,0)</f>
        <v>97</v>
      </c>
      <c r="AK87" s="93">
        <f>ROUNDUP(SUM(AK72:AK75)*(1-Assumptions!$D$17)/Assumptions!$D$64,0)</f>
        <v>96</v>
      </c>
      <c r="AL87" s="62">
        <f t="shared" si="84"/>
        <v>97</v>
      </c>
    </row>
    <row r="88" spans="1:38" s="56" customFormat="1" ht="15.95">
      <c r="A88" s="31"/>
      <c r="B88" s="32"/>
      <c r="C88" s="189" t="s">
        <v>323</v>
      </c>
      <c r="D88" s="68">
        <f>ROUNDUP(SUM(D72:D75)*(Assumptions!$D$17)/Assumptions!$D$65,0)</f>
        <v>3</v>
      </c>
      <c r="E88" s="69">
        <f>ROUNDUP(SUM(E72:E75)*(Assumptions!$D$17)/Assumptions!$D$65,0)</f>
        <v>5</v>
      </c>
      <c r="F88" s="69">
        <f>ROUNDUP(SUM(F72:F75)*(Assumptions!$D$17)/Assumptions!$D$65,0)</f>
        <v>7</v>
      </c>
      <c r="G88" s="92">
        <f>ROUNDUP(SUM(G72:G75)*(Assumptions!$D$17)/Assumptions!$D$65,0)</f>
        <v>10</v>
      </c>
      <c r="H88" s="62">
        <f t="shared" si="78"/>
        <v>6.25</v>
      </c>
      <c r="I88" s="68">
        <f>ROUNDUP(SUM(I72:I75)*(Assumptions!$D$17)/Assumptions!$D$65,0)</f>
        <v>12</v>
      </c>
      <c r="J88" s="69">
        <f>ROUNDUP(SUM(J72:J75)*(Assumptions!$D$17)/Assumptions!$D$65,0)</f>
        <v>14</v>
      </c>
      <c r="K88" s="69">
        <f>ROUNDUP(SUM(K72:K75)*(Assumptions!$D$17)/Assumptions!$D$65,0)</f>
        <v>16</v>
      </c>
      <c r="L88" s="92">
        <f>ROUNDUP(SUM(L72:L75)*(Assumptions!$D$17)/Assumptions!$D$65,0)</f>
        <v>18</v>
      </c>
      <c r="M88" s="59">
        <f t="shared" si="79"/>
        <v>15</v>
      </c>
      <c r="N88" s="68">
        <f>ROUNDUP(SUM(N72:N75)*(Assumptions!$D$17)/Assumptions!$D$65,0)</f>
        <v>20</v>
      </c>
      <c r="O88" s="69">
        <f>ROUNDUP(SUM(O72:O75)*(Assumptions!$D$17)/Assumptions!$D$65,0)</f>
        <v>22</v>
      </c>
      <c r="P88" s="69">
        <f>ROUNDUP(SUM(P72:P75)*(Assumptions!$D$17)/Assumptions!$D$65,0)</f>
        <v>24</v>
      </c>
      <c r="Q88" s="92">
        <f>ROUNDUP(SUM(Q72:Q75)*(Assumptions!$D$17)/Assumptions!$D$65,0)</f>
        <v>26</v>
      </c>
      <c r="R88" s="59">
        <f t="shared" si="80"/>
        <v>23</v>
      </c>
      <c r="S88" s="68">
        <f>ROUNDUP(SUM(S72:S75)*(Assumptions!$D$17)/Assumptions!$D$65,0)</f>
        <v>28</v>
      </c>
      <c r="T88" s="69">
        <f>ROUNDUP(SUM(T72:T75)*(Assumptions!$D$17)/Assumptions!$D$65,0)</f>
        <v>30</v>
      </c>
      <c r="U88" s="69">
        <f>ROUNDUP(SUM(U72:U75)*(Assumptions!$D$17)/Assumptions!$D$65,0)</f>
        <v>32</v>
      </c>
      <c r="V88" s="92">
        <f>ROUNDUP(SUM(V72:V75)*(Assumptions!$D$17)/Assumptions!$D$65,0)</f>
        <v>34</v>
      </c>
      <c r="W88" s="59">
        <f t="shared" si="81"/>
        <v>31</v>
      </c>
      <c r="X88" s="68">
        <f>ROUNDUP(SUM(X72:X75)*(Assumptions!$D$17)/Assumptions!$D$65,0)</f>
        <v>36</v>
      </c>
      <c r="Y88" s="69">
        <f>ROUNDUP(SUM(Y72:Y75)*(Assumptions!$D$17)/Assumptions!$D$65,0)</f>
        <v>37</v>
      </c>
      <c r="Z88" s="69">
        <f>ROUNDUP(SUM(Z72:Z75)*(Assumptions!$D$17)/Assumptions!$D$65,0)</f>
        <v>39</v>
      </c>
      <c r="AA88" s="92">
        <f>ROUNDUP(SUM(AA72:AA75)*(Assumptions!$D$17)/Assumptions!$D$65,0)</f>
        <v>41</v>
      </c>
      <c r="AB88" s="59">
        <f t="shared" si="82"/>
        <v>38.25</v>
      </c>
      <c r="AC88" s="68">
        <f>ROUNDUP(SUM(AC72:AC75)*(Assumptions!$D$17)/Assumptions!$D$65,0)</f>
        <v>41</v>
      </c>
      <c r="AD88" s="69">
        <f>ROUNDUP(SUM(AD72:AD75)*(Assumptions!$D$17)/Assumptions!$D$65,0)</f>
        <v>40</v>
      </c>
      <c r="AE88" s="69">
        <f>ROUNDUP(SUM(AE72:AE75)*(Assumptions!$D$17)/Assumptions!$D$65,0)</f>
        <v>40</v>
      </c>
      <c r="AF88" s="92">
        <f>ROUNDUP(SUM(AF72:AF75)*(Assumptions!$D$17)/Assumptions!$D$65,0)</f>
        <v>40</v>
      </c>
      <c r="AG88" s="59">
        <f t="shared" si="83"/>
        <v>40.25</v>
      </c>
      <c r="AH88" s="68">
        <f>ROUNDUP(SUM(AH72:AH75)*(Assumptions!$D$17)/Assumptions!$D$65,0)</f>
        <v>39</v>
      </c>
      <c r="AI88" s="69">
        <f>ROUNDUP(SUM(AI72:AI75)*(Assumptions!$D$17)/Assumptions!$D$65,0)</f>
        <v>39</v>
      </c>
      <c r="AJ88" s="69">
        <f>ROUNDUP(SUM(AJ72:AJ75)*(Assumptions!$D$17)/Assumptions!$D$65,0)</f>
        <v>39</v>
      </c>
      <c r="AK88" s="92">
        <f>ROUNDUP(SUM(AK72:AK75)*(Assumptions!$D$17)/Assumptions!$D$65,0)</f>
        <v>39</v>
      </c>
      <c r="AL88" s="62">
        <f t="shared" si="84"/>
        <v>39</v>
      </c>
    </row>
    <row r="89" spans="1:38" s="56" customFormat="1" ht="15.95">
      <c r="A89" s="31"/>
      <c r="B89" s="32"/>
      <c r="C89" s="189" t="s">
        <v>324</v>
      </c>
      <c r="D89" s="68">
        <f>ROUNDUP(SUM(D72:D75)*(AVERAGE(Assumptions!$D$41:$D$44)+Assumptions!$D$46+Assumptions!$D$48)/Assumptions!$D$67,0)</f>
        <v>2</v>
      </c>
      <c r="E89" s="69">
        <f>ROUNDUP(SUM(E72:E75)*(AVERAGE(Assumptions!$D$41:$D$44)+Assumptions!$D$46+Assumptions!$D$48)/Assumptions!$D$67,0)</f>
        <v>3</v>
      </c>
      <c r="F89" s="69">
        <f>ROUNDUP(SUM(F72:F75)*(AVERAGE(Assumptions!$D$41:$D$44)+Assumptions!$D$46+Assumptions!$D$48)/Assumptions!$D$67,0)</f>
        <v>4</v>
      </c>
      <c r="G89" s="92">
        <f>ROUNDUP(SUM(G72:G75)*(AVERAGE(Assumptions!$D$41:$D$44)+Assumptions!$D$46+Assumptions!$D$48)/Assumptions!$D$67,0)</f>
        <v>5</v>
      </c>
      <c r="H89" s="62">
        <f t="shared" si="78"/>
        <v>3.5</v>
      </c>
      <c r="I89" s="68">
        <f>ROUNDUP(SUM(I72:I75)*(AVERAGE(Assumptions!$D$41:$D$44)+Assumptions!$D$46+Assumptions!$D$48)/Assumptions!$D$67,0)</f>
        <v>7</v>
      </c>
      <c r="J89" s="69">
        <f>ROUNDUP(SUM(J72:J75)*(AVERAGE(Assumptions!$D$41:$D$44)+Assumptions!$D$46+Assumptions!$D$48)/Assumptions!$D$67,0)</f>
        <v>8</v>
      </c>
      <c r="K89" s="69">
        <f>ROUNDUP(SUM(K72:K75)*(AVERAGE(Assumptions!$D$41:$D$44)+Assumptions!$D$46+Assumptions!$D$48)/Assumptions!$D$67,0)</f>
        <v>9</v>
      </c>
      <c r="L89" s="92">
        <f>ROUNDUP(SUM(L72:L75)*(AVERAGE(Assumptions!$D$41:$D$44)+Assumptions!$D$46+Assumptions!$D$48)/Assumptions!$D$67,0)</f>
        <v>10</v>
      </c>
      <c r="M89" s="59">
        <f t="shared" si="79"/>
        <v>8.5</v>
      </c>
      <c r="N89" s="68">
        <f>ROUNDUP(SUM(N72:N75)*(AVERAGE(Assumptions!$D$41:$D$44)+Assumptions!$D$46+Assumptions!$D$48)/Assumptions!$D$67,0)</f>
        <v>11</v>
      </c>
      <c r="O89" s="69">
        <f>ROUNDUP(SUM(O72:O75)*(AVERAGE(Assumptions!$D$41:$D$44)+Assumptions!$D$46+Assumptions!$D$48)/Assumptions!$D$67,0)</f>
        <v>12</v>
      </c>
      <c r="P89" s="69">
        <f>ROUNDUP(SUM(P72:P75)*(AVERAGE(Assumptions!$D$41:$D$44)+Assumptions!$D$46+Assumptions!$D$48)/Assumptions!$D$67,0)</f>
        <v>14</v>
      </c>
      <c r="Q89" s="92">
        <f>ROUNDUP(SUM(Q72:Q75)*(AVERAGE(Assumptions!$D$41:$D$44)+Assumptions!$D$46+Assumptions!$D$48)/Assumptions!$D$67,0)</f>
        <v>15</v>
      </c>
      <c r="R89" s="59">
        <f t="shared" si="80"/>
        <v>13</v>
      </c>
      <c r="S89" s="68">
        <f>ROUNDUP(SUM(S72:S75)*(AVERAGE(Assumptions!$D$41:$D$44)+Assumptions!$D$46+Assumptions!$D$48)/Assumptions!$D$67,0)</f>
        <v>16</v>
      </c>
      <c r="T89" s="69">
        <f>ROUNDUP(SUM(T72:T75)*(AVERAGE(Assumptions!$D$41:$D$44)+Assumptions!$D$46+Assumptions!$D$48)/Assumptions!$D$67,0)</f>
        <v>17</v>
      </c>
      <c r="U89" s="69">
        <f>ROUNDUP(SUM(U72:U75)*(AVERAGE(Assumptions!$D$41:$D$44)+Assumptions!$D$46+Assumptions!$D$48)/Assumptions!$D$67,0)</f>
        <v>18</v>
      </c>
      <c r="V89" s="92">
        <f>ROUNDUP(SUM(V72:V75)*(AVERAGE(Assumptions!$D$41:$D$44)+Assumptions!$D$46+Assumptions!$D$48)/Assumptions!$D$67,0)</f>
        <v>19</v>
      </c>
      <c r="W89" s="59">
        <f t="shared" si="81"/>
        <v>17.5</v>
      </c>
      <c r="X89" s="68">
        <f>ROUNDUP(SUM(X72:X75)*(AVERAGE(Assumptions!$D$41:$D$44)+Assumptions!$D$46+Assumptions!$D$48)/Assumptions!$D$67,0)</f>
        <v>20</v>
      </c>
      <c r="Y89" s="69">
        <f>ROUNDUP(SUM(Y72:Y75)*(AVERAGE(Assumptions!$D$41:$D$44)+Assumptions!$D$46+Assumptions!$D$48)/Assumptions!$D$67,0)</f>
        <v>21</v>
      </c>
      <c r="Z89" s="69">
        <f>ROUNDUP(SUM(Z72:Z75)*(AVERAGE(Assumptions!$D$41:$D$44)+Assumptions!$D$46+Assumptions!$D$48)/Assumptions!$D$67,0)</f>
        <v>22</v>
      </c>
      <c r="AA89" s="92">
        <f>ROUNDUP(SUM(AA72:AA75)*(AVERAGE(Assumptions!$D$41:$D$44)+Assumptions!$D$46+Assumptions!$D$48)/Assumptions!$D$67,0)</f>
        <v>23</v>
      </c>
      <c r="AB89" s="59">
        <f t="shared" si="82"/>
        <v>21.5</v>
      </c>
      <c r="AC89" s="68">
        <f>ROUNDUP(SUM(AC72:AC75)*(AVERAGE(Assumptions!$D$41:$D$44)+Assumptions!$D$46+Assumptions!$D$48)/Assumptions!$D$67,0)</f>
        <v>23</v>
      </c>
      <c r="AD89" s="69">
        <f>ROUNDUP(SUM(AD72:AD75)*(AVERAGE(Assumptions!$D$41:$D$44)+Assumptions!$D$46+Assumptions!$D$48)/Assumptions!$D$67,0)</f>
        <v>22</v>
      </c>
      <c r="AE89" s="69">
        <f>ROUNDUP(SUM(AE72:AE75)*(AVERAGE(Assumptions!$D$41:$D$44)+Assumptions!$D$46+Assumptions!$D$48)/Assumptions!$D$67,0)</f>
        <v>22</v>
      </c>
      <c r="AF89" s="92">
        <f>ROUNDUP(SUM(AF72:AF75)*(AVERAGE(Assumptions!$D$41:$D$44)+Assumptions!$D$46+Assumptions!$D$48)/Assumptions!$D$67,0)</f>
        <v>22</v>
      </c>
      <c r="AG89" s="59">
        <f t="shared" si="83"/>
        <v>22.25</v>
      </c>
      <c r="AH89" s="68">
        <f>ROUNDUP(SUM(AH72:AH75)*(AVERAGE(Assumptions!$D$41:$D$44)+Assumptions!$D$46+Assumptions!$D$48)/Assumptions!$D$67,0)</f>
        <v>22</v>
      </c>
      <c r="AI89" s="69">
        <f>ROUNDUP(SUM(AI72:AI75)*(AVERAGE(Assumptions!$D$41:$D$44)+Assumptions!$D$46+Assumptions!$D$48)/Assumptions!$D$67,0)</f>
        <v>22</v>
      </c>
      <c r="AJ89" s="69">
        <f>ROUNDUP(SUM(AJ72:AJ75)*(AVERAGE(Assumptions!$D$41:$D$44)+Assumptions!$D$46+Assumptions!$D$48)/Assumptions!$D$67,0)</f>
        <v>22</v>
      </c>
      <c r="AK89" s="92">
        <f>ROUNDUP(SUM(AK72:AK75)*(AVERAGE(Assumptions!$D$41:$D$44)+Assumptions!$D$46+Assumptions!$D$48)/Assumptions!$D$67,0)</f>
        <v>21</v>
      </c>
      <c r="AL89" s="62">
        <f t="shared" si="84"/>
        <v>21.75</v>
      </c>
    </row>
    <row r="90" spans="1:38" s="56" customFormat="1" ht="17.100000000000001" thickBot="1">
      <c r="A90" s="190"/>
      <c r="B90" s="191"/>
      <c r="C90" s="192" t="s">
        <v>325</v>
      </c>
      <c r="D90" s="94">
        <f>ROUNDUP(SUM(D72:D75)/Assumptions!$D$67,0)</f>
        <v>3</v>
      </c>
      <c r="E90" s="95">
        <f>ROUNDUP(SUM(E72:E75)/Assumptions!$D$67,0)</f>
        <v>5</v>
      </c>
      <c r="F90" s="95">
        <f>ROUNDUP(SUM(F72:F75)/Assumptions!$D$67,0)</f>
        <v>7</v>
      </c>
      <c r="G90" s="96">
        <f>ROUNDUP(SUM(G72:G75)/Assumptions!$D$67,0)</f>
        <v>10</v>
      </c>
      <c r="H90" s="98">
        <f t="shared" si="78"/>
        <v>6.25</v>
      </c>
      <c r="I90" s="94">
        <f>ROUNDUP(SUM(I72:I75)/Assumptions!$D$67,0)</f>
        <v>12</v>
      </c>
      <c r="J90" s="95">
        <f>ROUNDUP(SUM(J72:J75)/Assumptions!$D$67,0)</f>
        <v>14</v>
      </c>
      <c r="K90" s="95">
        <f>ROUNDUP(SUM(K72:K75)/Assumptions!$D$67,0)</f>
        <v>16</v>
      </c>
      <c r="L90" s="96">
        <f>ROUNDUP(SUM(L72:L75)/Assumptions!$D$67,0)</f>
        <v>18</v>
      </c>
      <c r="M90" s="99">
        <f t="shared" si="79"/>
        <v>15</v>
      </c>
      <c r="N90" s="94">
        <f>ROUNDUP(SUM(N72:N75)/Assumptions!$D$67,0)</f>
        <v>20</v>
      </c>
      <c r="O90" s="95">
        <f>ROUNDUP(SUM(O72:O75)/Assumptions!$D$67,0)</f>
        <v>22</v>
      </c>
      <c r="P90" s="95">
        <f>ROUNDUP(SUM(P72:P75)/Assumptions!$D$67,0)</f>
        <v>24</v>
      </c>
      <c r="Q90" s="96">
        <f>ROUNDUP(SUM(Q72:Q75)/Assumptions!$D$67,0)</f>
        <v>26</v>
      </c>
      <c r="R90" s="99">
        <f t="shared" si="80"/>
        <v>23</v>
      </c>
      <c r="S90" s="94">
        <f>ROUNDUP(SUM(S72:S75)/Assumptions!$D$67,0)</f>
        <v>28</v>
      </c>
      <c r="T90" s="95">
        <f>ROUNDUP(SUM(T72:T75)/Assumptions!$D$67,0)</f>
        <v>30</v>
      </c>
      <c r="U90" s="95">
        <f>ROUNDUP(SUM(U72:U75)/Assumptions!$D$67,0)</f>
        <v>32</v>
      </c>
      <c r="V90" s="96">
        <f>ROUNDUP(SUM(V72:V75)/Assumptions!$D$67,0)</f>
        <v>34</v>
      </c>
      <c r="W90" s="99">
        <f t="shared" si="81"/>
        <v>31</v>
      </c>
      <c r="X90" s="94">
        <f>ROUNDUP(SUM(X72:X75)/Assumptions!$D$67,0)</f>
        <v>36</v>
      </c>
      <c r="Y90" s="95">
        <f>ROUNDUP(SUM(Y72:Y75)/Assumptions!$D$67,0)</f>
        <v>37</v>
      </c>
      <c r="Z90" s="95">
        <f>ROUNDUP(SUM(Z72:Z75)/Assumptions!$D$67,0)</f>
        <v>39</v>
      </c>
      <c r="AA90" s="96">
        <f>ROUNDUP(SUM(AA72:AA75)/Assumptions!$D$67,0)</f>
        <v>41</v>
      </c>
      <c r="AB90" s="99">
        <f t="shared" si="82"/>
        <v>38.25</v>
      </c>
      <c r="AC90" s="94">
        <f>ROUNDUP(SUM(AC72:AC75)/Assumptions!$D$67,0)</f>
        <v>41</v>
      </c>
      <c r="AD90" s="95">
        <f>ROUNDUP(SUM(AD72:AD75)/Assumptions!$D$67,0)</f>
        <v>40</v>
      </c>
      <c r="AE90" s="95">
        <f>ROUNDUP(SUM(AE72:AE75)/Assumptions!$D$67,0)</f>
        <v>40</v>
      </c>
      <c r="AF90" s="96">
        <f>ROUNDUP(SUM(AF72:AF75)/Assumptions!$D$67,0)</f>
        <v>40</v>
      </c>
      <c r="AG90" s="99">
        <f t="shared" si="83"/>
        <v>40.25</v>
      </c>
      <c r="AH90" s="94">
        <f>ROUNDUP(SUM(AH72:AH75)/Assumptions!$D$67,0)</f>
        <v>39</v>
      </c>
      <c r="AI90" s="95">
        <f>ROUNDUP(SUM(AI72:AI75)/Assumptions!$D$67,0)</f>
        <v>39</v>
      </c>
      <c r="AJ90" s="95">
        <f>ROUNDUP(SUM(AJ72:AJ75)/Assumptions!$D$67,0)</f>
        <v>39</v>
      </c>
      <c r="AK90" s="96">
        <f>ROUNDUP(SUM(AK72:AK75)/Assumptions!$D$67,0)</f>
        <v>39</v>
      </c>
      <c r="AL90" s="98">
        <f t="shared" si="84"/>
        <v>39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4671-AA69-4054-AE19-7D6A6A00D01B}">
  <sheetPr>
    <tabColor rgb="FFFFD15D"/>
  </sheetPr>
  <dimension ref="A1:AL91"/>
  <sheetViews>
    <sheetView topLeftCell="AE1" workbookViewId="0"/>
  </sheetViews>
  <sheetFormatPr defaultColWidth="9" defaultRowHeight="15" outlineLevelRow="2" outlineLevelCol="1"/>
  <cols>
    <col min="1" max="2" width="2.7109375" style="32" customWidth="1"/>
    <col min="3" max="3" width="51.85546875" style="32" customWidth="1"/>
    <col min="4" max="7" width="16.7109375" style="32" customWidth="1" outlineLevel="1"/>
    <col min="8" max="8" width="16.7109375" style="32" customWidth="1"/>
    <col min="9" max="12" width="16.7109375" style="32" customWidth="1" outlineLevel="1"/>
    <col min="13" max="13" width="16.7109375" style="32" customWidth="1"/>
    <col min="14" max="17" width="16.7109375" style="32" customWidth="1" outlineLevel="1"/>
    <col min="18" max="18" width="16.7109375" style="32" customWidth="1"/>
    <col min="19" max="22" width="16.7109375" style="32" customWidth="1" outlineLevel="1"/>
    <col min="23" max="23" width="16.7109375" style="32" customWidth="1"/>
    <col min="24" max="27" width="16.7109375" style="32" customWidth="1" outlineLevel="1"/>
    <col min="28" max="28" width="16.7109375" style="32" customWidth="1"/>
    <col min="29" max="32" width="16.7109375" style="32" customWidth="1" outlineLevel="1"/>
    <col min="33" max="33" width="16.7109375" style="32" customWidth="1"/>
    <col min="34" max="37" width="16.7109375" style="32" customWidth="1" outlineLevel="1"/>
    <col min="38" max="38" width="16.7109375" style="32" customWidth="1"/>
    <col min="39" max="45" width="9" style="32"/>
    <col min="46" max="46" width="11.28515625" style="32" bestFit="1" customWidth="1"/>
    <col min="47" max="48" width="10.7109375" style="32" bestFit="1" customWidth="1"/>
    <col min="49" max="52" width="12.140625" style="32" bestFit="1" customWidth="1"/>
    <col min="53" max="16384" width="9" style="32"/>
  </cols>
  <sheetData>
    <row r="1" spans="1:38" s="3" customFormat="1" ht="86.1" customHeight="1">
      <c r="B1" s="4"/>
    </row>
    <row r="2" spans="1:38" s="3" customFormat="1" ht="15.95">
      <c r="B2" s="4"/>
      <c r="C2" s="3" t="s">
        <v>0</v>
      </c>
    </row>
    <row r="3" spans="1:38" s="5" customFormat="1" ht="15.95">
      <c r="B3" s="6"/>
      <c r="C3" s="5" t="str">
        <f>IF(Assumptions!D9&lt;&gt;Lists!B2,CONCATENATE("Modelled outputs- ",Assumptions!D9," of ",Assumptions!D8),CONCATENATE("Modelled outputs- in ",Assumptions!D8))</f>
        <v>Modelled outputs- in USD</v>
      </c>
    </row>
    <row r="4" spans="1:38" ht="15.95" thickBot="1"/>
    <row r="5" spans="1:38" ht="17.100000000000001" thickBot="1">
      <c r="A5" s="88" t="s">
        <v>213</v>
      </c>
      <c r="B5" s="29"/>
      <c r="C5" s="30"/>
      <c r="D5" s="187" t="s">
        <v>214</v>
      </c>
      <c r="E5" s="187" t="s">
        <v>215</v>
      </c>
      <c r="F5" s="187" t="s">
        <v>216</v>
      </c>
      <c r="G5" s="187" t="s">
        <v>217</v>
      </c>
      <c r="H5" s="43" t="s">
        <v>218</v>
      </c>
      <c r="I5" s="187" t="s">
        <v>219</v>
      </c>
      <c r="J5" s="187" t="s">
        <v>220</v>
      </c>
      <c r="K5" s="187" t="s">
        <v>221</v>
      </c>
      <c r="L5" s="187" t="s">
        <v>222</v>
      </c>
      <c r="M5" s="43" t="s">
        <v>223</v>
      </c>
      <c r="N5" s="187" t="s">
        <v>224</v>
      </c>
      <c r="O5" s="187" t="s">
        <v>225</v>
      </c>
      <c r="P5" s="187" t="s">
        <v>226</v>
      </c>
      <c r="Q5" s="187" t="s">
        <v>227</v>
      </c>
      <c r="R5" s="43" t="s">
        <v>228</v>
      </c>
      <c r="S5" s="187" t="s">
        <v>229</v>
      </c>
      <c r="T5" s="187" t="s">
        <v>230</v>
      </c>
      <c r="U5" s="187" t="s">
        <v>231</v>
      </c>
      <c r="V5" s="187" t="s">
        <v>232</v>
      </c>
      <c r="W5" s="43" t="s">
        <v>233</v>
      </c>
      <c r="X5" s="187" t="s">
        <v>234</v>
      </c>
      <c r="Y5" s="187" t="s">
        <v>235</v>
      </c>
      <c r="Z5" s="187" t="s">
        <v>236</v>
      </c>
      <c r="AA5" s="187" t="s">
        <v>237</v>
      </c>
      <c r="AB5" s="43" t="s">
        <v>238</v>
      </c>
      <c r="AC5" s="187" t="s">
        <v>239</v>
      </c>
      <c r="AD5" s="187" t="s">
        <v>240</v>
      </c>
      <c r="AE5" s="187" t="s">
        <v>241</v>
      </c>
      <c r="AF5" s="187" t="s">
        <v>242</v>
      </c>
      <c r="AG5" s="43" t="s">
        <v>243</v>
      </c>
      <c r="AH5" s="187" t="s">
        <v>244</v>
      </c>
      <c r="AI5" s="187" t="s">
        <v>245</v>
      </c>
      <c r="AJ5" s="187" t="s">
        <v>246</v>
      </c>
      <c r="AK5" s="187" t="s">
        <v>247</v>
      </c>
      <c r="AL5" s="43" t="s">
        <v>248</v>
      </c>
    </row>
    <row r="6" spans="1:38" ht="15.95" outlineLevel="2">
      <c r="A6" s="31"/>
      <c r="C6" s="32" t="s">
        <v>249</v>
      </c>
      <c r="D6" s="183">
        <f>'Alt. scenario LCY'!D6*VLOOKUP(Assumptions!$D$7, Lists!$B$7:$C$10, 2, FALSE)*Assumptions!$D$10/VLOOKUP(Assumptions!$D$9, Lists!$B$7:$C$10, 2, FALSE)</f>
        <v>111796.875</v>
      </c>
      <c r="E6" s="183">
        <f>'Alt. scenario LCY'!E6*VLOOKUP(Assumptions!$D$7, Lists!$B$7:$C$10, 2, FALSE)*Assumptions!$D$10/VLOOKUP(Assumptions!$D$9, Lists!$B$7:$C$10, 2, FALSE)</f>
        <v>222187.5</v>
      </c>
      <c r="F6" s="183">
        <f>'Alt. scenario LCY'!F6*VLOOKUP(Assumptions!$D$7, Lists!$B$7:$C$10, 2, FALSE)*Assumptions!$D$10/VLOOKUP(Assumptions!$D$9, Lists!$B$7:$C$10, 2, FALSE)</f>
        <v>331171.87500000006</v>
      </c>
      <c r="G6" s="183">
        <f>'Alt. scenario LCY'!G6*VLOOKUP(Assumptions!$D$7, Lists!$B$7:$C$10, 2, FALSE)*Assumptions!$D$10/VLOOKUP(Assumptions!$D$9, Lists!$B$7:$C$10, 2, FALSE)</f>
        <v>438750</v>
      </c>
      <c r="H6" s="60">
        <f t="shared" ref="H6:H28" si="0">SUM(D6:G6)</f>
        <v>1103906.25</v>
      </c>
      <c r="I6" s="183">
        <f>'Alt. scenario LCY'!I6*VLOOKUP(Assumptions!$D$7, Lists!$B$7:$C$10, 2, FALSE)*Assumptions!$D$10/VLOOKUP(Assumptions!$D$9, Lists!$B$7:$C$10, 2, FALSE)</f>
        <v>544921.875</v>
      </c>
      <c r="J6" s="183">
        <f>'Alt. scenario LCY'!J6*VLOOKUP(Assumptions!$D$7, Lists!$B$7:$C$10, 2, FALSE)*Assumptions!$D$10/VLOOKUP(Assumptions!$D$9, Lists!$B$7:$C$10, 2, FALSE)</f>
        <v>649687.50000000012</v>
      </c>
      <c r="K6" s="183">
        <f>'Alt. scenario LCY'!K6*VLOOKUP(Assumptions!$D$7, Lists!$B$7:$C$10, 2, FALSE)*Assumptions!$D$10/VLOOKUP(Assumptions!$D$9, Lists!$B$7:$C$10, 2, FALSE)</f>
        <v>753046.87500000012</v>
      </c>
      <c r="L6" s="183">
        <f>'Alt. scenario LCY'!L6*VLOOKUP(Assumptions!$D$7, Lists!$B$7:$C$10, 2, FALSE)*Assumptions!$D$10/VLOOKUP(Assumptions!$D$9, Lists!$B$7:$C$10, 2, FALSE)</f>
        <v>855000</v>
      </c>
      <c r="M6" s="48">
        <f t="shared" ref="M6:M22" si="1">SUM(I6:L6)</f>
        <v>2802656.25</v>
      </c>
      <c r="N6" s="183">
        <f>'Alt. scenario LCY'!N6*VLOOKUP(Assumptions!$D$7, Lists!$B$7:$C$10, 2, FALSE)*Assumptions!$D$10/VLOOKUP(Assumptions!$D$9, Lists!$B$7:$C$10, 2, FALSE)</f>
        <v>955546.875</v>
      </c>
      <c r="O6" s="183">
        <f>'Alt. scenario LCY'!O6*VLOOKUP(Assumptions!$D$7, Lists!$B$7:$C$10, 2, FALSE)*Assumptions!$D$10/VLOOKUP(Assumptions!$D$9, Lists!$B$7:$C$10, 2, FALSE)</f>
        <v>1054687.5</v>
      </c>
      <c r="P6" s="183">
        <f>'Alt. scenario LCY'!P6*VLOOKUP(Assumptions!$D$7, Lists!$B$7:$C$10, 2, FALSE)*Assumptions!$D$10/VLOOKUP(Assumptions!$D$9, Lists!$B$7:$C$10, 2, FALSE)</f>
        <v>1152421.8750000002</v>
      </c>
      <c r="Q6" s="183">
        <f>'Alt. scenario LCY'!Q6*VLOOKUP(Assumptions!$D$7, Lists!$B$7:$C$10, 2, FALSE)*Assumptions!$D$10/VLOOKUP(Assumptions!$D$9, Lists!$B$7:$C$10, 2, FALSE)</f>
        <v>1248750.0000000002</v>
      </c>
      <c r="R6" s="48">
        <f t="shared" ref="R6:R22" si="2">SUM(N6:Q6)</f>
        <v>4411406.25</v>
      </c>
      <c r="S6" s="183">
        <f>'Alt. scenario LCY'!S6*VLOOKUP(Assumptions!$D$7, Lists!$B$7:$C$10, 2, FALSE)*Assumptions!$D$10/VLOOKUP(Assumptions!$D$9, Lists!$B$7:$C$10, 2, FALSE)</f>
        <v>1343671.8750000002</v>
      </c>
      <c r="T6" s="183">
        <f>'Alt. scenario LCY'!T6*VLOOKUP(Assumptions!$D$7, Lists!$B$7:$C$10, 2, FALSE)*Assumptions!$D$10/VLOOKUP(Assumptions!$D$9, Lists!$B$7:$C$10, 2, FALSE)</f>
        <v>1437187.5000000002</v>
      </c>
      <c r="U6" s="183">
        <f>'Alt. scenario LCY'!U6*VLOOKUP(Assumptions!$D$7, Lists!$B$7:$C$10, 2, FALSE)*Assumptions!$D$10/VLOOKUP(Assumptions!$D$9, Lists!$B$7:$C$10, 2, FALSE)</f>
        <v>1529296.8750000002</v>
      </c>
      <c r="V6" s="183">
        <f>'Alt. scenario LCY'!V6*VLOOKUP(Assumptions!$D$7, Lists!$B$7:$C$10, 2, FALSE)*Assumptions!$D$10/VLOOKUP(Assumptions!$D$9, Lists!$B$7:$C$10, 2, FALSE)</f>
        <v>1620000</v>
      </c>
      <c r="W6" s="48">
        <f t="shared" ref="W6:W22" si="3">SUM(S6:V6)</f>
        <v>5930156.2500000009</v>
      </c>
      <c r="X6" s="183">
        <f>'Alt. scenario LCY'!X6*VLOOKUP(Assumptions!$D$7, Lists!$B$7:$C$10, 2, FALSE)*Assumptions!$D$10/VLOOKUP(Assumptions!$D$9, Lists!$B$7:$C$10, 2, FALSE)</f>
        <v>1709296.875</v>
      </c>
      <c r="Y6" s="183">
        <f>'Alt. scenario LCY'!Y6*VLOOKUP(Assumptions!$D$7, Lists!$B$7:$C$10, 2, FALSE)*Assumptions!$D$10/VLOOKUP(Assumptions!$D$9, Lists!$B$7:$C$10, 2, FALSE)</f>
        <v>1797187.5</v>
      </c>
      <c r="Z6" s="183">
        <f>'Alt. scenario LCY'!Z6*VLOOKUP(Assumptions!$D$7, Lists!$B$7:$C$10, 2, FALSE)*Assumptions!$D$10/VLOOKUP(Assumptions!$D$9, Lists!$B$7:$C$10, 2, FALSE)</f>
        <v>1883671.875</v>
      </c>
      <c r="AA6" s="183">
        <f>'Alt. scenario LCY'!AA6*VLOOKUP(Assumptions!$D$7, Lists!$B$7:$C$10, 2, FALSE)*Assumptions!$D$10/VLOOKUP(Assumptions!$D$9, Lists!$B$7:$C$10, 2, FALSE)</f>
        <v>1968750</v>
      </c>
      <c r="AB6" s="48">
        <f t="shared" ref="AB6:AB22" si="4">SUM(X6:AA6)</f>
        <v>7358906.25</v>
      </c>
      <c r="AC6" s="183">
        <f>'Alt. scenario LCY'!AC6*VLOOKUP(Assumptions!$D$7, Lists!$B$7:$C$10, 2, FALSE)*Assumptions!$D$10/VLOOKUP(Assumptions!$D$9, Lists!$B$7:$C$10, 2, FALSE)</f>
        <v>1954687.5</v>
      </c>
      <c r="AD6" s="183">
        <f>'Alt. scenario LCY'!AD6*VLOOKUP(Assumptions!$D$7, Lists!$B$7:$C$10, 2, FALSE)*Assumptions!$D$10/VLOOKUP(Assumptions!$D$9, Lists!$B$7:$C$10, 2, FALSE)</f>
        <v>1940625</v>
      </c>
      <c r="AE6" s="183">
        <f>'Alt. scenario LCY'!AE6*VLOOKUP(Assumptions!$D$7, Lists!$B$7:$C$10, 2, FALSE)*Assumptions!$D$10/VLOOKUP(Assumptions!$D$9, Lists!$B$7:$C$10, 2, FALSE)</f>
        <v>1926562.5</v>
      </c>
      <c r="AF6" s="183">
        <f>'Alt. scenario LCY'!AF6*VLOOKUP(Assumptions!$D$7, Lists!$B$7:$C$10, 2, FALSE)*Assumptions!$D$10/VLOOKUP(Assumptions!$D$9, Lists!$B$7:$C$10, 2, FALSE)</f>
        <v>1912500</v>
      </c>
      <c r="AG6" s="48">
        <f t="shared" ref="AG6:AG22" si="5">SUM(AC6:AF6)</f>
        <v>7734375</v>
      </c>
      <c r="AH6" s="183">
        <f>'Alt. scenario LCY'!AH6*VLOOKUP(Assumptions!$D$7, Lists!$B$7:$C$10, 2, FALSE)*Assumptions!$D$10/VLOOKUP(Assumptions!$D$9, Lists!$B$7:$C$10, 2, FALSE)</f>
        <v>1898437.5</v>
      </c>
      <c r="AI6" s="183">
        <f>'Alt. scenario LCY'!AI6*VLOOKUP(Assumptions!$D$7, Lists!$B$7:$C$10, 2, FALSE)*Assumptions!$D$10/VLOOKUP(Assumptions!$D$9, Lists!$B$7:$C$10, 2, FALSE)</f>
        <v>1884375</v>
      </c>
      <c r="AJ6" s="183">
        <f>'Alt. scenario LCY'!AJ6*VLOOKUP(Assumptions!$D$7, Lists!$B$7:$C$10, 2, FALSE)*Assumptions!$D$10/VLOOKUP(Assumptions!$D$9, Lists!$B$7:$C$10, 2, FALSE)</f>
        <v>1870312.5</v>
      </c>
      <c r="AK6" s="183">
        <f>'Alt. scenario LCY'!AK6*VLOOKUP(Assumptions!$D$7, Lists!$B$7:$C$10, 2, FALSE)*Assumptions!$D$10/VLOOKUP(Assumptions!$D$9, Lists!$B$7:$C$10, 2, FALSE)</f>
        <v>1856250</v>
      </c>
      <c r="AL6" s="48">
        <f t="shared" ref="AL6:AL22" si="6">SUM(AH6:AK6)</f>
        <v>7509375</v>
      </c>
    </row>
    <row r="7" spans="1:38" ht="15.95" outlineLevel="2">
      <c r="A7" s="31"/>
      <c r="C7" s="32" t="s">
        <v>250</v>
      </c>
      <c r="D7" s="185">
        <f>'Alt. scenario LCY'!D7*VLOOKUP(Assumptions!$D$7, Lists!$B$7:$C$10, 2, FALSE)*Assumptions!$D$10/VLOOKUP(Assumptions!$D$9, Lists!$B$7:$C$10, 2, FALSE)</f>
        <v>51650.156250000015</v>
      </c>
      <c r="E7" s="185">
        <f>'Alt. scenario LCY'!E7*VLOOKUP(Assumptions!$D$7, Lists!$B$7:$C$10, 2, FALSE)*Assumptions!$D$10/VLOOKUP(Assumptions!$D$9, Lists!$B$7:$C$10, 2, FALSE)</f>
        <v>102650.62500000003</v>
      </c>
      <c r="F7" s="185">
        <f>'Alt. scenario LCY'!F7*VLOOKUP(Assumptions!$D$7, Lists!$B$7:$C$10, 2, FALSE)*Assumptions!$D$10/VLOOKUP(Assumptions!$D$9, Lists!$B$7:$C$10, 2, FALSE)</f>
        <v>153001.40625000003</v>
      </c>
      <c r="G7" s="185">
        <f>'Alt. scenario LCY'!G7*VLOOKUP(Assumptions!$D$7, Lists!$B$7:$C$10, 2, FALSE)*Assumptions!$D$10/VLOOKUP(Assumptions!$D$9, Lists!$B$7:$C$10, 2, FALSE)</f>
        <v>202702.50000000006</v>
      </c>
      <c r="H7" s="60">
        <f t="shared" si="0"/>
        <v>510004.68750000017</v>
      </c>
      <c r="I7" s="185">
        <f>'Alt. scenario LCY'!I7*VLOOKUP(Assumptions!$D$7, Lists!$B$7:$C$10, 2, FALSE)*Assumptions!$D$10/VLOOKUP(Assumptions!$D$9, Lists!$B$7:$C$10, 2, FALSE)</f>
        <v>251753.90625000006</v>
      </c>
      <c r="J7" s="185">
        <f>'Alt. scenario LCY'!J7*VLOOKUP(Assumptions!$D$7, Lists!$B$7:$C$10, 2, FALSE)*Assumptions!$D$10/VLOOKUP(Assumptions!$D$9, Lists!$B$7:$C$10, 2, FALSE)</f>
        <v>300155.62500000006</v>
      </c>
      <c r="K7" s="185">
        <f>'Alt. scenario LCY'!K7*VLOOKUP(Assumptions!$D$7, Lists!$B$7:$C$10, 2, FALSE)*Assumptions!$D$10/VLOOKUP(Assumptions!$D$9, Lists!$B$7:$C$10, 2, FALSE)</f>
        <v>347907.65625000012</v>
      </c>
      <c r="L7" s="185">
        <f>'Alt. scenario LCY'!L7*VLOOKUP(Assumptions!$D$7, Lists!$B$7:$C$10, 2, FALSE)*Assumptions!$D$10/VLOOKUP(Assumptions!$D$9, Lists!$B$7:$C$10, 2, FALSE)</f>
        <v>395010.00000000012</v>
      </c>
      <c r="M7" s="48">
        <f t="shared" si="1"/>
        <v>1294827.1875000005</v>
      </c>
      <c r="N7" s="185">
        <f>'Alt. scenario LCY'!N7*VLOOKUP(Assumptions!$D$7, Lists!$B$7:$C$10, 2, FALSE)*Assumptions!$D$10/VLOOKUP(Assumptions!$D$9, Lists!$B$7:$C$10, 2, FALSE)</f>
        <v>441462.65625000012</v>
      </c>
      <c r="O7" s="185">
        <f>'Alt. scenario LCY'!O7*VLOOKUP(Assumptions!$D$7, Lists!$B$7:$C$10, 2, FALSE)*Assumptions!$D$10/VLOOKUP(Assumptions!$D$9, Lists!$B$7:$C$10, 2, FALSE)</f>
        <v>487265.62500000012</v>
      </c>
      <c r="P7" s="185">
        <f>'Alt. scenario LCY'!P7*VLOOKUP(Assumptions!$D$7, Lists!$B$7:$C$10, 2, FALSE)*Assumptions!$D$10/VLOOKUP(Assumptions!$D$9, Lists!$B$7:$C$10, 2, FALSE)</f>
        <v>532418.90625000012</v>
      </c>
      <c r="Q7" s="185">
        <f>'Alt. scenario LCY'!Q7*VLOOKUP(Assumptions!$D$7, Lists!$B$7:$C$10, 2, FALSE)*Assumptions!$D$10/VLOOKUP(Assumptions!$D$9, Lists!$B$7:$C$10, 2, FALSE)</f>
        <v>576922.50000000012</v>
      </c>
      <c r="R7" s="48">
        <f t="shared" si="2"/>
        <v>2038069.6875000005</v>
      </c>
      <c r="S7" s="185">
        <f>'Alt. scenario LCY'!S7*VLOOKUP(Assumptions!$D$7, Lists!$B$7:$C$10, 2, FALSE)*Assumptions!$D$10/VLOOKUP(Assumptions!$D$9, Lists!$B$7:$C$10, 2, FALSE)</f>
        <v>620776.40625000012</v>
      </c>
      <c r="T7" s="185">
        <f>'Alt. scenario LCY'!T7*VLOOKUP(Assumptions!$D$7, Lists!$B$7:$C$10, 2, FALSE)*Assumptions!$D$10/VLOOKUP(Assumptions!$D$9, Lists!$B$7:$C$10, 2, FALSE)</f>
        <v>663980.62500000012</v>
      </c>
      <c r="U7" s="185">
        <f>'Alt. scenario LCY'!U7*VLOOKUP(Assumptions!$D$7, Lists!$B$7:$C$10, 2, FALSE)*Assumptions!$D$10/VLOOKUP(Assumptions!$D$9, Lists!$B$7:$C$10, 2, FALSE)</f>
        <v>706535.15625000023</v>
      </c>
      <c r="V7" s="185">
        <f>'Alt. scenario LCY'!V7*VLOOKUP(Assumptions!$D$7, Lists!$B$7:$C$10, 2, FALSE)*Assumptions!$D$10/VLOOKUP(Assumptions!$D$9, Lists!$B$7:$C$10, 2, FALSE)</f>
        <v>748440.00000000023</v>
      </c>
      <c r="W7" s="48">
        <f t="shared" si="3"/>
        <v>2739732.1875000009</v>
      </c>
      <c r="X7" s="185">
        <f>'Alt. scenario LCY'!X7*VLOOKUP(Assumptions!$D$7, Lists!$B$7:$C$10, 2, FALSE)*Assumptions!$D$10/VLOOKUP(Assumptions!$D$9, Lists!$B$7:$C$10, 2, FALSE)</f>
        <v>789695.15625000023</v>
      </c>
      <c r="Y7" s="185">
        <f>'Alt. scenario LCY'!Y7*VLOOKUP(Assumptions!$D$7, Lists!$B$7:$C$10, 2, FALSE)*Assumptions!$D$10/VLOOKUP(Assumptions!$D$9, Lists!$B$7:$C$10, 2, FALSE)</f>
        <v>830300.62500000023</v>
      </c>
      <c r="Z7" s="185">
        <f>'Alt. scenario LCY'!Z7*VLOOKUP(Assumptions!$D$7, Lists!$B$7:$C$10, 2, FALSE)*Assumptions!$D$10/VLOOKUP(Assumptions!$D$9, Lists!$B$7:$C$10, 2, FALSE)</f>
        <v>870256.40625000023</v>
      </c>
      <c r="AA7" s="185">
        <f>'Alt. scenario LCY'!AA7*VLOOKUP(Assumptions!$D$7, Lists!$B$7:$C$10, 2, FALSE)*Assumptions!$D$10/VLOOKUP(Assumptions!$D$9, Lists!$B$7:$C$10, 2, FALSE)</f>
        <v>909562.50000000023</v>
      </c>
      <c r="AB7" s="48">
        <f t="shared" si="4"/>
        <v>3399814.6875000009</v>
      </c>
      <c r="AC7" s="185">
        <f>'Alt. scenario LCY'!AC7*VLOOKUP(Assumptions!$D$7, Lists!$B$7:$C$10, 2, FALSE)*Assumptions!$D$10/VLOOKUP(Assumptions!$D$9, Lists!$B$7:$C$10, 2, FALSE)</f>
        <v>903065.62500000023</v>
      </c>
      <c r="AD7" s="185">
        <f>'Alt. scenario LCY'!AD7*VLOOKUP(Assumptions!$D$7, Lists!$B$7:$C$10, 2, FALSE)*Assumptions!$D$10/VLOOKUP(Assumptions!$D$9, Lists!$B$7:$C$10, 2, FALSE)</f>
        <v>896568.75000000023</v>
      </c>
      <c r="AE7" s="185">
        <f>'Alt. scenario LCY'!AE7*VLOOKUP(Assumptions!$D$7, Lists!$B$7:$C$10, 2, FALSE)*Assumptions!$D$10/VLOOKUP(Assumptions!$D$9, Lists!$B$7:$C$10, 2, FALSE)</f>
        <v>890071.87500000023</v>
      </c>
      <c r="AF7" s="185">
        <f>'Alt. scenario LCY'!AF7*VLOOKUP(Assumptions!$D$7, Lists!$B$7:$C$10, 2, FALSE)*Assumptions!$D$10/VLOOKUP(Assumptions!$D$9, Lists!$B$7:$C$10, 2, FALSE)</f>
        <v>883575.00000000023</v>
      </c>
      <c r="AG7" s="48">
        <f t="shared" si="5"/>
        <v>3573281.2500000009</v>
      </c>
      <c r="AH7" s="185">
        <f>'Alt. scenario LCY'!AH7*VLOOKUP(Assumptions!$D$7, Lists!$B$7:$C$10, 2, FALSE)*Assumptions!$D$10/VLOOKUP(Assumptions!$D$9, Lists!$B$7:$C$10, 2, FALSE)</f>
        <v>877078.12500000023</v>
      </c>
      <c r="AI7" s="185">
        <f>'Alt. scenario LCY'!AI7*VLOOKUP(Assumptions!$D$7, Lists!$B$7:$C$10, 2, FALSE)*Assumptions!$D$10/VLOOKUP(Assumptions!$D$9, Lists!$B$7:$C$10, 2, FALSE)</f>
        <v>870581.25000000023</v>
      </c>
      <c r="AJ7" s="185">
        <f>'Alt. scenario LCY'!AJ7*VLOOKUP(Assumptions!$D$7, Lists!$B$7:$C$10, 2, FALSE)*Assumptions!$D$10/VLOOKUP(Assumptions!$D$9, Lists!$B$7:$C$10, 2, FALSE)</f>
        <v>864084.37500000023</v>
      </c>
      <c r="AK7" s="185">
        <f>'Alt. scenario LCY'!AK7*VLOOKUP(Assumptions!$D$7, Lists!$B$7:$C$10, 2, FALSE)*Assumptions!$D$10/VLOOKUP(Assumptions!$D$9, Lists!$B$7:$C$10, 2, FALSE)</f>
        <v>857587.50000000023</v>
      </c>
      <c r="AL7" s="48">
        <f t="shared" si="6"/>
        <v>3469331.2500000009</v>
      </c>
    </row>
    <row r="8" spans="1:38" ht="15.95" outlineLevel="2">
      <c r="A8" s="31"/>
      <c r="C8" s="32" t="s">
        <v>251</v>
      </c>
      <c r="D8" s="185">
        <f>'Alt. scenario LCY'!D8*VLOOKUP(Assumptions!$D$7, Lists!$B$7:$C$10, 2, FALSE)*Assumptions!$D$10/VLOOKUP(Assumptions!$D$9, Lists!$B$7:$C$10, 2, FALSE)</f>
        <v>20660.0625</v>
      </c>
      <c r="E8" s="185">
        <f>'Alt. scenario LCY'!E8*VLOOKUP(Assumptions!$D$7, Lists!$B$7:$C$10, 2, FALSE)*Assumptions!$D$10/VLOOKUP(Assumptions!$D$9, Lists!$B$7:$C$10, 2, FALSE)</f>
        <v>41060.25</v>
      </c>
      <c r="F8" s="185">
        <f>'Alt. scenario LCY'!F8*VLOOKUP(Assumptions!$D$7, Lists!$B$7:$C$10, 2, FALSE)*Assumptions!$D$10/VLOOKUP(Assumptions!$D$9, Lists!$B$7:$C$10, 2, FALSE)</f>
        <v>61200.5625</v>
      </c>
      <c r="G8" s="185">
        <f>'Alt. scenario LCY'!G8*VLOOKUP(Assumptions!$D$7, Lists!$B$7:$C$10, 2, FALSE)*Assumptions!$D$10/VLOOKUP(Assumptions!$D$9, Lists!$B$7:$C$10, 2, FALSE)</f>
        <v>81081</v>
      </c>
      <c r="H8" s="60">
        <f t="shared" si="0"/>
        <v>204001.875</v>
      </c>
      <c r="I8" s="185">
        <f>'Alt. scenario LCY'!I8*VLOOKUP(Assumptions!$D$7, Lists!$B$7:$C$10, 2, FALSE)*Assumptions!$D$10/VLOOKUP(Assumptions!$D$9, Lists!$B$7:$C$10, 2, FALSE)</f>
        <v>100701.5625</v>
      </c>
      <c r="J8" s="185">
        <f>'Alt. scenario LCY'!J8*VLOOKUP(Assumptions!$D$7, Lists!$B$7:$C$10, 2, FALSE)*Assumptions!$D$10/VLOOKUP(Assumptions!$D$9, Lists!$B$7:$C$10, 2, FALSE)</f>
        <v>120062.25</v>
      </c>
      <c r="K8" s="185">
        <f>'Alt. scenario LCY'!K8*VLOOKUP(Assumptions!$D$7, Lists!$B$7:$C$10, 2, FALSE)*Assumptions!$D$10/VLOOKUP(Assumptions!$D$9, Lists!$B$7:$C$10, 2, FALSE)</f>
        <v>139163.0625</v>
      </c>
      <c r="L8" s="185">
        <f>'Alt. scenario LCY'!L8*VLOOKUP(Assumptions!$D$7, Lists!$B$7:$C$10, 2, FALSE)*Assumptions!$D$10/VLOOKUP(Assumptions!$D$9, Lists!$B$7:$C$10, 2, FALSE)</f>
        <v>158004</v>
      </c>
      <c r="M8" s="48">
        <f t="shared" si="1"/>
        <v>517930.875</v>
      </c>
      <c r="N8" s="185">
        <f>'Alt. scenario LCY'!N8*VLOOKUP(Assumptions!$D$7, Lists!$B$7:$C$10, 2, FALSE)*Assumptions!$D$10/VLOOKUP(Assumptions!$D$9, Lists!$B$7:$C$10, 2, FALSE)</f>
        <v>176585.0625</v>
      </c>
      <c r="O8" s="185">
        <f>'Alt. scenario LCY'!O8*VLOOKUP(Assumptions!$D$7, Lists!$B$7:$C$10, 2, FALSE)*Assumptions!$D$10/VLOOKUP(Assumptions!$D$9, Lists!$B$7:$C$10, 2, FALSE)</f>
        <v>194906.25</v>
      </c>
      <c r="P8" s="185">
        <f>'Alt. scenario LCY'!P8*VLOOKUP(Assumptions!$D$7, Lists!$B$7:$C$10, 2, FALSE)*Assumptions!$D$10/VLOOKUP(Assumptions!$D$9, Lists!$B$7:$C$10, 2, FALSE)</f>
        <v>212967.5625</v>
      </c>
      <c r="Q8" s="185">
        <f>'Alt. scenario LCY'!Q8*VLOOKUP(Assumptions!$D$7, Lists!$B$7:$C$10, 2, FALSE)*Assumptions!$D$10/VLOOKUP(Assumptions!$D$9, Lists!$B$7:$C$10, 2, FALSE)</f>
        <v>230769</v>
      </c>
      <c r="R8" s="48">
        <f t="shared" si="2"/>
        <v>815227.875</v>
      </c>
      <c r="S8" s="185">
        <f>'Alt. scenario LCY'!S8*VLOOKUP(Assumptions!$D$7, Lists!$B$7:$C$10, 2, FALSE)*Assumptions!$D$10/VLOOKUP(Assumptions!$D$9, Lists!$B$7:$C$10, 2, FALSE)</f>
        <v>248310.5625</v>
      </c>
      <c r="T8" s="185">
        <f>'Alt. scenario LCY'!T8*VLOOKUP(Assumptions!$D$7, Lists!$B$7:$C$10, 2, FALSE)*Assumptions!$D$10/VLOOKUP(Assumptions!$D$9, Lists!$B$7:$C$10, 2, FALSE)</f>
        <v>265592.25</v>
      </c>
      <c r="U8" s="185">
        <f>'Alt. scenario LCY'!U8*VLOOKUP(Assumptions!$D$7, Lists!$B$7:$C$10, 2, FALSE)*Assumptions!$D$10/VLOOKUP(Assumptions!$D$9, Lists!$B$7:$C$10, 2, FALSE)</f>
        <v>282614.0625</v>
      </c>
      <c r="V8" s="185">
        <f>'Alt. scenario LCY'!V8*VLOOKUP(Assumptions!$D$7, Lists!$B$7:$C$10, 2, FALSE)*Assumptions!$D$10/VLOOKUP(Assumptions!$D$9, Lists!$B$7:$C$10, 2, FALSE)</f>
        <v>299376</v>
      </c>
      <c r="W8" s="48">
        <f t="shared" si="3"/>
        <v>1095892.875</v>
      </c>
      <c r="X8" s="185">
        <f>'Alt. scenario LCY'!X8*VLOOKUP(Assumptions!$D$7, Lists!$B$7:$C$10, 2, FALSE)*Assumptions!$D$10/VLOOKUP(Assumptions!$D$9, Lists!$B$7:$C$10, 2, FALSE)</f>
        <v>315878.0625</v>
      </c>
      <c r="Y8" s="185">
        <f>'Alt. scenario LCY'!Y8*VLOOKUP(Assumptions!$D$7, Lists!$B$7:$C$10, 2, FALSE)*Assumptions!$D$10/VLOOKUP(Assumptions!$D$9, Lists!$B$7:$C$10, 2, FALSE)</f>
        <v>332120.25</v>
      </c>
      <c r="Z8" s="185">
        <f>'Alt. scenario LCY'!Z8*VLOOKUP(Assumptions!$D$7, Lists!$B$7:$C$10, 2, FALSE)*Assumptions!$D$10/VLOOKUP(Assumptions!$D$9, Lists!$B$7:$C$10, 2, FALSE)</f>
        <v>348102.5625</v>
      </c>
      <c r="AA8" s="185">
        <f>'Alt. scenario LCY'!AA8*VLOOKUP(Assumptions!$D$7, Lists!$B$7:$C$10, 2, FALSE)*Assumptions!$D$10/VLOOKUP(Assumptions!$D$9, Lists!$B$7:$C$10, 2, FALSE)</f>
        <v>363825</v>
      </c>
      <c r="AB8" s="48">
        <f t="shared" si="4"/>
        <v>1359925.875</v>
      </c>
      <c r="AC8" s="185">
        <f>'Alt. scenario LCY'!AC8*VLOOKUP(Assumptions!$D$7, Lists!$B$7:$C$10, 2, FALSE)*Assumptions!$D$10/VLOOKUP(Assumptions!$D$9, Lists!$B$7:$C$10, 2, FALSE)</f>
        <v>361226.25</v>
      </c>
      <c r="AD8" s="185">
        <f>'Alt. scenario LCY'!AD8*VLOOKUP(Assumptions!$D$7, Lists!$B$7:$C$10, 2, FALSE)*Assumptions!$D$10/VLOOKUP(Assumptions!$D$9, Lists!$B$7:$C$10, 2, FALSE)</f>
        <v>358627.5</v>
      </c>
      <c r="AE8" s="185">
        <f>'Alt. scenario LCY'!AE8*VLOOKUP(Assumptions!$D$7, Lists!$B$7:$C$10, 2, FALSE)*Assumptions!$D$10/VLOOKUP(Assumptions!$D$9, Lists!$B$7:$C$10, 2, FALSE)</f>
        <v>356028.75</v>
      </c>
      <c r="AF8" s="185">
        <f>'Alt. scenario LCY'!AF8*VLOOKUP(Assumptions!$D$7, Lists!$B$7:$C$10, 2, FALSE)*Assumptions!$D$10/VLOOKUP(Assumptions!$D$9, Lists!$B$7:$C$10, 2, FALSE)</f>
        <v>353430</v>
      </c>
      <c r="AG8" s="48">
        <f t="shared" si="5"/>
        <v>1429312.5</v>
      </c>
      <c r="AH8" s="185">
        <f>'Alt. scenario LCY'!AH8*VLOOKUP(Assumptions!$D$7, Lists!$B$7:$C$10, 2, FALSE)*Assumptions!$D$10/VLOOKUP(Assumptions!$D$9, Lists!$B$7:$C$10, 2, FALSE)</f>
        <v>350831.25</v>
      </c>
      <c r="AI8" s="185">
        <f>'Alt. scenario LCY'!AI8*VLOOKUP(Assumptions!$D$7, Lists!$B$7:$C$10, 2, FALSE)*Assumptions!$D$10/VLOOKUP(Assumptions!$D$9, Lists!$B$7:$C$10, 2, FALSE)</f>
        <v>348232.5</v>
      </c>
      <c r="AJ8" s="185">
        <f>'Alt. scenario LCY'!AJ8*VLOOKUP(Assumptions!$D$7, Lists!$B$7:$C$10, 2, FALSE)*Assumptions!$D$10/VLOOKUP(Assumptions!$D$9, Lists!$B$7:$C$10, 2, FALSE)</f>
        <v>345633.75</v>
      </c>
      <c r="AK8" s="185">
        <f>'Alt. scenario LCY'!AK8*VLOOKUP(Assumptions!$D$7, Lists!$B$7:$C$10, 2, FALSE)*Assumptions!$D$10/VLOOKUP(Assumptions!$D$9, Lists!$B$7:$C$10, 2, FALSE)</f>
        <v>343035</v>
      </c>
      <c r="AL8" s="48">
        <f t="shared" si="6"/>
        <v>1387732.5</v>
      </c>
    </row>
    <row r="9" spans="1:38" ht="15.95" outlineLevel="2">
      <c r="A9" s="31"/>
      <c r="C9" s="32" t="s">
        <v>252</v>
      </c>
      <c r="D9" s="185">
        <f>'Alt. scenario LCY'!D9*VLOOKUP(Assumptions!$D$7, Lists!$B$7:$C$10, 2, FALSE)*Assumptions!$D$10/VLOOKUP(Assumptions!$D$9, Lists!$B$7:$C$10, 2, FALSE)</f>
        <v>1721.6718750000005</v>
      </c>
      <c r="E9" s="185">
        <f>'Alt. scenario LCY'!E9*VLOOKUP(Assumptions!$D$7, Lists!$B$7:$C$10, 2, FALSE)*Assumptions!$D$10/VLOOKUP(Assumptions!$D$9, Lists!$B$7:$C$10, 2, FALSE)</f>
        <v>3421.6875000000009</v>
      </c>
      <c r="F9" s="185">
        <f>'Alt. scenario LCY'!F9*VLOOKUP(Assumptions!$D$7, Lists!$B$7:$C$10, 2, FALSE)*Assumptions!$D$10/VLOOKUP(Assumptions!$D$9, Lists!$B$7:$C$10, 2, FALSE)</f>
        <v>5100.0468750000009</v>
      </c>
      <c r="G9" s="185">
        <f>'Alt. scenario LCY'!G9*VLOOKUP(Assumptions!$D$7, Lists!$B$7:$C$10, 2, FALSE)*Assumptions!$D$10/VLOOKUP(Assumptions!$D$9, Lists!$B$7:$C$10, 2, FALSE)</f>
        <v>6756.7500000000018</v>
      </c>
      <c r="H9" s="60">
        <f t="shared" si="0"/>
        <v>17000.156250000007</v>
      </c>
      <c r="I9" s="185">
        <f>'Alt. scenario LCY'!I9*VLOOKUP(Assumptions!$D$7, Lists!$B$7:$C$10, 2, FALSE)*Assumptions!$D$10/VLOOKUP(Assumptions!$D$9, Lists!$B$7:$C$10, 2, FALSE)</f>
        <v>8391.7968750000018</v>
      </c>
      <c r="J9" s="185">
        <f>'Alt. scenario LCY'!J9*VLOOKUP(Assumptions!$D$7, Lists!$B$7:$C$10, 2, FALSE)*Assumptions!$D$10/VLOOKUP(Assumptions!$D$9, Lists!$B$7:$C$10, 2, FALSE)</f>
        <v>10005.187500000002</v>
      </c>
      <c r="K9" s="185">
        <f>'Alt. scenario LCY'!K9*VLOOKUP(Assumptions!$D$7, Lists!$B$7:$C$10, 2, FALSE)*Assumptions!$D$10/VLOOKUP(Assumptions!$D$9, Lists!$B$7:$C$10, 2, FALSE)</f>
        <v>11596.921875000004</v>
      </c>
      <c r="L9" s="185">
        <f>'Alt. scenario LCY'!L9*VLOOKUP(Assumptions!$D$7, Lists!$B$7:$C$10, 2, FALSE)*Assumptions!$D$10/VLOOKUP(Assumptions!$D$9, Lists!$B$7:$C$10, 2, FALSE)</f>
        <v>13167.000000000004</v>
      </c>
      <c r="M9" s="48">
        <f t="shared" si="1"/>
        <v>43160.906250000015</v>
      </c>
      <c r="N9" s="185">
        <f>'Alt. scenario LCY'!N9*VLOOKUP(Assumptions!$D$7, Lists!$B$7:$C$10, 2, FALSE)*Assumptions!$D$10/VLOOKUP(Assumptions!$D$9, Lists!$B$7:$C$10, 2, FALSE)</f>
        <v>14715.421875000004</v>
      </c>
      <c r="O9" s="185">
        <f>'Alt. scenario LCY'!O9*VLOOKUP(Assumptions!$D$7, Lists!$B$7:$C$10, 2, FALSE)*Assumptions!$D$10/VLOOKUP(Assumptions!$D$9, Lists!$B$7:$C$10, 2, FALSE)</f>
        <v>16242.187500000004</v>
      </c>
      <c r="P9" s="185">
        <f>'Alt. scenario LCY'!P9*VLOOKUP(Assumptions!$D$7, Lists!$B$7:$C$10, 2, FALSE)*Assumptions!$D$10/VLOOKUP(Assumptions!$D$9, Lists!$B$7:$C$10, 2, FALSE)</f>
        <v>17747.296875000004</v>
      </c>
      <c r="Q9" s="185">
        <f>'Alt. scenario LCY'!Q9*VLOOKUP(Assumptions!$D$7, Lists!$B$7:$C$10, 2, FALSE)*Assumptions!$D$10/VLOOKUP(Assumptions!$D$9, Lists!$B$7:$C$10, 2, FALSE)</f>
        <v>19230.750000000004</v>
      </c>
      <c r="R9" s="48">
        <f t="shared" si="2"/>
        <v>67935.656250000015</v>
      </c>
      <c r="S9" s="185">
        <f>'Alt. scenario LCY'!S9*VLOOKUP(Assumptions!$D$7, Lists!$B$7:$C$10, 2, FALSE)*Assumptions!$D$10/VLOOKUP(Assumptions!$D$9, Lists!$B$7:$C$10, 2, FALSE)</f>
        <v>20692.546875000004</v>
      </c>
      <c r="T9" s="185">
        <f>'Alt. scenario LCY'!T9*VLOOKUP(Assumptions!$D$7, Lists!$B$7:$C$10, 2, FALSE)*Assumptions!$D$10/VLOOKUP(Assumptions!$D$9, Lists!$B$7:$C$10, 2, FALSE)</f>
        <v>22132.687500000007</v>
      </c>
      <c r="U9" s="185">
        <f>'Alt. scenario LCY'!U9*VLOOKUP(Assumptions!$D$7, Lists!$B$7:$C$10, 2, FALSE)*Assumptions!$D$10/VLOOKUP(Assumptions!$D$9, Lists!$B$7:$C$10, 2, FALSE)</f>
        <v>23551.171875000007</v>
      </c>
      <c r="V9" s="185">
        <f>'Alt. scenario LCY'!V9*VLOOKUP(Assumptions!$D$7, Lists!$B$7:$C$10, 2, FALSE)*Assumptions!$D$10/VLOOKUP(Assumptions!$D$9, Lists!$B$7:$C$10, 2, FALSE)</f>
        <v>24948.000000000007</v>
      </c>
      <c r="W9" s="48">
        <f t="shared" si="3"/>
        <v>91324.406250000029</v>
      </c>
      <c r="X9" s="185">
        <f>'Alt. scenario LCY'!X9*VLOOKUP(Assumptions!$D$7, Lists!$B$7:$C$10, 2, FALSE)*Assumptions!$D$10/VLOOKUP(Assumptions!$D$9, Lists!$B$7:$C$10, 2, FALSE)</f>
        <v>26323.171875000007</v>
      </c>
      <c r="Y9" s="185">
        <f>'Alt. scenario LCY'!Y9*VLOOKUP(Assumptions!$D$7, Lists!$B$7:$C$10, 2, FALSE)*Assumptions!$D$10/VLOOKUP(Assumptions!$D$9, Lists!$B$7:$C$10, 2, FALSE)</f>
        <v>27676.687500000007</v>
      </c>
      <c r="Z9" s="185">
        <f>'Alt. scenario LCY'!Z9*VLOOKUP(Assumptions!$D$7, Lists!$B$7:$C$10, 2, FALSE)*Assumptions!$D$10/VLOOKUP(Assumptions!$D$9, Lists!$B$7:$C$10, 2, FALSE)</f>
        <v>29008.546875000007</v>
      </c>
      <c r="AA9" s="185">
        <f>'Alt. scenario LCY'!AA9*VLOOKUP(Assumptions!$D$7, Lists!$B$7:$C$10, 2, FALSE)*Assumptions!$D$10/VLOOKUP(Assumptions!$D$9, Lists!$B$7:$C$10, 2, FALSE)</f>
        <v>30318.750000000007</v>
      </c>
      <c r="AB9" s="48">
        <f t="shared" si="4"/>
        <v>113327.15625000003</v>
      </c>
      <c r="AC9" s="185">
        <f>'Alt. scenario LCY'!AC9*VLOOKUP(Assumptions!$D$7, Lists!$B$7:$C$10, 2, FALSE)*Assumptions!$D$10/VLOOKUP(Assumptions!$D$9, Lists!$B$7:$C$10, 2, FALSE)</f>
        <v>30102.187500000007</v>
      </c>
      <c r="AD9" s="185">
        <f>'Alt. scenario LCY'!AD9*VLOOKUP(Assumptions!$D$7, Lists!$B$7:$C$10, 2, FALSE)*Assumptions!$D$10/VLOOKUP(Assumptions!$D$9, Lists!$B$7:$C$10, 2, FALSE)</f>
        <v>29885.625000000007</v>
      </c>
      <c r="AE9" s="185">
        <f>'Alt. scenario LCY'!AE9*VLOOKUP(Assumptions!$D$7, Lists!$B$7:$C$10, 2, FALSE)*Assumptions!$D$10/VLOOKUP(Assumptions!$D$9, Lists!$B$7:$C$10, 2, FALSE)</f>
        <v>29669.062500000007</v>
      </c>
      <c r="AF9" s="185">
        <f>'Alt. scenario LCY'!AF9*VLOOKUP(Assumptions!$D$7, Lists!$B$7:$C$10, 2, FALSE)*Assumptions!$D$10/VLOOKUP(Assumptions!$D$9, Lists!$B$7:$C$10, 2, FALSE)</f>
        <v>29452.500000000007</v>
      </c>
      <c r="AG9" s="48">
        <f t="shared" si="5"/>
        <v>119109.37500000003</v>
      </c>
      <c r="AH9" s="185">
        <f>'Alt. scenario LCY'!AH9*VLOOKUP(Assumptions!$D$7, Lists!$B$7:$C$10, 2, FALSE)*Assumptions!$D$10/VLOOKUP(Assumptions!$D$9, Lists!$B$7:$C$10, 2, FALSE)</f>
        <v>29235.937500000007</v>
      </c>
      <c r="AI9" s="185">
        <f>'Alt. scenario LCY'!AI9*VLOOKUP(Assumptions!$D$7, Lists!$B$7:$C$10, 2, FALSE)*Assumptions!$D$10/VLOOKUP(Assumptions!$D$9, Lists!$B$7:$C$10, 2, FALSE)</f>
        <v>29019.375000000007</v>
      </c>
      <c r="AJ9" s="185">
        <f>'Alt. scenario LCY'!AJ9*VLOOKUP(Assumptions!$D$7, Lists!$B$7:$C$10, 2, FALSE)*Assumptions!$D$10/VLOOKUP(Assumptions!$D$9, Lists!$B$7:$C$10, 2, FALSE)</f>
        <v>28802.812500000007</v>
      </c>
      <c r="AK9" s="185">
        <f>'Alt. scenario LCY'!AK9*VLOOKUP(Assumptions!$D$7, Lists!$B$7:$C$10, 2, FALSE)*Assumptions!$D$10/VLOOKUP(Assumptions!$D$9, Lists!$B$7:$C$10, 2, FALSE)</f>
        <v>28586.250000000007</v>
      </c>
      <c r="AL9" s="48">
        <f t="shared" si="6"/>
        <v>115644.37500000003</v>
      </c>
    </row>
    <row r="10" spans="1:38" ht="15.95" outlineLevel="2">
      <c r="A10" s="31"/>
      <c r="C10" s="32" t="s">
        <v>253</v>
      </c>
      <c r="D10" s="185">
        <f>'Alt. scenario LCY'!D10*VLOOKUP(Assumptions!$D$7, Lists!$B$7:$C$10, 2, FALSE)*Assumptions!$D$10/VLOOKUP(Assumptions!$D$9, Lists!$B$7:$C$10, 2, FALSE)</f>
        <v>5165.015625</v>
      </c>
      <c r="E10" s="185">
        <f>'Alt. scenario LCY'!E10*VLOOKUP(Assumptions!$D$7, Lists!$B$7:$C$10, 2, FALSE)*Assumptions!$D$10/VLOOKUP(Assumptions!$D$9, Lists!$B$7:$C$10, 2, FALSE)</f>
        <v>10265.0625</v>
      </c>
      <c r="F10" s="185">
        <f>'Alt. scenario LCY'!F10*VLOOKUP(Assumptions!$D$7, Lists!$B$7:$C$10, 2, FALSE)*Assumptions!$D$10/VLOOKUP(Assumptions!$D$9, Lists!$B$7:$C$10, 2, FALSE)</f>
        <v>15300.140625</v>
      </c>
      <c r="G10" s="185">
        <f>'Alt. scenario LCY'!G10*VLOOKUP(Assumptions!$D$7, Lists!$B$7:$C$10, 2, FALSE)*Assumptions!$D$10/VLOOKUP(Assumptions!$D$9, Lists!$B$7:$C$10, 2, FALSE)</f>
        <v>20270.25</v>
      </c>
      <c r="H10" s="60">
        <f t="shared" si="0"/>
        <v>51000.46875</v>
      </c>
      <c r="I10" s="185">
        <f>'Alt. scenario LCY'!I10*VLOOKUP(Assumptions!$D$7, Lists!$B$7:$C$10, 2, FALSE)*Assumptions!$D$10/VLOOKUP(Assumptions!$D$9, Lists!$B$7:$C$10, 2, FALSE)</f>
        <v>25175.390625</v>
      </c>
      <c r="J10" s="185">
        <f>'Alt. scenario LCY'!J10*VLOOKUP(Assumptions!$D$7, Lists!$B$7:$C$10, 2, FALSE)*Assumptions!$D$10/VLOOKUP(Assumptions!$D$9, Lists!$B$7:$C$10, 2, FALSE)</f>
        <v>30015.5625</v>
      </c>
      <c r="K10" s="185">
        <f>'Alt. scenario LCY'!K10*VLOOKUP(Assumptions!$D$7, Lists!$B$7:$C$10, 2, FALSE)*Assumptions!$D$10/VLOOKUP(Assumptions!$D$9, Lists!$B$7:$C$10, 2, FALSE)</f>
        <v>34790.765625</v>
      </c>
      <c r="L10" s="185">
        <f>'Alt. scenario LCY'!L10*VLOOKUP(Assumptions!$D$7, Lists!$B$7:$C$10, 2, FALSE)*Assumptions!$D$10/VLOOKUP(Assumptions!$D$9, Lists!$B$7:$C$10, 2, FALSE)</f>
        <v>39501</v>
      </c>
      <c r="M10" s="48">
        <f t="shared" si="1"/>
        <v>129482.71875</v>
      </c>
      <c r="N10" s="185">
        <f>'Alt. scenario LCY'!N10*VLOOKUP(Assumptions!$D$7, Lists!$B$7:$C$10, 2, FALSE)*Assumptions!$D$10/VLOOKUP(Assumptions!$D$9, Lists!$B$7:$C$10, 2, FALSE)</f>
        <v>44146.265625</v>
      </c>
      <c r="O10" s="185">
        <f>'Alt. scenario LCY'!O10*VLOOKUP(Assumptions!$D$7, Lists!$B$7:$C$10, 2, FALSE)*Assumptions!$D$10/VLOOKUP(Assumptions!$D$9, Lists!$B$7:$C$10, 2, FALSE)</f>
        <v>48726.5625</v>
      </c>
      <c r="P10" s="185">
        <f>'Alt. scenario LCY'!P10*VLOOKUP(Assumptions!$D$7, Lists!$B$7:$C$10, 2, FALSE)*Assumptions!$D$10/VLOOKUP(Assumptions!$D$9, Lists!$B$7:$C$10, 2, FALSE)</f>
        <v>53241.890625</v>
      </c>
      <c r="Q10" s="185">
        <f>'Alt. scenario LCY'!Q10*VLOOKUP(Assumptions!$D$7, Lists!$B$7:$C$10, 2, FALSE)*Assumptions!$D$10/VLOOKUP(Assumptions!$D$9, Lists!$B$7:$C$10, 2, FALSE)</f>
        <v>57692.25</v>
      </c>
      <c r="R10" s="48">
        <f t="shared" si="2"/>
        <v>203806.96875</v>
      </c>
      <c r="S10" s="185">
        <f>'Alt. scenario LCY'!S10*VLOOKUP(Assumptions!$D$7, Lists!$B$7:$C$10, 2, FALSE)*Assumptions!$D$10/VLOOKUP(Assumptions!$D$9, Lists!$B$7:$C$10, 2, FALSE)</f>
        <v>62077.640625</v>
      </c>
      <c r="T10" s="185">
        <f>'Alt. scenario LCY'!T10*VLOOKUP(Assumptions!$D$7, Lists!$B$7:$C$10, 2, FALSE)*Assumptions!$D$10/VLOOKUP(Assumptions!$D$9, Lists!$B$7:$C$10, 2, FALSE)</f>
        <v>66398.0625</v>
      </c>
      <c r="U10" s="185">
        <f>'Alt. scenario LCY'!U10*VLOOKUP(Assumptions!$D$7, Lists!$B$7:$C$10, 2, FALSE)*Assumptions!$D$10/VLOOKUP(Assumptions!$D$9, Lists!$B$7:$C$10, 2, FALSE)</f>
        <v>70653.515625</v>
      </c>
      <c r="V10" s="185">
        <f>'Alt. scenario LCY'!V10*VLOOKUP(Assumptions!$D$7, Lists!$B$7:$C$10, 2, FALSE)*Assumptions!$D$10/VLOOKUP(Assumptions!$D$9, Lists!$B$7:$C$10, 2, FALSE)</f>
        <v>74844</v>
      </c>
      <c r="W10" s="48">
        <f t="shared" si="3"/>
        <v>273973.21875</v>
      </c>
      <c r="X10" s="185">
        <f>'Alt. scenario LCY'!X10*VLOOKUP(Assumptions!$D$7, Lists!$B$7:$C$10, 2, FALSE)*Assumptions!$D$10/VLOOKUP(Assumptions!$D$9, Lists!$B$7:$C$10, 2, FALSE)</f>
        <v>78969.515625</v>
      </c>
      <c r="Y10" s="185">
        <f>'Alt. scenario LCY'!Y10*VLOOKUP(Assumptions!$D$7, Lists!$B$7:$C$10, 2, FALSE)*Assumptions!$D$10/VLOOKUP(Assumptions!$D$9, Lists!$B$7:$C$10, 2, FALSE)</f>
        <v>83030.0625</v>
      </c>
      <c r="Z10" s="185">
        <f>'Alt. scenario LCY'!Z10*VLOOKUP(Assumptions!$D$7, Lists!$B$7:$C$10, 2, FALSE)*Assumptions!$D$10/VLOOKUP(Assumptions!$D$9, Lists!$B$7:$C$10, 2, FALSE)</f>
        <v>87025.640625</v>
      </c>
      <c r="AA10" s="185">
        <f>'Alt. scenario LCY'!AA10*VLOOKUP(Assumptions!$D$7, Lists!$B$7:$C$10, 2, FALSE)*Assumptions!$D$10/VLOOKUP(Assumptions!$D$9, Lists!$B$7:$C$10, 2, FALSE)</f>
        <v>90956.25</v>
      </c>
      <c r="AB10" s="48">
        <f t="shared" si="4"/>
        <v>339981.46875</v>
      </c>
      <c r="AC10" s="185">
        <f>'Alt. scenario LCY'!AC10*VLOOKUP(Assumptions!$D$7, Lists!$B$7:$C$10, 2, FALSE)*Assumptions!$D$10/VLOOKUP(Assumptions!$D$9, Lists!$B$7:$C$10, 2, FALSE)</f>
        <v>90306.5625</v>
      </c>
      <c r="AD10" s="185">
        <f>'Alt. scenario LCY'!AD10*VLOOKUP(Assumptions!$D$7, Lists!$B$7:$C$10, 2, FALSE)*Assumptions!$D$10/VLOOKUP(Assumptions!$D$9, Lists!$B$7:$C$10, 2, FALSE)</f>
        <v>89656.875</v>
      </c>
      <c r="AE10" s="185">
        <f>'Alt. scenario LCY'!AE10*VLOOKUP(Assumptions!$D$7, Lists!$B$7:$C$10, 2, FALSE)*Assumptions!$D$10/VLOOKUP(Assumptions!$D$9, Lists!$B$7:$C$10, 2, FALSE)</f>
        <v>89007.1875</v>
      </c>
      <c r="AF10" s="185">
        <f>'Alt. scenario LCY'!AF10*VLOOKUP(Assumptions!$D$7, Lists!$B$7:$C$10, 2, FALSE)*Assumptions!$D$10/VLOOKUP(Assumptions!$D$9, Lists!$B$7:$C$10, 2, FALSE)</f>
        <v>88357.5</v>
      </c>
      <c r="AG10" s="48">
        <f t="shared" si="5"/>
        <v>357328.125</v>
      </c>
      <c r="AH10" s="185">
        <f>'Alt. scenario LCY'!AH10*VLOOKUP(Assumptions!$D$7, Lists!$B$7:$C$10, 2, FALSE)*Assumptions!$D$10/VLOOKUP(Assumptions!$D$9, Lists!$B$7:$C$10, 2, FALSE)</f>
        <v>87707.8125</v>
      </c>
      <c r="AI10" s="185">
        <f>'Alt. scenario LCY'!AI10*VLOOKUP(Assumptions!$D$7, Lists!$B$7:$C$10, 2, FALSE)*Assumptions!$D$10/VLOOKUP(Assumptions!$D$9, Lists!$B$7:$C$10, 2, FALSE)</f>
        <v>87058.125</v>
      </c>
      <c r="AJ10" s="185">
        <f>'Alt. scenario LCY'!AJ10*VLOOKUP(Assumptions!$D$7, Lists!$B$7:$C$10, 2, FALSE)*Assumptions!$D$10/VLOOKUP(Assumptions!$D$9, Lists!$B$7:$C$10, 2, FALSE)</f>
        <v>86408.4375</v>
      </c>
      <c r="AK10" s="185">
        <f>'Alt. scenario LCY'!AK10*VLOOKUP(Assumptions!$D$7, Lists!$B$7:$C$10, 2, FALSE)*Assumptions!$D$10/VLOOKUP(Assumptions!$D$9, Lists!$B$7:$C$10, 2, FALSE)</f>
        <v>85758.75</v>
      </c>
      <c r="AL10" s="48">
        <f t="shared" si="6"/>
        <v>346933.125</v>
      </c>
    </row>
    <row r="11" spans="1:38" ht="17.100000000000001" outlineLevel="1" thickBot="1">
      <c r="A11" s="31"/>
      <c r="B11" s="34" t="s">
        <v>254</v>
      </c>
      <c r="C11" s="34"/>
      <c r="D11" s="184">
        <f>SUM(D6:D10)</f>
        <v>190993.78125</v>
      </c>
      <c r="E11" s="184">
        <f t="shared" ref="E11:G11" si="7">SUM(E6:E10)</f>
        <v>379585.125</v>
      </c>
      <c r="F11" s="184">
        <f t="shared" si="7"/>
        <v>565774.03125000012</v>
      </c>
      <c r="G11" s="184">
        <f t="shared" si="7"/>
        <v>749560.5</v>
      </c>
      <c r="H11" s="61">
        <f t="shared" si="0"/>
        <v>1885913.4375</v>
      </c>
      <c r="I11" s="184">
        <f>SUM(I6:I10)</f>
        <v>930944.53125</v>
      </c>
      <c r="J11" s="184">
        <f t="shared" ref="J11:L11" si="8">SUM(J6:J10)</f>
        <v>1109926.1250000002</v>
      </c>
      <c r="K11" s="184">
        <f t="shared" si="8"/>
        <v>1286505.2812500002</v>
      </c>
      <c r="L11" s="184">
        <f t="shared" si="8"/>
        <v>1460682</v>
      </c>
      <c r="M11" s="51">
        <f t="shared" si="1"/>
        <v>4788057.9375</v>
      </c>
      <c r="N11" s="184">
        <f>SUM(N6:N10)</f>
        <v>1632456.28125</v>
      </c>
      <c r="O11" s="184">
        <f t="shared" ref="O11:Q11" si="9">SUM(O6:O10)</f>
        <v>1801828.125</v>
      </c>
      <c r="P11" s="184">
        <f t="shared" si="9"/>
        <v>1968797.5312500005</v>
      </c>
      <c r="Q11" s="184">
        <f t="shared" si="9"/>
        <v>2133364.5000000005</v>
      </c>
      <c r="R11" s="51">
        <f t="shared" si="2"/>
        <v>7536446.4375</v>
      </c>
      <c r="S11" s="184">
        <f>SUM(S6:S10)</f>
        <v>2295529.0312500005</v>
      </c>
      <c r="T11" s="184">
        <f t="shared" ref="T11:V11" si="10">SUM(T6:T10)</f>
        <v>2455291.1250000005</v>
      </c>
      <c r="U11" s="184">
        <f t="shared" si="10"/>
        <v>2612650.7812500005</v>
      </c>
      <c r="V11" s="184">
        <f t="shared" si="10"/>
        <v>2767608</v>
      </c>
      <c r="W11" s="51">
        <f t="shared" si="3"/>
        <v>10131078.937500002</v>
      </c>
      <c r="X11" s="184">
        <f>SUM(X6:X10)</f>
        <v>2920162.78125</v>
      </c>
      <c r="Y11" s="184">
        <f t="shared" ref="Y11:AA11" si="11">SUM(Y6:Y10)</f>
        <v>3070315.125</v>
      </c>
      <c r="Z11" s="184">
        <f t="shared" si="11"/>
        <v>3218065.03125</v>
      </c>
      <c r="AA11" s="184">
        <f t="shared" si="11"/>
        <v>3363412.5</v>
      </c>
      <c r="AB11" s="51">
        <f t="shared" si="4"/>
        <v>12571955.4375</v>
      </c>
      <c r="AC11" s="184">
        <f>SUM(AC6:AC10)</f>
        <v>3339388.125</v>
      </c>
      <c r="AD11" s="184">
        <f t="shared" ref="AD11:AF11" si="12">SUM(AD6:AD10)</f>
        <v>3315363.75</v>
      </c>
      <c r="AE11" s="184">
        <f t="shared" si="12"/>
        <v>3291339.375</v>
      </c>
      <c r="AF11" s="184">
        <f t="shared" si="12"/>
        <v>3267315</v>
      </c>
      <c r="AG11" s="51">
        <f t="shared" si="5"/>
        <v>13213406.25</v>
      </c>
      <c r="AH11" s="184">
        <f>SUM(AH6:AH10)</f>
        <v>3243290.625</v>
      </c>
      <c r="AI11" s="184">
        <f t="shared" ref="AI11:AK11" si="13">SUM(AI6:AI10)</f>
        <v>3219266.25</v>
      </c>
      <c r="AJ11" s="184">
        <f t="shared" si="13"/>
        <v>3195241.875</v>
      </c>
      <c r="AK11" s="184">
        <f t="shared" si="13"/>
        <v>3171217.5</v>
      </c>
      <c r="AL11" s="51">
        <f t="shared" si="6"/>
        <v>12829016.25</v>
      </c>
    </row>
    <row r="12" spans="1:38" ht="17.100000000000001" thickBot="1">
      <c r="A12" s="36" t="s">
        <v>255</v>
      </c>
      <c r="B12" s="37"/>
      <c r="C12" s="38"/>
      <c r="D12" s="51">
        <f>D11</f>
        <v>190993.78125</v>
      </c>
      <c r="E12" s="51">
        <f t="shared" ref="E12:G12" si="14">E11</f>
        <v>379585.125</v>
      </c>
      <c r="F12" s="51">
        <f t="shared" si="14"/>
        <v>565774.03125000012</v>
      </c>
      <c r="G12" s="51">
        <f t="shared" si="14"/>
        <v>749560.5</v>
      </c>
      <c r="H12" s="44">
        <f t="shared" si="0"/>
        <v>1885913.4375</v>
      </c>
      <c r="I12" s="51">
        <f>I11</f>
        <v>930944.53125</v>
      </c>
      <c r="J12" s="51">
        <f t="shared" ref="J12:L12" si="15">J11</f>
        <v>1109926.1250000002</v>
      </c>
      <c r="K12" s="51">
        <f t="shared" si="15"/>
        <v>1286505.2812500002</v>
      </c>
      <c r="L12" s="51">
        <f t="shared" si="15"/>
        <v>1460682</v>
      </c>
      <c r="M12" s="44">
        <f t="shared" si="1"/>
        <v>4788057.9375</v>
      </c>
      <c r="N12" s="51">
        <f>N11</f>
        <v>1632456.28125</v>
      </c>
      <c r="O12" s="51">
        <f t="shared" ref="O12:Q12" si="16">O11</f>
        <v>1801828.125</v>
      </c>
      <c r="P12" s="51">
        <f t="shared" si="16"/>
        <v>1968797.5312500005</v>
      </c>
      <c r="Q12" s="51">
        <f t="shared" si="16"/>
        <v>2133364.5000000005</v>
      </c>
      <c r="R12" s="44">
        <f t="shared" si="2"/>
        <v>7536446.4375</v>
      </c>
      <c r="S12" s="51">
        <f>S11</f>
        <v>2295529.0312500005</v>
      </c>
      <c r="T12" s="51">
        <f t="shared" ref="T12:V12" si="17">T11</f>
        <v>2455291.1250000005</v>
      </c>
      <c r="U12" s="51">
        <f t="shared" si="17"/>
        <v>2612650.7812500005</v>
      </c>
      <c r="V12" s="51">
        <f t="shared" si="17"/>
        <v>2767608</v>
      </c>
      <c r="W12" s="44">
        <f t="shared" si="3"/>
        <v>10131078.937500002</v>
      </c>
      <c r="X12" s="51">
        <f>X11</f>
        <v>2920162.78125</v>
      </c>
      <c r="Y12" s="51">
        <f t="shared" ref="Y12:AA12" si="18">Y11</f>
        <v>3070315.125</v>
      </c>
      <c r="Z12" s="51">
        <f t="shared" si="18"/>
        <v>3218065.03125</v>
      </c>
      <c r="AA12" s="51">
        <f t="shared" si="18"/>
        <v>3363412.5</v>
      </c>
      <c r="AB12" s="44">
        <f t="shared" si="4"/>
        <v>12571955.4375</v>
      </c>
      <c r="AC12" s="51">
        <f>AC11</f>
        <v>3339388.125</v>
      </c>
      <c r="AD12" s="51">
        <f t="shared" ref="AD12:AF12" si="19">AD11</f>
        <v>3315363.75</v>
      </c>
      <c r="AE12" s="51">
        <f t="shared" si="19"/>
        <v>3291339.375</v>
      </c>
      <c r="AF12" s="51">
        <f t="shared" si="19"/>
        <v>3267315</v>
      </c>
      <c r="AG12" s="44">
        <f t="shared" si="5"/>
        <v>13213406.25</v>
      </c>
      <c r="AH12" s="51">
        <f>AH11</f>
        <v>3243290.625</v>
      </c>
      <c r="AI12" s="51">
        <f t="shared" ref="AI12:AK12" si="20">AI11</f>
        <v>3219266.25</v>
      </c>
      <c r="AJ12" s="51">
        <f t="shared" si="20"/>
        <v>3195241.875</v>
      </c>
      <c r="AK12" s="51">
        <f t="shared" si="20"/>
        <v>3171217.5</v>
      </c>
      <c r="AL12" s="44">
        <f t="shared" si="6"/>
        <v>12829016.25</v>
      </c>
    </row>
    <row r="13" spans="1:38" ht="15.95" outlineLevel="2">
      <c r="A13" s="31"/>
      <c r="C13" s="32" t="s">
        <v>256</v>
      </c>
      <c r="D13" s="183">
        <f>'Alt. scenario LCY'!D13*VLOOKUP(Assumptions!$D$7, Lists!$B$7:$C$10, 2, FALSE)*Assumptions!$D$10/VLOOKUP(Assumptions!$D$9, Lists!$B$7:$C$10, 2, FALSE)</f>
        <v>12396.0375</v>
      </c>
      <c r="E13" s="183">
        <f>'Alt. scenario LCY'!E13*VLOOKUP(Assumptions!$D$7, Lists!$B$7:$C$10, 2, FALSE)*Assumptions!$D$10/VLOOKUP(Assumptions!$D$9, Lists!$B$7:$C$10, 2, FALSE)</f>
        <v>24636.15</v>
      </c>
      <c r="F13" s="183">
        <f>'Alt. scenario LCY'!F13*VLOOKUP(Assumptions!$D$7, Lists!$B$7:$C$10, 2, FALSE)*Assumptions!$D$10/VLOOKUP(Assumptions!$D$9, Lists!$B$7:$C$10, 2, FALSE)</f>
        <v>36720.337500000001</v>
      </c>
      <c r="G13" s="183">
        <f>'Alt. scenario LCY'!G13*VLOOKUP(Assumptions!$D$7, Lists!$B$7:$C$10, 2, FALSE)*Assumptions!$D$10/VLOOKUP(Assumptions!$D$9, Lists!$B$7:$C$10, 2, FALSE)</f>
        <v>48648.6</v>
      </c>
      <c r="H13" s="60">
        <f t="shared" si="0"/>
        <v>122401.125</v>
      </c>
      <c r="I13" s="183">
        <f>'Alt. scenario LCY'!I13*VLOOKUP(Assumptions!$D$7, Lists!$B$7:$C$10, 2, FALSE)*Assumptions!$D$10/VLOOKUP(Assumptions!$D$9, Lists!$B$7:$C$10, 2, FALSE)</f>
        <v>60420.9375</v>
      </c>
      <c r="J13" s="183">
        <f>'Alt. scenario LCY'!J13*VLOOKUP(Assumptions!$D$7, Lists!$B$7:$C$10, 2, FALSE)*Assumptions!$D$10/VLOOKUP(Assumptions!$D$9, Lists!$B$7:$C$10, 2, FALSE)</f>
        <v>72037.350000000006</v>
      </c>
      <c r="K13" s="183">
        <f>'Alt. scenario LCY'!K13*VLOOKUP(Assumptions!$D$7, Lists!$B$7:$C$10, 2, FALSE)*Assumptions!$D$10/VLOOKUP(Assumptions!$D$9, Lists!$B$7:$C$10, 2, FALSE)</f>
        <v>83497.837500000009</v>
      </c>
      <c r="L13" s="183">
        <f>'Alt. scenario LCY'!L13*VLOOKUP(Assumptions!$D$7, Lists!$B$7:$C$10, 2, FALSE)*Assumptions!$D$10/VLOOKUP(Assumptions!$D$9, Lists!$B$7:$C$10, 2, FALSE)</f>
        <v>94802.400000000009</v>
      </c>
      <c r="M13" s="48">
        <f t="shared" si="1"/>
        <v>310758.52500000002</v>
      </c>
      <c r="N13" s="183">
        <f>'Alt. scenario LCY'!N13*VLOOKUP(Assumptions!$D$7, Lists!$B$7:$C$10, 2, FALSE)*Assumptions!$D$10/VLOOKUP(Assumptions!$D$9, Lists!$B$7:$C$10, 2, FALSE)</f>
        <v>105951.03750000001</v>
      </c>
      <c r="O13" s="183">
        <f>'Alt. scenario LCY'!O13*VLOOKUP(Assumptions!$D$7, Lists!$B$7:$C$10, 2, FALSE)*Assumptions!$D$10/VLOOKUP(Assumptions!$D$9, Lists!$B$7:$C$10, 2, FALSE)</f>
        <v>116943.75</v>
      </c>
      <c r="P13" s="183">
        <f>'Alt. scenario LCY'!P13*VLOOKUP(Assumptions!$D$7, Lists!$B$7:$C$10, 2, FALSE)*Assumptions!$D$10/VLOOKUP(Assumptions!$D$9, Lists!$B$7:$C$10, 2, FALSE)</f>
        <v>127780.53750000001</v>
      </c>
      <c r="Q13" s="183">
        <f>'Alt. scenario LCY'!Q13*VLOOKUP(Assumptions!$D$7, Lists!$B$7:$C$10, 2, FALSE)*Assumptions!$D$10/VLOOKUP(Assumptions!$D$9, Lists!$B$7:$C$10, 2, FALSE)</f>
        <v>138461.4</v>
      </c>
      <c r="R13" s="48">
        <f t="shared" si="2"/>
        <v>489136.72499999998</v>
      </c>
      <c r="S13" s="183">
        <f>'Alt. scenario LCY'!S13*VLOOKUP(Assumptions!$D$7, Lists!$B$7:$C$10, 2, FALSE)*Assumptions!$D$10/VLOOKUP(Assumptions!$D$9, Lists!$B$7:$C$10, 2, FALSE)</f>
        <v>148986.33749999999</v>
      </c>
      <c r="T13" s="183">
        <f>'Alt. scenario LCY'!T13*VLOOKUP(Assumptions!$D$7, Lists!$B$7:$C$10, 2, FALSE)*Assumptions!$D$10/VLOOKUP(Assumptions!$D$9, Lists!$B$7:$C$10, 2, FALSE)</f>
        <v>159355.35</v>
      </c>
      <c r="U13" s="183">
        <f>'Alt. scenario LCY'!U13*VLOOKUP(Assumptions!$D$7, Lists!$B$7:$C$10, 2, FALSE)*Assumptions!$D$10/VLOOKUP(Assumptions!$D$9, Lists!$B$7:$C$10, 2, FALSE)</f>
        <v>169568.4375</v>
      </c>
      <c r="V13" s="183">
        <f>'Alt. scenario LCY'!V13*VLOOKUP(Assumptions!$D$7, Lists!$B$7:$C$10, 2, FALSE)*Assumptions!$D$10/VLOOKUP(Assumptions!$D$9, Lists!$B$7:$C$10, 2, FALSE)</f>
        <v>179625.60000000001</v>
      </c>
      <c r="W13" s="48">
        <f t="shared" si="3"/>
        <v>657535.72499999998</v>
      </c>
      <c r="X13" s="183">
        <f>'Alt. scenario LCY'!X13*VLOOKUP(Assumptions!$D$7, Lists!$B$7:$C$10, 2, FALSE)*Assumptions!$D$10/VLOOKUP(Assumptions!$D$9, Lists!$B$7:$C$10, 2, FALSE)</f>
        <v>189526.83749999999</v>
      </c>
      <c r="Y13" s="183">
        <f>'Alt. scenario LCY'!Y13*VLOOKUP(Assumptions!$D$7, Lists!$B$7:$C$10, 2, FALSE)*Assumptions!$D$10/VLOOKUP(Assumptions!$D$9, Lists!$B$7:$C$10, 2, FALSE)</f>
        <v>199272.15</v>
      </c>
      <c r="Z13" s="183">
        <f>'Alt. scenario LCY'!Z13*VLOOKUP(Assumptions!$D$7, Lists!$B$7:$C$10, 2, FALSE)*Assumptions!$D$10/VLOOKUP(Assumptions!$D$9, Lists!$B$7:$C$10, 2, FALSE)</f>
        <v>208861.53750000001</v>
      </c>
      <c r="AA13" s="183">
        <f>'Alt. scenario LCY'!AA13*VLOOKUP(Assumptions!$D$7, Lists!$B$7:$C$10, 2, FALSE)*Assumptions!$D$10/VLOOKUP(Assumptions!$D$9, Lists!$B$7:$C$10, 2, FALSE)</f>
        <v>218295</v>
      </c>
      <c r="AB13" s="48">
        <f t="shared" si="4"/>
        <v>815955.52500000002</v>
      </c>
      <c r="AC13" s="183">
        <f>'Alt. scenario LCY'!AC13*VLOOKUP(Assumptions!$D$7, Lists!$B$7:$C$10, 2, FALSE)*Assumptions!$D$10/VLOOKUP(Assumptions!$D$9, Lists!$B$7:$C$10, 2, FALSE)</f>
        <v>216735.75</v>
      </c>
      <c r="AD13" s="183">
        <f>'Alt. scenario LCY'!AD13*VLOOKUP(Assumptions!$D$7, Lists!$B$7:$C$10, 2, FALSE)*Assumptions!$D$10/VLOOKUP(Assumptions!$D$9, Lists!$B$7:$C$10, 2, FALSE)</f>
        <v>215176.5</v>
      </c>
      <c r="AE13" s="183">
        <f>'Alt. scenario LCY'!AE13*VLOOKUP(Assumptions!$D$7, Lists!$B$7:$C$10, 2, FALSE)*Assumptions!$D$10/VLOOKUP(Assumptions!$D$9, Lists!$B$7:$C$10, 2, FALSE)</f>
        <v>213617.25</v>
      </c>
      <c r="AF13" s="183">
        <f>'Alt. scenario LCY'!AF13*VLOOKUP(Assumptions!$D$7, Lists!$B$7:$C$10, 2, FALSE)*Assumptions!$D$10/VLOOKUP(Assumptions!$D$9, Lists!$B$7:$C$10, 2, FALSE)</f>
        <v>212058</v>
      </c>
      <c r="AG13" s="48">
        <f t="shared" si="5"/>
        <v>857587.5</v>
      </c>
      <c r="AH13" s="183">
        <f>'Alt. scenario LCY'!AH13*VLOOKUP(Assumptions!$D$7, Lists!$B$7:$C$10, 2, FALSE)*Assumptions!$D$10/VLOOKUP(Assumptions!$D$9, Lists!$B$7:$C$10, 2, FALSE)</f>
        <v>210498.75</v>
      </c>
      <c r="AI13" s="183">
        <f>'Alt. scenario LCY'!AI13*VLOOKUP(Assumptions!$D$7, Lists!$B$7:$C$10, 2, FALSE)*Assumptions!$D$10/VLOOKUP(Assumptions!$D$9, Lists!$B$7:$C$10, 2, FALSE)</f>
        <v>208939.5</v>
      </c>
      <c r="AJ13" s="183">
        <f>'Alt. scenario LCY'!AJ13*VLOOKUP(Assumptions!$D$7, Lists!$B$7:$C$10, 2, FALSE)*Assumptions!$D$10/VLOOKUP(Assumptions!$D$9, Lists!$B$7:$C$10, 2, FALSE)</f>
        <v>207380.25</v>
      </c>
      <c r="AK13" s="183">
        <f>'Alt. scenario LCY'!AK13*VLOOKUP(Assumptions!$D$7, Lists!$B$7:$C$10, 2, FALSE)*Assumptions!$D$10/VLOOKUP(Assumptions!$D$9, Lists!$B$7:$C$10, 2, FALSE)</f>
        <v>205821</v>
      </c>
      <c r="AL13" s="48">
        <f t="shared" si="6"/>
        <v>832639.5</v>
      </c>
    </row>
    <row r="14" spans="1:38" ht="15.95" outlineLevel="2">
      <c r="A14" s="31"/>
      <c r="C14" s="32" t="s">
        <v>257</v>
      </c>
      <c r="D14" s="185">
        <f>'Alt. scenario LCY'!D14*VLOOKUP(Assumptions!$D$7, Lists!$B$7:$C$10, 2, FALSE)*Assumptions!$D$10/VLOOKUP(Assumptions!$D$9, Lists!$B$7:$C$10, 2, FALSE)</f>
        <v>30990.09375</v>
      </c>
      <c r="E14" s="185">
        <f>'Alt. scenario LCY'!E14*VLOOKUP(Assumptions!$D$7, Lists!$B$7:$C$10, 2, FALSE)*Assumptions!$D$10/VLOOKUP(Assumptions!$D$9, Lists!$B$7:$C$10, 2, FALSE)</f>
        <v>61590.375</v>
      </c>
      <c r="F14" s="185">
        <f>'Alt. scenario LCY'!F14*VLOOKUP(Assumptions!$D$7, Lists!$B$7:$C$10, 2, FALSE)*Assumptions!$D$10/VLOOKUP(Assumptions!$D$9, Lists!$B$7:$C$10, 2, FALSE)</f>
        <v>91800.84375</v>
      </c>
      <c r="G14" s="185">
        <f>'Alt. scenario LCY'!G14*VLOOKUP(Assumptions!$D$7, Lists!$B$7:$C$10, 2, FALSE)*Assumptions!$D$10/VLOOKUP(Assumptions!$D$9, Lists!$B$7:$C$10, 2, FALSE)</f>
        <v>121621.5</v>
      </c>
      <c r="H14" s="60">
        <f t="shared" si="0"/>
        <v>306002.8125</v>
      </c>
      <c r="I14" s="185">
        <f>'Alt. scenario LCY'!I14*VLOOKUP(Assumptions!$D$7, Lists!$B$7:$C$10, 2, FALSE)*Assumptions!$D$10/VLOOKUP(Assumptions!$D$9, Lists!$B$7:$C$10, 2, FALSE)</f>
        <v>151052.34375</v>
      </c>
      <c r="J14" s="185">
        <f>'Alt. scenario LCY'!J14*VLOOKUP(Assumptions!$D$7, Lists!$B$7:$C$10, 2, FALSE)*Assumptions!$D$10/VLOOKUP(Assumptions!$D$9, Lists!$B$7:$C$10, 2, FALSE)</f>
        <v>180093.375</v>
      </c>
      <c r="K14" s="185">
        <f>'Alt. scenario LCY'!K14*VLOOKUP(Assumptions!$D$7, Lists!$B$7:$C$10, 2, FALSE)*Assumptions!$D$10/VLOOKUP(Assumptions!$D$9, Lists!$B$7:$C$10, 2, FALSE)</f>
        <v>208744.59375</v>
      </c>
      <c r="L14" s="185">
        <f>'Alt. scenario LCY'!L14*VLOOKUP(Assumptions!$D$7, Lists!$B$7:$C$10, 2, FALSE)*Assumptions!$D$10/VLOOKUP(Assumptions!$D$9, Lists!$B$7:$C$10, 2, FALSE)</f>
        <v>237006</v>
      </c>
      <c r="M14" s="48">
        <f t="shared" si="1"/>
        <v>776896.3125</v>
      </c>
      <c r="N14" s="185">
        <f>'Alt. scenario LCY'!N14*VLOOKUP(Assumptions!$D$7, Lists!$B$7:$C$10, 2, FALSE)*Assumptions!$D$10/VLOOKUP(Assumptions!$D$9, Lists!$B$7:$C$10, 2, FALSE)</f>
        <v>264877.59375</v>
      </c>
      <c r="O14" s="185">
        <f>'Alt. scenario LCY'!O14*VLOOKUP(Assumptions!$D$7, Lists!$B$7:$C$10, 2, FALSE)*Assumptions!$D$10/VLOOKUP(Assumptions!$D$9, Lists!$B$7:$C$10, 2, FALSE)</f>
        <v>292359.375</v>
      </c>
      <c r="P14" s="185">
        <f>'Alt. scenario LCY'!P14*VLOOKUP(Assumptions!$D$7, Lists!$B$7:$C$10, 2, FALSE)*Assumptions!$D$10/VLOOKUP(Assumptions!$D$9, Lists!$B$7:$C$10, 2, FALSE)</f>
        <v>319451.34375</v>
      </c>
      <c r="Q14" s="185">
        <f>'Alt. scenario LCY'!Q14*VLOOKUP(Assumptions!$D$7, Lists!$B$7:$C$10, 2, FALSE)*Assumptions!$D$10/VLOOKUP(Assumptions!$D$9, Lists!$B$7:$C$10, 2, FALSE)</f>
        <v>346153.5</v>
      </c>
      <c r="R14" s="48">
        <f t="shared" si="2"/>
        <v>1222841.8125</v>
      </c>
      <c r="S14" s="185">
        <f>'Alt. scenario LCY'!S14*VLOOKUP(Assumptions!$D$7, Lists!$B$7:$C$10, 2, FALSE)*Assumptions!$D$10/VLOOKUP(Assumptions!$D$9, Lists!$B$7:$C$10, 2, FALSE)</f>
        <v>372465.84375</v>
      </c>
      <c r="T14" s="185">
        <f>'Alt. scenario LCY'!T14*VLOOKUP(Assumptions!$D$7, Lists!$B$7:$C$10, 2, FALSE)*Assumptions!$D$10/VLOOKUP(Assumptions!$D$9, Lists!$B$7:$C$10, 2, FALSE)</f>
        <v>398388.375</v>
      </c>
      <c r="U14" s="185">
        <f>'Alt. scenario LCY'!U14*VLOOKUP(Assumptions!$D$7, Lists!$B$7:$C$10, 2, FALSE)*Assumptions!$D$10/VLOOKUP(Assumptions!$D$9, Lists!$B$7:$C$10, 2, FALSE)</f>
        <v>423921.09375</v>
      </c>
      <c r="V14" s="185">
        <f>'Alt. scenario LCY'!V14*VLOOKUP(Assumptions!$D$7, Lists!$B$7:$C$10, 2, FALSE)*Assumptions!$D$10/VLOOKUP(Assumptions!$D$9, Lists!$B$7:$C$10, 2, FALSE)</f>
        <v>449064</v>
      </c>
      <c r="W14" s="48">
        <f t="shared" si="3"/>
        <v>1643839.3125</v>
      </c>
      <c r="X14" s="185">
        <f>'Alt. scenario LCY'!X14*VLOOKUP(Assumptions!$D$7, Lists!$B$7:$C$10, 2, FALSE)*Assumptions!$D$10/VLOOKUP(Assumptions!$D$9, Lists!$B$7:$C$10, 2, FALSE)</f>
        <v>473817.09375</v>
      </c>
      <c r="Y14" s="185">
        <f>'Alt. scenario LCY'!Y14*VLOOKUP(Assumptions!$D$7, Lists!$B$7:$C$10, 2, FALSE)*Assumptions!$D$10/VLOOKUP(Assumptions!$D$9, Lists!$B$7:$C$10, 2, FALSE)</f>
        <v>498180.375</v>
      </c>
      <c r="Z14" s="185">
        <f>'Alt. scenario LCY'!Z14*VLOOKUP(Assumptions!$D$7, Lists!$B$7:$C$10, 2, FALSE)*Assumptions!$D$10/VLOOKUP(Assumptions!$D$9, Lists!$B$7:$C$10, 2, FALSE)</f>
        <v>522153.84375</v>
      </c>
      <c r="AA14" s="185">
        <f>'Alt. scenario LCY'!AA14*VLOOKUP(Assumptions!$D$7, Lists!$B$7:$C$10, 2, FALSE)*Assumptions!$D$10/VLOOKUP(Assumptions!$D$9, Lists!$B$7:$C$10, 2, FALSE)</f>
        <v>545737.5</v>
      </c>
      <c r="AB14" s="48">
        <f t="shared" si="4"/>
        <v>2039888.8125</v>
      </c>
      <c r="AC14" s="185">
        <f>'Alt. scenario LCY'!AC14*VLOOKUP(Assumptions!$D$7, Lists!$B$7:$C$10, 2, FALSE)*Assumptions!$D$10/VLOOKUP(Assumptions!$D$9, Lists!$B$7:$C$10, 2, FALSE)</f>
        <v>541839.375</v>
      </c>
      <c r="AD14" s="185">
        <f>'Alt. scenario LCY'!AD14*VLOOKUP(Assumptions!$D$7, Lists!$B$7:$C$10, 2, FALSE)*Assumptions!$D$10/VLOOKUP(Assumptions!$D$9, Lists!$B$7:$C$10, 2, FALSE)</f>
        <v>537941.25</v>
      </c>
      <c r="AE14" s="185">
        <f>'Alt. scenario LCY'!AE14*VLOOKUP(Assumptions!$D$7, Lists!$B$7:$C$10, 2, FALSE)*Assumptions!$D$10/VLOOKUP(Assumptions!$D$9, Lists!$B$7:$C$10, 2, FALSE)</f>
        <v>534043.125</v>
      </c>
      <c r="AF14" s="185">
        <f>'Alt. scenario LCY'!AF14*VLOOKUP(Assumptions!$D$7, Lists!$B$7:$C$10, 2, FALSE)*Assumptions!$D$10/VLOOKUP(Assumptions!$D$9, Lists!$B$7:$C$10, 2, FALSE)</f>
        <v>530145</v>
      </c>
      <c r="AG14" s="48">
        <f t="shared" si="5"/>
        <v>2143968.75</v>
      </c>
      <c r="AH14" s="185">
        <f>'Alt. scenario LCY'!AH14*VLOOKUP(Assumptions!$D$7, Lists!$B$7:$C$10, 2, FALSE)*Assumptions!$D$10/VLOOKUP(Assumptions!$D$9, Lists!$B$7:$C$10, 2, FALSE)</f>
        <v>526246.875</v>
      </c>
      <c r="AI14" s="185">
        <f>'Alt. scenario LCY'!AI14*VLOOKUP(Assumptions!$D$7, Lists!$B$7:$C$10, 2, FALSE)*Assumptions!$D$10/VLOOKUP(Assumptions!$D$9, Lists!$B$7:$C$10, 2, FALSE)</f>
        <v>522348.75</v>
      </c>
      <c r="AJ14" s="185">
        <f>'Alt. scenario LCY'!AJ14*VLOOKUP(Assumptions!$D$7, Lists!$B$7:$C$10, 2, FALSE)*Assumptions!$D$10/VLOOKUP(Assumptions!$D$9, Lists!$B$7:$C$10, 2, FALSE)</f>
        <v>518450.625</v>
      </c>
      <c r="AK14" s="185">
        <f>'Alt. scenario LCY'!AK14*VLOOKUP(Assumptions!$D$7, Lists!$B$7:$C$10, 2, FALSE)*Assumptions!$D$10/VLOOKUP(Assumptions!$D$9, Lists!$B$7:$C$10, 2, FALSE)</f>
        <v>514552.5</v>
      </c>
      <c r="AL14" s="48">
        <f t="shared" si="6"/>
        <v>2081598.75</v>
      </c>
    </row>
    <row r="15" spans="1:38" ht="15.95" outlineLevel="2">
      <c r="A15" s="31"/>
      <c r="C15" s="32" t="s">
        <v>258</v>
      </c>
      <c r="D15" s="185">
        <f>'Alt. scenario LCY'!D15*VLOOKUP(Assumptions!$D$7, Lists!$B$7:$C$10, 2, FALSE)*Assumptions!$D$10/VLOOKUP(Assumptions!$D$9, Lists!$B$7:$C$10, 2, FALSE)</f>
        <v>61980.1875</v>
      </c>
      <c r="E15" s="185">
        <f>'Alt. scenario LCY'!E15*VLOOKUP(Assumptions!$D$7, Lists!$B$7:$C$10, 2, FALSE)*Assumptions!$D$10/VLOOKUP(Assumptions!$D$9, Lists!$B$7:$C$10, 2, FALSE)</f>
        <v>123180.75</v>
      </c>
      <c r="F15" s="185">
        <f>'Alt. scenario LCY'!F15*VLOOKUP(Assumptions!$D$7, Lists!$B$7:$C$10, 2, FALSE)*Assumptions!$D$10/VLOOKUP(Assumptions!$D$9, Lists!$B$7:$C$10, 2, FALSE)</f>
        <v>183601.6875</v>
      </c>
      <c r="G15" s="185">
        <f>'Alt. scenario LCY'!G15*VLOOKUP(Assumptions!$D$7, Lists!$B$7:$C$10, 2, FALSE)*Assumptions!$D$10/VLOOKUP(Assumptions!$D$9, Lists!$B$7:$C$10, 2, FALSE)</f>
        <v>243243</v>
      </c>
      <c r="H15" s="60">
        <f t="shared" si="0"/>
        <v>612005.625</v>
      </c>
      <c r="I15" s="185">
        <f>'Alt. scenario LCY'!I15*VLOOKUP(Assumptions!$D$7, Lists!$B$7:$C$10, 2, FALSE)*Assumptions!$D$10/VLOOKUP(Assumptions!$D$9, Lists!$B$7:$C$10, 2, FALSE)</f>
        <v>302104.6875</v>
      </c>
      <c r="J15" s="185">
        <f>'Alt. scenario LCY'!J15*VLOOKUP(Assumptions!$D$7, Lists!$B$7:$C$10, 2, FALSE)*Assumptions!$D$10/VLOOKUP(Assumptions!$D$9, Lists!$B$7:$C$10, 2, FALSE)</f>
        <v>360186.75</v>
      </c>
      <c r="K15" s="185">
        <f>'Alt. scenario LCY'!K15*VLOOKUP(Assumptions!$D$7, Lists!$B$7:$C$10, 2, FALSE)*Assumptions!$D$10/VLOOKUP(Assumptions!$D$9, Lists!$B$7:$C$10, 2, FALSE)</f>
        <v>417489.1875</v>
      </c>
      <c r="L15" s="185">
        <f>'Alt. scenario LCY'!L15*VLOOKUP(Assumptions!$D$7, Lists!$B$7:$C$10, 2, FALSE)*Assumptions!$D$10/VLOOKUP(Assumptions!$D$9, Lists!$B$7:$C$10, 2, FALSE)</f>
        <v>474012</v>
      </c>
      <c r="M15" s="48">
        <f t="shared" si="1"/>
        <v>1553792.625</v>
      </c>
      <c r="N15" s="185">
        <f>'Alt. scenario LCY'!N15*VLOOKUP(Assumptions!$D$7, Lists!$B$7:$C$10, 2, FALSE)*Assumptions!$D$10/VLOOKUP(Assumptions!$D$9, Lists!$B$7:$C$10, 2, FALSE)</f>
        <v>529755.1875</v>
      </c>
      <c r="O15" s="185">
        <f>'Alt. scenario LCY'!O15*VLOOKUP(Assumptions!$D$7, Lists!$B$7:$C$10, 2, FALSE)*Assumptions!$D$10/VLOOKUP(Assumptions!$D$9, Lists!$B$7:$C$10, 2, FALSE)</f>
        <v>584718.75</v>
      </c>
      <c r="P15" s="185">
        <f>'Alt. scenario LCY'!P15*VLOOKUP(Assumptions!$D$7, Lists!$B$7:$C$10, 2, FALSE)*Assumptions!$D$10/VLOOKUP(Assumptions!$D$9, Lists!$B$7:$C$10, 2, FALSE)</f>
        <v>638902.6875</v>
      </c>
      <c r="Q15" s="185">
        <f>'Alt. scenario LCY'!Q15*VLOOKUP(Assumptions!$D$7, Lists!$B$7:$C$10, 2, FALSE)*Assumptions!$D$10/VLOOKUP(Assumptions!$D$9, Lists!$B$7:$C$10, 2, FALSE)</f>
        <v>692307</v>
      </c>
      <c r="R15" s="48">
        <f t="shared" si="2"/>
        <v>2445683.625</v>
      </c>
      <c r="S15" s="185">
        <f>'Alt. scenario LCY'!S15*VLOOKUP(Assumptions!$D$7, Lists!$B$7:$C$10, 2, FALSE)*Assumptions!$D$10/VLOOKUP(Assumptions!$D$9, Lists!$B$7:$C$10, 2, FALSE)</f>
        <v>744931.6875</v>
      </c>
      <c r="T15" s="185">
        <f>'Alt. scenario LCY'!T15*VLOOKUP(Assumptions!$D$7, Lists!$B$7:$C$10, 2, FALSE)*Assumptions!$D$10/VLOOKUP(Assumptions!$D$9, Lists!$B$7:$C$10, 2, FALSE)</f>
        <v>796776.75</v>
      </c>
      <c r="U15" s="185">
        <f>'Alt. scenario LCY'!U15*VLOOKUP(Assumptions!$D$7, Lists!$B$7:$C$10, 2, FALSE)*Assumptions!$D$10/VLOOKUP(Assumptions!$D$9, Lists!$B$7:$C$10, 2, FALSE)</f>
        <v>847842.1875</v>
      </c>
      <c r="V15" s="185">
        <f>'Alt. scenario LCY'!V15*VLOOKUP(Assumptions!$D$7, Lists!$B$7:$C$10, 2, FALSE)*Assumptions!$D$10/VLOOKUP(Assumptions!$D$9, Lists!$B$7:$C$10, 2, FALSE)</f>
        <v>898128</v>
      </c>
      <c r="W15" s="48">
        <f t="shared" si="3"/>
        <v>3287678.625</v>
      </c>
      <c r="X15" s="185">
        <f>'Alt. scenario LCY'!X15*VLOOKUP(Assumptions!$D$7, Lists!$B$7:$C$10, 2, FALSE)*Assumptions!$D$10/VLOOKUP(Assumptions!$D$9, Lists!$B$7:$C$10, 2, FALSE)</f>
        <v>947634.1875</v>
      </c>
      <c r="Y15" s="185">
        <f>'Alt. scenario LCY'!Y15*VLOOKUP(Assumptions!$D$7, Lists!$B$7:$C$10, 2, FALSE)*Assumptions!$D$10/VLOOKUP(Assumptions!$D$9, Lists!$B$7:$C$10, 2, FALSE)</f>
        <v>996360.75</v>
      </c>
      <c r="Z15" s="185">
        <f>'Alt. scenario LCY'!Z15*VLOOKUP(Assumptions!$D$7, Lists!$B$7:$C$10, 2, FALSE)*Assumptions!$D$10/VLOOKUP(Assumptions!$D$9, Lists!$B$7:$C$10, 2, FALSE)</f>
        <v>1044307.6875</v>
      </c>
      <c r="AA15" s="185">
        <f>'Alt. scenario LCY'!AA15*VLOOKUP(Assumptions!$D$7, Lists!$B$7:$C$10, 2, FALSE)*Assumptions!$D$10/VLOOKUP(Assumptions!$D$9, Lists!$B$7:$C$10, 2, FALSE)</f>
        <v>1091475</v>
      </c>
      <c r="AB15" s="48">
        <f t="shared" si="4"/>
        <v>4079777.625</v>
      </c>
      <c r="AC15" s="185">
        <f>'Alt. scenario LCY'!AC15*VLOOKUP(Assumptions!$D$7, Lists!$B$7:$C$10, 2, FALSE)*Assumptions!$D$10/VLOOKUP(Assumptions!$D$9, Lists!$B$7:$C$10, 2, FALSE)</f>
        <v>1083678.75</v>
      </c>
      <c r="AD15" s="185">
        <f>'Alt. scenario LCY'!AD15*VLOOKUP(Assumptions!$D$7, Lists!$B$7:$C$10, 2, FALSE)*Assumptions!$D$10/VLOOKUP(Assumptions!$D$9, Lists!$B$7:$C$10, 2, FALSE)</f>
        <v>1075882.5</v>
      </c>
      <c r="AE15" s="185">
        <f>'Alt. scenario LCY'!AE15*VLOOKUP(Assumptions!$D$7, Lists!$B$7:$C$10, 2, FALSE)*Assumptions!$D$10/VLOOKUP(Assumptions!$D$9, Lists!$B$7:$C$10, 2, FALSE)</f>
        <v>1068086.25</v>
      </c>
      <c r="AF15" s="185">
        <f>'Alt. scenario LCY'!AF15*VLOOKUP(Assumptions!$D$7, Lists!$B$7:$C$10, 2, FALSE)*Assumptions!$D$10/VLOOKUP(Assumptions!$D$9, Lists!$B$7:$C$10, 2, FALSE)</f>
        <v>1060290</v>
      </c>
      <c r="AG15" s="48">
        <f t="shared" si="5"/>
        <v>4287937.5</v>
      </c>
      <c r="AH15" s="185">
        <f>'Alt. scenario LCY'!AH15*VLOOKUP(Assumptions!$D$7, Lists!$B$7:$C$10, 2, FALSE)*Assumptions!$D$10/VLOOKUP(Assumptions!$D$9, Lists!$B$7:$C$10, 2, FALSE)</f>
        <v>1052493.75</v>
      </c>
      <c r="AI15" s="185">
        <f>'Alt. scenario LCY'!AI15*VLOOKUP(Assumptions!$D$7, Lists!$B$7:$C$10, 2, FALSE)*Assumptions!$D$10/VLOOKUP(Assumptions!$D$9, Lists!$B$7:$C$10, 2, FALSE)</f>
        <v>1044697.5</v>
      </c>
      <c r="AJ15" s="185">
        <f>'Alt. scenario LCY'!AJ15*VLOOKUP(Assumptions!$D$7, Lists!$B$7:$C$10, 2, FALSE)*Assumptions!$D$10/VLOOKUP(Assumptions!$D$9, Lists!$B$7:$C$10, 2, FALSE)</f>
        <v>1036901.25</v>
      </c>
      <c r="AK15" s="185">
        <f>'Alt. scenario LCY'!AK15*VLOOKUP(Assumptions!$D$7, Lists!$B$7:$C$10, 2, FALSE)*Assumptions!$D$10/VLOOKUP(Assumptions!$D$9, Lists!$B$7:$C$10, 2, FALSE)</f>
        <v>1029105</v>
      </c>
      <c r="AL15" s="48">
        <f t="shared" si="6"/>
        <v>4163197.5</v>
      </c>
    </row>
    <row r="16" spans="1:38" ht="15.95" outlineLevel="2">
      <c r="A16" s="31"/>
      <c r="C16" s="32" t="s">
        <v>259</v>
      </c>
      <c r="D16" s="185">
        <f>'Alt. scenario LCY'!D16*VLOOKUP(Assumptions!$D$7, Lists!$B$7:$C$10, 2, FALSE)*Assumptions!$D$10/VLOOKUP(Assumptions!$D$9, Lists!$B$7:$C$10, 2, FALSE)</f>
        <v>300569.625</v>
      </c>
      <c r="E16" s="185">
        <f>'Alt. scenario LCY'!E16*VLOOKUP(Assumptions!$D$7, Lists!$B$7:$C$10, 2, FALSE)*Assumptions!$D$10/VLOOKUP(Assumptions!$D$9, Lists!$B$7:$C$10, 2, FALSE)</f>
        <v>296788.875</v>
      </c>
      <c r="F16" s="185">
        <f>'Alt. scenario LCY'!F16*VLOOKUP(Assumptions!$D$7, Lists!$B$7:$C$10, 2, FALSE)*Assumptions!$D$10/VLOOKUP(Assumptions!$D$9, Lists!$B$7:$C$10, 2, FALSE)</f>
        <v>293008.125</v>
      </c>
      <c r="G16" s="185">
        <f>'Alt. scenario LCY'!G16*VLOOKUP(Assumptions!$D$7, Lists!$B$7:$C$10, 2, FALSE)*Assumptions!$D$10/VLOOKUP(Assumptions!$D$9, Lists!$B$7:$C$10, 2, FALSE)</f>
        <v>289227.375</v>
      </c>
      <c r="H16" s="60">
        <f t="shared" si="0"/>
        <v>1179594</v>
      </c>
      <c r="I16" s="185">
        <f>'Alt. scenario LCY'!I16*VLOOKUP(Assumptions!$D$7, Lists!$B$7:$C$10, 2, FALSE)*Assumptions!$D$10/VLOOKUP(Assumptions!$D$9, Lists!$B$7:$C$10, 2, FALSE)</f>
        <v>285446.625</v>
      </c>
      <c r="J16" s="185">
        <f>'Alt. scenario LCY'!J16*VLOOKUP(Assumptions!$D$7, Lists!$B$7:$C$10, 2, FALSE)*Assumptions!$D$10/VLOOKUP(Assumptions!$D$9, Lists!$B$7:$C$10, 2, FALSE)</f>
        <v>281665.875</v>
      </c>
      <c r="K16" s="185">
        <f>'Alt. scenario LCY'!K16*VLOOKUP(Assumptions!$D$7, Lists!$B$7:$C$10, 2, FALSE)*Assumptions!$D$10/VLOOKUP(Assumptions!$D$9, Lists!$B$7:$C$10, 2, FALSE)</f>
        <v>277885.125</v>
      </c>
      <c r="L16" s="185">
        <f>'Alt. scenario LCY'!L16*VLOOKUP(Assumptions!$D$7, Lists!$B$7:$C$10, 2, FALSE)*Assumptions!$D$10/VLOOKUP(Assumptions!$D$9, Lists!$B$7:$C$10, 2, FALSE)</f>
        <v>274104.375</v>
      </c>
      <c r="M16" s="48">
        <f t="shared" si="1"/>
        <v>1119102</v>
      </c>
      <c r="N16" s="185">
        <f>'Alt. scenario LCY'!N16*VLOOKUP(Assumptions!$D$7, Lists!$B$7:$C$10, 2, FALSE)*Assumptions!$D$10/VLOOKUP(Assumptions!$D$9, Lists!$B$7:$C$10, 2, FALSE)</f>
        <v>270323.625</v>
      </c>
      <c r="O16" s="185">
        <f>'Alt. scenario LCY'!O16*VLOOKUP(Assumptions!$D$7, Lists!$B$7:$C$10, 2, FALSE)*Assumptions!$D$10/VLOOKUP(Assumptions!$D$9, Lists!$B$7:$C$10, 2, FALSE)</f>
        <v>266542.875</v>
      </c>
      <c r="P16" s="185">
        <f>'Alt. scenario LCY'!P16*VLOOKUP(Assumptions!$D$7, Lists!$B$7:$C$10, 2, FALSE)*Assumptions!$D$10/VLOOKUP(Assumptions!$D$9, Lists!$B$7:$C$10, 2, FALSE)</f>
        <v>262762.125</v>
      </c>
      <c r="Q16" s="185">
        <f>'Alt. scenario LCY'!Q16*VLOOKUP(Assumptions!$D$7, Lists!$B$7:$C$10, 2, FALSE)*Assumptions!$D$10/VLOOKUP(Assumptions!$D$9, Lists!$B$7:$C$10, 2, FALSE)</f>
        <v>258981.375</v>
      </c>
      <c r="R16" s="48">
        <f t="shared" si="2"/>
        <v>1058610</v>
      </c>
      <c r="S16" s="185">
        <f>'Alt. scenario LCY'!S16*VLOOKUP(Assumptions!$D$7, Lists!$B$7:$C$10, 2, FALSE)*Assumptions!$D$10/VLOOKUP(Assumptions!$D$9, Lists!$B$7:$C$10, 2, FALSE)</f>
        <v>255200.625</v>
      </c>
      <c r="T16" s="185">
        <f>'Alt. scenario LCY'!T16*VLOOKUP(Assumptions!$D$7, Lists!$B$7:$C$10, 2, FALSE)*Assumptions!$D$10/VLOOKUP(Assumptions!$D$9, Lists!$B$7:$C$10, 2, FALSE)</f>
        <v>251419.875</v>
      </c>
      <c r="U16" s="185">
        <f>'Alt. scenario LCY'!U16*VLOOKUP(Assumptions!$D$7, Lists!$B$7:$C$10, 2, FALSE)*Assumptions!$D$10/VLOOKUP(Assumptions!$D$9, Lists!$B$7:$C$10, 2, FALSE)</f>
        <v>247639.125</v>
      </c>
      <c r="V16" s="185">
        <f>'Alt. scenario LCY'!V16*VLOOKUP(Assumptions!$D$7, Lists!$B$7:$C$10, 2, FALSE)*Assumptions!$D$10/VLOOKUP(Assumptions!$D$9, Lists!$B$7:$C$10, 2, FALSE)</f>
        <v>243858.375</v>
      </c>
      <c r="W16" s="48">
        <f t="shared" si="3"/>
        <v>998118</v>
      </c>
      <c r="X16" s="185">
        <f>'Alt. scenario LCY'!X16*VLOOKUP(Assumptions!$D$7, Lists!$B$7:$C$10, 2, FALSE)*Assumptions!$D$10/VLOOKUP(Assumptions!$D$9, Lists!$B$7:$C$10, 2, FALSE)</f>
        <v>240077.625</v>
      </c>
      <c r="Y16" s="185">
        <f>'Alt. scenario LCY'!Y16*VLOOKUP(Assumptions!$D$7, Lists!$B$7:$C$10, 2, FALSE)*Assumptions!$D$10/VLOOKUP(Assumptions!$D$9, Lists!$B$7:$C$10, 2, FALSE)</f>
        <v>236296.875</v>
      </c>
      <c r="Z16" s="185">
        <f>'Alt. scenario LCY'!Z16*VLOOKUP(Assumptions!$D$7, Lists!$B$7:$C$10, 2, FALSE)*Assumptions!$D$10/VLOOKUP(Assumptions!$D$9, Lists!$B$7:$C$10, 2, FALSE)</f>
        <v>232516.125</v>
      </c>
      <c r="AA16" s="185">
        <f>'Alt. scenario LCY'!AA16*VLOOKUP(Assumptions!$D$7, Lists!$B$7:$C$10, 2, FALSE)*Assumptions!$D$10/VLOOKUP(Assumptions!$D$9, Lists!$B$7:$C$10, 2, FALSE)</f>
        <v>228735.375</v>
      </c>
      <c r="AB16" s="48">
        <f t="shared" si="4"/>
        <v>937626</v>
      </c>
      <c r="AC16" s="185">
        <f>'Alt. scenario LCY'!AC16*VLOOKUP(Assumptions!$D$7, Lists!$B$7:$C$10, 2, FALSE)*Assumptions!$D$10/VLOOKUP(Assumptions!$D$9, Lists!$B$7:$C$10, 2, FALSE)</f>
        <v>-37807.5</v>
      </c>
      <c r="AD16" s="185">
        <f>'Alt. scenario LCY'!AD16*VLOOKUP(Assumptions!$D$7, Lists!$B$7:$C$10, 2, FALSE)*Assumptions!$D$10/VLOOKUP(Assumptions!$D$9, Lists!$B$7:$C$10, 2, FALSE)</f>
        <v>-37807.5</v>
      </c>
      <c r="AE16" s="185">
        <f>'Alt. scenario LCY'!AE16*VLOOKUP(Assumptions!$D$7, Lists!$B$7:$C$10, 2, FALSE)*Assumptions!$D$10/VLOOKUP(Assumptions!$D$9, Lists!$B$7:$C$10, 2, FALSE)</f>
        <v>-37807.5</v>
      </c>
      <c r="AF16" s="185">
        <f>'Alt. scenario LCY'!AF16*VLOOKUP(Assumptions!$D$7, Lists!$B$7:$C$10, 2, FALSE)*Assumptions!$D$10/VLOOKUP(Assumptions!$D$9, Lists!$B$7:$C$10, 2, FALSE)</f>
        <v>-37807.5</v>
      </c>
      <c r="AG16" s="48">
        <f t="shared" si="5"/>
        <v>-151230</v>
      </c>
      <c r="AH16" s="185">
        <f>'Alt. scenario LCY'!AH16*VLOOKUP(Assumptions!$D$7, Lists!$B$7:$C$10, 2, FALSE)*Assumptions!$D$10/VLOOKUP(Assumptions!$D$9, Lists!$B$7:$C$10, 2, FALSE)</f>
        <v>-37807.5</v>
      </c>
      <c r="AI16" s="185">
        <f>'Alt. scenario LCY'!AI16*VLOOKUP(Assumptions!$D$7, Lists!$B$7:$C$10, 2, FALSE)*Assumptions!$D$10/VLOOKUP(Assumptions!$D$9, Lists!$B$7:$C$10, 2, FALSE)</f>
        <v>-37807.5</v>
      </c>
      <c r="AJ16" s="185">
        <f>'Alt. scenario LCY'!AJ16*VLOOKUP(Assumptions!$D$7, Lists!$B$7:$C$10, 2, FALSE)*Assumptions!$D$10/VLOOKUP(Assumptions!$D$9, Lists!$B$7:$C$10, 2, FALSE)</f>
        <v>-37807.5</v>
      </c>
      <c r="AK16" s="185">
        <f>'Alt. scenario LCY'!AK16*VLOOKUP(Assumptions!$D$7, Lists!$B$7:$C$10, 2, FALSE)*Assumptions!$D$10/VLOOKUP(Assumptions!$D$9, Lists!$B$7:$C$10, 2, FALSE)</f>
        <v>-37807.5</v>
      </c>
      <c r="AL16" s="48">
        <f t="shared" si="6"/>
        <v>-151230</v>
      </c>
    </row>
    <row r="17" spans="1:38" ht="17.100000000000001" outlineLevel="1" thickBot="1">
      <c r="A17" s="31"/>
      <c r="B17" s="34" t="s">
        <v>260</v>
      </c>
      <c r="C17" s="34"/>
      <c r="D17" s="184">
        <f>SUM(D13:D16)</f>
        <v>405935.94374999998</v>
      </c>
      <c r="E17" s="184">
        <f t="shared" ref="E17:G17" si="21">SUM(E13:E16)</f>
        <v>506196.15</v>
      </c>
      <c r="F17" s="184">
        <f t="shared" si="21"/>
        <v>605130.99375000002</v>
      </c>
      <c r="G17" s="184">
        <f t="shared" si="21"/>
        <v>702740.47499999998</v>
      </c>
      <c r="H17" s="61">
        <f t="shared" si="0"/>
        <v>2220003.5625</v>
      </c>
      <c r="I17" s="184">
        <f>SUM(I13:I16)</f>
        <v>799024.59375</v>
      </c>
      <c r="J17" s="184">
        <f t="shared" ref="J17:L17" si="22">SUM(J13:J16)</f>
        <v>893983.35</v>
      </c>
      <c r="K17" s="184">
        <f t="shared" si="22"/>
        <v>987616.74375000002</v>
      </c>
      <c r="L17" s="184">
        <f t="shared" si="22"/>
        <v>1079924.7749999999</v>
      </c>
      <c r="M17" s="51">
        <f t="shared" si="1"/>
        <v>3760549.4624999999</v>
      </c>
      <c r="N17" s="184">
        <f>SUM(N13:N16)</f>
        <v>1170907.4437500001</v>
      </c>
      <c r="O17" s="184">
        <f t="shared" ref="O17:Q17" si="23">SUM(O13:O16)</f>
        <v>1260564.75</v>
      </c>
      <c r="P17" s="184">
        <f t="shared" si="23"/>
        <v>1348896.6937500001</v>
      </c>
      <c r="Q17" s="184">
        <f t="shared" si="23"/>
        <v>1435903.2749999999</v>
      </c>
      <c r="R17" s="51">
        <f t="shared" si="2"/>
        <v>5216272.1624999996</v>
      </c>
      <c r="S17" s="184">
        <f>SUM(S13:S16)</f>
        <v>1521584.4937499999</v>
      </c>
      <c r="T17" s="184">
        <f t="shared" ref="T17:V17" si="24">SUM(T13:T16)</f>
        <v>1605940.35</v>
      </c>
      <c r="U17" s="184">
        <f t="shared" si="24"/>
        <v>1688970.84375</v>
      </c>
      <c r="V17" s="184">
        <f t="shared" si="24"/>
        <v>1770675.9750000001</v>
      </c>
      <c r="W17" s="51">
        <f t="shared" si="3"/>
        <v>6587171.6624999996</v>
      </c>
      <c r="X17" s="184">
        <f>SUM(X13:X16)</f>
        <v>1851055.7437499999</v>
      </c>
      <c r="Y17" s="184">
        <f t="shared" ref="Y17:AA17" si="25">SUM(Y13:Y16)</f>
        <v>1930110.15</v>
      </c>
      <c r="Z17" s="184">
        <f t="shared" si="25"/>
        <v>2007839.1937500001</v>
      </c>
      <c r="AA17" s="184">
        <f t="shared" si="25"/>
        <v>2084242.875</v>
      </c>
      <c r="AB17" s="51">
        <f t="shared" si="4"/>
        <v>7873247.9625000004</v>
      </c>
      <c r="AC17" s="184">
        <f>SUM(AC13:AC16)</f>
        <v>1804446.375</v>
      </c>
      <c r="AD17" s="184">
        <f t="shared" ref="AD17:AF17" si="26">SUM(AD13:AD16)</f>
        <v>1791192.75</v>
      </c>
      <c r="AE17" s="184">
        <f t="shared" si="26"/>
        <v>1777939.125</v>
      </c>
      <c r="AF17" s="184">
        <f t="shared" si="26"/>
        <v>1764685.5</v>
      </c>
      <c r="AG17" s="51">
        <f t="shared" si="5"/>
        <v>7138263.75</v>
      </c>
      <c r="AH17" s="184">
        <f>SUM(AH13:AH16)</f>
        <v>1751431.875</v>
      </c>
      <c r="AI17" s="184">
        <f t="shared" ref="AI17:AK17" si="27">SUM(AI13:AI16)</f>
        <v>1738178.25</v>
      </c>
      <c r="AJ17" s="184">
        <f t="shared" si="27"/>
        <v>1724924.625</v>
      </c>
      <c r="AK17" s="184">
        <f t="shared" si="27"/>
        <v>1711671</v>
      </c>
      <c r="AL17" s="51">
        <f t="shared" si="6"/>
        <v>6926205.75</v>
      </c>
    </row>
    <row r="18" spans="1:38" ht="17.100000000000001" thickBot="1">
      <c r="A18" s="36" t="s">
        <v>261</v>
      </c>
      <c r="B18" s="37"/>
      <c r="C18" s="38"/>
      <c r="D18" s="51">
        <f>D17</f>
        <v>405935.94374999998</v>
      </c>
      <c r="E18" s="51">
        <f t="shared" ref="E18:G18" si="28">E17</f>
        <v>506196.15</v>
      </c>
      <c r="F18" s="51">
        <f t="shared" si="28"/>
        <v>605130.99375000002</v>
      </c>
      <c r="G18" s="51">
        <f t="shared" si="28"/>
        <v>702740.47499999998</v>
      </c>
      <c r="H18" s="44">
        <f t="shared" si="0"/>
        <v>2220003.5625</v>
      </c>
      <c r="I18" s="51">
        <f>I17</f>
        <v>799024.59375</v>
      </c>
      <c r="J18" s="51">
        <f t="shared" ref="J18:L18" si="29">J17</f>
        <v>893983.35</v>
      </c>
      <c r="K18" s="51">
        <f t="shared" si="29"/>
        <v>987616.74375000002</v>
      </c>
      <c r="L18" s="51">
        <f t="shared" si="29"/>
        <v>1079924.7749999999</v>
      </c>
      <c r="M18" s="44">
        <f t="shared" si="1"/>
        <v>3760549.4624999999</v>
      </c>
      <c r="N18" s="51">
        <f>N17</f>
        <v>1170907.4437500001</v>
      </c>
      <c r="O18" s="51">
        <f t="shared" ref="O18:Q18" si="30">O17</f>
        <v>1260564.75</v>
      </c>
      <c r="P18" s="51">
        <f t="shared" si="30"/>
        <v>1348896.6937500001</v>
      </c>
      <c r="Q18" s="51">
        <f t="shared" si="30"/>
        <v>1435903.2749999999</v>
      </c>
      <c r="R18" s="44">
        <f t="shared" si="2"/>
        <v>5216272.1624999996</v>
      </c>
      <c r="S18" s="51">
        <f>S17</f>
        <v>1521584.4937499999</v>
      </c>
      <c r="T18" s="51">
        <f t="shared" ref="T18:V18" si="31">T17</f>
        <v>1605940.35</v>
      </c>
      <c r="U18" s="51">
        <f t="shared" si="31"/>
        <v>1688970.84375</v>
      </c>
      <c r="V18" s="51">
        <f t="shared" si="31"/>
        <v>1770675.9750000001</v>
      </c>
      <c r="W18" s="44">
        <f t="shared" si="3"/>
        <v>6587171.6624999996</v>
      </c>
      <c r="X18" s="51">
        <f>X17</f>
        <v>1851055.7437499999</v>
      </c>
      <c r="Y18" s="51">
        <f t="shared" ref="Y18:AA18" si="32">Y17</f>
        <v>1930110.15</v>
      </c>
      <c r="Z18" s="51">
        <f t="shared" si="32"/>
        <v>2007839.1937500001</v>
      </c>
      <c r="AA18" s="51">
        <f t="shared" si="32"/>
        <v>2084242.875</v>
      </c>
      <c r="AB18" s="44">
        <f t="shared" si="4"/>
        <v>7873247.9625000004</v>
      </c>
      <c r="AC18" s="51">
        <f>AC17</f>
        <v>1804446.375</v>
      </c>
      <c r="AD18" s="51">
        <f t="shared" ref="AD18:AF18" si="33">AD17</f>
        <v>1791192.75</v>
      </c>
      <c r="AE18" s="51">
        <f t="shared" si="33"/>
        <v>1777939.125</v>
      </c>
      <c r="AF18" s="51">
        <f t="shared" si="33"/>
        <v>1764685.5</v>
      </c>
      <c r="AG18" s="44">
        <f t="shared" si="5"/>
        <v>7138263.75</v>
      </c>
      <c r="AH18" s="51">
        <f>AH17</f>
        <v>1751431.875</v>
      </c>
      <c r="AI18" s="51">
        <f t="shared" ref="AI18:AK18" si="34">AI17</f>
        <v>1738178.25</v>
      </c>
      <c r="AJ18" s="51">
        <f t="shared" si="34"/>
        <v>1724924.625</v>
      </c>
      <c r="AK18" s="51">
        <f t="shared" si="34"/>
        <v>1711671</v>
      </c>
      <c r="AL18" s="44">
        <f t="shared" si="6"/>
        <v>6926205.75</v>
      </c>
    </row>
    <row r="19" spans="1:38" ht="15.95" outlineLevel="2">
      <c r="A19" s="31"/>
      <c r="C19" s="32" t="s">
        <v>262</v>
      </c>
      <c r="D19" s="183">
        <f>'Alt. scenario LCY'!D19*VLOOKUP(Assumptions!$D$7, Lists!$B$7:$C$10, 2, FALSE)*Assumptions!$D$10/VLOOKUP(Assumptions!$D$9, Lists!$B$7:$C$10, 2, FALSE)</f>
        <v>68866.875</v>
      </c>
      <c r="E19" s="183">
        <f>'Alt. scenario LCY'!E19*VLOOKUP(Assumptions!$D$7, Lists!$B$7:$C$10, 2, FALSE)*Assumptions!$D$10/VLOOKUP(Assumptions!$D$9, Lists!$B$7:$C$10, 2, FALSE)</f>
        <v>136867.5</v>
      </c>
      <c r="F19" s="183">
        <f>'Alt. scenario LCY'!F19*VLOOKUP(Assumptions!$D$7, Lists!$B$7:$C$10, 2, FALSE)*Assumptions!$D$10/VLOOKUP(Assumptions!$D$9, Lists!$B$7:$C$10, 2, FALSE)</f>
        <v>204001.875</v>
      </c>
      <c r="G19" s="183">
        <f>'Alt. scenario LCY'!G19*VLOOKUP(Assumptions!$D$7, Lists!$B$7:$C$10, 2, FALSE)*Assumptions!$D$10/VLOOKUP(Assumptions!$D$9, Lists!$B$7:$C$10, 2, FALSE)</f>
        <v>270270</v>
      </c>
      <c r="H19" s="60">
        <f t="shared" si="0"/>
        <v>680006.25</v>
      </c>
      <c r="I19" s="183">
        <f>'Alt. scenario LCY'!I19*VLOOKUP(Assumptions!$D$7, Lists!$B$7:$C$10, 2, FALSE)*Assumptions!$D$10/VLOOKUP(Assumptions!$D$9, Lists!$B$7:$C$10, 2, FALSE)</f>
        <v>335671.875</v>
      </c>
      <c r="J19" s="183">
        <f>'Alt. scenario LCY'!J19*VLOOKUP(Assumptions!$D$7, Lists!$B$7:$C$10, 2, FALSE)*Assumptions!$D$10/VLOOKUP(Assumptions!$D$9, Lists!$B$7:$C$10, 2, FALSE)</f>
        <v>400207.5</v>
      </c>
      <c r="K19" s="183">
        <f>'Alt. scenario LCY'!K19*VLOOKUP(Assumptions!$D$7, Lists!$B$7:$C$10, 2, FALSE)*Assumptions!$D$10/VLOOKUP(Assumptions!$D$9, Lists!$B$7:$C$10, 2, FALSE)</f>
        <v>463876.875</v>
      </c>
      <c r="L19" s="183">
        <f>'Alt. scenario LCY'!L19*VLOOKUP(Assumptions!$D$7, Lists!$B$7:$C$10, 2, FALSE)*Assumptions!$D$10/VLOOKUP(Assumptions!$D$9, Lists!$B$7:$C$10, 2, FALSE)</f>
        <v>526680</v>
      </c>
      <c r="M19" s="48">
        <f t="shared" si="1"/>
        <v>1726436.25</v>
      </c>
      <c r="N19" s="183">
        <f>'Alt. scenario LCY'!N19*VLOOKUP(Assumptions!$D$7, Lists!$B$7:$C$10, 2, FALSE)*Assumptions!$D$10/VLOOKUP(Assumptions!$D$9, Lists!$B$7:$C$10, 2, FALSE)</f>
        <v>588616.875</v>
      </c>
      <c r="O19" s="183">
        <f>'Alt. scenario LCY'!O19*VLOOKUP(Assumptions!$D$7, Lists!$B$7:$C$10, 2, FALSE)*Assumptions!$D$10/VLOOKUP(Assumptions!$D$9, Lists!$B$7:$C$10, 2, FALSE)</f>
        <v>649687.5</v>
      </c>
      <c r="P19" s="183">
        <f>'Alt. scenario LCY'!P19*VLOOKUP(Assumptions!$D$7, Lists!$B$7:$C$10, 2, FALSE)*Assumptions!$D$10/VLOOKUP(Assumptions!$D$9, Lists!$B$7:$C$10, 2, FALSE)</f>
        <v>709891.875</v>
      </c>
      <c r="Q19" s="183">
        <f>'Alt. scenario LCY'!Q19*VLOOKUP(Assumptions!$D$7, Lists!$B$7:$C$10, 2, FALSE)*Assumptions!$D$10/VLOOKUP(Assumptions!$D$9, Lists!$B$7:$C$10, 2, FALSE)</f>
        <v>769230</v>
      </c>
      <c r="R19" s="48">
        <f t="shared" si="2"/>
        <v>2717426.25</v>
      </c>
      <c r="S19" s="183">
        <f>'Alt. scenario LCY'!S19*VLOOKUP(Assumptions!$D$7, Lists!$B$7:$C$10, 2, FALSE)*Assumptions!$D$10/VLOOKUP(Assumptions!$D$9, Lists!$B$7:$C$10, 2, FALSE)</f>
        <v>827701.875</v>
      </c>
      <c r="T19" s="183">
        <f>'Alt. scenario LCY'!T19*VLOOKUP(Assumptions!$D$7, Lists!$B$7:$C$10, 2, FALSE)*Assumptions!$D$10/VLOOKUP(Assumptions!$D$9, Lists!$B$7:$C$10, 2, FALSE)</f>
        <v>885307.5</v>
      </c>
      <c r="U19" s="183">
        <f>'Alt. scenario LCY'!U19*VLOOKUP(Assumptions!$D$7, Lists!$B$7:$C$10, 2, FALSE)*Assumptions!$D$10/VLOOKUP(Assumptions!$D$9, Lists!$B$7:$C$10, 2, FALSE)</f>
        <v>942046.875</v>
      </c>
      <c r="V19" s="183">
        <f>'Alt. scenario LCY'!V19*VLOOKUP(Assumptions!$D$7, Lists!$B$7:$C$10, 2, FALSE)*Assumptions!$D$10/VLOOKUP(Assumptions!$D$9, Lists!$B$7:$C$10, 2, FALSE)</f>
        <v>997920</v>
      </c>
      <c r="W19" s="48">
        <f t="shared" si="3"/>
        <v>3652976.25</v>
      </c>
      <c r="X19" s="183">
        <f>'Alt. scenario LCY'!X19*VLOOKUP(Assumptions!$D$7, Lists!$B$7:$C$10, 2, FALSE)*Assumptions!$D$10/VLOOKUP(Assumptions!$D$9, Lists!$B$7:$C$10, 2, FALSE)</f>
        <v>1052926.875</v>
      </c>
      <c r="Y19" s="183">
        <f>'Alt. scenario LCY'!Y19*VLOOKUP(Assumptions!$D$7, Lists!$B$7:$C$10, 2, FALSE)*Assumptions!$D$10/VLOOKUP(Assumptions!$D$9, Lists!$B$7:$C$10, 2, FALSE)</f>
        <v>1107067.5</v>
      </c>
      <c r="Z19" s="183">
        <f>'Alt. scenario LCY'!Z19*VLOOKUP(Assumptions!$D$7, Lists!$B$7:$C$10, 2, FALSE)*Assumptions!$D$10/VLOOKUP(Assumptions!$D$9, Lists!$B$7:$C$10, 2, FALSE)</f>
        <v>1160341.875</v>
      </c>
      <c r="AA19" s="183">
        <f>'Alt. scenario LCY'!AA19*VLOOKUP(Assumptions!$D$7, Lists!$B$7:$C$10, 2, FALSE)*Assumptions!$D$10/VLOOKUP(Assumptions!$D$9, Lists!$B$7:$C$10, 2, FALSE)</f>
        <v>1212750</v>
      </c>
      <c r="AB19" s="48">
        <f t="shared" si="4"/>
        <v>4533086.25</v>
      </c>
      <c r="AC19" s="183">
        <f>'Alt. scenario LCY'!AC19*VLOOKUP(Assumptions!$D$7, Lists!$B$7:$C$10, 2, FALSE)*Assumptions!$D$10/VLOOKUP(Assumptions!$D$9, Lists!$B$7:$C$10, 2, FALSE)</f>
        <v>1204087.5</v>
      </c>
      <c r="AD19" s="183">
        <f>'Alt. scenario LCY'!AD19*VLOOKUP(Assumptions!$D$7, Lists!$B$7:$C$10, 2, FALSE)*Assumptions!$D$10/VLOOKUP(Assumptions!$D$9, Lists!$B$7:$C$10, 2, FALSE)</f>
        <v>1195425</v>
      </c>
      <c r="AE19" s="183">
        <f>'Alt. scenario LCY'!AE19*VLOOKUP(Assumptions!$D$7, Lists!$B$7:$C$10, 2, FALSE)*Assumptions!$D$10/VLOOKUP(Assumptions!$D$9, Lists!$B$7:$C$10, 2, FALSE)</f>
        <v>1186762.5</v>
      </c>
      <c r="AF19" s="183">
        <f>'Alt. scenario LCY'!AF19*VLOOKUP(Assumptions!$D$7, Lists!$B$7:$C$10, 2, FALSE)*Assumptions!$D$10/VLOOKUP(Assumptions!$D$9, Lists!$B$7:$C$10, 2, FALSE)</f>
        <v>1178100</v>
      </c>
      <c r="AG19" s="48">
        <f t="shared" si="5"/>
        <v>4764375</v>
      </c>
      <c r="AH19" s="183">
        <f>'Alt. scenario LCY'!AH19*VLOOKUP(Assumptions!$D$7, Lists!$B$7:$C$10, 2, FALSE)*Assumptions!$D$10/VLOOKUP(Assumptions!$D$9, Lists!$B$7:$C$10, 2, FALSE)</f>
        <v>1169437.5</v>
      </c>
      <c r="AI19" s="183">
        <f>'Alt. scenario LCY'!AI19*VLOOKUP(Assumptions!$D$7, Lists!$B$7:$C$10, 2, FALSE)*Assumptions!$D$10/VLOOKUP(Assumptions!$D$9, Lists!$B$7:$C$10, 2, FALSE)</f>
        <v>1160775</v>
      </c>
      <c r="AJ19" s="183">
        <f>'Alt. scenario LCY'!AJ19*VLOOKUP(Assumptions!$D$7, Lists!$B$7:$C$10, 2, FALSE)*Assumptions!$D$10/VLOOKUP(Assumptions!$D$9, Lists!$B$7:$C$10, 2, FALSE)</f>
        <v>1152112.5</v>
      </c>
      <c r="AK19" s="183">
        <f>'Alt. scenario LCY'!AK19*VLOOKUP(Assumptions!$D$7, Lists!$B$7:$C$10, 2, FALSE)*Assumptions!$D$10/VLOOKUP(Assumptions!$D$9, Lists!$B$7:$C$10, 2, FALSE)</f>
        <v>1143450</v>
      </c>
      <c r="AL19" s="48">
        <f t="shared" si="6"/>
        <v>4625775</v>
      </c>
    </row>
    <row r="20" spans="1:38" ht="15.95" outlineLevel="2">
      <c r="A20" s="31"/>
      <c r="C20" s="32" t="s">
        <v>263</v>
      </c>
      <c r="D20" s="185">
        <f>'Alt. scenario LCY'!D20*VLOOKUP(Assumptions!$D$7, Lists!$B$7:$C$10, 2, FALSE)*Assumptions!$D$10/VLOOKUP(Assumptions!$D$9, Lists!$B$7:$C$10, 2, FALSE)</f>
        <v>30000</v>
      </c>
      <c r="E20" s="185">
        <f>'Alt. scenario LCY'!E20*VLOOKUP(Assumptions!$D$7, Lists!$B$7:$C$10, 2, FALSE)*Assumptions!$D$10/VLOOKUP(Assumptions!$D$9, Lists!$B$7:$C$10, 2, FALSE)</f>
        <v>30000</v>
      </c>
      <c r="F20" s="185">
        <f>'Alt. scenario LCY'!F20*VLOOKUP(Assumptions!$D$7, Lists!$B$7:$C$10, 2, FALSE)*Assumptions!$D$10/VLOOKUP(Assumptions!$D$9, Lists!$B$7:$C$10, 2, FALSE)</f>
        <v>30000</v>
      </c>
      <c r="G20" s="185">
        <f>'Alt. scenario LCY'!G20*VLOOKUP(Assumptions!$D$7, Lists!$B$7:$C$10, 2, FALSE)*Assumptions!$D$10/VLOOKUP(Assumptions!$D$9, Lists!$B$7:$C$10, 2, FALSE)</f>
        <v>30000</v>
      </c>
      <c r="H20" s="60">
        <f t="shared" si="0"/>
        <v>120000</v>
      </c>
      <c r="I20" s="185">
        <f>'Alt. scenario LCY'!I20*VLOOKUP(Assumptions!$D$7, Lists!$B$7:$C$10, 2, FALSE)*Assumptions!$D$10/VLOOKUP(Assumptions!$D$9, Lists!$B$7:$C$10, 2, FALSE)</f>
        <v>30000</v>
      </c>
      <c r="J20" s="185">
        <f>'Alt. scenario LCY'!J20*VLOOKUP(Assumptions!$D$7, Lists!$B$7:$C$10, 2, FALSE)*Assumptions!$D$10/VLOOKUP(Assumptions!$D$9, Lists!$B$7:$C$10, 2, FALSE)</f>
        <v>30000</v>
      </c>
      <c r="K20" s="185">
        <f>'Alt. scenario LCY'!K20*VLOOKUP(Assumptions!$D$7, Lists!$B$7:$C$10, 2, FALSE)*Assumptions!$D$10/VLOOKUP(Assumptions!$D$9, Lists!$B$7:$C$10, 2, FALSE)</f>
        <v>30000</v>
      </c>
      <c r="L20" s="185">
        <f>'Alt. scenario LCY'!L20*VLOOKUP(Assumptions!$D$7, Lists!$B$7:$C$10, 2, FALSE)*Assumptions!$D$10/VLOOKUP(Assumptions!$D$9, Lists!$B$7:$C$10, 2, FALSE)</f>
        <v>30000</v>
      </c>
      <c r="M20" s="48">
        <f t="shared" si="1"/>
        <v>120000</v>
      </c>
      <c r="N20" s="185">
        <f>'Alt. scenario LCY'!N20*VLOOKUP(Assumptions!$D$7, Lists!$B$7:$C$10, 2, FALSE)*Assumptions!$D$10/VLOOKUP(Assumptions!$D$9, Lists!$B$7:$C$10, 2, FALSE)</f>
        <v>30000</v>
      </c>
      <c r="O20" s="185">
        <f>'Alt. scenario LCY'!O20*VLOOKUP(Assumptions!$D$7, Lists!$B$7:$C$10, 2, FALSE)*Assumptions!$D$10/VLOOKUP(Assumptions!$D$9, Lists!$B$7:$C$10, 2, FALSE)</f>
        <v>30000</v>
      </c>
      <c r="P20" s="185">
        <f>'Alt. scenario LCY'!P20*VLOOKUP(Assumptions!$D$7, Lists!$B$7:$C$10, 2, FALSE)*Assumptions!$D$10/VLOOKUP(Assumptions!$D$9, Lists!$B$7:$C$10, 2, FALSE)</f>
        <v>30000</v>
      </c>
      <c r="Q20" s="185">
        <f>'Alt. scenario LCY'!Q20*VLOOKUP(Assumptions!$D$7, Lists!$B$7:$C$10, 2, FALSE)*Assumptions!$D$10/VLOOKUP(Assumptions!$D$9, Lists!$B$7:$C$10, 2, FALSE)</f>
        <v>30000</v>
      </c>
      <c r="R20" s="48">
        <f t="shared" si="2"/>
        <v>120000</v>
      </c>
      <c r="S20" s="185">
        <f>'Alt. scenario LCY'!S20*VLOOKUP(Assumptions!$D$7, Lists!$B$7:$C$10, 2, FALSE)*Assumptions!$D$10/VLOOKUP(Assumptions!$D$9, Lists!$B$7:$C$10, 2, FALSE)</f>
        <v>30000</v>
      </c>
      <c r="T20" s="185">
        <f>'Alt. scenario LCY'!T20*VLOOKUP(Assumptions!$D$7, Lists!$B$7:$C$10, 2, FALSE)*Assumptions!$D$10/VLOOKUP(Assumptions!$D$9, Lists!$B$7:$C$10, 2, FALSE)</f>
        <v>30000</v>
      </c>
      <c r="U20" s="185">
        <f>'Alt. scenario LCY'!U20*VLOOKUP(Assumptions!$D$7, Lists!$B$7:$C$10, 2, FALSE)*Assumptions!$D$10/VLOOKUP(Assumptions!$D$9, Lists!$B$7:$C$10, 2, FALSE)</f>
        <v>30000</v>
      </c>
      <c r="V20" s="185">
        <f>'Alt. scenario LCY'!V20*VLOOKUP(Assumptions!$D$7, Lists!$B$7:$C$10, 2, FALSE)*Assumptions!$D$10/VLOOKUP(Assumptions!$D$9, Lists!$B$7:$C$10, 2, FALSE)</f>
        <v>30000</v>
      </c>
      <c r="W20" s="48">
        <f t="shared" si="3"/>
        <v>120000</v>
      </c>
      <c r="X20" s="185">
        <f>'Alt. scenario LCY'!X20*VLOOKUP(Assumptions!$D$7, Lists!$B$7:$C$10, 2, FALSE)*Assumptions!$D$10/VLOOKUP(Assumptions!$D$9, Lists!$B$7:$C$10, 2, FALSE)</f>
        <v>30000</v>
      </c>
      <c r="Y20" s="185">
        <f>'Alt. scenario LCY'!Y20*VLOOKUP(Assumptions!$D$7, Lists!$B$7:$C$10, 2, FALSE)*Assumptions!$D$10/VLOOKUP(Assumptions!$D$9, Lists!$B$7:$C$10, 2, FALSE)</f>
        <v>30000</v>
      </c>
      <c r="Z20" s="185">
        <f>'Alt. scenario LCY'!Z20*VLOOKUP(Assumptions!$D$7, Lists!$B$7:$C$10, 2, FALSE)*Assumptions!$D$10/VLOOKUP(Assumptions!$D$9, Lists!$B$7:$C$10, 2, FALSE)</f>
        <v>30000</v>
      </c>
      <c r="AA20" s="185">
        <f>'Alt. scenario LCY'!AA20*VLOOKUP(Assumptions!$D$7, Lists!$B$7:$C$10, 2, FALSE)*Assumptions!$D$10/VLOOKUP(Assumptions!$D$9, Lists!$B$7:$C$10, 2, FALSE)</f>
        <v>30000</v>
      </c>
      <c r="AB20" s="48">
        <f t="shared" si="4"/>
        <v>120000</v>
      </c>
      <c r="AC20" s="185">
        <f>'Alt. scenario LCY'!AC20*VLOOKUP(Assumptions!$D$7, Lists!$B$7:$C$10, 2, FALSE)*Assumptions!$D$10/VLOOKUP(Assumptions!$D$9, Lists!$B$7:$C$10, 2, FALSE)</f>
        <v>30000</v>
      </c>
      <c r="AD20" s="185">
        <f>'Alt. scenario LCY'!AD20*VLOOKUP(Assumptions!$D$7, Lists!$B$7:$C$10, 2, FALSE)*Assumptions!$D$10/VLOOKUP(Assumptions!$D$9, Lists!$B$7:$C$10, 2, FALSE)</f>
        <v>30000</v>
      </c>
      <c r="AE20" s="185">
        <f>'Alt. scenario LCY'!AE20*VLOOKUP(Assumptions!$D$7, Lists!$B$7:$C$10, 2, FALSE)*Assumptions!$D$10/VLOOKUP(Assumptions!$D$9, Lists!$B$7:$C$10, 2, FALSE)</f>
        <v>30000</v>
      </c>
      <c r="AF20" s="185">
        <f>'Alt. scenario LCY'!AF20*VLOOKUP(Assumptions!$D$7, Lists!$B$7:$C$10, 2, FALSE)*Assumptions!$D$10/VLOOKUP(Assumptions!$D$9, Lists!$B$7:$C$10, 2, FALSE)</f>
        <v>30000</v>
      </c>
      <c r="AG20" s="48">
        <f t="shared" si="5"/>
        <v>120000</v>
      </c>
      <c r="AH20" s="185">
        <f>'Alt. scenario LCY'!AH20*VLOOKUP(Assumptions!$D$7, Lists!$B$7:$C$10, 2, FALSE)*Assumptions!$D$10/VLOOKUP(Assumptions!$D$9, Lists!$B$7:$C$10, 2, FALSE)</f>
        <v>30000</v>
      </c>
      <c r="AI20" s="185">
        <f>'Alt. scenario LCY'!AI20*VLOOKUP(Assumptions!$D$7, Lists!$B$7:$C$10, 2, FALSE)*Assumptions!$D$10/VLOOKUP(Assumptions!$D$9, Lists!$B$7:$C$10, 2, FALSE)</f>
        <v>30000</v>
      </c>
      <c r="AJ20" s="185">
        <f>'Alt. scenario LCY'!AJ20*VLOOKUP(Assumptions!$D$7, Lists!$B$7:$C$10, 2, FALSE)*Assumptions!$D$10/VLOOKUP(Assumptions!$D$9, Lists!$B$7:$C$10, 2, FALSE)</f>
        <v>30000</v>
      </c>
      <c r="AK20" s="185">
        <f>'Alt. scenario LCY'!AK20*VLOOKUP(Assumptions!$D$7, Lists!$B$7:$C$10, 2, FALSE)*Assumptions!$D$10/VLOOKUP(Assumptions!$D$9, Lists!$B$7:$C$10, 2, FALSE)</f>
        <v>30000</v>
      </c>
      <c r="AL20" s="48">
        <f t="shared" si="6"/>
        <v>120000</v>
      </c>
    </row>
    <row r="21" spans="1:38" ht="15.95" outlineLevel="2">
      <c r="A21" s="31"/>
      <c r="C21" s="32" t="s">
        <v>264</v>
      </c>
      <c r="D21" s="185">
        <f>'Alt. scenario LCY'!D21*VLOOKUP(Assumptions!$D$7, Lists!$B$7:$C$10, 2, FALSE)*Assumptions!$D$10/VLOOKUP(Assumptions!$D$9, Lists!$B$7:$C$10, 2, FALSE)</f>
        <v>-75000</v>
      </c>
      <c r="E21" s="185">
        <f>'Alt. scenario LCY'!E21*VLOOKUP(Assumptions!$D$7, Lists!$B$7:$C$10, 2, FALSE)*Assumptions!$D$10/VLOOKUP(Assumptions!$D$9, Lists!$B$7:$C$10, 2, FALSE)</f>
        <v>-75000</v>
      </c>
      <c r="F21" s="185">
        <f>'Alt. scenario LCY'!F21*VLOOKUP(Assumptions!$D$7, Lists!$B$7:$C$10, 2, FALSE)*Assumptions!$D$10/VLOOKUP(Assumptions!$D$9, Lists!$B$7:$C$10, 2, FALSE)</f>
        <v>-75000</v>
      </c>
      <c r="G21" s="185">
        <f>'Alt. scenario LCY'!G21*VLOOKUP(Assumptions!$D$7, Lists!$B$7:$C$10, 2, FALSE)*Assumptions!$D$10/VLOOKUP(Assumptions!$D$9, Lists!$B$7:$C$10, 2, FALSE)</f>
        <v>-75000</v>
      </c>
      <c r="H21" s="60">
        <f t="shared" si="0"/>
        <v>-300000</v>
      </c>
      <c r="I21" s="185">
        <f>'Alt. scenario LCY'!I21*VLOOKUP(Assumptions!$D$7, Lists!$B$7:$C$10, 2, FALSE)*Assumptions!$D$10/VLOOKUP(Assumptions!$D$9, Lists!$B$7:$C$10, 2, FALSE)</f>
        <v>-75000</v>
      </c>
      <c r="J21" s="185">
        <f>'Alt. scenario LCY'!J21*VLOOKUP(Assumptions!$D$7, Lists!$B$7:$C$10, 2, FALSE)*Assumptions!$D$10/VLOOKUP(Assumptions!$D$9, Lists!$B$7:$C$10, 2, FALSE)</f>
        <v>-75000</v>
      </c>
      <c r="K21" s="185">
        <f>'Alt. scenario LCY'!K21*VLOOKUP(Assumptions!$D$7, Lists!$B$7:$C$10, 2, FALSE)*Assumptions!$D$10/VLOOKUP(Assumptions!$D$9, Lists!$B$7:$C$10, 2, FALSE)</f>
        <v>-75000</v>
      </c>
      <c r="L21" s="185">
        <f>'Alt. scenario LCY'!L21*VLOOKUP(Assumptions!$D$7, Lists!$B$7:$C$10, 2, FALSE)*Assumptions!$D$10/VLOOKUP(Assumptions!$D$9, Lists!$B$7:$C$10, 2, FALSE)</f>
        <v>-75000</v>
      </c>
      <c r="M21" s="48">
        <f t="shared" si="1"/>
        <v>-300000</v>
      </c>
      <c r="N21" s="185">
        <f>'Alt. scenario LCY'!N21*VLOOKUP(Assumptions!$D$7, Lists!$B$7:$C$10, 2, FALSE)*Assumptions!$D$10/VLOOKUP(Assumptions!$D$9, Lists!$B$7:$C$10, 2, FALSE)</f>
        <v>-75000</v>
      </c>
      <c r="O21" s="185">
        <f>'Alt. scenario LCY'!O21*VLOOKUP(Assumptions!$D$7, Lists!$B$7:$C$10, 2, FALSE)*Assumptions!$D$10/VLOOKUP(Assumptions!$D$9, Lists!$B$7:$C$10, 2, FALSE)</f>
        <v>-75000</v>
      </c>
      <c r="P21" s="185">
        <f>'Alt. scenario LCY'!P21*VLOOKUP(Assumptions!$D$7, Lists!$B$7:$C$10, 2, FALSE)*Assumptions!$D$10/VLOOKUP(Assumptions!$D$9, Lists!$B$7:$C$10, 2, FALSE)</f>
        <v>-75000</v>
      </c>
      <c r="Q21" s="185">
        <f>'Alt. scenario LCY'!Q21*VLOOKUP(Assumptions!$D$7, Lists!$B$7:$C$10, 2, FALSE)*Assumptions!$D$10/VLOOKUP(Assumptions!$D$9, Lists!$B$7:$C$10, 2, FALSE)</f>
        <v>-75000</v>
      </c>
      <c r="R21" s="48">
        <f t="shared" si="2"/>
        <v>-300000</v>
      </c>
      <c r="S21" s="185">
        <f>'Alt. scenario LCY'!S21*VLOOKUP(Assumptions!$D$7, Lists!$B$7:$C$10, 2, FALSE)*Assumptions!$D$10/VLOOKUP(Assumptions!$D$9, Lists!$B$7:$C$10, 2, FALSE)</f>
        <v>-75000</v>
      </c>
      <c r="T21" s="185">
        <f>'Alt. scenario LCY'!T21*VLOOKUP(Assumptions!$D$7, Lists!$B$7:$C$10, 2, FALSE)*Assumptions!$D$10/VLOOKUP(Assumptions!$D$9, Lists!$B$7:$C$10, 2, FALSE)</f>
        <v>-75000</v>
      </c>
      <c r="U21" s="185">
        <f>'Alt. scenario LCY'!U21*VLOOKUP(Assumptions!$D$7, Lists!$B$7:$C$10, 2, FALSE)*Assumptions!$D$10/VLOOKUP(Assumptions!$D$9, Lists!$B$7:$C$10, 2, FALSE)</f>
        <v>-75000</v>
      </c>
      <c r="V21" s="185">
        <f>'Alt. scenario LCY'!V21*VLOOKUP(Assumptions!$D$7, Lists!$B$7:$C$10, 2, FALSE)*Assumptions!$D$10/VLOOKUP(Assumptions!$D$9, Lists!$B$7:$C$10, 2, FALSE)</f>
        <v>-75000</v>
      </c>
      <c r="W21" s="48">
        <f t="shared" si="3"/>
        <v>-300000</v>
      </c>
      <c r="X21" s="185">
        <f>'Alt. scenario LCY'!X21*VLOOKUP(Assumptions!$D$7, Lists!$B$7:$C$10, 2, FALSE)*Assumptions!$D$10/VLOOKUP(Assumptions!$D$9, Lists!$B$7:$C$10, 2, FALSE)</f>
        <v>-75000</v>
      </c>
      <c r="Y21" s="185">
        <f>'Alt. scenario LCY'!Y21*VLOOKUP(Assumptions!$D$7, Lists!$B$7:$C$10, 2, FALSE)*Assumptions!$D$10/VLOOKUP(Assumptions!$D$9, Lists!$B$7:$C$10, 2, FALSE)</f>
        <v>-75000</v>
      </c>
      <c r="Z21" s="185">
        <f>'Alt. scenario LCY'!Z21*VLOOKUP(Assumptions!$D$7, Lists!$B$7:$C$10, 2, FALSE)*Assumptions!$D$10/VLOOKUP(Assumptions!$D$9, Lists!$B$7:$C$10, 2, FALSE)</f>
        <v>-75000</v>
      </c>
      <c r="AA21" s="185">
        <f>'Alt. scenario LCY'!AA21*VLOOKUP(Assumptions!$D$7, Lists!$B$7:$C$10, 2, FALSE)*Assumptions!$D$10/VLOOKUP(Assumptions!$D$9, Lists!$B$7:$C$10, 2, FALSE)</f>
        <v>-75000</v>
      </c>
      <c r="AB21" s="48">
        <f t="shared" si="4"/>
        <v>-300000</v>
      </c>
      <c r="AC21" s="185">
        <f>'Alt. scenario LCY'!AC21*VLOOKUP(Assumptions!$D$7, Lists!$B$7:$C$10, 2, FALSE)*Assumptions!$D$10/VLOOKUP(Assumptions!$D$9, Lists!$B$7:$C$10, 2, FALSE)</f>
        <v>-75000</v>
      </c>
      <c r="AD21" s="185">
        <f>'Alt. scenario LCY'!AD21*VLOOKUP(Assumptions!$D$7, Lists!$B$7:$C$10, 2, FALSE)*Assumptions!$D$10/VLOOKUP(Assumptions!$D$9, Lists!$B$7:$C$10, 2, FALSE)</f>
        <v>-75000</v>
      </c>
      <c r="AE21" s="185">
        <f>'Alt. scenario LCY'!AE21*VLOOKUP(Assumptions!$D$7, Lists!$B$7:$C$10, 2, FALSE)*Assumptions!$D$10/VLOOKUP(Assumptions!$D$9, Lists!$B$7:$C$10, 2, FALSE)</f>
        <v>-75000</v>
      </c>
      <c r="AF21" s="185">
        <f>'Alt. scenario LCY'!AF21*VLOOKUP(Assumptions!$D$7, Lists!$B$7:$C$10, 2, FALSE)*Assumptions!$D$10/VLOOKUP(Assumptions!$D$9, Lists!$B$7:$C$10, 2, FALSE)</f>
        <v>-75000</v>
      </c>
      <c r="AG21" s="48">
        <f t="shared" si="5"/>
        <v>-300000</v>
      </c>
      <c r="AH21" s="185">
        <f>'Alt. scenario LCY'!AH21*VLOOKUP(Assumptions!$D$7, Lists!$B$7:$C$10, 2, FALSE)*Assumptions!$D$10/VLOOKUP(Assumptions!$D$9, Lists!$B$7:$C$10, 2, FALSE)</f>
        <v>-75000</v>
      </c>
      <c r="AI21" s="185">
        <f>'Alt. scenario LCY'!AI21*VLOOKUP(Assumptions!$D$7, Lists!$B$7:$C$10, 2, FALSE)*Assumptions!$D$10/VLOOKUP(Assumptions!$D$9, Lists!$B$7:$C$10, 2, FALSE)</f>
        <v>-75000</v>
      </c>
      <c r="AJ21" s="185">
        <f>'Alt. scenario LCY'!AJ21*VLOOKUP(Assumptions!$D$7, Lists!$B$7:$C$10, 2, FALSE)*Assumptions!$D$10/VLOOKUP(Assumptions!$D$9, Lists!$B$7:$C$10, 2, FALSE)</f>
        <v>-75000</v>
      </c>
      <c r="AK21" s="185">
        <f>'Alt. scenario LCY'!AK21*VLOOKUP(Assumptions!$D$7, Lists!$B$7:$C$10, 2, FALSE)*Assumptions!$D$10/VLOOKUP(Assumptions!$D$9, Lists!$B$7:$C$10, 2, FALSE)</f>
        <v>-75000</v>
      </c>
      <c r="AL21" s="48">
        <f t="shared" si="6"/>
        <v>-300000</v>
      </c>
    </row>
    <row r="22" spans="1:38" ht="15.95" outlineLevel="2">
      <c r="A22" s="31"/>
      <c r="C22" s="32" t="s">
        <v>265</v>
      </c>
      <c r="D22" s="185">
        <f>'Alt. scenario LCY'!D22*VLOOKUP(Assumptions!$D$7, Lists!$B$7:$C$10, 2, FALSE)*Assumptions!$D$10/VLOOKUP(Assumptions!$D$9, Lists!$B$7:$C$10, 2, FALSE)</f>
        <v>-45000</v>
      </c>
      <c r="E22" s="185">
        <f>'Alt. scenario LCY'!E22*VLOOKUP(Assumptions!$D$7, Lists!$B$7:$C$10, 2, FALSE)*Assumptions!$D$10/VLOOKUP(Assumptions!$D$9, Lists!$B$7:$C$10, 2, FALSE)</f>
        <v>-45000</v>
      </c>
      <c r="F22" s="185">
        <f>'Alt. scenario LCY'!F22*VLOOKUP(Assumptions!$D$7, Lists!$B$7:$C$10, 2, FALSE)*Assumptions!$D$10/VLOOKUP(Assumptions!$D$9, Lists!$B$7:$C$10, 2, FALSE)</f>
        <v>-45000</v>
      </c>
      <c r="G22" s="185">
        <f>'Alt. scenario LCY'!G22*VLOOKUP(Assumptions!$D$7, Lists!$B$7:$C$10, 2, FALSE)*Assumptions!$D$10/VLOOKUP(Assumptions!$D$9, Lists!$B$7:$C$10, 2, FALSE)</f>
        <v>-45000</v>
      </c>
      <c r="H22" s="60">
        <f t="shared" si="0"/>
        <v>-180000</v>
      </c>
      <c r="I22" s="185">
        <f>'Alt. scenario LCY'!I22*VLOOKUP(Assumptions!$D$7, Lists!$B$7:$C$10, 2, FALSE)*Assumptions!$D$10/VLOOKUP(Assumptions!$D$9, Lists!$B$7:$C$10, 2, FALSE)</f>
        <v>-45000</v>
      </c>
      <c r="J22" s="185">
        <f>'Alt. scenario LCY'!J22*VLOOKUP(Assumptions!$D$7, Lists!$B$7:$C$10, 2, FALSE)*Assumptions!$D$10/VLOOKUP(Assumptions!$D$9, Lists!$B$7:$C$10, 2, FALSE)</f>
        <v>-45000</v>
      </c>
      <c r="K22" s="185">
        <f>'Alt. scenario LCY'!K22*VLOOKUP(Assumptions!$D$7, Lists!$B$7:$C$10, 2, FALSE)*Assumptions!$D$10/VLOOKUP(Assumptions!$D$9, Lists!$B$7:$C$10, 2, FALSE)</f>
        <v>-45000</v>
      </c>
      <c r="L22" s="185">
        <f>'Alt. scenario LCY'!L22*VLOOKUP(Assumptions!$D$7, Lists!$B$7:$C$10, 2, FALSE)*Assumptions!$D$10/VLOOKUP(Assumptions!$D$9, Lists!$B$7:$C$10, 2, FALSE)</f>
        <v>-45000</v>
      </c>
      <c r="M22" s="48">
        <f t="shared" si="1"/>
        <v>-180000</v>
      </c>
      <c r="N22" s="185">
        <f>'Alt. scenario LCY'!N22*VLOOKUP(Assumptions!$D$7, Lists!$B$7:$C$10, 2, FALSE)*Assumptions!$D$10/VLOOKUP(Assumptions!$D$9, Lists!$B$7:$C$10, 2, FALSE)</f>
        <v>-45000</v>
      </c>
      <c r="O22" s="185">
        <f>'Alt. scenario LCY'!O22*VLOOKUP(Assumptions!$D$7, Lists!$B$7:$C$10, 2, FALSE)*Assumptions!$D$10/VLOOKUP(Assumptions!$D$9, Lists!$B$7:$C$10, 2, FALSE)</f>
        <v>-45000</v>
      </c>
      <c r="P22" s="185">
        <f>'Alt. scenario LCY'!P22*VLOOKUP(Assumptions!$D$7, Lists!$B$7:$C$10, 2, FALSE)*Assumptions!$D$10/VLOOKUP(Assumptions!$D$9, Lists!$B$7:$C$10, 2, FALSE)</f>
        <v>-45000</v>
      </c>
      <c r="Q22" s="185">
        <f>'Alt. scenario LCY'!Q22*VLOOKUP(Assumptions!$D$7, Lists!$B$7:$C$10, 2, FALSE)*Assumptions!$D$10/VLOOKUP(Assumptions!$D$9, Lists!$B$7:$C$10, 2, FALSE)</f>
        <v>-45000</v>
      </c>
      <c r="R22" s="48">
        <f t="shared" si="2"/>
        <v>-180000</v>
      </c>
      <c r="S22" s="185">
        <f>'Alt. scenario LCY'!S22*VLOOKUP(Assumptions!$D$7, Lists!$B$7:$C$10, 2, FALSE)*Assumptions!$D$10/VLOOKUP(Assumptions!$D$9, Lists!$B$7:$C$10, 2, FALSE)</f>
        <v>-45000</v>
      </c>
      <c r="T22" s="185">
        <f>'Alt. scenario LCY'!T22*VLOOKUP(Assumptions!$D$7, Lists!$B$7:$C$10, 2, FALSE)*Assumptions!$D$10/VLOOKUP(Assumptions!$D$9, Lists!$B$7:$C$10, 2, FALSE)</f>
        <v>-45000</v>
      </c>
      <c r="U22" s="185">
        <f>'Alt. scenario LCY'!U22*VLOOKUP(Assumptions!$D$7, Lists!$B$7:$C$10, 2, FALSE)*Assumptions!$D$10/VLOOKUP(Assumptions!$D$9, Lists!$B$7:$C$10, 2, FALSE)</f>
        <v>-45000</v>
      </c>
      <c r="V22" s="185">
        <f>'Alt. scenario LCY'!V22*VLOOKUP(Assumptions!$D$7, Lists!$B$7:$C$10, 2, FALSE)*Assumptions!$D$10/VLOOKUP(Assumptions!$D$9, Lists!$B$7:$C$10, 2, FALSE)</f>
        <v>-45000</v>
      </c>
      <c r="W22" s="48">
        <f t="shared" si="3"/>
        <v>-180000</v>
      </c>
      <c r="X22" s="185">
        <f>'Alt. scenario LCY'!X22*VLOOKUP(Assumptions!$D$7, Lists!$B$7:$C$10, 2, FALSE)*Assumptions!$D$10/VLOOKUP(Assumptions!$D$9, Lists!$B$7:$C$10, 2, FALSE)</f>
        <v>-45000</v>
      </c>
      <c r="Y22" s="185">
        <f>'Alt. scenario LCY'!Y22*VLOOKUP(Assumptions!$D$7, Lists!$B$7:$C$10, 2, FALSE)*Assumptions!$D$10/VLOOKUP(Assumptions!$D$9, Lists!$B$7:$C$10, 2, FALSE)</f>
        <v>-45000</v>
      </c>
      <c r="Z22" s="185">
        <f>'Alt. scenario LCY'!Z22*VLOOKUP(Assumptions!$D$7, Lists!$B$7:$C$10, 2, FALSE)*Assumptions!$D$10/VLOOKUP(Assumptions!$D$9, Lists!$B$7:$C$10, 2, FALSE)</f>
        <v>-45000</v>
      </c>
      <c r="AA22" s="185">
        <f>'Alt. scenario LCY'!AA22*VLOOKUP(Assumptions!$D$7, Lists!$B$7:$C$10, 2, FALSE)*Assumptions!$D$10/VLOOKUP(Assumptions!$D$9, Lists!$B$7:$C$10, 2, FALSE)</f>
        <v>-45000</v>
      </c>
      <c r="AB22" s="48">
        <f t="shared" si="4"/>
        <v>-180000</v>
      </c>
      <c r="AC22" s="185">
        <f>'Alt. scenario LCY'!AC22*VLOOKUP(Assumptions!$D$7, Lists!$B$7:$C$10, 2, FALSE)*Assumptions!$D$10/VLOOKUP(Assumptions!$D$9, Lists!$B$7:$C$10, 2, FALSE)</f>
        <v>-45000</v>
      </c>
      <c r="AD22" s="185">
        <f>'Alt. scenario LCY'!AD22*VLOOKUP(Assumptions!$D$7, Lists!$B$7:$C$10, 2, FALSE)*Assumptions!$D$10/VLOOKUP(Assumptions!$D$9, Lists!$B$7:$C$10, 2, FALSE)</f>
        <v>-45000</v>
      </c>
      <c r="AE22" s="185">
        <f>'Alt. scenario LCY'!AE22*VLOOKUP(Assumptions!$D$7, Lists!$B$7:$C$10, 2, FALSE)*Assumptions!$D$10/VLOOKUP(Assumptions!$D$9, Lists!$B$7:$C$10, 2, FALSE)</f>
        <v>-45000</v>
      </c>
      <c r="AF22" s="185">
        <f>'Alt. scenario LCY'!AF22*VLOOKUP(Assumptions!$D$7, Lists!$B$7:$C$10, 2, FALSE)*Assumptions!$D$10/VLOOKUP(Assumptions!$D$9, Lists!$B$7:$C$10, 2, FALSE)</f>
        <v>-45000</v>
      </c>
      <c r="AG22" s="48">
        <f t="shared" si="5"/>
        <v>-180000</v>
      </c>
      <c r="AH22" s="185">
        <f>'Alt. scenario LCY'!AH22*VLOOKUP(Assumptions!$D$7, Lists!$B$7:$C$10, 2, FALSE)*Assumptions!$D$10/VLOOKUP(Assumptions!$D$9, Lists!$B$7:$C$10, 2, FALSE)</f>
        <v>-45000</v>
      </c>
      <c r="AI22" s="185">
        <f>'Alt. scenario LCY'!AI22*VLOOKUP(Assumptions!$D$7, Lists!$B$7:$C$10, 2, FALSE)*Assumptions!$D$10/VLOOKUP(Assumptions!$D$9, Lists!$B$7:$C$10, 2, FALSE)</f>
        <v>-45000</v>
      </c>
      <c r="AJ22" s="185">
        <f>'Alt. scenario LCY'!AJ22*VLOOKUP(Assumptions!$D$7, Lists!$B$7:$C$10, 2, FALSE)*Assumptions!$D$10/VLOOKUP(Assumptions!$D$9, Lists!$B$7:$C$10, 2, FALSE)</f>
        <v>-45000</v>
      </c>
      <c r="AK22" s="185">
        <f>'Alt. scenario LCY'!AK22*VLOOKUP(Assumptions!$D$7, Lists!$B$7:$C$10, 2, FALSE)*Assumptions!$D$10/VLOOKUP(Assumptions!$D$9, Lists!$B$7:$C$10, 2, FALSE)</f>
        <v>-45000</v>
      </c>
      <c r="AL22" s="48">
        <f t="shared" si="6"/>
        <v>-180000</v>
      </c>
    </row>
    <row r="23" spans="1:38" ht="17.100000000000001" outlineLevel="1" thickBot="1">
      <c r="A23" s="31"/>
      <c r="B23" s="34" t="s">
        <v>266</v>
      </c>
      <c r="C23" s="34"/>
      <c r="D23" s="184">
        <f>D19+D22</f>
        <v>23866.875</v>
      </c>
      <c r="E23" s="184">
        <f t="shared" ref="E23:G23" si="35">E19+E22</f>
        <v>91867.5</v>
      </c>
      <c r="F23" s="184">
        <f t="shared" si="35"/>
        <v>159001.875</v>
      </c>
      <c r="G23" s="184">
        <f t="shared" si="35"/>
        <v>225270</v>
      </c>
      <c r="H23" s="61">
        <f t="shared" si="0"/>
        <v>500006.25</v>
      </c>
      <c r="I23" s="184">
        <f>I19+I22</f>
        <v>290671.875</v>
      </c>
      <c r="J23" s="184">
        <f t="shared" ref="J23:L23" si="36">J19+J22</f>
        <v>355207.5</v>
      </c>
      <c r="K23" s="184">
        <f t="shared" si="36"/>
        <v>418876.875</v>
      </c>
      <c r="L23" s="184">
        <f t="shared" si="36"/>
        <v>481680</v>
      </c>
      <c r="M23" s="51">
        <f t="shared" ref="M23:M28" si="37">SUM(I23:L23)</f>
        <v>1546436.25</v>
      </c>
      <c r="N23" s="184">
        <f>N19+N22</f>
        <v>543616.875</v>
      </c>
      <c r="O23" s="184">
        <f t="shared" ref="O23:Q23" si="38">O19+O22</f>
        <v>604687.5</v>
      </c>
      <c r="P23" s="184">
        <f t="shared" si="38"/>
        <v>664891.875</v>
      </c>
      <c r="Q23" s="184">
        <f t="shared" si="38"/>
        <v>724230</v>
      </c>
      <c r="R23" s="51">
        <f t="shared" ref="R23:R28" si="39">SUM(N23:Q23)</f>
        <v>2537426.25</v>
      </c>
      <c r="S23" s="184">
        <f>S19+S22</f>
        <v>782701.875</v>
      </c>
      <c r="T23" s="184">
        <f t="shared" ref="T23:V23" si="40">T19+T22</f>
        <v>840307.5</v>
      </c>
      <c r="U23" s="184">
        <f t="shared" si="40"/>
        <v>897046.875</v>
      </c>
      <c r="V23" s="184">
        <f t="shared" si="40"/>
        <v>952920</v>
      </c>
      <c r="W23" s="51">
        <f t="shared" ref="W23:W28" si="41">SUM(S23:V23)</f>
        <v>3472976.25</v>
      </c>
      <c r="X23" s="184">
        <f>X19+X22</f>
        <v>1007926.875</v>
      </c>
      <c r="Y23" s="184">
        <f t="shared" ref="Y23:AA23" si="42">Y19+Y22</f>
        <v>1062067.5</v>
      </c>
      <c r="Z23" s="184">
        <f t="shared" si="42"/>
        <v>1115341.875</v>
      </c>
      <c r="AA23" s="184">
        <f t="shared" si="42"/>
        <v>1167750</v>
      </c>
      <c r="AB23" s="51">
        <f t="shared" ref="AB23:AB28" si="43">SUM(X23:AA23)</f>
        <v>4353086.25</v>
      </c>
      <c r="AC23" s="184">
        <f>AC19+AC22</f>
        <v>1159087.5</v>
      </c>
      <c r="AD23" s="184">
        <f t="shared" ref="AD23:AF23" si="44">AD19+AD22</f>
        <v>1150425</v>
      </c>
      <c r="AE23" s="184">
        <f t="shared" si="44"/>
        <v>1141762.5</v>
      </c>
      <c r="AF23" s="184">
        <f t="shared" si="44"/>
        <v>1133100</v>
      </c>
      <c r="AG23" s="51">
        <f t="shared" ref="AG23:AG28" si="45">SUM(AC23:AF23)</f>
        <v>4584375</v>
      </c>
      <c r="AH23" s="184">
        <f>AH19+AH22</f>
        <v>1124437.5</v>
      </c>
      <c r="AI23" s="184">
        <f t="shared" ref="AI23:AK23" si="46">AI19+AI22</f>
        <v>1115775</v>
      </c>
      <c r="AJ23" s="184">
        <f t="shared" si="46"/>
        <v>1107112.5</v>
      </c>
      <c r="AK23" s="184">
        <f t="shared" si="46"/>
        <v>1098450</v>
      </c>
      <c r="AL23" s="51">
        <f t="shared" ref="AL23:AL28" si="47">SUM(AH23:AK23)</f>
        <v>4445775</v>
      </c>
    </row>
    <row r="24" spans="1:38" ht="17.100000000000001" thickBot="1">
      <c r="A24" s="36" t="s">
        <v>267</v>
      </c>
      <c r="B24" s="37"/>
      <c r="C24" s="38"/>
      <c r="D24" s="53">
        <f>D23</f>
        <v>23866.875</v>
      </c>
      <c r="E24" s="53">
        <f>E23</f>
        <v>91867.5</v>
      </c>
      <c r="F24" s="53">
        <f>F23</f>
        <v>159001.875</v>
      </c>
      <c r="G24" s="53">
        <f>G23</f>
        <v>225270</v>
      </c>
      <c r="H24" s="44">
        <f t="shared" si="0"/>
        <v>500006.25</v>
      </c>
      <c r="I24" s="53">
        <f>I23</f>
        <v>290671.875</v>
      </c>
      <c r="J24" s="53">
        <f>J23</f>
        <v>355207.5</v>
      </c>
      <c r="K24" s="53">
        <f>K23</f>
        <v>418876.875</v>
      </c>
      <c r="L24" s="53">
        <f>L23</f>
        <v>481680</v>
      </c>
      <c r="M24" s="44">
        <f t="shared" si="37"/>
        <v>1546436.25</v>
      </c>
      <c r="N24" s="53">
        <f>N23</f>
        <v>543616.875</v>
      </c>
      <c r="O24" s="53">
        <f>O23</f>
        <v>604687.5</v>
      </c>
      <c r="P24" s="53">
        <f>P23</f>
        <v>664891.875</v>
      </c>
      <c r="Q24" s="53">
        <f>Q23</f>
        <v>724230</v>
      </c>
      <c r="R24" s="44">
        <f t="shared" si="39"/>
        <v>2537426.25</v>
      </c>
      <c r="S24" s="53">
        <f>S23</f>
        <v>782701.875</v>
      </c>
      <c r="T24" s="53">
        <f>T23</f>
        <v>840307.5</v>
      </c>
      <c r="U24" s="53">
        <f>U23</f>
        <v>897046.875</v>
      </c>
      <c r="V24" s="53">
        <f>V23</f>
        <v>952920</v>
      </c>
      <c r="W24" s="44">
        <f t="shared" si="41"/>
        <v>3472976.25</v>
      </c>
      <c r="X24" s="53">
        <f>X23</f>
        <v>1007926.875</v>
      </c>
      <c r="Y24" s="53">
        <f>Y23</f>
        <v>1062067.5</v>
      </c>
      <c r="Z24" s="53">
        <f>Z23</f>
        <v>1115341.875</v>
      </c>
      <c r="AA24" s="53">
        <f>AA23</f>
        <v>1167750</v>
      </c>
      <c r="AB24" s="44">
        <f t="shared" si="43"/>
        <v>4353086.25</v>
      </c>
      <c r="AC24" s="53">
        <f>AC23</f>
        <v>1159087.5</v>
      </c>
      <c r="AD24" s="53">
        <f>AD23</f>
        <v>1150425</v>
      </c>
      <c r="AE24" s="53">
        <f>AE23</f>
        <v>1141762.5</v>
      </c>
      <c r="AF24" s="53">
        <f>AF23</f>
        <v>1133100</v>
      </c>
      <c r="AG24" s="44">
        <f t="shared" si="45"/>
        <v>4584375</v>
      </c>
      <c r="AH24" s="53">
        <f>AH23</f>
        <v>1124437.5</v>
      </c>
      <c r="AI24" s="53">
        <f>AI23</f>
        <v>1115775</v>
      </c>
      <c r="AJ24" s="53">
        <f>AJ23</f>
        <v>1107112.5</v>
      </c>
      <c r="AK24" s="53">
        <f>AK23</f>
        <v>1098450</v>
      </c>
      <c r="AL24" s="44">
        <f t="shared" si="47"/>
        <v>4445775</v>
      </c>
    </row>
    <row r="25" spans="1:38" ht="17.100000000000001" thickBot="1">
      <c r="A25" s="36" t="s">
        <v>268</v>
      </c>
      <c r="B25" s="37"/>
      <c r="C25" s="38"/>
      <c r="D25" s="182">
        <f>D24+D18+D12</f>
        <v>620796.6</v>
      </c>
      <c r="E25" s="182">
        <f>E24+E18+E12</f>
        <v>977648.77500000002</v>
      </c>
      <c r="F25" s="182">
        <f>F24+F18+F12</f>
        <v>1329906.9000000001</v>
      </c>
      <c r="G25" s="182">
        <f>G24+G18+G12</f>
        <v>1677570.9750000001</v>
      </c>
      <c r="H25" s="44">
        <f t="shared" si="0"/>
        <v>4605923.25</v>
      </c>
      <c r="I25" s="182">
        <f>I24+I18+I12</f>
        <v>2020641</v>
      </c>
      <c r="J25" s="182">
        <f>J24+J18+J12</f>
        <v>2359116.9750000006</v>
      </c>
      <c r="K25" s="182">
        <f>K24+K18+K12</f>
        <v>2692998.9000000004</v>
      </c>
      <c r="L25" s="182">
        <f>L24+L18+L12</f>
        <v>3022286.7749999999</v>
      </c>
      <c r="M25" s="44">
        <f t="shared" si="37"/>
        <v>10095043.65</v>
      </c>
      <c r="N25" s="182">
        <f>N24+N18+N12</f>
        <v>3346980.6</v>
      </c>
      <c r="O25" s="182">
        <f>O24+O18+O12</f>
        <v>3667080.375</v>
      </c>
      <c r="P25" s="182">
        <f>P24+P18+P12</f>
        <v>3982586.1000000006</v>
      </c>
      <c r="Q25" s="182">
        <f>Q24+Q18+Q12</f>
        <v>4293497.7750000004</v>
      </c>
      <c r="R25" s="44">
        <f t="shared" si="39"/>
        <v>15290144.85</v>
      </c>
      <c r="S25" s="182">
        <f>S24+S18+S12</f>
        <v>4599815.4000000004</v>
      </c>
      <c r="T25" s="182">
        <f>T24+T18+T12</f>
        <v>4901538.9750000006</v>
      </c>
      <c r="U25" s="182">
        <f>U24+U18+U12</f>
        <v>5198668.5</v>
      </c>
      <c r="V25" s="182">
        <f>V24+V18+V12</f>
        <v>5491203.9749999996</v>
      </c>
      <c r="W25" s="44">
        <f t="shared" si="41"/>
        <v>20191226.850000001</v>
      </c>
      <c r="X25" s="182">
        <f>X24+X18+X12</f>
        <v>5779145.4000000004</v>
      </c>
      <c r="Y25" s="182">
        <f>Y24+Y18+Y12</f>
        <v>6062492.7750000004</v>
      </c>
      <c r="Z25" s="182">
        <f>Z24+Z18+Z12</f>
        <v>6341246.0999999996</v>
      </c>
      <c r="AA25" s="182">
        <f>AA24+AA18+AA12</f>
        <v>6615405.375</v>
      </c>
      <c r="AB25" s="44">
        <f t="shared" si="43"/>
        <v>24798289.649999999</v>
      </c>
      <c r="AC25" s="182">
        <f>AC24+AC18+AC12</f>
        <v>6302922</v>
      </c>
      <c r="AD25" s="182">
        <f>AD24+AD18+AD12</f>
        <v>6256981.5</v>
      </c>
      <c r="AE25" s="182">
        <f>AE24+AE18+AE12</f>
        <v>6211041</v>
      </c>
      <c r="AF25" s="182">
        <f>AF24+AF18+AF12</f>
        <v>6165100.5</v>
      </c>
      <c r="AG25" s="44">
        <f t="shared" si="45"/>
        <v>24936045</v>
      </c>
      <c r="AH25" s="182">
        <f>AH24+AH18+AH12</f>
        <v>6119160</v>
      </c>
      <c r="AI25" s="182">
        <f>AI24+AI18+AI12</f>
        <v>6073219.5</v>
      </c>
      <c r="AJ25" s="182">
        <f>AJ24+AJ18+AJ12</f>
        <v>6027279</v>
      </c>
      <c r="AK25" s="182">
        <f>AK24+AK18+AK12</f>
        <v>5981338.5</v>
      </c>
      <c r="AL25" s="44">
        <f t="shared" si="47"/>
        <v>24200997</v>
      </c>
    </row>
    <row r="26" spans="1:38" ht="15.95" outlineLevel="2">
      <c r="A26" s="31"/>
      <c r="C26" s="32" t="s">
        <v>269</v>
      </c>
      <c r="D26" s="183">
        <f>'Alt. scenario LCY'!D26*VLOOKUP(Assumptions!$D$7, Lists!$B$7:$C$10, 2, FALSE)*Assumptions!$D$10/VLOOKUP(Assumptions!$D$9, Lists!$B$7:$C$10, 2, FALSE)</f>
        <v>-75142.40625</v>
      </c>
      <c r="E26" s="183">
        <f>'Alt. scenario LCY'!E26*VLOOKUP(Assumptions!$D$7, Lists!$B$7:$C$10, 2, FALSE)*Assumptions!$D$10/VLOOKUP(Assumptions!$D$9, Lists!$B$7:$C$10, 2, FALSE)</f>
        <v>-149339.625</v>
      </c>
      <c r="F26" s="183">
        <f>'Alt. scenario LCY'!F26*VLOOKUP(Assumptions!$D$7, Lists!$B$7:$C$10, 2, FALSE)*Assumptions!$D$10/VLOOKUP(Assumptions!$D$9, Lists!$B$7:$C$10, 2, FALSE)</f>
        <v>-222591.65625</v>
      </c>
      <c r="G26" s="183">
        <f>'Alt. scenario LCY'!G26*VLOOKUP(Assumptions!$D$7, Lists!$B$7:$C$10, 2, FALSE)*Assumptions!$D$10/VLOOKUP(Assumptions!$D$9, Lists!$B$7:$C$10, 2, FALSE)</f>
        <v>-294898.5</v>
      </c>
      <c r="H26" s="60">
        <f t="shared" si="0"/>
        <v>-741972.1875</v>
      </c>
      <c r="I26" s="183">
        <f>'Alt. scenario LCY'!I26*VLOOKUP(Assumptions!$D$7, Lists!$B$7:$C$10, 2, FALSE)*Assumptions!$D$10/VLOOKUP(Assumptions!$D$9, Lists!$B$7:$C$10, 2, FALSE)</f>
        <v>-366260.15625</v>
      </c>
      <c r="J26" s="183">
        <f>'Alt. scenario LCY'!J26*VLOOKUP(Assumptions!$D$7, Lists!$B$7:$C$10, 2, FALSE)*Assumptions!$D$10/VLOOKUP(Assumptions!$D$9, Lists!$B$7:$C$10, 2, FALSE)</f>
        <v>-436676.625</v>
      </c>
      <c r="K26" s="183">
        <f>'Alt. scenario LCY'!K26*VLOOKUP(Assumptions!$D$7, Lists!$B$7:$C$10, 2, FALSE)*Assumptions!$D$10/VLOOKUP(Assumptions!$D$9, Lists!$B$7:$C$10, 2, FALSE)</f>
        <v>-506147.90625</v>
      </c>
      <c r="L26" s="183">
        <f>'Alt. scenario LCY'!L26*VLOOKUP(Assumptions!$D$7, Lists!$B$7:$C$10, 2, FALSE)*Assumptions!$D$10/VLOOKUP(Assumptions!$D$9, Lists!$B$7:$C$10, 2, FALSE)</f>
        <v>-574674</v>
      </c>
      <c r="M26" s="48">
        <f t="shared" si="37"/>
        <v>-1883758.6875</v>
      </c>
      <c r="N26" s="183">
        <f>'Alt. scenario LCY'!N26*VLOOKUP(Assumptions!$D$7, Lists!$B$7:$C$10, 2, FALSE)*Assumptions!$D$10/VLOOKUP(Assumptions!$D$9, Lists!$B$7:$C$10, 2, FALSE)</f>
        <v>-642254.90625</v>
      </c>
      <c r="O26" s="183">
        <f>'Alt. scenario LCY'!O26*VLOOKUP(Assumptions!$D$7, Lists!$B$7:$C$10, 2, FALSE)*Assumptions!$D$10/VLOOKUP(Assumptions!$D$9, Lists!$B$7:$C$10, 2, FALSE)</f>
        <v>-708890.625</v>
      </c>
      <c r="P26" s="183">
        <f>'Alt. scenario LCY'!P26*VLOOKUP(Assumptions!$D$7, Lists!$B$7:$C$10, 2, FALSE)*Assumptions!$D$10/VLOOKUP(Assumptions!$D$9, Lists!$B$7:$C$10, 2, FALSE)</f>
        <v>-774581.15625</v>
      </c>
      <c r="Q26" s="183">
        <f>'Alt. scenario LCY'!Q26*VLOOKUP(Assumptions!$D$7, Lists!$B$7:$C$10, 2, FALSE)*Assumptions!$D$10/VLOOKUP(Assumptions!$D$9, Lists!$B$7:$C$10, 2, FALSE)</f>
        <v>-839326.5</v>
      </c>
      <c r="R26" s="48">
        <f t="shared" si="39"/>
        <v>-2965053.1875</v>
      </c>
      <c r="S26" s="183">
        <f>'Alt. scenario LCY'!S26*VLOOKUP(Assumptions!$D$7, Lists!$B$7:$C$10, 2, FALSE)*Assumptions!$D$10/VLOOKUP(Assumptions!$D$9, Lists!$B$7:$C$10, 2, FALSE)</f>
        <v>-903126.65625</v>
      </c>
      <c r="T26" s="183">
        <f>'Alt. scenario LCY'!T26*VLOOKUP(Assumptions!$D$7, Lists!$B$7:$C$10, 2, FALSE)*Assumptions!$D$10/VLOOKUP(Assumptions!$D$9, Lists!$B$7:$C$10, 2, FALSE)</f>
        <v>-965981.625</v>
      </c>
      <c r="U26" s="183">
        <f>'Alt. scenario LCY'!U26*VLOOKUP(Assumptions!$D$7, Lists!$B$7:$C$10, 2, FALSE)*Assumptions!$D$10/VLOOKUP(Assumptions!$D$9, Lists!$B$7:$C$10, 2, FALSE)</f>
        <v>-1027891.40625</v>
      </c>
      <c r="V26" s="183">
        <f>'Alt. scenario LCY'!V26*VLOOKUP(Assumptions!$D$7, Lists!$B$7:$C$10, 2, FALSE)*Assumptions!$D$10/VLOOKUP(Assumptions!$D$9, Lists!$B$7:$C$10, 2, FALSE)</f>
        <v>-1088856</v>
      </c>
      <c r="W26" s="48">
        <f t="shared" si="41"/>
        <v>-3985855.6875</v>
      </c>
      <c r="X26" s="183">
        <f>'Alt. scenario LCY'!X26*VLOOKUP(Assumptions!$D$7, Lists!$B$7:$C$10, 2, FALSE)*Assumptions!$D$10/VLOOKUP(Assumptions!$D$9, Lists!$B$7:$C$10, 2, FALSE)</f>
        <v>-1148875.40625</v>
      </c>
      <c r="Y26" s="183">
        <f>'Alt. scenario LCY'!Y26*VLOOKUP(Assumptions!$D$7, Lists!$B$7:$C$10, 2, FALSE)*Assumptions!$D$10/VLOOKUP(Assumptions!$D$9, Lists!$B$7:$C$10, 2, FALSE)</f>
        <v>-1207949.625</v>
      </c>
      <c r="Z26" s="183">
        <f>'Alt. scenario LCY'!Z26*VLOOKUP(Assumptions!$D$7, Lists!$B$7:$C$10, 2, FALSE)*Assumptions!$D$10/VLOOKUP(Assumptions!$D$9, Lists!$B$7:$C$10, 2, FALSE)</f>
        <v>-1266078.65625</v>
      </c>
      <c r="AA26" s="183">
        <f>'Alt. scenario LCY'!AA26*VLOOKUP(Assumptions!$D$7, Lists!$B$7:$C$10, 2, FALSE)*Assumptions!$D$10/VLOOKUP(Assumptions!$D$9, Lists!$B$7:$C$10, 2, FALSE)</f>
        <v>-1323262.5</v>
      </c>
      <c r="AB26" s="48">
        <f t="shared" si="43"/>
        <v>-4946166.1875</v>
      </c>
      <c r="AC26" s="183">
        <f>'Alt. scenario LCY'!AC26*VLOOKUP(Assumptions!$D$7, Lists!$B$7:$C$10, 2, FALSE)*Assumptions!$D$10/VLOOKUP(Assumptions!$D$9, Lists!$B$7:$C$10, 2, FALSE)</f>
        <v>-1313810.625</v>
      </c>
      <c r="AD26" s="183">
        <f>'Alt. scenario LCY'!AD26*VLOOKUP(Assumptions!$D$7, Lists!$B$7:$C$10, 2, FALSE)*Assumptions!$D$10/VLOOKUP(Assumptions!$D$9, Lists!$B$7:$C$10, 2, FALSE)</f>
        <v>-1304358.75</v>
      </c>
      <c r="AE26" s="183">
        <f>'Alt. scenario LCY'!AE26*VLOOKUP(Assumptions!$D$7, Lists!$B$7:$C$10, 2, FALSE)*Assumptions!$D$10/VLOOKUP(Assumptions!$D$9, Lists!$B$7:$C$10, 2, FALSE)</f>
        <v>-1294906.875</v>
      </c>
      <c r="AF26" s="183">
        <f>'Alt. scenario LCY'!AF26*VLOOKUP(Assumptions!$D$7, Lists!$B$7:$C$10, 2, FALSE)*Assumptions!$D$10/VLOOKUP(Assumptions!$D$9, Lists!$B$7:$C$10, 2, FALSE)</f>
        <v>-1285455</v>
      </c>
      <c r="AG26" s="48">
        <f t="shared" si="45"/>
        <v>-5198531.25</v>
      </c>
      <c r="AH26" s="183">
        <f>'Alt. scenario LCY'!AH26*VLOOKUP(Assumptions!$D$7, Lists!$B$7:$C$10, 2, FALSE)*Assumptions!$D$10/VLOOKUP(Assumptions!$D$9, Lists!$B$7:$C$10, 2, FALSE)</f>
        <v>-1276003.125</v>
      </c>
      <c r="AI26" s="183">
        <f>'Alt. scenario LCY'!AI26*VLOOKUP(Assumptions!$D$7, Lists!$B$7:$C$10, 2, FALSE)*Assumptions!$D$10/VLOOKUP(Assumptions!$D$9, Lists!$B$7:$C$10, 2, FALSE)</f>
        <v>-1266551.25</v>
      </c>
      <c r="AJ26" s="183">
        <f>'Alt. scenario LCY'!AJ26*VLOOKUP(Assumptions!$D$7, Lists!$B$7:$C$10, 2, FALSE)*Assumptions!$D$10/VLOOKUP(Assumptions!$D$9, Lists!$B$7:$C$10, 2, FALSE)</f>
        <v>-1257099.375</v>
      </c>
      <c r="AK26" s="183">
        <f>'Alt. scenario LCY'!AK26*VLOOKUP(Assumptions!$D$7, Lists!$B$7:$C$10, 2, FALSE)*Assumptions!$D$10/VLOOKUP(Assumptions!$D$9, Lists!$B$7:$C$10, 2, FALSE)</f>
        <v>-1247647.5</v>
      </c>
      <c r="AL26" s="60">
        <f t="shared" si="47"/>
        <v>-5047301.25</v>
      </c>
    </row>
    <row r="27" spans="1:38" ht="17.100000000000001" outlineLevel="1" thickBot="1">
      <c r="A27" s="31"/>
      <c r="B27" s="34" t="s">
        <v>269</v>
      </c>
      <c r="C27" s="34"/>
      <c r="D27" s="184">
        <f>D26</f>
        <v>-75142.40625</v>
      </c>
      <c r="E27" s="184">
        <f>E26</f>
        <v>-149339.625</v>
      </c>
      <c r="F27" s="184">
        <f>F26</f>
        <v>-222591.65625</v>
      </c>
      <c r="G27" s="184">
        <f>G26</f>
        <v>-294898.5</v>
      </c>
      <c r="H27" s="61">
        <f t="shared" si="0"/>
        <v>-741972.1875</v>
      </c>
      <c r="I27" s="184">
        <f>I26</f>
        <v>-366260.15625</v>
      </c>
      <c r="J27" s="184">
        <f>J26</f>
        <v>-436676.625</v>
      </c>
      <c r="K27" s="184">
        <f>K26</f>
        <v>-506147.90625</v>
      </c>
      <c r="L27" s="184">
        <f>L26</f>
        <v>-574674</v>
      </c>
      <c r="M27" s="51">
        <f t="shared" si="37"/>
        <v>-1883758.6875</v>
      </c>
      <c r="N27" s="184">
        <f>N26</f>
        <v>-642254.90625</v>
      </c>
      <c r="O27" s="184">
        <f>O26</f>
        <v>-708890.625</v>
      </c>
      <c r="P27" s="184">
        <f>P26</f>
        <v>-774581.15625</v>
      </c>
      <c r="Q27" s="184">
        <f>Q26</f>
        <v>-839326.5</v>
      </c>
      <c r="R27" s="51">
        <f t="shared" si="39"/>
        <v>-2965053.1875</v>
      </c>
      <c r="S27" s="184">
        <f>S26</f>
        <v>-903126.65625</v>
      </c>
      <c r="T27" s="184">
        <f>T26</f>
        <v>-965981.625</v>
      </c>
      <c r="U27" s="184">
        <f>U26</f>
        <v>-1027891.40625</v>
      </c>
      <c r="V27" s="184">
        <f>V26</f>
        <v>-1088856</v>
      </c>
      <c r="W27" s="51">
        <f t="shared" si="41"/>
        <v>-3985855.6875</v>
      </c>
      <c r="X27" s="184">
        <f>X26</f>
        <v>-1148875.40625</v>
      </c>
      <c r="Y27" s="184">
        <f>Y26</f>
        <v>-1207949.625</v>
      </c>
      <c r="Z27" s="184">
        <f>Z26</f>
        <v>-1266078.65625</v>
      </c>
      <c r="AA27" s="184">
        <f>AA26</f>
        <v>-1323262.5</v>
      </c>
      <c r="AB27" s="51">
        <f t="shared" si="43"/>
        <v>-4946166.1875</v>
      </c>
      <c r="AC27" s="184">
        <f>AC26</f>
        <v>-1313810.625</v>
      </c>
      <c r="AD27" s="184">
        <f>AD26</f>
        <v>-1304358.75</v>
      </c>
      <c r="AE27" s="184">
        <f>AE26</f>
        <v>-1294906.875</v>
      </c>
      <c r="AF27" s="184">
        <f>AF26</f>
        <v>-1285455</v>
      </c>
      <c r="AG27" s="51">
        <f t="shared" si="45"/>
        <v>-5198531.25</v>
      </c>
      <c r="AH27" s="184">
        <f>AH26</f>
        <v>-1276003.125</v>
      </c>
      <c r="AI27" s="184">
        <f>AI26</f>
        <v>-1266551.25</v>
      </c>
      <c r="AJ27" s="184">
        <f>AJ26</f>
        <v>-1257099.375</v>
      </c>
      <c r="AK27" s="184">
        <f>AK26</f>
        <v>-1247647.5</v>
      </c>
      <c r="AL27" s="61">
        <f t="shared" si="47"/>
        <v>-5047301.25</v>
      </c>
    </row>
    <row r="28" spans="1:38" ht="17.100000000000001" thickBot="1">
      <c r="A28" s="36" t="s">
        <v>270</v>
      </c>
      <c r="B28" s="37"/>
      <c r="C28" s="38"/>
      <c r="D28" s="51">
        <f>D25-D27</f>
        <v>695939.00624999998</v>
      </c>
      <c r="E28" s="51">
        <f>E25-E27</f>
        <v>1126988.3999999999</v>
      </c>
      <c r="F28" s="51">
        <f>F25-F27</f>
        <v>1552498.5562500001</v>
      </c>
      <c r="G28" s="51">
        <f>G25-G27</f>
        <v>1972469.4750000001</v>
      </c>
      <c r="H28" s="44">
        <f t="shared" si="0"/>
        <v>5347895.4375</v>
      </c>
      <c r="I28" s="51">
        <f>I25-I27</f>
        <v>2386901.15625</v>
      </c>
      <c r="J28" s="51">
        <f>J25-J27</f>
        <v>2795793.6000000006</v>
      </c>
      <c r="K28" s="51">
        <f>K25-K27</f>
        <v>3199146.8062500004</v>
      </c>
      <c r="L28" s="51">
        <f>L25-L27</f>
        <v>3596960.7749999999</v>
      </c>
      <c r="M28" s="44">
        <f t="shared" si="37"/>
        <v>11978802.3375</v>
      </c>
      <c r="N28" s="51">
        <f>N25-N27</f>
        <v>3989235.5062500001</v>
      </c>
      <c r="O28" s="51">
        <f>O25-O27</f>
        <v>4375971</v>
      </c>
      <c r="P28" s="51">
        <f>P25-P27</f>
        <v>4757167.2562500006</v>
      </c>
      <c r="Q28" s="51">
        <f>Q25-Q27</f>
        <v>5132824.2750000004</v>
      </c>
      <c r="R28" s="44">
        <f t="shared" si="39"/>
        <v>18255198.037500001</v>
      </c>
      <c r="S28" s="51">
        <f>S25-S27</f>
        <v>5502942.0562500004</v>
      </c>
      <c r="T28" s="51">
        <f>T25-T27</f>
        <v>5867520.6000000006</v>
      </c>
      <c r="U28" s="51">
        <f>U25-U27</f>
        <v>6226559.90625</v>
      </c>
      <c r="V28" s="51">
        <f>V25-V27</f>
        <v>6580059.9749999996</v>
      </c>
      <c r="W28" s="44">
        <f t="shared" si="41"/>
        <v>24177082.537500001</v>
      </c>
      <c r="X28" s="51">
        <f>X25-X27</f>
        <v>6928020.8062500004</v>
      </c>
      <c r="Y28" s="51">
        <f>Y25-Y27</f>
        <v>7270442.4000000004</v>
      </c>
      <c r="Z28" s="51">
        <f>Z25-Z27</f>
        <v>7607324.7562499996</v>
      </c>
      <c r="AA28" s="51">
        <f>AA25-AA27</f>
        <v>7938667.875</v>
      </c>
      <c r="AB28" s="44">
        <f t="shared" si="43"/>
        <v>29744455.837499999</v>
      </c>
      <c r="AC28" s="51">
        <f>AC25-AC27</f>
        <v>7616732.625</v>
      </c>
      <c r="AD28" s="51">
        <f>AD25-AD27</f>
        <v>7561340.25</v>
      </c>
      <c r="AE28" s="51">
        <f>AE25-AE27</f>
        <v>7505947.875</v>
      </c>
      <c r="AF28" s="51">
        <f>AF25-AF27</f>
        <v>7450555.5</v>
      </c>
      <c r="AG28" s="44">
        <f t="shared" si="45"/>
        <v>30134576.25</v>
      </c>
      <c r="AH28" s="51">
        <f>AH25-AH27</f>
        <v>7395163.125</v>
      </c>
      <c r="AI28" s="51">
        <f>AI25-AI27</f>
        <v>7339770.75</v>
      </c>
      <c r="AJ28" s="51">
        <f>AJ25-AJ27</f>
        <v>7284378.375</v>
      </c>
      <c r="AK28" s="51">
        <f>AK25-AK27</f>
        <v>7228986</v>
      </c>
      <c r="AL28" s="44">
        <f t="shared" si="47"/>
        <v>29248298.25</v>
      </c>
    </row>
    <row r="29" spans="1:38" ht="15.95" outlineLevel="2">
      <c r="A29" s="31"/>
      <c r="C29" s="32" t="s">
        <v>271</v>
      </c>
      <c r="D29" s="183">
        <f>'Alt. scenario LCY'!D29*VLOOKUP(Assumptions!$D$7, Lists!$B$7:$C$10, 2, FALSE)*Assumptions!$D$10/VLOOKUP(Assumptions!$D$9, Lists!$B$7:$C$10, 2, FALSE)</f>
        <v>-27000</v>
      </c>
      <c r="E29" s="183">
        <f>'Alt. scenario LCY'!E29*VLOOKUP(Assumptions!$D$7, Lists!$B$7:$C$10, 2, FALSE)*Assumptions!$D$10/VLOOKUP(Assumptions!$D$9, Lists!$B$7:$C$10, 2, FALSE)</f>
        <v>-54000</v>
      </c>
      <c r="F29" s="183">
        <f>'Alt. scenario LCY'!F29*VLOOKUP(Assumptions!$D$7, Lists!$B$7:$C$10, 2, FALSE)*Assumptions!$D$10/VLOOKUP(Assumptions!$D$9, Lists!$B$7:$C$10, 2, FALSE)</f>
        <v>-81000</v>
      </c>
      <c r="G29" s="183">
        <f>'Alt. scenario LCY'!G29*VLOOKUP(Assumptions!$D$7, Lists!$B$7:$C$10, 2, FALSE)*Assumptions!$D$10/VLOOKUP(Assumptions!$D$9, Lists!$B$7:$C$10, 2, FALSE)</f>
        <v>-103500</v>
      </c>
      <c r="H29" s="60">
        <f>SUM(D29:G29)</f>
        <v>-265500</v>
      </c>
      <c r="I29" s="183">
        <f>'Alt. scenario LCY'!I29*VLOOKUP(Assumptions!$D$7, Lists!$B$7:$C$10, 2, FALSE)*Assumptions!$D$10/VLOOKUP(Assumptions!$D$9, Lists!$B$7:$C$10, 2, FALSE)</f>
        <v>-126000</v>
      </c>
      <c r="J29" s="183">
        <f>'Alt. scenario LCY'!J29*VLOOKUP(Assumptions!$D$7, Lists!$B$7:$C$10, 2, FALSE)*Assumptions!$D$10/VLOOKUP(Assumptions!$D$9, Lists!$B$7:$C$10, 2, FALSE)</f>
        <v>-153000</v>
      </c>
      <c r="K29" s="183">
        <f>'Alt. scenario LCY'!K29*VLOOKUP(Assumptions!$D$7, Lists!$B$7:$C$10, 2, FALSE)*Assumptions!$D$10/VLOOKUP(Assumptions!$D$9, Lists!$B$7:$C$10, 2, FALSE)</f>
        <v>-175500</v>
      </c>
      <c r="L29" s="183">
        <f>'Alt. scenario LCY'!L29*VLOOKUP(Assumptions!$D$7, Lists!$B$7:$C$10, 2, FALSE)*Assumptions!$D$10/VLOOKUP(Assumptions!$D$9, Lists!$B$7:$C$10, 2, FALSE)</f>
        <v>-198000</v>
      </c>
      <c r="M29" s="48">
        <f>SUM(I29:L29)</f>
        <v>-652500</v>
      </c>
      <c r="N29" s="183">
        <f>'Alt. scenario LCY'!N29*VLOOKUP(Assumptions!$D$7, Lists!$B$7:$C$10, 2, FALSE)*Assumptions!$D$10/VLOOKUP(Assumptions!$D$9, Lists!$B$7:$C$10, 2, FALSE)</f>
        <v>-225000</v>
      </c>
      <c r="O29" s="183">
        <f>'Alt. scenario LCY'!O29*VLOOKUP(Assumptions!$D$7, Lists!$B$7:$C$10, 2, FALSE)*Assumptions!$D$10/VLOOKUP(Assumptions!$D$9, Lists!$B$7:$C$10, 2, FALSE)</f>
        <v>-247500</v>
      </c>
      <c r="P29" s="183">
        <f>'Alt. scenario LCY'!P29*VLOOKUP(Assumptions!$D$7, Lists!$B$7:$C$10, 2, FALSE)*Assumptions!$D$10/VLOOKUP(Assumptions!$D$9, Lists!$B$7:$C$10, 2, FALSE)</f>
        <v>-270000</v>
      </c>
      <c r="Q29" s="183">
        <f>'Alt. scenario LCY'!Q29*VLOOKUP(Assumptions!$D$7, Lists!$B$7:$C$10, 2, FALSE)*Assumptions!$D$10/VLOOKUP(Assumptions!$D$9, Lists!$B$7:$C$10, 2, FALSE)</f>
        <v>-292500</v>
      </c>
      <c r="R29" s="48">
        <f>SUM(N29:Q29)</f>
        <v>-1035000</v>
      </c>
      <c r="S29" s="183">
        <f>'Alt. scenario LCY'!S29*VLOOKUP(Assumptions!$D$7, Lists!$B$7:$C$10, 2, FALSE)*Assumptions!$D$10/VLOOKUP(Assumptions!$D$9, Lists!$B$7:$C$10, 2, FALSE)</f>
        <v>-310500</v>
      </c>
      <c r="T29" s="183">
        <f>'Alt. scenario LCY'!T29*VLOOKUP(Assumptions!$D$7, Lists!$B$7:$C$10, 2, FALSE)*Assumptions!$D$10/VLOOKUP(Assumptions!$D$9, Lists!$B$7:$C$10, 2, FALSE)</f>
        <v>-333000</v>
      </c>
      <c r="U29" s="183">
        <f>'Alt. scenario LCY'!U29*VLOOKUP(Assumptions!$D$7, Lists!$B$7:$C$10, 2, FALSE)*Assumptions!$D$10/VLOOKUP(Assumptions!$D$9, Lists!$B$7:$C$10, 2, FALSE)</f>
        <v>-355500</v>
      </c>
      <c r="V29" s="183">
        <f>'Alt. scenario LCY'!V29*VLOOKUP(Assumptions!$D$7, Lists!$B$7:$C$10, 2, FALSE)*Assumptions!$D$10/VLOOKUP(Assumptions!$D$9, Lists!$B$7:$C$10, 2, FALSE)</f>
        <v>-378000</v>
      </c>
      <c r="W29" s="48">
        <f>SUM(S29:V29)</f>
        <v>-1377000</v>
      </c>
      <c r="X29" s="183">
        <f>'Alt. scenario LCY'!X29*VLOOKUP(Assumptions!$D$7, Lists!$B$7:$C$10, 2, FALSE)*Assumptions!$D$10/VLOOKUP(Assumptions!$D$9, Lists!$B$7:$C$10, 2, FALSE)</f>
        <v>-396000</v>
      </c>
      <c r="Y29" s="183">
        <f>'Alt. scenario LCY'!Y29*VLOOKUP(Assumptions!$D$7, Lists!$B$7:$C$10, 2, FALSE)*Assumptions!$D$10/VLOOKUP(Assumptions!$D$9, Lists!$B$7:$C$10, 2, FALSE)</f>
        <v>-418500</v>
      </c>
      <c r="Z29" s="183">
        <f>'Alt. scenario LCY'!Z29*VLOOKUP(Assumptions!$D$7, Lists!$B$7:$C$10, 2, FALSE)*Assumptions!$D$10/VLOOKUP(Assumptions!$D$9, Lists!$B$7:$C$10, 2, FALSE)</f>
        <v>-436500</v>
      </c>
      <c r="AA29" s="183">
        <f>'Alt. scenario LCY'!AA29*VLOOKUP(Assumptions!$D$7, Lists!$B$7:$C$10, 2, FALSE)*Assumptions!$D$10/VLOOKUP(Assumptions!$D$9, Lists!$B$7:$C$10, 2, FALSE)</f>
        <v>-459000</v>
      </c>
      <c r="AB29" s="48">
        <f>SUM(X29:AA29)</f>
        <v>-1710000</v>
      </c>
      <c r="AC29" s="183">
        <f>'Alt. scenario LCY'!AC29*VLOOKUP(Assumptions!$D$7, Lists!$B$7:$C$10, 2, FALSE)*Assumptions!$D$10/VLOOKUP(Assumptions!$D$9, Lists!$B$7:$C$10, 2, FALSE)</f>
        <v>-454500</v>
      </c>
      <c r="AD29" s="183">
        <f>'Alt. scenario LCY'!AD29*VLOOKUP(Assumptions!$D$7, Lists!$B$7:$C$10, 2, FALSE)*Assumptions!$D$10/VLOOKUP(Assumptions!$D$9, Lists!$B$7:$C$10, 2, FALSE)</f>
        <v>-450000</v>
      </c>
      <c r="AE29" s="183">
        <f>'Alt. scenario LCY'!AE29*VLOOKUP(Assumptions!$D$7, Lists!$B$7:$C$10, 2, FALSE)*Assumptions!$D$10/VLOOKUP(Assumptions!$D$9, Lists!$B$7:$C$10, 2, FALSE)</f>
        <v>-445500</v>
      </c>
      <c r="AF29" s="183">
        <f>'Alt. scenario LCY'!AF29*VLOOKUP(Assumptions!$D$7, Lists!$B$7:$C$10, 2, FALSE)*Assumptions!$D$10/VLOOKUP(Assumptions!$D$9, Lists!$B$7:$C$10, 2, FALSE)</f>
        <v>-445500</v>
      </c>
      <c r="AG29" s="48">
        <f>SUM(AC29:AF29)</f>
        <v>-1795500</v>
      </c>
      <c r="AH29" s="105">
        <f>'Alt. scenario LCY'!AH29*VLOOKUP(Assumptions!$D$7, Lists!$B$7:$C$10, 2, FALSE)*Assumptions!$D$10/VLOOKUP(Assumptions!$D$9, Lists!$B$7:$C$10, 2, FALSE)</f>
        <v>-441000</v>
      </c>
      <c r="AI29" s="106">
        <f>'Alt. scenario LCY'!AI29*VLOOKUP(Assumptions!$D$7, Lists!$B$7:$C$10, 2, FALSE)*Assumptions!$D$10/VLOOKUP(Assumptions!$D$9, Lists!$B$7:$C$10, 2, FALSE)</f>
        <v>-436500</v>
      </c>
      <c r="AJ29" s="106">
        <f>'Alt. scenario LCY'!AJ29*VLOOKUP(Assumptions!$D$7, Lists!$B$7:$C$10, 2, FALSE)*Assumptions!$D$10/VLOOKUP(Assumptions!$D$9, Lists!$B$7:$C$10, 2, FALSE)</f>
        <v>-436500</v>
      </c>
      <c r="AK29" s="107">
        <f>'Alt. scenario LCY'!AK29*VLOOKUP(Assumptions!$D$7, Lists!$B$7:$C$10, 2, FALSE)*Assumptions!$D$10/VLOOKUP(Assumptions!$D$9, Lists!$B$7:$C$10, 2, FALSE)</f>
        <v>-432000</v>
      </c>
      <c r="AL29" s="60">
        <f>SUM(AH29:AK29)</f>
        <v>-1746000</v>
      </c>
    </row>
    <row r="30" spans="1:38" ht="15.95" outlineLevel="2">
      <c r="A30" s="31"/>
      <c r="C30" s="32" t="s">
        <v>272</v>
      </c>
      <c r="D30" s="185">
        <f>'Alt. scenario LCY'!D30*VLOOKUP(Assumptions!$D$7, Lists!$B$7:$C$10, 2, FALSE)*Assumptions!$D$10/VLOOKUP(Assumptions!$D$9, Lists!$B$7:$C$10, 2, FALSE)</f>
        <v>-18000</v>
      </c>
      <c r="E30" s="185">
        <f>'Alt. scenario LCY'!E30*VLOOKUP(Assumptions!$D$7, Lists!$B$7:$C$10, 2, FALSE)*Assumptions!$D$10/VLOOKUP(Assumptions!$D$9, Lists!$B$7:$C$10, 2, FALSE)</f>
        <v>-30000</v>
      </c>
      <c r="F30" s="185">
        <f>'Alt. scenario LCY'!F30*VLOOKUP(Assumptions!$D$7, Lists!$B$7:$C$10, 2, FALSE)*Assumptions!$D$10/VLOOKUP(Assumptions!$D$9, Lists!$B$7:$C$10, 2, FALSE)</f>
        <v>-42000</v>
      </c>
      <c r="G30" s="185">
        <f>'Alt. scenario LCY'!G30*VLOOKUP(Assumptions!$D$7, Lists!$B$7:$C$10, 2, FALSE)*Assumptions!$D$10/VLOOKUP(Assumptions!$D$9, Lists!$B$7:$C$10, 2, FALSE)</f>
        <v>-60000</v>
      </c>
      <c r="H30" s="60">
        <f>SUM(D30:G30)</f>
        <v>-150000</v>
      </c>
      <c r="I30" s="185">
        <f>'Alt. scenario LCY'!I30*VLOOKUP(Assumptions!$D$7, Lists!$B$7:$C$10, 2, FALSE)*Assumptions!$D$10/VLOOKUP(Assumptions!$D$9, Lists!$B$7:$C$10, 2, FALSE)</f>
        <v>-72000</v>
      </c>
      <c r="J30" s="185">
        <f>'Alt. scenario LCY'!J30*VLOOKUP(Assumptions!$D$7, Lists!$B$7:$C$10, 2, FALSE)*Assumptions!$D$10/VLOOKUP(Assumptions!$D$9, Lists!$B$7:$C$10, 2, FALSE)</f>
        <v>-84000</v>
      </c>
      <c r="K30" s="185">
        <f>'Alt. scenario LCY'!K30*VLOOKUP(Assumptions!$D$7, Lists!$B$7:$C$10, 2, FALSE)*Assumptions!$D$10/VLOOKUP(Assumptions!$D$9, Lists!$B$7:$C$10, 2, FALSE)</f>
        <v>-96000</v>
      </c>
      <c r="L30" s="185">
        <f>'Alt. scenario LCY'!L30*VLOOKUP(Assumptions!$D$7, Lists!$B$7:$C$10, 2, FALSE)*Assumptions!$D$10/VLOOKUP(Assumptions!$D$9, Lists!$B$7:$C$10, 2, FALSE)</f>
        <v>-108000</v>
      </c>
      <c r="M30" s="48">
        <f>SUM(I30:L30)</f>
        <v>-360000</v>
      </c>
      <c r="N30" s="185">
        <f>'Alt. scenario LCY'!N30*VLOOKUP(Assumptions!$D$7, Lists!$B$7:$C$10, 2, FALSE)*Assumptions!$D$10/VLOOKUP(Assumptions!$D$9, Lists!$B$7:$C$10, 2, FALSE)</f>
        <v>-120000</v>
      </c>
      <c r="O30" s="185">
        <f>'Alt. scenario LCY'!O30*VLOOKUP(Assumptions!$D$7, Lists!$B$7:$C$10, 2, FALSE)*Assumptions!$D$10/VLOOKUP(Assumptions!$D$9, Lists!$B$7:$C$10, 2, FALSE)</f>
        <v>-132000</v>
      </c>
      <c r="P30" s="185">
        <f>'Alt. scenario LCY'!P30*VLOOKUP(Assumptions!$D$7, Lists!$B$7:$C$10, 2, FALSE)*Assumptions!$D$10/VLOOKUP(Assumptions!$D$9, Lists!$B$7:$C$10, 2, FALSE)</f>
        <v>-144000</v>
      </c>
      <c r="Q30" s="185">
        <f>'Alt. scenario LCY'!Q30*VLOOKUP(Assumptions!$D$7, Lists!$B$7:$C$10, 2, FALSE)*Assumptions!$D$10/VLOOKUP(Assumptions!$D$9, Lists!$B$7:$C$10, 2, FALSE)</f>
        <v>-156000</v>
      </c>
      <c r="R30" s="48">
        <f>SUM(N30:Q30)</f>
        <v>-552000</v>
      </c>
      <c r="S30" s="185">
        <f>'Alt. scenario LCY'!S30*VLOOKUP(Assumptions!$D$7, Lists!$B$7:$C$10, 2, FALSE)*Assumptions!$D$10/VLOOKUP(Assumptions!$D$9, Lists!$B$7:$C$10, 2, FALSE)</f>
        <v>-168000</v>
      </c>
      <c r="T30" s="185">
        <f>'Alt. scenario LCY'!T30*VLOOKUP(Assumptions!$D$7, Lists!$B$7:$C$10, 2, FALSE)*Assumptions!$D$10/VLOOKUP(Assumptions!$D$9, Lists!$B$7:$C$10, 2, FALSE)</f>
        <v>-180000</v>
      </c>
      <c r="U30" s="185">
        <f>'Alt. scenario LCY'!U30*VLOOKUP(Assumptions!$D$7, Lists!$B$7:$C$10, 2, FALSE)*Assumptions!$D$10/VLOOKUP(Assumptions!$D$9, Lists!$B$7:$C$10, 2, FALSE)</f>
        <v>-192000</v>
      </c>
      <c r="V30" s="185">
        <f>'Alt. scenario LCY'!V30*VLOOKUP(Assumptions!$D$7, Lists!$B$7:$C$10, 2, FALSE)*Assumptions!$D$10/VLOOKUP(Assumptions!$D$9, Lists!$B$7:$C$10, 2, FALSE)</f>
        <v>-204000</v>
      </c>
      <c r="W30" s="48">
        <f>SUM(S30:V30)</f>
        <v>-744000</v>
      </c>
      <c r="X30" s="185">
        <f>'Alt. scenario LCY'!X30*VLOOKUP(Assumptions!$D$7, Lists!$B$7:$C$10, 2, FALSE)*Assumptions!$D$10/VLOOKUP(Assumptions!$D$9, Lists!$B$7:$C$10, 2, FALSE)</f>
        <v>-216000</v>
      </c>
      <c r="Y30" s="185">
        <f>'Alt. scenario LCY'!Y30*VLOOKUP(Assumptions!$D$7, Lists!$B$7:$C$10, 2, FALSE)*Assumptions!$D$10/VLOOKUP(Assumptions!$D$9, Lists!$B$7:$C$10, 2, FALSE)</f>
        <v>-222000</v>
      </c>
      <c r="Z30" s="185">
        <f>'Alt. scenario LCY'!Z30*VLOOKUP(Assumptions!$D$7, Lists!$B$7:$C$10, 2, FALSE)*Assumptions!$D$10/VLOOKUP(Assumptions!$D$9, Lists!$B$7:$C$10, 2, FALSE)</f>
        <v>-234000</v>
      </c>
      <c r="AA30" s="185">
        <f>'Alt. scenario LCY'!AA30*VLOOKUP(Assumptions!$D$7, Lists!$B$7:$C$10, 2, FALSE)*Assumptions!$D$10/VLOOKUP(Assumptions!$D$9, Lists!$B$7:$C$10, 2, FALSE)</f>
        <v>-246000</v>
      </c>
      <c r="AB30" s="48">
        <f>SUM(X30:AA30)</f>
        <v>-918000</v>
      </c>
      <c r="AC30" s="185">
        <f>'Alt. scenario LCY'!AC30*VLOOKUP(Assumptions!$D$7, Lists!$B$7:$C$10, 2, FALSE)*Assumptions!$D$10/VLOOKUP(Assumptions!$D$9, Lists!$B$7:$C$10, 2, FALSE)</f>
        <v>-246000</v>
      </c>
      <c r="AD30" s="185">
        <f>'Alt. scenario LCY'!AD30*VLOOKUP(Assumptions!$D$7, Lists!$B$7:$C$10, 2, FALSE)*Assumptions!$D$10/VLOOKUP(Assumptions!$D$9, Lists!$B$7:$C$10, 2, FALSE)</f>
        <v>-240000</v>
      </c>
      <c r="AE30" s="185">
        <f>'Alt. scenario LCY'!AE30*VLOOKUP(Assumptions!$D$7, Lists!$B$7:$C$10, 2, FALSE)*Assumptions!$D$10/VLOOKUP(Assumptions!$D$9, Lists!$B$7:$C$10, 2, FALSE)</f>
        <v>-240000</v>
      </c>
      <c r="AF30" s="185">
        <f>'Alt. scenario LCY'!AF30*VLOOKUP(Assumptions!$D$7, Lists!$B$7:$C$10, 2, FALSE)*Assumptions!$D$10/VLOOKUP(Assumptions!$D$9, Lists!$B$7:$C$10, 2, FALSE)</f>
        <v>-240000</v>
      </c>
      <c r="AG30" s="48">
        <f>SUM(AC30:AF30)</f>
        <v>-966000</v>
      </c>
      <c r="AH30" s="63">
        <f>'Alt. scenario LCY'!AH30*VLOOKUP(Assumptions!$D$7, Lists!$B$7:$C$10, 2, FALSE)*Assumptions!$D$10/VLOOKUP(Assumptions!$D$9, Lists!$B$7:$C$10, 2, FALSE)</f>
        <v>-234000</v>
      </c>
      <c r="AI30" s="64">
        <f>'Alt. scenario LCY'!AI30*VLOOKUP(Assumptions!$D$7, Lists!$B$7:$C$10, 2, FALSE)*Assumptions!$D$10/VLOOKUP(Assumptions!$D$9, Lists!$B$7:$C$10, 2, FALSE)</f>
        <v>-234000</v>
      </c>
      <c r="AJ30" s="64">
        <f>'Alt. scenario LCY'!AJ30*VLOOKUP(Assumptions!$D$7, Lists!$B$7:$C$10, 2, FALSE)*Assumptions!$D$10/VLOOKUP(Assumptions!$D$9, Lists!$B$7:$C$10, 2, FALSE)</f>
        <v>-234000</v>
      </c>
      <c r="AK30" s="108">
        <f>'Alt. scenario LCY'!AK30*VLOOKUP(Assumptions!$D$7, Lists!$B$7:$C$10, 2, FALSE)*Assumptions!$D$10/VLOOKUP(Assumptions!$D$9, Lists!$B$7:$C$10, 2, FALSE)</f>
        <v>-234000</v>
      </c>
      <c r="AL30" s="60">
        <f>SUM(AH30:AK30)</f>
        <v>-936000</v>
      </c>
    </row>
    <row r="31" spans="1:38" ht="15.95" outlineLevel="2">
      <c r="A31" s="31"/>
      <c r="C31" s="32" t="s">
        <v>273</v>
      </c>
      <c r="D31" s="185">
        <f>'Alt. scenario LCY'!D31*VLOOKUP(Assumptions!$D$7, Lists!$B$7:$C$10, 2, FALSE)*Assumptions!$D$10/VLOOKUP(Assumptions!$D$9, Lists!$B$7:$C$10, 2, FALSE)</f>
        <v>-12000</v>
      </c>
      <c r="E31" s="185">
        <f>'Alt. scenario LCY'!E31*VLOOKUP(Assumptions!$D$7, Lists!$B$7:$C$10, 2, FALSE)*Assumptions!$D$10/VLOOKUP(Assumptions!$D$9, Lists!$B$7:$C$10, 2, FALSE)</f>
        <v>-18000</v>
      </c>
      <c r="F31" s="185">
        <f>'Alt. scenario LCY'!F31*VLOOKUP(Assumptions!$D$7, Lists!$B$7:$C$10, 2, FALSE)*Assumptions!$D$10/VLOOKUP(Assumptions!$D$9, Lists!$B$7:$C$10, 2, FALSE)</f>
        <v>-24000</v>
      </c>
      <c r="G31" s="185">
        <f>'Alt. scenario LCY'!G31*VLOOKUP(Assumptions!$D$7, Lists!$B$7:$C$10, 2, FALSE)*Assumptions!$D$10/VLOOKUP(Assumptions!$D$9, Lists!$B$7:$C$10, 2, FALSE)</f>
        <v>-30000</v>
      </c>
      <c r="H31" s="60">
        <f>SUM(D31:G31)</f>
        <v>-84000</v>
      </c>
      <c r="I31" s="185">
        <f>'Alt. scenario LCY'!I31*VLOOKUP(Assumptions!$D$7, Lists!$B$7:$C$10, 2, FALSE)*Assumptions!$D$10/VLOOKUP(Assumptions!$D$9, Lists!$B$7:$C$10, 2, FALSE)</f>
        <v>-42000</v>
      </c>
      <c r="J31" s="185">
        <f>'Alt. scenario LCY'!J31*VLOOKUP(Assumptions!$D$7, Lists!$B$7:$C$10, 2, FALSE)*Assumptions!$D$10/VLOOKUP(Assumptions!$D$9, Lists!$B$7:$C$10, 2, FALSE)</f>
        <v>-48000</v>
      </c>
      <c r="K31" s="185">
        <f>'Alt. scenario LCY'!K31*VLOOKUP(Assumptions!$D$7, Lists!$B$7:$C$10, 2, FALSE)*Assumptions!$D$10/VLOOKUP(Assumptions!$D$9, Lists!$B$7:$C$10, 2, FALSE)</f>
        <v>-54000</v>
      </c>
      <c r="L31" s="185">
        <f>'Alt. scenario LCY'!L31*VLOOKUP(Assumptions!$D$7, Lists!$B$7:$C$10, 2, FALSE)*Assumptions!$D$10/VLOOKUP(Assumptions!$D$9, Lists!$B$7:$C$10, 2, FALSE)</f>
        <v>-60000</v>
      </c>
      <c r="M31" s="48">
        <f>SUM(I31:L31)</f>
        <v>-204000</v>
      </c>
      <c r="N31" s="185">
        <f>'Alt. scenario LCY'!N31*VLOOKUP(Assumptions!$D$7, Lists!$B$7:$C$10, 2, FALSE)*Assumptions!$D$10/VLOOKUP(Assumptions!$D$9, Lists!$B$7:$C$10, 2, FALSE)</f>
        <v>-66000</v>
      </c>
      <c r="O31" s="185">
        <f>'Alt. scenario LCY'!O31*VLOOKUP(Assumptions!$D$7, Lists!$B$7:$C$10, 2, FALSE)*Assumptions!$D$10/VLOOKUP(Assumptions!$D$9, Lists!$B$7:$C$10, 2, FALSE)</f>
        <v>-72000</v>
      </c>
      <c r="P31" s="185">
        <f>'Alt. scenario LCY'!P31*VLOOKUP(Assumptions!$D$7, Lists!$B$7:$C$10, 2, FALSE)*Assumptions!$D$10/VLOOKUP(Assumptions!$D$9, Lists!$B$7:$C$10, 2, FALSE)</f>
        <v>-84000</v>
      </c>
      <c r="Q31" s="185">
        <f>'Alt. scenario LCY'!Q31*VLOOKUP(Assumptions!$D$7, Lists!$B$7:$C$10, 2, FALSE)*Assumptions!$D$10/VLOOKUP(Assumptions!$D$9, Lists!$B$7:$C$10, 2, FALSE)</f>
        <v>-90000</v>
      </c>
      <c r="R31" s="48">
        <f>SUM(N31:Q31)</f>
        <v>-312000</v>
      </c>
      <c r="S31" s="185">
        <f>'Alt. scenario LCY'!S31*VLOOKUP(Assumptions!$D$7, Lists!$B$7:$C$10, 2, FALSE)*Assumptions!$D$10/VLOOKUP(Assumptions!$D$9, Lists!$B$7:$C$10, 2, FALSE)</f>
        <v>-96000</v>
      </c>
      <c r="T31" s="185">
        <f>'Alt. scenario LCY'!T31*VLOOKUP(Assumptions!$D$7, Lists!$B$7:$C$10, 2, FALSE)*Assumptions!$D$10/VLOOKUP(Assumptions!$D$9, Lists!$B$7:$C$10, 2, FALSE)</f>
        <v>-102000</v>
      </c>
      <c r="U31" s="185">
        <f>'Alt. scenario LCY'!U31*VLOOKUP(Assumptions!$D$7, Lists!$B$7:$C$10, 2, FALSE)*Assumptions!$D$10/VLOOKUP(Assumptions!$D$9, Lists!$B$7:$C$10, 2, FALSE)</f>
        <v>-108000</v>
      </c>
      <c r="V31" s="185">
        <f>'Alt. scenario LCY'!V31*VLOOKUP(Assumptions!$D$7, Lists!$B$7:$C$10, 2, FALSE)*Assumptions!$D$10/VLOOKUP(Assumptions!$D$9, Lists!$B$7:$C$10, 2, FALSE)</f>
        <v>-114000</v>
      </c>
      <c r="W31" s="48">
        <f>SUM(S31:V31)</f>
        <v>-420000</v>
      </c>
      <c r="X31" s="185">
        <f>'Alt. scenario LCY'!X31*VLOOKUP(Assumptions!$D$7, Lists!$B$7:$C$10, 2, FALSE)*Assumptions!$D$10/VLOOKUP(Assumptions!$D$9, Lists!$B$7:$C$10, 2, FALSE)</f>
        <v>-120000</v>
      </c>
      <c r="Y31" s="185">
        <f>'Alt. scenario LCY'!Y31*VLOOKUP(Assumptions!$D$7, Lists!$B$7:$C$10, 2, FALSE)*Assumptions!$D$10/VLOOKUP(Assumptions!$D$9, Lists!$B$7:$C$10, 2, FALSE)</f>
        <v>-126000</v>
      </c>
      <c r="Z31" s="185">
        <f>'Alt. scenario LCY'!Z31*VLOOKUP(Assumptions!$D$7, Lists!$B$7:$C$10, 2, FALSE)*Assumptions!$D$10/VLOOKUP(Assumptions!$D$9, Lists!$B$7:$C$10, 2, FALSE)</f>
        <v>-132000</v>
      </c>
      <c r="AA31" s="185">
        <f>'Alt. scenario LCY'!AA31*VLOOKUP(Assumptions!$D$7, Lists!$B$7:$C$10, 2, FALSE)*Assumptions!$D$10/VLOOKUP(Assumptions!$D$9, Lists!$B$7:$C$10, 2, FALSE)</f>
        <v>-138000</v>
      </c>
      <c r="AB31" s="48">
        <f>SUM(X31:AA31)</f>
        <v>-516000</v>
      </c>
      <c r="AC31" s="185">
        <f>'Alt. scenario LCY'!AC31*VLOOKUP(Assumptions!$D$7, Lists!$B$7:$C$10, 2, FALSE)*Assumptions!$D$10/VLOOKUP(Assumptions!$D$9, Lists!$B$7:$C$10, 2, FALSE)</f>
        <v>-138000</v>
      </c>
      <c r="AD31" s="185">
        <f>'Alt. scenario LCY'!AD31*VLOOKUP(Assumptions!$D$7, Lists!$B$7:$C$10, 2, FALSE)*Assumptions!$D$10/VLOOKUP(Assumptions!$D$9, Lists!$B$7:$C$10, 2, FALSE)</f>
        <v>-132000</v>
      </c>
      <c r="AE31" s="185">
        <f>'Alt. scenario LCY'!AE31*VLOOKUP(Assumptions!$D$7, Lists!$B$7:$C$10, 2, FALSE)*Assumptions!$D$10/VLOOKUP(Assumptions!$D$9, Lists!$B$7:$C$10, 2, FALSE)</f>
        <v>-132000</v>
      </c>
      <c r="AF31" s="185">
        <f>'Alt. scenario LCY'!AF31*VLOOKUP(Assumptions!$D$7, Lists!$B$7:$C$10, 2, FALSE)*Assumptions!$D$10/VLOOKUP(Assumptions!$D$9, Lists!$B$7:$C$10, 2, FALSE)</f>
        <v>-132000</v>
      </c>
      <c r="AG31" s="48">
        <f>SUM(AC31:AF31)</f>
        <v>-534000</v>
      </c>
      <c r="AH31" s="63">
        <f>'Alt. scenario LCY'!AH31*VLOOKUP(Assumptions!$D$7, Lists!$B$7:$C$10, 2, FALSE)*Assumptions!$D$10/VLOOKUP(Assumptions!$D$9, Lists!$B$7:$C$10, 2, FALSE)</f>
        <v>-132000</v>
      </c>
      <c r="AI31" s="64">
        <f>'Alt. scenario LCY'!AI31*VLOOKUP(Assumptions!$D$7, Lists!$B$7:$C$10, 2, FALSE)*Assumptions!$D$10/VLOOKUP(Assumptions!$D$9, Lists!$B$7:$C$10, 2, FALSE)</f>
        <v>-132000</v>
      </c>
      <c r="AJ31" s="64">
        <f>'Alt. scenario LCY'!AJ31*VLOOKUP(Assumptions!$D$7, Lists!$B$7:$C$10, 2, FALSE)*Assumptions!$D$10/VLOOKUP(Assumptions!$D$9, Lists!$B$7:$C$10, 2, FALSE)</f>
        <v>-132000</v>
      </c>
      <c r="AK31" s="108">
        <f>'Alt. scenario LCY'!AK31*VLOOKUP(Assumptions!$D$7, Lists!$B$7:$C$10, 2, FALSE)*Assumptions!$D$10/VLOOKUP(Assumptions!$D$9, Lists!$B$7:$C$10, 2, FALSE)</f>
        <v>-126000</v>
      </c>
      <c r="AL31" s="60">
        <f>SUM(AH31:AK31)</f>
        <v>-522000</v>
      </c>
    </row>
    <row r="32" spans="1:38" ht="15.95" outlineLevel="2">
      <c r="A32" s="31"/>
      <c r="C32" s="32" t="s">
        <v>274</v>
      </c>
      <c r="D32" s="185">
        <f>'Alt. scenario LCY'!D32*VLOOKUP(Assumptions!$D$7, Lists!$B$7:$C$10, 2, FALSE)*Assumptions!$D$10/VLOOKUP(Assumptions!$D$9, Lists!$B$7:$C$10, 2, FALSE)</f>
        <v>-36000</v>
      </c>
      <c r="E32" s="185">
        <f>'Alt. scenario LCY'!E32*VLOOKUP(Assumptions!$D$7, Lists!$B$7:$C$10, 2, FALSE)*Assumptions!$D$10/VLOOKUP(Assumptions!$D$9, Lists!$B$7:$C$10, 2, FALSE)</f>
        <v>-60000</v>
      </c>
      <c r="F32" s="185">
        <f>'Alt. scenario LCY'!F32*VLOOKUP(Assumptions!$D$7, Lists!$B$7:$C$10, 2, FALSE)*Assumptions!$D$10/VLOOKUP(Assumptions!$D$9, Lists!$B$7:$C$10, 2, FALSE)</f>
        <v>-84000</v>
      </c>
      <c r="G32" s="185">
        <f>'Alt. scenario LCY'!G32*VLOOKUP(Assumptions!$D$7, Lists!$B$7:$C$10, 2, FALSE)*Assumptions!$D$10/VLOOKUP(Assumptions!$D$9, Lists!$B$7:$C$10, 2, FALSE)</f>
        <v>-120000</v>
      </c>
      <c r="H32" s="60">
        <f t="shared" ref="H32:H46" si="48">SUM(D32:G32)</f>
        <v>-300000</v>
      </c>
      <c r="I32" s="185">
        <f>'Alt. scenario LCY'!I32*VLOOKUP(Assumptions!$D$7, Lists!$B$7:$C$10, 2, FALSE)*Assumptions!$D$10/VLOOKUP(Assumptions!$D$9, Lists!$B$7:$C$10, 2, FALSE)</f>
        <v>-144000</v>
      </c>
      <c r="J32" s="185">
        <f>'Alt. scenario LCY'!J32*VLOOKUP(Assumptions!$D$7, Lists!$B$7:$C$10, 2, FALSE)*Assumptions!$D$10/VLOOKUP(Assumptions!$D$9, Lists!$B$7:$C$10, 2, FALSE)</f>
        <v>-168000</v>
      </c>
      <c r="K32" s="185">
        <f>'Alt. scenario LCY'!K32*VLOOKUP(Assumptions!$D$7, Lists!$B$7:$C$10, 2, FALSE)*Assumptions!$D$10/VLOOKUP(Assumptions!$D$9, Lists!$B$7:$C$10, 2, FALSE)</f>
        <v>-192000</v>
      </c>
      <c r="L32" s="185">
        <f>'Alt. scenario LCY'!L32*VLOOKUP(Assumptions!$D$7, Lists!$B$7:$C$10, 2, FALSE)*Assumptions!$D$10/VLOOKUP(Assumptions!$D$9, Lists!$B$7:$C$10, 2, FALSE)</f>
        <v>-216000</v>
      </c>
      <c r="M32" s="48">
        <f t="shared" ref="M32:M46" si="49">SUM(I32:L32)</f>
        <v>-720000</v>
      </c>
      <c r="N32" s="185">
        <f>'Alt. scenario LCY'!N32*VLOOKUP(Assumptions!$D$7, Lists!$B$7:$C$10, 2, FALSE)*Assumptions!$D$10/VLOOKUP(Assumptions!$D$9, Lists!$B$7:$C$10, 2, FALSE)</f>
        <v>-240000</v>
      </c>
      <c r="O32" s="185">
        <f>'Alt. scenario LCY'!O32*VLOOKUP(Assumptions!$D$7, Lists!$B$7:$C$10, 2, FALSE)*Assumptions!$D$10/VLOOKUP(Assumptions!$D$9, Lists!$B$7:$C$10, 2, FALSE)</f>
        <v>-264000</v>
      </c>
      <c r="P32" s="185">
        <f>'Alt. scenario LCY'!P32*VLOOKUP(Assumptions!$D$7, Lists!$B$7:$C$10, 2, FALSE)*Assumptions!$D$10/VLOOKUP(Assumptions!$D$9, Lists!$B$7:$C$10, 2, FALSE)</f>
        <v>-288000</v>
      </c>
      <c r="Q32" s="185">
        <f>'Alt. scenario LCY'!Q32*VLOOKUP(Assumptions!$D$7, Lists!$B$7:$C$10, 2, FALSE)*Assumptions!$D$10/VLOOKUP(Assumptions!$D$9, Lists!$B$7:$C$10, 2, FALSE)</f>
        <v>-312000</v>
      </c>
      <c r="R32" s="48">
        <f t="shared" ref="R32:R46" si="50">SUM(N32:Q32)</f>
        <v>-1104000</v>
      </c>
      <c r="S32" s="185">
        <f>'Alt. scenario LCY'!S32*VLOOKUP(Assumptions!$D$7, Lists!$B$7:$C$10, 2, FALSE)*Assumptions!$D$10/VLOOKUP(Assumptions!$D$9, Lists!$B$7:$C$10, 2, FALSE)</f>
        <v>-336000</v>
      </c>
      <c r="T32" s="185">
        <f>'Alt. scenario LCY'!T32*VLOOKUP(Assumptions!$D$7, Lists!$B$7:$C$10, 2, FALSE)*Assumptions!$D$10/VLOOKUP(Assumptions!$D$9, Lists!$B$7:$C$10, 2, FALSE)</f>
        <v>-360000</v>
      </c>
      <c r="U32" s="185">
        <f>'Alt. scenario LCY'!U32*VLOOKUP(Assumptions!$D$7, Lists!$B$7:$C$10, 2, FALSE)*Assumptions!$D$10/VLOOKUP(Assumptions!$D$9, Lists!$B$7:$C$10, 2, FALSE)</f>
        <v>-384000</v>
      </c>
      <c r="V32" s="185">
        <f>'Alt. scenario LCY'!V32*VLOOKUP(Assumptions!$D$7, Lists!$B$7:$C$10, 2, FALSE)*Assumptions!$D$10/VLOOKUP(Assumptions!$D$9, Lists!$B$7:$C$10, 2, FALSE)</f>
        <v>-408000</v>
      </c>
      <c r="W32" s="48">
        <f t="shared" ref="W32:W46" si="51">SUM(S32:V32)</f>
        <v>-1488000</v>
      </c>
      <c r="X32" s="185">
        <f>'Alt. scenario LCY'!X32*VLOOKUP(Assumptions!$D$7, Lists!$B$7:$C$10, 2, FALSE)*Assumptions!$D$10/VLOOKUP(Assumptions!$D$9, Lists!$B$7:$C$10, 2, FALSE)</f>
        <v>-432000</v>
      </c>
      <c r="Y32" s="185">
        <f>'Alt. scenario LCY'!Y32*VLOOKUP(Assumptions!$D$7, Lists!$B$7:$C$10, 2, FALSE)*Assumptions!$D$10/VLOOKUP(Assumptions!$D$9, Lists!$B$7:$C$10, 2, FALSE)</f>
        <v>-444000</v>
      </c>
      <c r="Z32" s="185">
        <f>'Alt. scenario LCY'!Z32*VLOOKUP(Assumptions!$D$7, Lists!$B$7:$C$10, 2, FALSE)*Assumptions!$D$10/VLOOKUP(Assumptions!$D$9, Lists!$B$7:$C$10, 2, FALSE)</f>
        <v>-468000</v>
      </c>
      <c r="AA32" s="185">
        <f>'Alt. scenario LCY'!AA32*VLOOKUP(Assumptions!$D$7, Lists!$B$7:$C$10, 2, FALSE)*Assumptions!$D$10/VLOOKUP(Assumptions!$D$9, Lists!$B$7:$C$10, 2, FALSE)</f>
        <v>-492000</v>
      </c>
      <c r="AB32" s="48">
        <f t="shared" ref="AB32:AB46" si="52">SUM(X32:AA32)</f>
        <v>-1836000</v>
      </c>
      <c r="AC32" s="185">
        <f>'Alt. scenario LCY'!AC32*VLOOKUP(Assumptions!$D$7, Lists!$B$7:$C$10, 2, FALSE)*Assumptions!$D$10/VLOOKUP(Assumptions!$D$9, Lists!$B$7:$C$10, 2, FALSE)</f>
        <v>-492000</v>
      </c>
      <c r="AD32" s="185">
        <f>'Alt. scenario LCY'!AD32*VLOOKUP(Assumptions!$D$7, Lists!$B$7:$C$10, 2, FALSE)*Assumptions!$D$10/VLOOKUP(Assumptions!$D$9, Lists!$B$7:$C$10, 2, FALSE)</f>
        <v>-480000</v>
      </c>
      <c r="AE32" s="185">
        <f>'Alt. scenario LCY'!AE32*VLOOKUP(Assumptions!$D$7, Lists!$B$7:$C$10, 2, FALSE)*Assumptions!$D$10/VLOOKUP(Assumptions!$D$9, Lists!$B$7:$C$10, 2, FALSE)</f>
        <v>-480000</v>
      </c>
      <c r="AF32" s="185">
        <f>'Alt. scenario LCY'!AF32*VLOOKUP(Assumptions!$D$7, Lists!$B$7:$C$10, 2, FALSE)*Assumptions!$D$10/VLOOKUP(Assumptions!$D$9, Lists!$B$7:$C$10, 2, FALSE)</f>
        <v>-480000</v>
      </c>
      <c r="AG32" s="48">
        <f t="shared" ref="AG32:AG46" si="53">SUM(AC32:AF32)</f>
        <v>-1932000</v>
      </c>
      <c r="AH32" s="63">
        <f>'Alt. scenario LCY'!AH32*VLOOKUP(Assumptions!$D$7, Lists!$B$7:$C$10, 2, FALSE)*Assumptions!$D$10/VLOOKUP(Assumptions!$D$9, Lists!$B$7:$C$10, 2, FALSE)</f>
        <v>-468000</v>
      </c>
      <c r="AI32" s="64">
        <f>'Alt. scenario LCY'!AI32*VLOOKUP(Assumptions!$D$7, Lists!$B$7:$C$10, 2, FALSE)*Assumptions!$D$10/VLOOKUP(Assumptions!$D$9, Lists!$B$7:$C$10, 2, FALSE)</f>
        <v>-468000</v>
      </c>
      <c r="AJ32" s="64">
        <f>'Alt. scenario LCY'!AJ32*VLOOKUP(Assumptions!$D$7, Lists!$B$7:$C$10, 2, FALSE)*Assumptions!$D$10/VLOOKUP(Assumptions!$D$9, Lists!$B$7:$C$10, 2, FALSE)</f>
        <v>-468000</v>
      </c>
      <c r="AK32" s="108">
        <f>'Alt. scenario LCY'!AK32*VLOOKUP(Assumptions!$D$7, Lists!$B$7:$C$10, 2, FALSE)*Assumptions!$D$10/VLOOKUP(Assumptions!$D$9, Lists!$B$7:$C$10, 2, FALSE)</f>
        <v>-468000</v>
      </c>
      <c r="AL32" s="60">
        <f t="shared" ref="AL32:AL46" si="54">SUM(AH32:AK32)</f>
        <v>-1872000</v>
      </c>
    </row>
    <row r="33" spans="1:38" ht="15.95" outlineLevel="1">
      <c r="A33" s="31"/>
      <c r="B33" s="34" t="s">
        <v>166</v>
      </c>
      <c r="C33" s="34"/>
      <c r="D33" s="186">
        <f>SUM(D29:D32)</f>
        <v>-93000</v>
      </c>
      <c r="E33" s="186">
        <f>SUM(E29:E32)</f>
        <v>-162000</v>
      </c>
      <c r="F33" s="186">
        <f>SUM(F29:F32)</f>
        <v>-231000</v>
      </c>
      <c r="G33" s="186">
        <f>SUM(G29:G32)</f>
        <v>-313500</v>
      </c>
      <c r="H33" s="61">
        <f t="shared" si="48"/>
        <v>-799500</v>
      </c>
      <c r="I33" s="186">
        <f>SUM(I29:I32)</f>
        <v>-384000</v>
      </c>
      <c r="J33" s="186">
        <f>SUM(J29:J32)</f>
        <v>-453000</v>
      </c>
      <c r="K33" s="186">
        <f>SUM(K29:K32)</f>
        <v>-517500</v>
      </c>
      <c r="L33" s="186">
        <f>SUM(L29:L32)</f>
        <v>-582000</v>
      </c>
      <c r="M33" s="51">
        <f t="shared" si="49"/>
        <v>-1936500</v>
      </c>
      <c r="N33" s="186">
        <f>SUM(N29:N32)</f>
        <v>-651000</v>
      </c>
      <c r="O33" s="186">
        <f>SUM(O29:O32)</f>
        <v>-715500</v>
      </c>
      <c r="P33" s="186">
        <f>SUM(P29:P32)</f>
        <v>-786000</v>
      </c>
      <c r="Q33" s="186">
        <f>SUM(Q29:Q32)</f>
        <v>-850500</v>
      </c>
      <c r="R33" s="51">
        <f t="shared" si="50"/>
        <v>-3003000</v>
      </c>
      <c r="S33" s="186">
        <f>SUM(S29:S32)</f>
        <v>-910500</v>
      </c>
      <c r="T33" s="186">
        <f>SUM(T29:T32)</f>
        <v>-975000</v>
      </c>
      <c r="U33" s="186">
        <f>SUM(U29:U32)</f>
        <v>-1039500</v>
      </c>
      <c r="V33" s="186">
        <f>SUM(V29:V32)</f>
        <v>-1104000</v>
      </c>
      <c r="W33" s="51">
        <f t="shared" si="51"/>
        <v>-4029000</v>
      </c>
      <c r="X33" s="186">
        <f>SUM(X29:X32)</f>
        <v>-1164000</v>
      </c>
      <c r="Y33" s="186">
        <f>SUM(Y29:Y32)</f>
        <v>-1210500</v>
      </c>
      <c r="Z33" s="186">
        <f>SUM(Z29:Z32)</f>
        <v>-1270500</v>
      </c>
      <c r="AA33" s="186">
        <f>SUM(AA29:AA32)</f>
        <v>-1335000</v>
      </c>
      <c r="AB33" s="51">
        <f t="shared" si="52"/>
        <v>-4980000</v>
      </c>
      <c r="AC33" s="186">
        <f>SUM(AC29:AC32)</f>
        <v>-1330500</v>
      </c>
      <c r="AD33" s="186">
        <f>SUM(AD29:AD32)</f>
        <v>-1302000</v>
      </c>
      <c r="AE33" s="186">
        <f>SUM(AE29:AE32)</f>
        <v>-1297500</v>
      </c>
      <c r="AF33" s="186">
        <f>SUM(AF29:AF32)</f>
        <v>-1297500</v>
      </c>
      <c r="AG33" s="51">
        <f t="shared" si="53"/>
        <v>-5227500</v>
      </c>
      <c r="AH33" s="65">
        <f>SUM(AH29:AH32)</f>
        <v>-1275000</v>
      </c>
      <c r="AI33" s="66">
        <f>SUM(AI29:AI32)</f>
        <v>-1270500</v>
      </c>
      <c r="AJ33" s="66">
        <f>SUM(AJ29:AJ32)</f>
        <v>-1270500</v>
      </c>
      <c r="AK33" s="141">
        <f>SUM(AK29:AK32)</f>
        <v>-1260000</v>
      </c>
      <c r="AL33" s="61">
        <f t="shared" si="54"/>
        <v>-5076000</v>
      </c>
    </row>
    <row r="34" spans="1:38" ht="15.95" outlineLevel="2">
      <c r="A34" s="31"/>
      <c r="C34" s="32" t="s">
        <v>275</v>
      </c>
      <c r="D34" s="185">
        <f>'Alt. scenario LCY'!D34*VLOOKUP(Assumptions!$D$7, Lists!$B$7:$C$10, 2, FALSE)*Assumptions!$D$10/VLOOKUP(Assumptions!$D$9, Lists!$B$7:$C$10, 2, FALSE)</f>
        <v>-900</v>
      </c>
      <c r="E34" s="185">
        <f>'Alt. scenario LCY'!E34*VLOOKUP(Assumptions!$D$7, Lists!$B$7:$C$10, 2, FALSE)*Assumptions!$D$10/VLOOKUP(Assumptions!$D$9, Lists!$B$7:$C$10, 2, FALSE)</f>
        <v>-1607.1428571428571</v>
      </c>
      <c r="F34" s="185">
        <f>'Alt. scenario LCY'!F34*VLOOKUP(Assumptions!$D$7, Lists!$B$7:$C$10, 2, FALSE)*Assumptions!$D$10/VLOOKUP(Assumptions!$D$9, Lists!$B$7:$C$10, 2, FALSE)</f>
        <v>-2314.2857142857147</v>
      </c>
      <c r="G34" s="185">
        <f>'Alt. scenario LCY'!G34*VLOOKUP(Assumptions!$D$7, Lists!$B$7:$C$10, 2, FALSE)*Assumptions!$D$10/VLOOKUP(Assumptions!$D$9, Lists!$B$7:$C$10, 2, FALSE)</f>
        <v>-3085.7142857142858</v>
      </c>
      <c r="H34" s="60">
        <f t="shared" si="48"/>
        <v>-7907.1428571428569</v>
      </c>
      <c r="I34" s="185">
        <f>'Alt. scenario LCY'!I34*VLOOKUP(Assumptions!$D$7, Lists!$B$7:$C$10, 2, FALSE)*Assumptions!$D$10/VLOOKUP(Assumptions!$D$9, Lists!$B$7:$C$10, 2, FALSE)</f>
        <v>-3792.8571428571431</v>
      </c>
      <c r="J34" s="185">
        <f>'Alt. scenario LCY'!J34*VLOOKUP(Assumptions!$D$7, Lists!$B$7:$C$10, 2, FALSE)*Assumptions!$D$10/VLOOKUP(Assumptions!$D$9, Lists!$B$7:$C$10, 2, FALSE)</f>
        <v>-4500</v>
      </c>
      <c r="K34" s="185">
        <f>'Alt. scenario LCY'!K34*VLOOKUP(Assumptions!$D$7, Lists!$B$7:$C$10, 2, FALSE)*Assumptions!$D$10/VLOOKUP(Assumptions!$D$9, Lists!$B$7:$C$10, 2, FALSE)</f>
        <v>-5142.8571428571431</v>
      </c>
      <c r="L34" s="185">
        <f>'Alt. scenario LCY'!L34*VLOOKUP(Assumptions!$D$7, Lists!$B$7:$C$10, 2, FALSE)*Assumptions!$D$10/VLOOKUP(Assumptions!$D$9, Lists!$B$7:$C$10, 2, FALSE)</f>
        <v>-5785.7142857142862</v>
      </c>
      <c r="M34" s="48">
        <f t="shared" si="49"/>
        <v>-19221.428571428572</v>
      </c>
      <c r="N34" s="185">
        <f>'Alt. scenario LCY'!N34*VLOOKUP(Assumptions!$D$7, Lists!$B$7:$C$10, 2, FALSE)*Assumptions!$D$10/VLOOKUP(Assumptions!$D$9, Lists!$B$7:$C$10, 2, FALSE)</f>
        <v>-6492.8571428571422</v>
      </c>
      <c r="O34" s="185">
        <f>'Alt. scenario LCY'!O34*VLOOKUP(Assumptions!$D$7, Lists!$B$7:$C$10, 2, FALSE)*Assumptions!$D$10/VLOOKUP(Assumptions!$D$9, Lists!$B$7:$C$10, 2, FALSE)</f>
        <v>-7135.7142857142862</v>
      </c>
      <c r="P34" s="185">
        <f>'Alt. scenario LCY'!P34*VLOOKUP(Assumptions!$D$7, Lists!$B$7:$C$10, 2, FALSE)*Assumptions!$D$10/VLOOKUP(Assumptions!$D$9, Lists!$B$7:$C$10, 2, FALSE)</f>
        <v>-7842.8571428571422</v>
      </c>
      <c r="Q34" s="185">
        <f>'Alt. scenario LCY'!Q34*VLOOKUP(Assumptions!$D$7, Lists!$B$7:$C$10, 2, FALSE)*Assumptions!$D$10/VLOOKUP(Assumptions!$D$9, Lists!$B$7:$C$10, 2, FALSE)</f>
        <v>-8485.7142857142862</v>
      </c>
      <c r="R34" s="48">
        <f t="shared" si="50"/>
        <v>-29957.142857142855</v>
      </c>
      <c r="S34" s="185">
        <f>'Alt. scenario LCY'!S34*VLOOKUP(Assumptions!$D$7, Lists!$B$7:$C$10, 2, FALSE)*Assumptions!$D$10/VLOOKUP(Assumptions!$D$9, Lists!$B$7:$C$10, 2, FALSE)</f>
        <v>-9064.2857142857138</v>
      </c>
      <c r="T34" s="185">
        <f>'Alt. scenario LCY'!T34*VLOOKUP(Assumptions!$D$7, Lists!$B$7:$C$10, 2, FALSE)*Assumptions!$D$10/VLOOKUP(Assumptions!$D$9, Lists!$B$7:$C$10, 2, FALSE)</f>
        <v>-9707.1428571428587</v>
      </c>
      <c r="U34" s="185">
        <f>'Alt. scenario LCY'!U34*VLOOKUP(Assumptions!$D$7, Lists!$B$7:$C$10, 2, FALSE)*Assumptions!$D$10/VLOOKUP(Assumptions!$D$9, Lists!$B$7:$C$10, 2, FALSE)</f>
        <v>-10350</v>
      </c>
      <c r="V34" s="185">
        <f>'Alt. scenario LCY'!V34*VLOOKUP(Assumptions!$D$7, Lists!$B$7:$C$10, 2, FALSE)*Assumptions!$D$10/VLOOKUP(Assumptions!$D$9, Lists!$B$7:$C$10, 2, FALSE)</f>
        <v>-10992.857142857143</v>
      </c>
      <c r="W34" s="48">
        <f t="shared" si="51"/>
        <v>-40114.285714285717</v>
      </c>
      <c r="X34" s="185">
        <f>'Alt. scenario LCY'!X34*VLOOKUP(Assumptions!$D$7, Lists!$B$7:$C$10, 2, FALSE)*Assumptions!$D$10/VLOOKUP(Assumptions!$D$9, Lists!$B$7:$C$10, 2, FALSE)</f>
        <v>-11571.428571428572</v>
      </c>
      <c r="Y34" s="185">
        <f>'Alt. scenario LCY'!Y34*VLOOKUP(Assumptions!$D$7, Lists!$B$7:$C$10, 2, FALSE)*Assumptions!$D$10/VLOOKUP(Assumptions!$D$9, Lists!$B$7:$C$10, 2, FALSE)</f>
        <v>-12085.714285714286</v>
      </c>
      <c r="Z34" s="185">
        <f>'Alt. scenario LCY'!Z34*VLOOKUP(Assumptions!$D$7, Lists!$B$7:$C$10, 2, FALSE)*Assumptions!$D$10/VLOOKUP(Assumptions!$D$9, Lists!$B$7:$C$10, 2, FALSE)</f>
        <v>-12664.285714285716</v>
      </c>
      <c r="AA34" s="185">
        <f>'Alt. scenario LCY'!AA34*VLOOKUP(Assumptions!$D$7, Lists!$B$7:$C$10, 2, FALSE)*Assumptions!$D$10/VLOOKUP(Assumptions!$D$9, Lists!$B$7:$C$10, 2, FALSE)</f>
        <v>-13307.142857142857</v>
      </c>
      <c r="AB34" s="48">
        <f t="shared" si="52"/>
        <v>-49628.571428571428</v>
      </c>
      <c r="AC34" s="185">
        <f>'Alt. scenario LCY'!AC34*VLOOKUP(Assumptions!$D$7, Lists!$B$7:$C$10, 2, FALSE)*Assumptions!$D$10/VLOOKUP(Assumptions!$D$9, Lists!$B$7:$C$10, 2, FALSE)</f>
        <v>-13242.857142857143</v>
      </c>
      <c r="AD34" s="185">
        <f>'Alt. scenario LCY'!AD34*VLOOKUP(Assumptions!$D$7, Lists!$B$7:$C$10, 2, FALSE)*Assumptions!$D$10/VLOOKUP(Assumptions!$D$9, Lists!$B$7:$C$10, 2, FALSE)</f>
        <v>-12985.714285714284</v>
      </c>
      <c r="AE34" s="185">
        <f>'Alt. scenario LCY'!AE34*VLOOKUP(Assumptions!$D$7, Lists!$B$7:$C$10, 2, FALSE)*Assumptions!$D$10/VLOOKUP(Assumptions!$D$9, Lists!$B$7:$C$10, 2, FALSE)</f>
        <v>-12921.428571428572</v>
      </c>
      <c r="AF34" s="185">
        <f>'Alt. scenario LCY'!AF34*VLOOKUP(Assumptions!$D$7, Lists!$B$7:$C$10, 2, FALSE)*Assumptions!$D$10/VLOOKUP(Assumptions!$D$9, Lists!$B$7:$C$10, 2, FALSE)</f>
        <v>-12921.428571428572</v>
      </c>
      <c r="AG34" s="48">
        <f t="shared" si="53"/>
        <v>-52071.428571428572</v>
      </c>
      <c r="AH34" s="63">
        <f>'Alt. scenario LCY'!AH34*VLOOKUP(Assumptions!$D$7, Lists!$B$7:$C$10, 2, FALSE)*Assumptions!$D$10/VLOOKUP(Assumptions!$D$9, Lists!$B$7:$C$10, 2, FALSE)</f>
        <v>-12728.571428571428</v>
      </c>
      <c r="AI34" s="64">
        <f>'Alt. scenario LCY'!AI34*VLOOKUP(Assumptions!$D$7, Lists!$B$7:$C$10, 2, FALSE)*Assumptions!$D$10/VLOOKUP(Assumptions!$D$9, Lists!$B$7:$C$10, 2, FALSE)</f>
        <v>-12664.285714285716</v>
      </c>
      <c r="AJ34" s="64">
        <f>'Alt. scenario LCY'!AJ34*VLOOKUP(Assumptions!$D$7, Lists!$B$7:$C$10, 2, FALSE)*Assumptions!$D$10/VLOOKUP(Assumptions!$D$9, Lists!$B$7:$C$10, 2, FALSE)</f>
        <v>-12664.285714285716</v>
      </c>
      <c r="AK34" s="108">
        <f>'Alt. scenario LCY'!AK34*VLOOKUP(Assumptions!$D$7, Lists!$B$7:$C$10, 2, FALSE)*Assumptions!$D$10/VLOOKUP(Assumptions!$D$9, Lists!$B$7:$C$10, 2, FALSE)</f>
        <v>-12535.714285714286</v>
      </c>
      <c r="AL34" s="60">
        <f t="shared" si="54"/>
        <v>-50592.857142857145</v>
      </c>
    </row>
    <row r="35" spans="1:38" ht="15.95" outlineLevel="2">
      <c r="A35" s="31"/>
      <c r="C35" s="32" t="s">
        <v>276</v>
      </c>
      <c r="D35" s="185">
        <f>'Alt. scenario LCY'!D35*VLOOKUP(Assumptions!$D$7, Lists!$B$7:$C$10, 2, FALSE)*Assumptions!$D$10/VLOOKUP(Assumptions!$D$9, Lists!$B$7:$C$10, 2, FALSE)</f>
        <v>-8571.4285714285725</v>
      </c>
      <c r="E35" s="185">
        <f>'Alt. scenario LCY'!E35*VLOOKUP(Assumptions!$D$7, Lists!$B$7:$C$10, 2, FALSE)*Assumptions!$D$10/VLOOKUP(Assumptions!$D$9, Lists!$B$7:$C$10, 2, FALSE)</f>
        <v>-12857.142857142857</v>
      </c>
      <c r="F35" s="185">
        <f>'Alt. scenario LCY'!F35*VLOOKUP(Assumptions!$D$7, Lists!$B$7:$C$10, 2, FALSE)*Assumptions!$D$10/VLOOKUP(Assumptions!$D$9, Lists!$B$7:$C$10, 2, FALSE)</f>
        <v>-17142.857142857145</v>
      </c>
      <c r="G35" s="185">
        <f>'Alt. scenario LCY'!G35*VLOOKUP(Assumptions!$D$7, Lists!$B$7:$C$10, 2, FALSE)*Assumptions!$D$10/VLOOKUP(Assumptions!$D$9, Lists!$B$7:$C$10, 2, FALSE)</f>
        <v>-21428.571428571428</v>
      </c>
      <c r="H35" s="60">
        <f t="shared" si="48"/>
        <v>-60000</v>
      </c>
      <c r="I35" s="185">
        <f>'Alt. scenario LCY'!I35*VLOOKUP(Assumptions!$D$7, Lists!$B$7:$C$10, 2, FALSE)*Assumptions!$D$10/VLOOKUP(Assumptions!$D$9, Lists!$B$7:$C$10, 2, FALSE)</f>
        <v>-25714.285714285714</v>
      </c>
      <c r="J35" s="185">
        <f>'Alt. scenario LCY'!J35*VLOOKUP(Assumptions!$D$7, Lists!$B$7:$C$10, 2, FALSE)*Assumptions!$D$10/VLOOKUP(Assumptions!$D$9, Lists!$B$7:$C$10, 2, FALSE)</f>
        <v>-30000</v>
      </c>
      <c r="K35" s="185">
        <f>'Alt. scenario LCY'!K35*VLOOKUP(Assumptions!$D$7, Lists!$B$7:$C$10, 2, FALSE)*Assumptions!$D$10/VLOOKUP(Assumptions!$D$9, Lists!$B$7:$C$10, 2, FALSE)</f>
        <v>-34285.71428571429</v>
      </c>
      <c r="L35" s="185">
        <f>'Alt. scenario LCY'!L35*VLOOKUP(Assumptions!$D$7, Lists!$B$7:$C$10, 2, FALSE)*Assumptions!$D$10/VLOOKUP(Assumptions!$D$9, Lists!$B$7:$C$10, 2, FALSE)</f>
        <v>-38571.428571428572</v>
      </c>
      <c r="M35" s="48">
        <f t="shared" si="49"/>
        <v>-128571.42857142858</v>
      </c>
      <c r="N35" s="185">
        <f>'Alt. scenario LCY'!N35*VLOOKUP(Assumptions!$D$7, Lists!$B$7:$C$10, 2, FALSE)*Assumptions!$D$10/VLOOKUP(Assumptions!$D$9, Lists!$B$7:$C$10, 2, FALSE)</f>
        <v>-42857.142857142855</v>
      </c>
      <c r="O35" s="185">
        <f>'Alt. scenario LCY'!O35*VLOOKUP(Assumptions!$D$7, Lists!$B$7:$C$10, 2, FALSE)*Assumptions!$D$10/VLOOKUP(Assumptions!$D$9, Lists!$B$7:$C$10, 2, FALSE)</f>
        <v>-47142.857142857145</v>
      </c>
      <c r="P35" s="185">
        <f>'Alt. scenario LCY'!P35*VLOOKUP(Assumptions!$D$7, Lists!$B$7:$C$10, 2, FALSE)*Assumptions!$D$10/VLOOKUP(Assumptions!$D$9, Lists!$B$7:$C$10, 2, FALSE)</f>
        <v>-51428.571428571428</v>
      </c>
      <c r="Q35" s="185">
        <f>'Alt. scenario LCY'!Q35*VLOOKUP(Assumptions!$D$7, Lists!$B$7:$C$10, 2, FALSE)*Assumptions!$D$10/VLOOKUP(Assumptions!$D$9, Lists!$B$7:$C$10, 2, FALSE)</f>
        <v>-55714.285714285717</v>
      </c>
      <c r="R35" s="48">
        <f t="shared" si="50"/>
        <v>-197142.85714285713</v>
      </c>
      <c r="S35" s="185">
        <f>'Alt. scenario LCY'!S35*VLOOKUP(Assumptions!$D$7, Lists!$B$7:$C$10, 2, FALSE)*Assumptions!$D$10/VLOOKUP(Assumptions!$D$9, Lists!$B$7:$C$10, 2, FALSE)</f>
        <v>-60000</v>
      </c>
      <c r="T35" s="185">
        <f>'Alt. scenario LCY'!T35*VLOOKUP(Assumptions!$D$7, Lists!$B$7:$C$10, 2, FALSE)*Assumptions!$D$10/VLOOKUP(Assumptions!$D$9, Lists!$B$7:$C$10, 2, FALSE)</f>
        <v>-64285.71428571429</v>
      </c>
      <c r="U35" s="185">
        <f>'Alt. scenario LCY'!U35*VLOOKUP(Assumptions!$D$7, Lists!$B$7:$C$10, 2, FALSE)*Assumptions!$D$10/VLOOKUP(Assumptions!$D$9, Lists!$B$7:$C$10, 2, FALSE)</f>
        <v>-68571.42857142858</v>
      </c>
      <c r="V35" s="185">
        <f>'Alt. scenario LCY'!V35*VLOOKUP(Assumptions!$D$7, Lists!$B$7:$C$10, 2, FALSE)*Assumptions!$D$10/VLOOKUP(Assumptions!$D$9, Lists!$B$7:$C$10, 2, FALSE)</f>
        <v>-72857.14285714287</v>
      </c>
      <c r="W35" s="48">
        <f t="shared" si="51"/>
        <v>-265714.28571428574</v>
      </c>
      <c r="X35" s="185">
        <f>'Alt. scenario LCY'!X35*VLOOKUP(Assumptions!$D$7, Lists!$B$7:$C$10, 2, FALSE)*Assumptions!$D$10/VLOOKUP(Assumptions!$D$9, Lists!$B$7:$C$10, 2, FALSE)</f>
        <v>-77142.857142857145</v>
      </c>
      <c r="Y35" s="185">
        <f>'Alt. scenario LCY'!Y35*VLOOKUP(Assumptions!$D$7, Lists!$B$7:$C$10, 2, FALSE)*Assumptions!$D$10/VLOOKUP(Assumptions!$D$9, Lists!$B$7:$C$10, 2, FALSE)</f>
        <v>-81428.57142857142</v>
      </c>
      <c r="Z35" s="185">
        <f>'Alt. scenario LCY'!Z35*VLOOKUP(Assumptions!$D$7, Lists!$B$7:$C$10, 2, FALSE)*Assumptions!$D$10/VLOOKUP(Assumptions!$D$9, Lists!$B$7:$C$10, 2, FALSE)</f>
        <v>-85714.28571428571</v>
      </c>
      <c r="AA35" s="185">
        <f>'Alt. scenario LCY'!AA35*VLOOKUP(Assumptions!$D$7, Lists!$B$7:$C$10, 2, FALSE)*Assumptions!$D$10/VLOOKUP(Assumptions!$D$9, Lists!$B$7:$C$10, 2, FALSE)</f>
        <v>-90000</v>
      </c>
      <c r="AB35" s="48">
        <f t="shared" si="52"/>
        <v>-334285.71428571432</v>
      </c>
      <c r="AC35" s="185">
        <f>'Alt. scenario LCY'!AC35*VLOOKUP(Assumptions!$D$7, Lists!$B$7:$C$10, 2, FALSE)*Assumptions!$D$10/VLOOKUP(Assumptions!$D$9, Lists!$B$7:$C$10, 2, FALSE)</f>
        <v>-90000</v>
      </c>
      <c r="AD35" s="185">
        <f>'Alt. scenario LCY'!AD35*VLOOKUP(Assumptions!$D$7, Lists!$B$7:$C$10, 2, FALSE)*Assumptions!$D$10/VLOOKUP(Assumptions!$D$9, Lists!$B$7:$C$10, 2, FALSE)</f>
        <v>-85714.28571428571</v>
      </c>
      <c r="AE35" s="185">
        <f>'Alt. scenario LCY'!AE35*VLOOKUP(Assumptions!$D$7, Lists!$B$7:$C$10, 2, FALSE)*Assumptions!$D$10/VLOOKUP(Assumptions!$D$9, Lists!$B$7:$C$10, 2, FALSE)</f>
        <v>-85714.28571428571</v>
      </c>
      <c r="AF35" s="185">
        <f>'Alt. scenario LCY'!AF35*VLOOKUP(Assumptions!$D$7, Lists!$B$7:$C$10, 2, FALSE)*Assumptions!$D$10/VLOOKUP(Assumptions!$D$9, Lists!$B$7:$C$10, 2, FALSE)</f>
        <v>-85714.28571428571</v>
      </c>
      <c r="AG35" s="48">
        <f t="shared" si="53"/>
        <v>-347142.85714285716</v>
      </c>
      <c r="AH35" s="63">
        <f>'Alt. scenario LCY'!AH35*VLOOKUP(Assumptions!$D$7, Lists!$B$7:$C$10, 2, FALSE)*Assumptions!$D$10/VLOOKUP(Assumptions!$D$9, Lists!$B$7:$C$10, 2, FALSE)</f>
        <v>-85714.28571428571</v>
      </c>
      <c r="AI35" s="64">
        <f>'Alt. scenario LCY'!AI35*VLOOKUP(Assumptions!$D$7, Lists!$B$7:$C$10, 2, FALSE)*Assumptions!$D$10/VLOOKUP(Assumptions!$D$9, Lists!$B$7:$C$10, 2, FALSE)</f>
        <v>-85714.28571428571</v>
      </c>
      <c r="AJ35" s="64">
        <f>'Alt. scenario LCY'!AJ35*VLOOKUP(Assumptions!$D$7, Lists!$B$7:$C$10, 2, FALSE)*Assumptions!$D$10/VLOOKUP(Assumptions!$D$9, Lists!$B$7:$C$10, 2, FALSE)</f>
        <v>-85714.28571428571</v>
      </c>
      <c r="AK35" s="108">
        <f>'Alt. scenario LCY'!AK35*VLOOKUP(Assumptions!$D$7, Lists!$B$7:$C$10, 2, FALSE)*Assumptions!$D$10/VLOOKUP(Assumptions!$D$9, Lists!$B$7:$C$10, 2, FALSE)</f>
        <v>-85714.28571428571</v>
      </c>
      <c r="AL35" s="60">
        <f t="shared" si="54"/>
        <v>-342857.14285714284</v>
      </c>
    </row>
    <row r="36" spans="1:38" ht="15.95" outlineLevel="2">
      <c r="A36" s="31"/>
      <c r="C36" s="32" t="s">
        <v>277</v>
      </c>
      <c r="D36" s="185">
        <f>'Alt. scenario LCY'!D36*VLOOKUP(Assumptions!$D$7, Lists!$B$7:$C$10, 2, FALSE)*Assumptions!$D$10/VLOOKUP(Assumptions!$D$9, Lists!$B$7:$C$10, 2, FALSE)</f>
        <v>-107142.85714285714</v>
      </c>
      <c r="E36" s="185">
        <f>'Alt. scenario LCY'!E36*VLOOKUP(Assumptions!$D$7, Lists!$B$7:$C$10, 2, FALSE)*Assumptions!$D$10/VLOOKUP(Assumptions!$D$9, Lists!$B$7:$C$10, 2, FALSE)</f>
        <v>-107142.85714285714</v>
      </c>
      <c r="F36" s="185">
        <f>'Alt. scenario LCY'!F36*VLOOKUP(Assumptions!$D$7, Lists!$B$7:$C$10, 2, FALSE)*Assumptions!$D$10/VLOOKUP(Assumptions!$D$9, Lists!$B$7:$C$10, 2, FALSE)</f>
        <v>-107142.85714285714</v>
      </c>
      <c r="G36" s="185">
        <f>'Alt. scenario LCY'!G36*VLOOKUP(Assumptions!$D$7, Lists!$B$7:$C$10, 2, FALSE)*Assumptions!$D$10/VLOOKUP(Assumptions!$D$9, Lists!$B$7:$C$10, 2, FALSE)</f>
        <v>-107142.85714285714</v>
      </c>
      <c r="H36" s="60">
        <f t="shared" si="48"/>
        <v>-428571.42857142858</v>
      </c>
      <c r="I36" s="185">
        <f>'Alt. scenario LCY'!I36*VLOOKUP(Assumptions!$D$7, Lists!$B$7:$C$10, 2, FALSE)*Assumptions!$D$10/VLOOKUP(Assumptions!$D$9, Lists!$B$7:$C$10, 2, FALSE)</f>
        <v>-107142.85714285714</v>
      </c>
      <c r="J36" s="185">
        <f>'Alt. scenario LCY'!J36*VLOOKUP(Assumptions!$D$7, Lists!$B$7:$C$10, 2, FALSE)*Assumptions!$D$10/VLOOKUP(Assumptions!$D$9, Lists!$B$7:$C$10, 2, FALSE)</f>
        <v>-107142.85714285714</v>
      </c>
      <c r="K36" s="185">
        <f>'Alt. scenario LCY'!K36*VLOOKUP(Assumptions!$D$7, Lists!$B$7:$C$10, 2, FALSE)*Assumptions!$D$10/VLOOKUP(Assumptions!$D$9, Lists!$B$7:$C$10, 2, FALSE)</f>
        <v>-107142.85714285714</v>
      </c>
      <c r="L36" s="185">
        <f>'Alt. scenario LCY'!L36*VLOOKUP(Assumptions!$D$7, Lists!$B$7:$C$10, 2, FALSE)*Assumptions!$D$10/VLOOKUP(Assumptions!$D$9, Lists!$B$7:$C$10, 2, FALSE)</f>
        <v>-107142.85714285714</v>
      </c>
      <c r="M36" s="48">
        <f t="shared" si="49"/>
        <v>-428571.42857142858</v>
      </c>
      <c r="N36" s="185">
        <f>'Alt. scenario LCY'!N36*VLOOKUP(Assumptions!$D$7, Lists!$B$7:$C$10, 2, FALSE)*Assumptions!$D$10/VLOOKUP(Assumptions!$D$9, Lists!$B$7:$C$10, 2, FALSE)</f>
        <v>-107142.85714285714</v>
      </c>
      <c r="O36" s="185">
        <f>'Alt. scenario LCY'!O36*VLOOKUP(Assumptions!$D$7, Lists!$B$7:$C$10, 2, FALSE)*Assumptions!$D$10/VLOOKUP(Assumptions!$D$9, Lists!$B$7:$C$10, 2, FALSE)</f>
        <v>-107142.85714285714</v>
      </c>
      <c r="P36" s="185">
        <f>'Alt. scenario LCY'!P36*VLOOKUP(Assumptions!$D$7, Lists!$B$7:$C$10, 2, FALSE)*Assumptions!$D$10/VLOOKUP(Assumptions!$D$9, Lists!$B$7:$C$10, 2, FALSE)</f>
        <v>-107142.85714285714</v>
      </c>
      <c r="Q36" s="185">
        <f>'Alt. scenario LCY'!Q36*VLOOKUP(Assumptions!$D$7, Lists!$B$7:$C$10, 2, FALSE)*Assumptions!$D$10/VLOOKUP(Assumptions!$D$9, Lists!$B$7:$C$10, 2, FALSE)</f>
        <v>-107142.85714285714</v>
      </c>
      <c r="R36" s="48">
        <f t="shared" si="50"/>
        <v>-428571.42857142858</v>
      </c>
      <c r="S36" s="185">
        <f>'Alt. scenario LCY'!S36*VLOOKUP(Assumptions!$D$7, Lists!$B$7:$C$10, 2, FALSE)*Assumptions!$D$10/VLOOKUP(Assumptions!$D$9, Lists!$B$7:$C$10, 2, FALSE)</f>
        <v>-107142.85714285714</v>
      </c>
      <c r="T36" s="185">
        <f>'Alt. scenario LCY'!T36*VLOOKUP(Assumptions!$D$7, Lists!$B$7:$C$10, 2, FALSE)*Assumptions!$D$10/VLOOKUP(Assumptions!$D$9, Lists!$B$7:$C$10, 2, FALSE)</f>
        <v>-107142.85714285714</v>
      </c>
      <c r="U36" s="185">
        <f>'Alt. scenario LCY'!U36*VLOOKUP(Assumptions!$D$7, Lists!$B$7:$C$10, 2, FALSE)*Assumptions!$D$10/VLOOKUP(Assumptions!$D$9, Lists!$B$7:$C$10, 2, FALSE)</f>
        <v>-107142.85714285714</v>
      </c>
      <c r="V36" s="185">
        <f>'Alt. scenario LCY'!V36*VLOOKUP(Assumptions!$D$7, Lists!$B$7:$C$10, 2, FALSE)*Assumptions!$D$10/VLOOKUP(Assumptions!$D$9, Lists!$B$7:$C$10, 2, FALSE)</f>
        <v>-107142.85714285714</v>
      </c>
      <c r="W36" s="48">
        <f t="shared" si="51"/>
        <v>-428571.42857142858</v>
      </c>
      <c r="X36" s="185">
        <f>'Alt. scenario LCY'!X36*VLOOKUP(Assumptions!$D$7, Lists!$B$7:$C$10, 2, FALSE)*Assumptions!$D$10/VLOOKUP(Assumptions!$D$9, Lists!$B$7:$C$10, 2, FALSE)</f>
        <v>-107142.85714285714</v>
      </c>
      <c r="Y36" s="185">
        <f>'Alt. scenario LCY'!Y36*VLOOKUP(Assumptions!$D$7, Lists!$B$7:$C$10, 2, FALSE)*Assumptions!$D$10/VLOOKUP(Assumptions!$D$9, Lists!$B$7:$C$10, 2, FALSE)</f>
        <v>-107142.85714285714</v>
      </c>
      <c r="Z36" s="185">
        <f>'Alt. scenario LCY'!Z36*VLOOKUP(Assumptions!$D$7, Lists!$B$7:$C$10, 2, FALSE)*Assumptions!$D$10/VLOOKUP(Assumptions!$D$9, Lists!$B$7:$C$10, 2, FALSE)</f>
        <v>-107142.85714285714</v>
      </c>
      <c r="AA36" s="185">
        <f>'Alt. scenario LCY'!AA36*VLOOKUP(Assumptions!$D$7, Lists!$B$7:$C$10, 2, FALSE)*Assumptions!$D$10/VLOOKUP(Assumptions!$D$9, Lists!$B$7:$C$10, 2, FALSE)</f>
        <v>-107142.85714285714</v>
      </c>
      <c r="AB36" s="48">
        <f t="shared" si="52"/>
        <v>-428571.42857142858</v>
      </c>
      <c r="AC36" s="185">
        <f>'Alt. scenario LCY'!AC36*VLOOKUP(Assumptions!$D$7, Lists!$B$7:$C$10, 2, FALSE)*Assumptions!$D$10/VLOOKUP(Assumptions!$D$9, Lists!$B$7:$C$10, 2, FALSE)</f>
        <v>-107142.85714285714</v>
      </c>
      <c r="AD36" s="185">
        <f>'Alt. scenario LCY'!AD36*VLOOKUP(Assumptions!$D$7, Lists!$B$7:$C$10, 2, FALSE)*Assumptions!$D$10/VLOOKUP(Assumptions!$D$9, Lists!$B$7:$C$10, 2, FALSE)</f>
        <v>-107142.85714285714</v>
      </c>
      <c r="AE36" s="185">
        <f>'Alt. scenario LCY'!AE36*VLOOKUP(Assumptions!$D$7, Lists!$B$7:$C$10, 2, FALSE)*Assumptions!$D$10/VLOOKUP(Assumptions!$D$9, Lists!$B$7:$C$10, 2, FALSE)</f>
        <v>-107142.85714285714</v>
      </c>
      <c r="AF36" s="185">
        <f>'Alt. scenario LCY'!AF36*VLOOKUP(Assumptions!$D$7, Lists!$B$7:$C$10, 2, FALSE)*Assumptions!$D$10/VLOOKUP(Assumptions!$D$9, Lists!$B$7:$C$10, 2, FALSE)</f>
        <v>-107142.85714285714</v>
      </c>
      <c r="AG36" s="48">
        <f t="shared" si="53"/>
        <v>-428571.42857142858</v>
      </c>
      <c r="AH36" s="63">
        <f>'Alt. scenario LCY'!AH36*VLOOKUP(Assumptions!$D$7, Lists!$B$7:$C$10, 2, FALSE)*Assumptions!$D$10/VLOOKUP(Assumptions!$D$9, Lists!$B$7:$C$10, 2, FALSE)</f>
        <v>-107142.85714285714</v>
      </c>
      <c r="AI36" s="64">
        <f>'Alt. scenario LCY'!AI36*VLOOKUP(Assumptions!$D$7, Lists!$B$7:$C$10, 2, FALSE)*Assumptions!$D$10/VLOOKUP(Assumptions!$D$9, Lists!$B$7:$C$10, 2, FALSE)</f>
        <v>-107142.85714285714</v>
      </c>
      <c r="AJ36" s="64">
        <f>'Alt. scenario LCY'!AJ36*VLOOKUP(Assumptions!$D$7, Lists!$B$7:$C$10, 2, FALSE)*Assumptions!$D$10/VLOOKUP(Assumptions!$D$9, Lists!$B$7:$C$10, 2, FALSE)</f>
        <v>-107142.85714285714</v>
      </c>
      <c r="AK36" s="108">
        <f>'Alt. scenario LCY'!AK36*VLOOKUP(Assumptions!$D$7, Lists!$B$7:$C$10, 2, FALSE)*Assumptions!$D$10/VLOOKUP(Assumptions!$D$9, Lists!$B$7:$C$10, 2, FALSE)</f>
        <v>-107142.85714285714</v>
      </c>
      <c r="AL36" s="60">
        <f t="shared" si="54"/>
        <v>-428571.42857142858</v>
      </c>
    </row>
    <row r="37" spans="1:38" ht="15.95" outlineLevel="1">
      <c r="A37" s="31"/>
      <c r="B37" s="34" t="s">
        <v>278</v>
      </c>
      <c r="C37" s="34"/>
      <c r="D37" s="186">
        <f>SUM(D34:D36)</f>
        <v>-116614.28571428571</v>
      </c>
      <c r="E37" s="186">
        <f>SUM(E34:E36)</f>
        <v>-121607.14285714286</v>
      </c>
      <c r="F37" s="186">
        <f>SUM(F34:F36)</f>
        <v>-126600</v>
      </c>
      <c r="G37" s="186">
        <f>SUM(G34:G36)</f>
        <v>-131657.14285714287</v>
      </c>
      <c r="H37" s="61">
        <f t="shared" si="48"/>
        <v>-496478.57142857148</v>
      </c>
      <c r="I37" s="186">
        <f>SUM(I34:I36)</f>
        <v>-136650</v>
      </c>
      <c r="J37" s="186">
        <f>SUM(J34:J36)</f>
        <v>-141642.85714285716</v>
      </c>
      <c r="K37" s="186">
        <f>SUM(K34:K36)</f>
        <v>-146571.42857142858</v>
      </c>
      <c r="L37" s="186">
        <f>SUM(L34:L36)</f>
        <v>-151500</v>
      </c>
      <c r="M37" s="51">
        <f t="shared" si="49"/>
        <v>-576364.28571428568</v>
      </c>
      <c r="N37" s="186">
        <f>SUM(N34:N36)</f>
        <v>-156492.85714285716</v>
      </c>
      <c r="O37" s="186">
        <f>SUM(O34:O36)</f>
        <v>-161421.42857142858</v>
      </c>
      <c r="P37" s="186">
        <f>SUM(P34:P36)</f>
        <v>-166414.28571428571</v>
      </c>
      <c r="Q37" s="186">
        <f>SUM(Q34:Q36)</f>
        <v>-171342.85714285716</v>
      </c>
      <c r="R37" s="51">
        <f t="shared" si="50"/>
        <v>-655671.42857142864</v>
      </c>
      <c r="S37" s="186">
        <f>SUM(S34:S36)</f>
        <v>-176207.14285714284</v>
      </c>
      <c r="T37" s="186">
        <f>SUM(T34:T36)</f>
        <v>-181135.71428571429</v>
      </c>
      <c r="U37" s="186">
        <f>SUM(U34:U36)</f>
        <v>-186064.28571428574</v>
      </c>
      <c r="V37" s="186">
        <f>SUM(V34:V36)</f>
        <v>-190992.85714285716</v>
      </c>
      <c r="W37" s="51">
        <f t="shared" si="51"/>
        <v>-734400.00000000012</v>
      </c>
      <c r="X37" s="186">
        <f>SUM(X34:X36)</f>
        <v>-195857.14285714284</v>
      </c>
      <c r="Y37" s="186">
        <f>SUM(Y34:Y36)</f>
        <v>-200657.14285714284</v>
      </c>
      <c r="Z37" s="186">
        <f>SUM(Z34:Z36)</f>
        <v>-205521.42857142858</v>
      </c>
      <c r="AA37" s="186">
        <f>SUM(AA34:AA36)</f>
        <v>-210450</v>
      </c>
      <c r="AB37" s="51">
        <f t="shared" si="52"/>
        <v>-812485.71428571432</v>
      </c>
      <c r="AC37" s="186">
        <f>SUM(AC34:AC36)</f>
        <v>-210385.71428571429</v>
      </c>
      <c r="AD37" s="186">
        <f>SUM(AD34:AD36)</f>
        <v>-205842.85714285716</v>
      </c>
      <c r="AE37" s="186">
        <f>SUM(AE34:AE36)</f>
        <v>-205778.57142857142</v>
      </c>
      <c r="AF37" s="186">
        <f>SUM(AF34:AF36)</f>
        <v>-205778.57142857142</v>
      </c>
      <c r="AG37" s="51">
        <f t="shared" si="53"/>
        <v>-827785.71428571432</v>
      </c>
      <c r="AH37" s="65">
        <f>SUM(AH34:AH36)</f>
        <v>-205585.71428571426</v>
      </c>
      <c r="AI37" s="66">
        <f>SUM(AI34:AI36)</f>
        <v>-205521.42857142858</v>
      </c>
      <c r="AJ37" s="66">
        <f>SUM(AJ34:AJ36)</f>
        <v>-205521.42857142858</v>
      </c>
      <c r="AK37" s="141">
        <f>SUM(AK34:AK36)</f>
        <v>-205392.85714285716</v>
      </c>
      <c r="AL37" s="61">
        <f t="shared" si="54"/>
        <v>-822021.42857142852</v>
      </c>
    </row>
    <row r="38" spans="1:38" ht="15.95" outlineLevel="2">
      <c r="A38" s="31"/>
      <c r="C38" s="32" t="s">
        <v>279</v>
      </c>
      <c r="D38" s="185">
        <f>'Alt. scenario LCY'!D38*VLOOKUP(Assumptions!$D$7, Lists!$B$7:$C$10, 2, FALSE)*Assumptions!$D$10/VLOOKUP(Assumptions!$D$9, Lists!$B$7:$C$10, 2, FALSE)</f>
        <v>-30000</v>
      </c>
      <c r="E38" s="185">
        <f>'Alt. scenario LCY'!E38*VLOOKUP(Assumptions!$D$7, Lists!$B$7:$C$10, 2, FALSE)*Assumptions!$D$10/VLOOKUP(Assumptions!$D$9, Lists!$B$7:$C$10, 2, FALSE)</f>
        <v>-45000</v>
      </c>
      <c r="F38" s="185">
        <f>'Alt. scenario LCY'!F38*VLOOKUP(Assumptions!$D$7, Lists!$B$7:$C$10, 2, FALSE)*Assumptions!$D$10/VLOOKUP(Assumptions!$D$9, Lists!$B$7:$C$10, 2, FALSE)</f>
        <v>-60000</v>
      </c>
      <c r="G38" s="185">
        <f>'Alt. scenario LCY'!G38*VLOOKUP(Assumptions!$D$7, Lists!$B$7:$C$10, 2, FALSE)*Assumptions!$D$10/VLOOKUP(Assumptions!$D$9, Lists!$B$7:$C$10, 2, FALSE)</f>
        <v>-75000</v>
      </c>
      <c r="H38" s="60">
        <f t="shared" si="48"/>
        <v>-210000</v>
      </c>
      <c r="I38" s="185">
        <f>'Alt. scenario LCY'!I38*VLOOKUP(Assumptions!$D$7, Lists!$B$7:$C$10, 2, FALSE)*Assumptions!$D$10/VLOOKUP(Assumptions!$D$9, Lists!$B$7:$C$10, 2, FALSE)</f>
        <v>-90000</v>
      </c>
      <c r="J38" s="185">
        <f>'Alt. scenario LCY'!J38*VLOOKUP(Assumptions!$D$7, Lists!$B$7:$C$10, 2, FALSE)*Assumptions!$D$10/VLOOKUP(Assumptions!$D$9, Lists!$B$7:$C$10, 2, FALSE)</f>
        <v>-105000</v>
      </c>
      <c r="K38" s="185">
        <f>'Alt. scenario LCY'!K38*VLOOKUP(Assumptions!$D$7, Lists!$B$7:$C$10, 2, FALSE)*Assumptions!$D$10/VLOOKUP(Assumptions!$D$9, Lists!$B$7:$C$10, 2, FALSE)</f>
        <v>-120000</v>
      </c>
      <c r="L38" s="185">
        <f>'Alt. scenario LCY'!L38*VLOOKUP(Assumptions!$D$7, Lists!$B$7:$C$10, 2, FALSE)*Assumptions!$D$10/VLOOKUP(Assumptions!$D$9, Lists!$B$7:$C$10, 2, FALSE)</f>
        <v>-135000</v>
      </c>
      <c r="M38" s="48">
        <f t="shared" si="49"/>
        <v>-450000</v>
      </c>
      <c r="N38" s="185">
        <f>'Alt. scenario LCY'!N38*VLOOKUP(Assumptions!$D$7, Lists!$B$7:$C$10, 2, FALSE)*Assumptions!$D$10/VLOOKUP(Assumptions!$D$9, Lists!$B$7:$C$10, 2, FALSE)</f>
        <v>-150000</v>
      </c>
      <c r="O38" s="185">
        <f>'Alt. scenario LCY'!O38*VLOOKUP(Assumptions!$D$7, Lists!$B$7:$C$10, 2, FALSE)*Assumptions!$D$10/VLOOKUP(Assumptions!$D$9, Lists!$B$7:$C$10, 2, FALSE)</f>
        <v>-165000</v>
      </c>
      <c r="P38" s="185">
        <f>'Alt. scenario LCY'!P38*VLOOKUP(Assumptions!$D$7, Lists!$B$7:$C$10, 2, FALSE)*Assumptions!$D$10/VLOOKUP(Assumptions!$D$9, Lists!$B$7:$C$10, 2, FALSE)</f>
        <v>-180000</v>
      </c>
      <c r="Q38" s="185">
        <f>'Alt. scenario LCY'!Q38*VLOOKUP(Assumptions!$D$7, Lists!$B$7:$C$10, 2, FALSE)*Assumptions!$D$10/VLOOKUP(Assumptions!$D$9, Lists!$B$7:$C$10, 2, FALSE)</f>
        <v>-195000</v>
      </c>
      <c r="R38" s="48">
        <f t="shared" si="50"/>
        <v>-690000</v>
      </c>
      <c r="S38" s="185">
        <f>'Alt. scenario LCY'!S38*VLOOKUP(Assumptions!$D$7, Lists!$B$7:$C$10, 2, FALSE)*Assumptions!$D$10/VLOOKUP(Assumptions!$D$9, Lists!$B$7:$C$10, 2, FALSE)</f>
        <v>-210000</v>
      </c>
      <c r="T38" s="185">
        <f>'Alt. scenario LCY'!T38*VLOOKUP(Assumptions!$D$7, Lists!$B$7:$C$10, 2, FALSE)*Assumptions!$D$10/VLOOKUP(Assumptions!$D$9, Lists!$B$7:$C$10, 2, FALSE)</f>
        <v>-225000</v>
      </c>
      <c r="U38" s="185">
        <f>'Alt. scenario LCY'!U38*VLOOKUP(Assumptions!$D$7, Lists!$B$7:$C$10, 2, FALSE)*Assumptions!$D$10/VLOOKUP(Assumptions!$D$9, Lists!$B$7:$C$10, 2, FALSE)</f>
        <v>-240000</v>
      </c>
      <c r="V38" s="185">
        <f>'Alt. scenario LCY'!V38*VLOOKUP(Assumptions!$D$7, Lists!$B$7:$C$10, 2, FALSE)*Assumptions!$D$10/VLOOKUP(Assumptions!$D$9, Lists!$B$7:$C$10, 2, FALSE)</f>
        <v>-255000</v>
      </c>
      <c r="W38" s="48">
        <f t="shared" si="51"/>
        <v>-930000</v>
      </c>
      <c r="X38" s="185">
        <f>'Alt. scenario LCY'!X38*VLOOKUP(Assumptions!$D$7, Lists!$B$7:$C$10, 2, FALSE)*Assumptions!$D$10/VLOOKUP(Assumptions!$D$9, Lists!$B$7:$C$10, 2, FALSE)</f>
        <v>-270000</v>
      </c>
      <c r="Y38" s="185">
        <f>'Alt. scenario LCY'!Y38*VLOOKUP(Assumptions!$D$7, Lists!$B$7:$C$10, 2, FALSE)*Assumptions!$D$10/VLOOKUP(Assumptions!$D$9, Lists!$B$7:$C$10, 2, FALSE)</f>
        <v>-285000</v>
      </c>
      <c r="Z38" s="185">
        <f>'Alt. scenario LCY'!Z38*VLOOKUP(Assumptions!$D$7, Lists!$B$7:$C$10, 2, FALSE)*Assumptions!$D$10/VLOOKUP(Assumptions!$D$9, Lists!$B$7:$C$10, 2, FALSE)</f>
        <v>-300000</v>
      </c>
      <c r="AA38" s="185">
        <f>'Alt. scenario LCY'!AA38*VLOOKUP(Assumptions!$D$7, Lists!$B$7:$C$10, 2, FALSE)*Assumptions!$D$10/VLOOKUP(Assumptions!$D$9, Lists!$B$7:$C$10, 2, FALSE)</f>
        <v>-315000</v>
      </c>
      <c r="AB38" s="48">
        <f t="shared" si="52"/>
        <v>-1170000</v>
      </c>
      <c r="AC38" s="185">
        <f>'Alt. scenario LCY'!AC38*VLOOKUP(Assumptions!$D$7, Lists!$B$7:$C$10, 2, FALSE)*Assumptions!$D$10/VLOOKUP(Assumptions!$D$9, Lists!$B$7:$C$10, 2, FALSE)</f>
        <v>-315000</v>
      </c>
      <c r="AD38" s="185">
        <f>'Alt. scenario LCY'!AD38*VLOOKUP(Assumptions!$D$7, Lists!$B$7:$C$10, 2, FALSE)*Assumptions!$D$10/VLOOKUP(Assumptions!$D$9, Lists!$B$7:$C$10, 2, FALSE)</f>
        <v>-300000</v>
      </c>
      <c r="AE38" s="185">
        <f>'Alt. scenario LCY'!AE38*VLOOKUP(Assumptions!$D$7, Lists!$B$7:$C$10, 2, FALSE)*Assumptions!$D$10/VLOOKUP(Assumptions!$D$9, Lists!$B$7:$C$10, 2, FALSE)</f>
        <v>-300000</v>
      </c>
      <c r="AF38" s="185">
        <f>'Alt. scenario LCY'!AF38*VLOOKUP(Assumptions!$D$7, Lists!$B$7:$C$10, 2, FALSE)*Assumptions!$D$10/VLOOKUP(Assumptions!$D$9, Lists!$B$7:$C$10, 2, FALSE)</f>
        <v>-300000</v>
      </c>
      <c r="AG38" s="48">
        <f t="shared" si="53"/>
        <v>-1215000</v>
      </c>
      <c r="AH38" s="63">
        <f>'Alt. scenario LCY'!AH38*VLOOKUP(Assumptions!$D$7, Lists!$B$7:$C$10, 2, FALSE)*Assumptions!$D$10/VLOOKUP(Assumptions!$D$9, Lists!$B$7:$C$10, 2, FALSE)</f>
        <v>-300000</v>
      </c>
      <c r="AI38" s="64">
        <f>'Alt. scenario LCY'!AI38*VLOOKUP(Assumptions!$D$7, Lists!$B$7:$C$10, 2, FALSE)*Assumptions!$D$10/VLOOKUP(Assumptions!$D$9, Lists!$B$7:$C$10, 2, FALSE)</f>
        <v>-300000</v>
      </c>
      <c r="AJ38" s="64">
        <f>'Alt. scenario LCY'!AJ38*VLOOKUP(Assumptions!$D$7, Lists!$B$7:$C$10, 2, FALSE)*Assumptions!$D$10/VLOOKUP(Assumptions!$D$9, Lists!$B$7:$C$10, 2, FALSE)</f>
        <v>-300000</v>
      </c>
      <c r="AK38" s="108">
        <f>'Alt. scenario LCY'!AK38*VLOOKUP(Assumptions!$D$7, Lists!$B$7:$C$10, 2, FALSE)*Assumptions!$D$10/VLOOKUP(Assumptions!$D$9, Lists!$B$7:$C$10, 2, FALSE)</f>
        <v>-300000</v>
      </c>
      <c r="AL38" s="60">
        <f t="shared" si="54"/>
        <v>-1200000</v>
      </c>
    </row>
    <row r="39" spans="1:38" ht="15.95" outlineLevel="2">
      <c r="A39" s="31"/>
      <c r="C39" s="32" t="s">
        <v>280</v>
      </c>
      <c r="D39" s="185">
        <f>'Alt. scenario LCY'!D39*VLOOKUP(Assumptions!$D$7, Lists!$B$7:$C$10, 2, FALSE)*Assumptions!$D$10/VLOOKUP(Assumptions!$D$9, Lists!$B$7:$C$10, 2, FALSE)</f>
        <v>-3000</v>
      </c>
      <c r="E39" s="185">
        <f>'Alt. scenario LCY'!E39*VLOOKUP(Assumptions!$D$7, Lists!$B$7:$C$10, 2, FALSE)*Assumptions!$D$10/VLOOKUP(Assumptions!$D$9, Lists!$B$7:$C$10, 2, FALSE)</f>
        <v>-4500</v>
      </c>
      <c r="F39" s="185">
        <f>'Alt. scenario LCY'!F39*VLOOKUP(Assumptions!$D$7, Lists!$B$7:$C$10, 2, FALSE)*Assumptions!$D$10/VLOOKUP(Assumptions!$D$9, Lists!$B$7:$C$10, 2, FALSE)</f>
        <v>-6000</v>
      </c>
      <c r="G39" s="185">
        <f>'Alt. scenario LCY'!G39*VLOOKUP(Assumptions!$D$7, Lists!$B$7:$C$10, 2, FALSE)*Assumptions!$D$10/VLOOKUP(Assumptions!$D$9, Lists!$B$7:$C$10, 2, FALSE)</f>
        <v>-7500</v>
      </c>
      <c r="H39" s="60">
        <f t="shared" si="48"/>
        <v>-21000</v>
      </c>
      <c r="I39" s="185">
        <f>'Alt. scenario LCY'!I39*VLOOKUP(Assumptions!$D$7, Lists!$B$7:$C$10, 2, FALSE)*Assumptions!$D$10/VLOOKUP(Assumptions!$D$9, Lists!$B$7:$C$10, 2, FALSE)</f>
        <v>-9000</v>
      </c>
      <c r="J39" s="185">
        <f>'Alt. scenario LCY'!J39*VLOOKUP(Assumptions!$D$7, Lists!$B$7:$C$10, 2, FALSE)*Assumptions!$D$10/VLOOKUP(Assumptions!$D$9, Lists!$B$7:$C$10, 2, FALSE)</f>
        <v>-10500</v>
      </c>
      <c r="K39" s="185">
        <f>'Alt. scenario LCY'!K39*VLOOKUP(Assumptions!$D$7, Lists!$B$7:$C$10, 2, FALSE)*Assumptions!$D$10/VLOOKUP(Assumptions!$D$9, Lists!$B$7:$C$10, 2, FALSE)</f>
        <v>-12000</v>
      </c>
      <c r="L39" s="185">
        <f>'Alt. scenario LCY'!L39*VLOOKUP(Assumptions!$D$7, Lists!$B$7:$C$10, 2, FALSE)*Assumptions!$D$10/VLOOKUP(Assumptions!$D$9, Lists!$B$7:$C$10, 2, FALSE)</f>
        <v>-13500</v>
      </c>
      <c r="M39" s="48">
        <f t="shared" si="49"/>
        <v>-45000</v>
      </c>
      <c r="N39" s="185">
        <f>'Alt. scenario LCY'!N39*VLOOKUP(Assumptions!$D$7, Lists!$B$7:$C$10, 2, FALSE)*Assumptions!$D$10/VLOOKUP(Assumptions!$D$9, Lists!$B$7:$C$10, 2, FALSE)</f>
        <v>-15000</v>
      </c>
      <c r="O39" s="185">
        <f>'Alt. scenario LCY'!O39*VLOOKUP(Assumptions!$D$7, Lists!$B$7:$C$10, 2, FALSE)*Assumptions!$D$10/VLOOKUP(Assumptions!$D$9, Lists!$B$7:$C$10, 2, FALSE)</f>
        <v>-16500</v>
      </c>
      <c r="P39" s="185">
        <f>'Alt. scenario LCY'!P39*VLOOKUP(Assumptions!$D$7, Lists!$B$7:$C$10, 2, FALSE)*Assumptions!$D$10/VLOOKUP(Assumptions!$D$9, Lists!$B$7:$C$10, 2, FALSE)</f>
        <v>-18000</v>
      </c>
      <c r="Q39" s="185">
        <f>'Alt. scenario LCY'!Q39*VLOOKUP(Assumptions!$D$7, Lists!$B$7:$C$10, 2, FALSE)*Assumptions!$D$10/VLOOKUP(Assumptions!$D$9, Lists!$B$7:$C$10, 2, FALSE)</f>
        <v>-19500</v>
      </c>
      <c r="R39" s="48">
        <f t="shared" si="50"/>
        <v>-69000</v>
      </c>
      <c r="S39" s="185">
        <f>'Alt. scenario LCY'!S39*VLOOKUP(Assumptions!$D$7, Lists!$B$7:$C$10, 2, FALSE)*Assumptions!$D$10/VLOOKUP(Assumptions!$D$9, Lists!$B$7:$C$10, 2, FALSE)</f>
        <v>-21000</v>
      </c>
      <c r="T39" s="185">
        <f>'Alt. scenario LCY'!T39*VLOOKUP(Assumptions!$D$7, Lists!$B$7:$C$10, 2, FALSE)*Assumptions!$D$10/VLOOKUP(Assumptions!$D$9, Lists!$B$7:$C$10, 2, FALSE)</f>
        <v>-22500</v>
      </c>
      <c r="U39" s="185">
        <f>'Alt. scenario LCY'!U39*VLOOKUP(Assumptions!$D$7, Lists!$B$7:$C$10, 2, FALSE)*Assumptions!$D$10/VLOOKUP(Assumptions!$D$9, Lists!$B$7:$C$10, 2, FALSE)</f>
        <v>-24000</v>
      </c>
      <c r="V39" s="185">
        <f>'Alt. scenario LCY'!V39*VLOOKUP(Assumptions!$D$7, Lists!$B$7:$C$10, 2, FALSE)*Assumptions!$D$10/VLOOKUP(Assumptions!$D$9, Lists!$B$7:$C$10, 2, FALSE)</f>
        <v>-25500</v>
      </c>
      <c r="W39" s="48">
        <f t="shared" si="51"/>
        <v>-93000</v>
      </c>
      <c r="X39" s="185">
        <f>'Alt. scenario LCY'!X39*VLOOKUP(Assumptions!$D$7, Lists!$B$7:$C$10, 2, FALSE)*Assumptions!$D$10/VLOOKUP(Assumptions!$D$9, Lists!$B$7:$C$10, 2, FALSE)</f>
        <v>-27000</v>
      </c>
      <c r="Y39" s="185">
        <f>'Alt. scenario LCY'!Y39*VLOOKUP(Assumptions!$D$7, Lists!$B$7:$C$10, 2, FALSE)*Assumptions!$D$10/VLOOKUP(Assumptions!$D$9, Lists!$B$7:$C$10, 2, FALSE)</f>
        <v>-28500</v>
      </c>
      <c r="Z39" s="185">
        <f>'Alt. scenario LCY'!Z39*VLOOKUP(Assumptions!$D$7, Lists!$B$7:$C$10, 2, FALSE)*Assumptions!$D$10/VLOOKUP(Assumptions!$D$9, Lists!$B$7:$C$10, 2, FALSE)</f>
        <v>-30000</v>
      </c>
      <c r="AA39" s="185">
        <f>'Alt. scenario LCY'!AA39*VLOOKUP(Assumptions!$D$7, Lists!$B$7:$C$10, 2, FALSE)*Assumptions!$D$10/VLOOKUP(Assumptions!$D$9, Lists!$B$7:$C$10, 2, FALSE)</f>
        <v>-31500</v>
      </c>
      <c r="AB39" s="48">
        <f t="shared" si="52"/>
        <v>-117000</v>
      </c>
      <c r="AC39" s="185">
        <f>'Alt. scenario LCY'!AC39*VLOOKUP(Assumptions!$D$7, Lists!$B$7:$C$10, 2, FALSE)*Assumptions!$D$10/VLOOKUP(Assumptions!$D$9, Lists!$B$7:$C$10, 2, FALSE)</f>
        <v>-31500</v>
      </c>
      <c r="AD39" s="185">
        <f>'Alt. scenario LCY'!AD39*VLOOKUP(Assumptions!$D$7, Lists!$B$7:$C$10, 2, FALSE)*Assumptions!$D$10/VLOOKUP(Assumptions!$D$9, Lists!$B$7:$C$10, 2, FALSE)</f>
        <v>-30000</v>
      </c>
      <c r="AE39" s="185">
        <f>'Alt. scenario LCY'!AE39*VLOOKUP(Assumptions!$D$7, Lists!$B$7:$C$10, 2, FALSE)*Assumptions!$D$10/VLOOKUP(Assumptions!$D$9, Lists!$B$7:$C$10, 2, FALSE)</f>
        <v>-30000</v>
      </c>
      <c r="AF39" s="185">
        <f>'Alt. scenario LCY'!AF39*VLOOKUP(Assumptions!$D$7, Lists!$B$7:$C$10, 2, FALSE)*Assumptions!$D$10/VLOOKUP(Assumptions!$D$9, Lists!$B$7:$C$10, 2, FALSE)</f>
        <v>-30000</v>
      </c>
      <c r="AG39" s="48">
        <f t="shared" si="53"/>
        <v>-121500</v>
      </c>
      <c r="AH39" s="63">
        <f>'Alt. scenario LCY'!AH39*VLOOKUP(Assumptions!$D$7, Lists!$B$7:$C$10, 2, FALSE)*Assumptions!$D$10/VLOOKUP(Assumptions!$D$9, Lists!$B$7:$C$10, 2, FALSE)</f>
        <v>-30000</v>
      </c>
      <c r="AI39" s="64">
        <f>'Alt. scenario LCY'!AI39*VLOOKUP(Assumptions!$D$7, Lists!$B$7:$C$10, 2, FALSE)*Assumptions!$D$10/VLOOKUP(Assumptions!$D$9, Lists!$B$7:$C$10, 2, FALSE)</f>
        <v>-30000</v>
      </c>
      <c r="AJ39" s="64">
        <f>'Alt. scenario LCY'!AJ39*VLOOKUP(Assumptions!$D$7, Lists!$B$7:$C$10, 2, FALSE)*Assumptions!$D$10/VLOOKUP(Assumptions!$D$9, Lists!$B$7:$C$10, 2, FALSE)</f>
        <v>-30000</v>
      </c>
      <c r="AK39" s="108">
        <f>'Alt. scenario LCY'!AK39*VLOOKUP(Assumptions!$D$7, Lists!$B$7:$C$10, 2, FALSE)*Assumptions!$D$10/VLOOKUP(Assumptions!$D$9, Lists!$B$7:$C$10, 2, FALSE)</f>
        <v>-30000</v>
      </c>
      <c r="AL39" s="60">
        <f t="shared" si="54"/>
        <v>-120000</v>
      </c>
    </row>
    <row r="40" spans="1:38" ht="15.95" outlineLevel="2">
      <c r="A40" s="31"/>
      <c r="C40" s="32" t="s">
        <v>281</v>
      </c>
      <c r="D40" s="185">
        <f>'Alt. scenario LCY'!D40*VLOOKUP(Assumptions!$D$7, Lists!$B$7:$C$10, 2, FALSE)*Assumptions!$D$10/VLOOKUP(Assumptions!$D$9, Lists!$B$7:$C$10, 2, FALSE)</f>
        <v>-1247400</v>
      </c>
      <c r="E40" s="185">
        <f>'Alt. scenario LCY'!E40*VLOOKUP(Assumptions!$D$7, Lists!$B$7:$C$10, 2, FALSE)*Assumptions!$D$10/VLOOKUP(Assumptions!$D$9, Lists!$B$7:$C$10, 2, FALSE)</f>
        <v>-995640</v>
      </c>
      <c r="F40" s="185">
        <f>'Alt. scenario LCY'!F40*VLOOKUP(Assumptions!$D$7, Lists!$B$7:$C$10, 2, FALSE)*Assumptions!$D$10/VLOOKUP(Assumptions!$D$9, Lists!$B$7:$C$10, 2, FALSE)</f>
        <v>-815460</v>
      </c>
      <c r="G40" s="185">
        <f>'Alt. scenario LCY'!G40*VLOOKUP(Assumptions!$D$7, Lists!$B$7:$C$10, 2, FALSE)*Assumptions!$D$10/VLOOKUP(Assumptions!$D$9, Lists!$B$7:$C$10, 2, FALSE)</f>
        <v>-635280</v>
      </c>
      <c r="H40" s="60">
        <f t="shared" si="48"/>
        <v>-3693780</v>
      </c>
      <c r="I40" s="185">
        <f>'Alt. scenario LCY'!I40*VLOOKUP(Assumptions!$D$7, Lists!$B$7:$C$10, 2, FALSE)*Assumptions!$D$10/VLOOKUP(Assumptions!$D$9, Lists!$B$7:$C$10, 2, FALSE)</f>
        <v>-455100</v>
      </c>
      <c r="J40" s="185">
        <f>'Alt. scenario LCY'!J40*VLOOKUP(Assumptions!$D$7, Lists!$B$7:$C$10, 2, FALSE)*Assumptions!$D$10/VLOOKUP(Assumptions!$D$9, Lists!$B$7:$C$10, 2, FALSE)</f>
        <v>-274920.00000000006</v>
      </c>
      <c r="K40" s="185">
        <f>'Alt. scenario LCY'!K40*VLOOKUP(Assumptions!$D$7, Lists!$B$7:$C$10, 2, FALSE)*Assumptions!$D$10/VLOOKUP(Assumptions!$D$9, Lists!$B$7:$C$10, 2, FALSE)</f>
        <v>-94740.000000000058</v>
      </c>
      <c r="L40" s="185">
        <f>'Alt. scenario LCY'!L40*VLOOKUP(Assumptions!$D$7, Lists!$B$7:$C$10, 2, FALSE)*Assumptions!$D$10/VLOOKUP(Assumptions!$D$9, Lists!$B$7:$C$10, 2, FALSE)</f>
        <v>0</v>
      </c>
      <c r="M40" s="48">
        <f t="shared" si="49"/>
        <v>-824760</v>
      </c>
      <c r="N40" s="185">
        <f>'Alt. scenario LCY'!N40*VLOOKUP(Assumptions!$D$7, Lists!$B$7:$C$10, 2, FALSE)*Assumptions!$D$10/VLOOKUP(Assumptions!$D$9, Lists!$B$7:$C$10, 2, FALSE)</f>
        <v>0</v>
      </c>
      <c r="O40" s="185">
        <f>'Alt. scenario LCY'!O40*VLOOKUP(Assumptions!$D$7, Lists!$B$7:$C$10, 2, FALSE)*Assumptions!$D$10/VLOOKUP(Assumptions!$D$9, Lists!$B$7:$C$10, 2, FALSE)</f>
        <v>0</v>
      </c>
      <c r="P40" s="185">
        <f>'Alt. scenario LCY'!P40*VLOOKUP(Assumptions!$D$7, Lists!$B$7:$C$10, 2, FALSE)*Assumptions!$D$10/VLOOKUP(Assumptions!$D$9, Lists!$B$7:$C$10, 2, FALSE)</f>
        <v>0</v>
      </c>
      <c r="Q40" s="185">
        <f>'Alt. scenario LCY'!Q40*VLOOKUP(Assumptions!$D$7, Lists!$B$7:$C$10, 2, FALSE)*Assumptions!$D$10/VLOOKUP(Assumptions!$D$9, Lists!$B$7:$C$10, 2, FALSE)</f>
        <v>0</v>
      </c>
      <c r="R40" s="48">
        <f t="shared" si="50"/>
        <v>0</v>
      </c>
      <c r="S40" s="185">
        <f>'Alt. scenario LCY'!S40*VLOOKUP(Assumptions!$D$7, Lists!$B$7:$C$10, 2, FALSE)*Assumptions!$D$10/VLOOKUP(Assumptions!$D$9, Lists!$B$7:$C$10, 2, FALSE)</f>
        <v>0</v>
      </c>
      <c r="T40" s="185">
        <f>'Alt. scenario LCY'!T40*VLOOKUP(Assumptions!$D$7, Lists!$B$7:$C$10, 2, FALSE)*Assumptions!$D$10/VLOOKUP(Assumptions!$D$9, Lists!$B$7:$C$10, 2, FALSE)</f>
        <v>0</v>
      </c>
      <c r="U40" s="185">
        <f>'Alt. scenario LCY'!U40*VLOOKUP(Assumptions!$D$7, Lists!$B$7:$C$10, 2, FALSE)*Assumptions!$D$10/VLOOKUP(Assumptions!$D$9, Lists!$B$7:$C$10, 2, FALSE)</f>
        <v>0</v>
      </c>
      <c r="V40" s="185">
        <f>'Alt. scenario LCY'!V40*VLOOKUP(Assumptions!$D$7, Lists!$B$7:$C$10, 2, FALSE)*Assumptions!$D$10/VLOOKUP(Assumptions!$D$9, Lists!$B$7:$C$10, 2, FALSE)</f>
        <v>0</v>
      </c>
      <c r="W40" s="48">
        <f t="shared" si="51"/>
        <v>0</v>
      </c>
      <c r="X40" s="185">
        <f>'Alt. scenario LCY'!X40*VLOOKUP(Assumptions!$D$7, Lists!$B$7:$C$10, 2, FALSE)*Assumptions!$D$10/VLOOKUP(Assumptions!$D$9, Lists!$B$7:$C$10, 2, FALSE)</f>
        <v>0</v>
      </c>
      <c r="Y40" s="185">
        <f>'Alt. scenario LCY'!Y40*VLOOKUP(Assumptions!$D$7, Lists!$B$7:$C$10, 2, FALSE)*Assumptions!$D$10/VLOOKUP(Assumptions!$D$9, Lists!$B$7:$C$10, 2, FALSE)</f>
        <v>0</v>
      </c>
      <c r="Z40" s="185">
        <f>'Alt. scenario LCY'!Z40*VLOOKUP(Assumptions!$D$7, Lists!$B$7:$C$10, 2, FALSE)*Assumptions!$D$10/VLOOKUP(Assumptions!$D$9, Lists!$B$7:$C$10, 2, FALSE)</f>
        <v>0</v>
      </c>
      <c r="AA40" s="185">
        <f>'Alt. scenario LCY'!AA40*VLOOKUP(Assumptions!$D$7, Lists!$B$7:$C$10, 2, FALSE)*Assumptions!$D$10/VLOOKUP(Assumptions!$D$9, Lists!$B$7:$C$10, 2, FALSE)</f>
        <v>0</v>
      </c>
      <c r="AB40" s="48">
        <f t="shared" si="52"/>
        <v>0</v>
      </c>
      <c r="AC40" s="185">
        <f>'Alt. scenario LCY'!AC40*VLOOKUP(Assumptions!$D$7, Lists!$B$7:$C$10, 2, FALSE)*Assumptions!$D$10/VLOOKUP(Assumptions!$D$9, Lists!$B$7:$C$10, 2, FALSE)</f>
        <v>0</v>
      </c>
      <c r="AD40" s="185">
        <f>'Alt. scenario LCY'!AD40*VLOOKUP(Assumptions!$D$7, Lists!$B$7:$C$10, 2, FALSE)*Assumptions!$D$10/VLOOKUP(Assumptions!$D$9, Lists!$B$7:$C$10, 2, FALSE)</f>
        <v>0</v>
      </c>
      <c r="AE40" s="185">
        <f>'Alt. scenario LCY'!AE40*VLOOKUP(Assumptions!$D$7, Lists!$B$7:$C$10, 2, FALSE)*Assumptions!$D$10/VLOOKUP(Assumptions!$D$9, Lists!$B$7:$C$10, 2, FALSE)</f>
        <v>0</v>
      </c>
      <c r="AF40" s="185">
        <f>'Alt. scenario LCY'!AF40*VLOOKUP(Assumptions!$D$7, Lists!$B$7:$C$10, 2, FALSE)*Assumptions!$D$10/VLOOKUP(Assumptions!$D$9, Lists!$B$7:$C$10, 2, FALSE)</f>
        <v>0</v>
      </c>
      <c r="AG40" s="48">
        <f t="shared" si="53"/>
        <v>0</v>
      </c>
      <c r="AH40" s="63">
        <f>'Alt. scenario LCY'!AH40*VLOOKUP(Assumptions!$D$7, Lists!$B$7:$C$10, 2, FALSE)*Assumptions!$D$10/VLOOKUP(Assumptions!$D$9, Lists!$B$7:$C$10, 2, FALSE)</f>
        <v>0</v>
      </c>
      <c r="AI40" s="64">
        <f>'Alt. scenario LCY'!AI40*VLOOKUP(Assumptions!$D$7, Lists!$B$7:$C$10, 2, FALSE)*Assumptions!$D$10/VLOOKUP(Assumptions!$D$9, Lists!$B$7:$C$10, 2, FALSE)</f>
        <v>0</v>
      </c>
      <c r="AJ40" s="64">
        <f>'Alt. scenario LCY'!AJ40*VLOOKUP(Assumptions!$D$7, Lists!$B$7:$C$10, 2, FALSE)*Assumptions!$D$10/VLOOKUP(Assumptions!$D$9, Lists!$B$7:$C$10, 2, FALSE)</f>
        <v>0</v>
      </c>
      <c r="AK40" s="108">
        <f>'Alt. scenario LCY'!AK40*VLOOKUP(Assumptions!$D$7, Lists!$B$7:$C$10, 2, FALSE)*Assumptions!$D$10/VLOOKUP(Assumptions!$D$9, Lists!$B$7:$C$10, 2, FALSE)</f>
        <v>0</v>
      </c>
      <c r="AL40" s="60">
        <f t="shared" si="54"/>
        <v>0</v>
      </c>
    </row>
    <row r="41" spans="1:38" ht="15.95" outlineLevel="2">
      <c r="A41" s="31"/>
      <c r="C41" s="32" t="s">
        <v>282</v>
      </c>
      <c r="D41" s="185">
        <f>'Alt. scenario LCY'!D41*VLOOKUP(Assumptions!$D$7, Lists!$B$7:$C$10, 2, FALSE)*Assumptions!$D$10/VLOOKUP(Assumptions!$D$9, Lists!$B$7:$C$10, 2, FALSE)</f>
        <v>-55440</v>
      </c>
      <c r="E41" s="185">
        <f>'Alt. scenario LCY'!E41*VLOOKUP(Assumptions!$D$7, Lists!$B$7:$C$10, 2, FALSE)*Assumptions!$D$10/VLOOKUP(Assumptions!$D$9, Lists!$B$7:$C$10, 2, FALSE)</f>
        <v>-74400</v>
      </c>
      <c r="F41" s="185">
        <f>'Alt. scenario LCY'!F41*VLOOKUP(Assumptions!$D$7, Lists!$B$7:$C$10, 2, FALSE)*Assumptions!$D$10/VLOOKUP(Assumptions!$D$9, Lists!$B$7:$C$10, 2, FALSE)</f>
        <v>-74400</v>
      </c>
      <c r="G41" s="185">
        <f>'Alt. scenario LCY'!G41*VLOOKUP(Assumptions!$D$7, Lists!$B$7:$C$10, 2, FALSE)*Assumptions!$D$10/VLOOKUP(Assumptions!$D$9, Lists!$B$7:$C$10, 2, FALSE)</f>
        <v>-74400</v>
      </c>
      <c r="H41" s="60">
        <f t="shared" si="48"/>
        <v>-278640</v>
      </c>
      <c r="I41" s="185">
        <f>'Alt. scenario LCY'!I41*VLOOKUP(Assumptions!$D$7, Lists!$B$7:$C$10, 2, FALSE)*Assumptions!$D$10/VLOOKUP(Assumptions!$D$9, Lists!$B$7:$C$10, 2, FALSE)</f>
        <v>-74400</v>
      </c>
      <c r="J41" s="185">
        <f>'Alt. scenario LCY'!J41*VLOOKUP(Assumptions!$D$7, Lists!$B$7:$C$10, 2, FALSE)*Assumptions!$D$10/VLOOKUP(Assumptions!$D$9, Lists!$B$7:$C$10, 2, FALSE)</f>
        <v>-74400</v>
      </c>
      <c r="K41" s="185">
        <f>'Alt. scenario LCY'!K41*VLOOKUP(Assumptions!$D$7, Lists!$B$7:$C$10, 2, FALSE)*Assumptions!$D$10/VLOOKUP(Assumptions!$D$9, Lists!$B$7:$C$10, 2, FALSE)</f>
        <v>-74400</v>
      </c>
      <c r="L41" s="185">
        <f>'Alt. scenario LCY'!L41*VLOOKUP(Assumptions!$D$7, Lists!$B$7:$C$10, 2, FALSE)*Assumptions!$D$10/VLOOKUP(Assumptions!$D$9, Lists!$B$7:$C$10, 2, FALSE)</f>
        <v>-74400</v>
      </c>
      <c r="M41" s="48">
        <f t="shared" si="49"/>
        <v>-297600</v>
      </c>
      <c r="N41" s="185">
        <f>'Alt. scenario LCY'!N41*VLOOKUP(Assumptions!$D$7, Lists!$B$7:$C$10, 2, FALSE)*Assumptions!$D$10/VLOOKUP(Assumptions!$D$9, Lists!$B$7:$C$10, 2, FALSE)</f>
        <v>-74400</v>
      </c>
      <c r="O41" s="185">
        <f>'Alt. scenario LCY'!O41*VLOOKUP(Assumptions!$D$7, Lists!$B$7:$C$10, 2, FALSE)*Assumptions!$D$10/VLOOKUP(Assumptions!$D$9, Lists!$B$7:$C$10, 2, FALSE)</f>
        <v>-74400</v>
      </c>
      <c r="P41" s="185">
        <f>'Alt. scenario LCY'!P41*VLOOKUP(Assumptions!$D$7, Lists!$B$7:$C$10, 2, FALSE)*Assumptions!$D$10/VLOOKUP(Assumptions!$D$9, Lists!$B$7:$C$10, 2, FALSE)</f>
        <v>-74400</v>
      </c>
      <c r="Q41" s="185">
        <f>'Alt. scenario LCY'!Q41*VLOOKUP(Assumptions!$D$7, Lists!$B$7:$C$10, 2, FALSE)*Assumptions!$D$10/VLOOKUP(Assumptions!$D$9, Lists!$B$7:$C$10, 2, FALSE)</f>
        <v>-74400</v>
      </c>
      <c r="R41" s="48">
        <f t="shared" si="50"/>
        <v>-297600</v>
      </c>
      <c r="S41" s="185">
        <f>'Alt. scenario LCY'!S41*VLOOKUP(Assumptions!$D$7, Lists!$B$7:$C$10, 2, FALSE)*Assumptions!$D$10/VLOOKUP(Assumptions!$D$9, Lists!$B$7:$C$10, 2, FALSE)</f>
        <v>-74400</v>
      </c>
      <c r="T41" s="185">
        <f>'Alt. scenario LCY'!T41*VLOOKUP(Assumptions!$D$7, Lists!$B$7:$C$10, 2, FALSE)*Assumptions!$D$10/VLOOKUP(Assumptions!$D$9, Lists!$B$7:$C$10, 2, FALSE)</f>
        <v>-74400</v>
      </c>
      <c r="U41" s="185">
        <f>'Alt. scenario LCY'!U41*VLOOKUP(Assumptions!$D$7, Lists!$B$7:$C$10, 2, FALSE)*Assumptions!$D$10/VLOOKUP(Assumptions!$D$9, Lists!$B$7:$C$10, 2, FALSE)</f>
        <v>-74400</v>
      </c>
      <c r="V41" s="185">
        <f>'Alt. scenario LCY'!V41*VLOOKUP(Assumptions!$D$7, Lists!$B$7:$C$10, 2, FALSE)*Assumptions!$D$10/VLOOKUP(Assumptions!$D$9, Lists!$B$7:$C$10, 2, FALSE)</f>
        <v>-74400</v>
      </c>
      <c r="W41" s="48">
        <f t="shared" si="51"/>
        <v>-297600</v>
      </c>
      <c r="X41" s="185">
        <f>'Alt. scenario LCY'!X41*VLOOKUP(Assumptions!$D$7, Lists!$B$7:$C$10, 2, FALSE)*Assumptions!$D$10/VLOOKUP(Assumptions!$D$9, Lists!$B$7:$C$10, 2, FALSE)</f>
        <v>-74400</v>
      </c>
      <c r="Y41" s="185">
        <f>'Alt. scenario LCY'!Y41*VLOOKUP(Assumptions!$D$7, Lists!$B$7:$C$10, 2, FALSE)*Assumptions!$D$10/VLOOKUP(Assumptions!$D$9, Lists!$B$7:$C$10, 2, FALSE)</f>
        <v>-74400</v>
      </c>
      <c r="Z41" s="185">
        <f>'Alt. scenario LCY'!Z41*VLOOKUP(Assumptions!$D$7, Lists!$B$7:$C$10, 2, FALSE)*Assumptions!$D$10/VLOOKUP(Assumptions!$D$9, Lists!$B$7:$C$10, 2, FALSE)</f>
        <v>-74400</v>
      </c>
      <c r="AA41" s="185">
        <f>'Alt. scenario LCY'!AA41*VLOOKUP(Assumptions!$D$7, Lists!$B$7:$C$10, 2, FALSE)*Assumptions!$D$10/VLOOKUP(Assumptions!$D$9, Lists!$B$7:$C$10, 2, FALSE)</f>
        <v>-74400</v>
      </c>
      <c r="AB41" s="48">
        <f t="shared" si="52"/>
        <v>-297600</v>
      </c>
      <c r="AC41" s="185">
        <f>'Alt. scenario LCY'!AC41*VLOOKUP(Assumptions!$D$7, Lists!$B$7:$C$10, 2, FALSE)*Assumptions!$D$10/VLOOKUP(Assumptions!$D$9, Lists!$B$7:$C$10, 2, FALSE)</f>
        <v>0</v>
      </c>
      <c r="AD41" s="185">
        <f>'Alt. scenario LCY'!AD41*VLOOKUP(Assumptions!$D$7, Lists!$B$7:$C$10, 2, FALSE)*Assumptions!$D$10/VLOOKUP(Assumptions!$D$9, Lists!$B$7:$C$10, 2, FALSE)</f>
        <v>0</v>
      </c>
      <c r="AE41" s="185">
        <f>'Alt. scenario LCY'!AE41*VLOOKUP(Assumptions!$D$7, Lists!$B$7:$C$10, 2, FALSE)*Assumptions!$D$10/VLOOKUP(Assumptions!$D$9, Lists!$B$7:$C$10, 2, FALSE)</f>
        <v>0</v>
      </c>
      <c r="AF41" s="185">
        <f>'Alt. scenario LCY'!AF41*VLOOKUP(Assumptions!$D$7, Lists!$B$7:$C$10, 2, FALSE)*Assumptions!$D$10/VLOOKUP(Assumptions!$D$9, Lists!$B$7:$C$10, 2, FALSE)</f>
        <v>0</v>
      </c>
      <c r="AG41" s="48">
        <f t="shared" si="53"/>
        <v>0</v>
      </c>
      <c r="AH41" s="63">
        <f>'Alt. scenario LCY'!AH41*VLOOKUP(Assumptions!$D$7, Lists!$B$7:$C$10, 2, FALSE)*Assumptions!$D$10/VLOOKUP(Assumptions!$D$9, Lists!$B$7:$C$10, 2, FALSE)</f>
        <v>0</v>
      </c>
      <c r="AI41" s="64">
        <f>'Alt. scenario LCY'!AI41*VLOOKUP(Assumptions!$D$7, Lists!$B$7:$C$10, 2, FALSE)*Assumptions!$D$10/VLOOKUP(Assumptions!$D$9, Lists!$B$7:$C$10, 2, FALSE)</f>
        <v>0</v>
      </c>
      <c r="AJ41" s="64">
        <f>'Alt. scenario LCY'!AJ41*VLOOKUP(Assumptions!$D$7, Lists!$B$7:$C$10, 2, FALSE)*Assumptions!$D$10/VLOOKUP(Assumptions!$D$9, Lists!$B$7:$C$10, 2, FALSE)</f>
        <v>0</v>
      </c>
      <c r="AK41" s="108">
        <f>'Alt. scenario LCY'!AK41*VLOOKUP(Assumptions!$D$7, Lists!$B$7:$C$10, 2, FALSE)*Assumptions!$D$10/VLOOKUP(Assumptions!$D$9, Lists!$B$7:$C$10, 2, FALSE)</f>
        <v>0</v>
      </c>
      <c r="AL41" s="60">
        <f t="shared" si="54"/>
        <v>0</v>
      </c>
    </row>
    <row r="42" spans="1:38" ht="15.95" outlineLevel="2">
      <c r="A42" s="31"/>
      <c r="C42" s="32" t="s">
        <v>283</v>
      </c>
      <c r="D42" s="185">
        <f>'Alt. scenario LCY'!D42*VLOOKUP(Assumptions!$D$7, Lists!$B$7:$C$10, 2, FALSE)*Assumptions!$D$10/VLOOKUP(Assumptions!$D$9, Lists!$B$7:$C$10, 2, FALSE)</f>
        <v>-13773.375</v>
      </c>
      <c r="E42" s="185">
        <f>'Alt. scenario LCY'!E42*VLOOKUP(Assumptions!$D$7, Lists!$B$7:$C$10, 2, FALSE)*Assumptions!$D$10/VLOOKUP(Assumptions!$D$9, Lists!$B$7:$C$10, 2, FALSE)</f>
        <v>-27373.5</v>
      </c>
      <c r="F42" s="185">
        <f>'Alt. scenario LCY'!F42*VLOOKUP(Assumptions!$D$7, Lists!$B$7:$C$10, 2, FALSE)*Assumptions!$D$10/VLOOKUP(Assumptions!$D$9, Lists!$B$7:$C$10, 2, FALSE)</f>
        <v>-40800.375</v>
      </c>
      <c r="G42" s="185">
        <f>'Alt. scenario LCY'!G42*VLOOKUP(Assumptions!$D$7, Lists!$B$7:$C$10, 2, FALSE)*Assumptions!$D$10/VLOOKUP(Assumptions!$D$9, Lists!$B$7:$C$10, 2, FALSE)</f>
        <v>-54054</v>
      </c>
      <c r="H42" s="60">
        <f t="shared" si="48"/>
        <v>-136001.25</v>
      </c>
      <c r="I42" s="185">
        <f>'Alt. scenario LCY'!I42*VLOOKUP(Assumptions!$D$7, Lists!$B$7:$C$10, 2, FALSE)*Assumptions!$D$10/VLOOKUP(Assumptions!$D$9, Lists!$B$7:$C$10, 2, FALSE)</f>
        <v>-67134.375</v>
      </c>
      <c r="J42" s="185">
        <f>'Alt. scenario LCY'!J42*VLOOKUP(Assumptions!$D$7, Lists!$B$7:$C$10, 2, FALSE)*Assumptions!$D$10/VLOOKUP(Assumptions!$D$9, Lists!$B$7:$C$10, 2, FALSE)</f>
        <v>-80041.5</v>
      </c>
      <c r="K42" s="185">
        <f>'Alt. scenario LCY'!K42*VLOOKUP(Assumptions!$D$7, Lists!$B$7:$C$10, 2, FALSE)*Assumptions!$D$10/VLOOKUP(Assumptions!$D$9, Lists!$B$7:$C$10, 2, FALSE)</f>
        <v>-92775.375000000015</v>
      </c>
      <c r="L42" s="185">
        <f>'Alt. scenario LCY'!L42*VLOOKUP(Assumptions!$D$7, Lists!$B$7:$C$10, 2, FALSE)*Assumptions!$D$10/VLOOKUP(Assumptions!$D$9, Lists!$B$7:$C$10, 2, FALSE)</f>
        <v>-105336</v>
      </c>
      <c r="M42" s="48">
        <f t="shared" si="49"/>
        <v>-345287.25</v>
      </c>
      <c r="N42" s="185">
        <f>'Alt. scenario LCY'!N42*VLOOKUP(Assumptions!$D$7, Lists!$B$7:$C$10, 2, FALSE)*Assumptions!$D$10/VLOOKUP(Assumptions!$D$9, Lists!$B$7:$C$10, 2, FALSE)</f>
        <v>-117723.375</v>
      </c>
      <c r="O42" s="185">
        <f>'Alt. scenario LCY'!O42*VLOOKUP(Assumptions!$D$7, Lists!$B$7:$C$10, 2, FALSE)*Assumptions!$D$10/VLOOKUP(Assumptions!$D$9, Lists!$B$7:$C$10, 2, FALSE)</f>
        <v>-129937.5</v>
      </c>
      <c r="P42" s="185">
        <f>'Alt. scenario LCY'!P42*VLOOKUP(Assumptions!$D$7, Lists!$B$7:$C$10, 2, FALSE)*Assumptions!$D$10/VLOOKUP(Assumptions!$D$9, Lists!$B$7:$C$10, 2, FALSE)</f>
        <v>-141978.375</v>
      </c>
      <c r="Q42" s="185">
        <f>'Alt. scenario LCY'!Q42*VLOOKUP(Assumptions!$D$7, Lists!$B$7:$C$10, 2, FALSE)*Assumptions!$D$10/VLOOKUP(Assumptions!$D$9, Lists!$B$7:$C$10, 2, FALSE)</f>
        <v>-153846.00000000003</v>
      </c>
      <c r="R42" s="48">
        <f t="shared" si="50"/>
        <v>-543485.25</v>
      </c>
      <c r="S42" s="185">
        <f>'Alt. scenario LCY'!S42*VLOOKUP(Assumptions!$D$7, Lists!$B$7:$C$10, 2, FALSE)*Assumptions!$D$10/VLOOKUP(Assumptions!$D$9, Lists!$B$7:$C$10, 2, FALSE)</f>
        <v>-165540.375</v>
      </c>
      <c r="T42" s="185">
        <f>'Alt. scenario LCY'!T42*VLOOKUP(Assumptions!$D$7, Lists!$B$7:$C$10, 2, FALSE)*Assumptions!$D$10/VLOOKUP(Assumptions!$D$9, Lists!$B$7:$C$10, 2, FALSE)</f>
        <v>-177061.50000000003</v>
      </c>
      <c r="U42" s="185">
        <f>'Alt. scenario LCY'!U42*VLOOKUP(Assumptions!$D$7, Lists!$B$7:$C$10, 2, FALSE)*Assumptions!$D$10/VLOOKUP(Assumptions!$D$9, Lists!$B$7:$C$10, 2, FALSE)</f>
        <v>-188409.375</v>
      </c>
      <c r="V42" s="185">
        <f>'Alt. scenario LCY'!V42*VLOOKUP(Assumptions!$D$7, Lists!$B$7:$C$10, 2, FALSE)*Assumptions!$D$10/VLOOKUP(Assumptions!$D$9, Lists!$B$7:$C$10, 2, FALSE)</f>
        <v>-199584</v>
      </c>
      <c r="W42" s="48">
        <f t="shared" si="51"/>
        <v>-730595.25</v>
      </c>
      <c r="X42" s="185">
        <f>'Alt. scenario LCY'!X42*VLOOKUP(Assumptions!$D$7, Lists!$B$7:$C$10, 2, FALSE)*Assumptions!$D$10/VLOOKUP(Assumptions!$D$9, Lists!$B$7:$C$10, 2, FALSE)</f>
        <v>-210585.375</v>
      </c>
      <c r="Y42" s="185">
        <f>'Alt. scenario LCY'!Y42*VLOOKUP(Assumptions!$D$7, Lists!$B$7:$C$10, 2, FALSE)*Assumptions!$D$10/VLOOKUP(Assumptions!$D$9, Lists!$B$7:$C$10, 2, FALSE)</f>
        <v>-221413.5</v>
      </c>
      <c r="Z42" s="185">
        <f>'Alt. scenario LCY'!Z42*VLOOKUP(Assumptions!$D$7, Lists!$B$7:$C$10, 2, FALSE)*Assumptions!$D$10/VLOOKUP(Assumptions!$D$9, Lists!$B$7:$C$10, 2, FALSE)</f>
        <v>-232068.375</v>
      </c>
      <c r="AA42" s="185">
        <f>'Alt. scenario LCY'!AA42*VLOOKUP(Assumptions!$D$7, Lists!$B$7:$C$10, 2, FALSE)*Assumptions!$D$10/VLOOKUP(Assumptions!$D$9, Lists!$B$7:$C$10, 2, FALSE)</f>
        <v>-242550</v>
      </c>
      <c r="AB42" s="48">
        <f t="shared" si="52"/>
        <v>-906617.25</v>
      </c>
      <c r="AC42" s="185">
        <f>'Alt. scenario LCY'!AC42*VLOOKUP(Assumptions!$D$7, Lists!$B$7:$C$10, 2, FALSE)*Assumptions!$D$10/VLOOKUP(Assumptions!$D$9, Lists!$B$7:$C$10, 2, FALSE)</f>
        <v>-240817.5</v>
      </c>
      <c r="AD42" s="185">
        <f>'Alt. scenario LCY'!AD42*VLOOKUP(Assumptions!$D$7, Lists!$B$7:$C$10, 2, FALSE)*Assumptions!$D$10/VLOOKUP(Assumptions!$D$9, Lists!$B$7:$C$10, 2, FALSE)</f>
        <v>-239085</v>
      </c>
      <c r="AE42" s="185">
        <f>'Alt. scenario LCY'!AE42*VLOOKUP(Assumptions!$D$7, Lists!$B$7:$C$10, 2, FALSE)*Assumptions!$D$10/VLOOKUP(Assumptions!$D$9, Lists!$B$7:$C$10, 2, FALSE)</f>
        <v>-237352.5</v>
      </c>
      <c r="AF42" s="185">
        <f>'Alt. scenario LCY'!AF42*VLOOKUP(Assumptions!$D$7, Lists!$B$7:$C$10, 2, FALSE)*Assumptions!$D$10/VLOOKUP(Assumptions!$D$9, Lists!$B$7:$C$10, 2, FALSE)</f>
        <v>-235620</v>
      </c>
      <c r="AG42" s="48">
        <f t="shared" si="53"/>
        <v>-952875</v>
      </c>
      <c r="AH42" s="63">
        <f>'Alt. scenario LCY'!AH42*VLOOKUP(Assumptions!$D$7, Lists!$B$7:$C$10, 2, FALSE)*Assumptions!$D$10/VLOOKUP(Assumptions!$D$9, Lists!$B$7:$C$10, 2, FALSE)</f>
        <v>-233887.5</v>
      </c>
      <c r="AI42" s="64">
        <f>'Alt. scenario LCY'!AI42*VLOOKUP(Assumptions!$D$7, Lists!$B$7:$C$10, 2, FALSE)*Assumptions!$D$10/VLOOKUP(Assumptions!$D$9, Lists!$B$7:$C$10, 2, FALSE)</f>
        <v>-232155</v>
      </c>
      <c r="AJ42" s="64">
        <f>'Alt. scenario LCY'!AJ42*VLOOKUP(Assumptions!$D$7, Lists!$B$7:$C$10, 2, FALSE)*Assumptions!$D$10/VLOOKUP(Assumptions!$D$9, Lists!$B$7:$C$10, 2, FALSE)</f>
        <v>-230422.5</v>
      </c>
      <c r="AK42" s="108">
        <f>'Alt. scenario LCY'!AK42*VLOOKUP(Assumptions!$D$7, Lists!$B$7:$C$10, 2, FALSE)*Assumptions!$D$10/VLOOKUP(Assumptions!$D$9, Lists!$B$7:$C$10, 2, FALSE)</f>
        <v>-228690</v>
      </c>
      <c r="AL42" s="60">
        <f t="shared" si="54"/>
        <v>-925155</v>
      </c>
    </row>
    <row r="43" spans="1:38" ht="15.95" outlineLevel="2">
      <c r="A43" s="31"/>
      <c r="C43" s="32" t="s">
        <v>284</v>
      </c>
      <c r="D43" s="185">
        <f>'Alt. scenario LCY'!D43*VLOOKUP(Assumptions!$D$7, Lists!$B$7:$C$10, 2, FALSE)*Assumptions!$D$10/VLOOKUP(Assumptions!$D$9, Lists!$B$7:$C$10, 2, FALSE)</f>
        <v>-150000</v>
      </c>
      <c r="E43" s="185">
        <f>'Alt. scenario LCY'!E43*VLOOKUP(Assumptions!$D$7, Lists!$B$7:$C$10, 2, FALSE)*Assumptions!$D$10/VLOOKUP(Assumptions!$D$9, Lists!$B$7:$C$10, 2, FALSE)</f>
        <v>-150000</v>
      </c>
      <c r="F43" s="185">
        <f>'Alt. scenario LCY'!F43*VLOOKUP(Assumptions!$D$7, Lists!$B$7:$C$10, 2, FALSE)*Assumptions!$D$10/VLOOKUP(Assumptions!$D$9, Lists!$B$7:$C$10, 2, FALSE)</f>
        <v>-150000</v>
      </c>
      <c r="G43" s="185">
        <f>'Alt. scenario LCY'!G43*VLOOKUP(Assumptions!$D$7, Lists!$B$7:$C$10, 2, FALSE)*Assumptions!$D$10/VLOOKUP(Assumptions!$D$9, Lists!$B$7:$C$10, 2, FALSE)</f>
        <v>-150000</v>
      </c>
      <c r="H43" s="60">
        <f t="shared" si="48"/>
        <v>-600000</v>
      </c>
      <c r="I43" s="185">
        <f>'Alt. scenario LCY'!I43*VLOOKUP(Assumptions!$D$7, Lists!$B$7:$C$10, 2, FALSE)*Assumptions!$D$10/VLOOKUP(Assumptions!$D$9, Lists!$B$7:$C$10, 2, FALSE)</f>
        <v>-150000</v>
      </c>
      <c r="J43" s="185">
        <f>'Alt. scenario LCY'!J43*VLOOKUP(Assumptions!$D$7, Lists!$B$7:$C$10, 2, FALSE)*Assumptions!$D$10/VLOOKUP(Assumptions!$D$9, Lists!$B$7:$C$10, 2, FALSE)</f>
        <v>-150000</v>
      </c>
      <c r="K43" s="185">
        <f>'Alt. scenario LCY'!K43*VLOOKUP(Assumptions!$D$7, Lists!$B$7:$C$10, 2, FALSE)*Assumptions!$D$10/VLOOKUP(Assumptions!$D$9, Lists!$B$7:$C$10, 2, FALSE)</f>
        <v>-150000</v>
      </c>
      <c r="L43" s="185">
        <f>'Alt. scenario LCY'!L43*VLOOKUP(Assumptions!$D$7, Lists!$B$7:$C$10, 2, FALSE)*Assumptions!$D$10/VLOOKUP(Assumptions!$D$9, Lists!$B$7:$C$10, 2, FALSE)</f>
        <v>-150000</v>
      </c>
      <c r="M43" s="48">
        <f t="shared" si="49"/>
        <v>-600000</v>
      </c>
      <c r="N43" s="185">
        <f>'Alt. scenario LCY'!N43*VLOOKUP(Assumptions!$D$7, Lists!$B$7:$C$10, 2, FALSE)*Assumptions!$D$10/VLOOKUP(Assumptions!$D$9, Lists!$B$7:$C$10, 2, FALSE)</f>
        <v>-150000</v>
      </c>
      <c r="O43" s="185">
        <f>'Alt. scenario LCY'!O43*VLOOKUP(Assumptions!$D$7, Lists!$B$7:$C$10, 2, FALSE)*Assumptions!$D$10/VLOOKUP(Assumptions!$D$9, Lists!$B$7:$C$10, 2, FALSE)</f>
        <v>-150000</v>
      </c>
      <c r="P43" s="185">
        <f>'Alt. scenario LCY'!P43*VLOOKUP(Assumptions!$D$7, Lists!$B$7:$C$10, 2, FALSE)*Assumptions!$D$10/VLOOKUP(Assumptions!$D$9, Lists!$B$7:$C$10, 2, FALSE)</f>
        <v>-150000</v>
      </c>
      <c r="Q43" s="185">
        <f>'Alt. scenario LCY'!Q43*VLOOKUP(Assumptions!$D$7, Lists!$B$7:$C$10, 2, FALSE)*Assumptions!$D$10/VLOOKUP(Assumptions!$D$9, Lists!$B$7:$C$10, 2, FALSE)</f>
        <v>-150000</v>
      </c>
      <c r="R43" s="48">
        <f t="shared" si="50"/>
        <v>-600000</v>
      </c>
      <c r="S43" s="185">
        <f>'Alt. scenario LCY'!S43*VLOOKUP(Assumptions!$D$7, Lists!$B$7:$C$10, 2, FALSE)*Assumptions!$D$10/VLOOKUP(Assumptions!$D$9, Lists!$B$7:$C$10, 2, FALSE)</f>
        <v>-150000</v>
      </c>
      <c r="T43" s="185">
        <f>'Alt. scenario LCY'!T43*VLOOKUP(Assumptions!$D$7, Lists!$B$7:$C$10, 2, FALSE)*Assumptions!$D$10/VLOOKUP(Assumptions!$D$9, Lists!$B$7:$C$10, 2, FALSE)</f>
        <v>-150000</v>
      </c>
      <c r="U43" s="185">
        <f>'Alt. scenario LCY'!U43*VLOOKUP(Assumptions!$D$7, Lists!$B$7:$C$10, 2, FALSE)*Assumptions!$D$10/VLOOKUP(Assumptions!$D$9, Lists!$B$7:$C$10, 2, FALSE)</f>
        <v>-150000</v>
      </c>
      <c r="V43" s="185">
        <f>'Alt. scenario LCY'!V43*VLOOKUP(Assumptions!$D$7, Lists!$B$7:$C$10, 2, FALSE)*Assumptions!$D$10/VLOOKUP(Assumptions!$D$9, Lists!$B$7:$C$10, 2, FALSE)</f>
        <v>-150000</v>
      </c>
      <c r="W43" s="48">
        <f t="shared" si="51"/>
        <v>-600000</v>
      </c>
      <c r="X43" s="185">
        <f>'Alt. scenario LCY'!X43*VLOOKUP(Assumptions!$D$7, Lists!$B$7:$C$10, 2, FALSE)*Assumptions!$D$10/VLOOKUP(Assumptions!$D$9, Lists!$B$7:$C$10, 2, FALSE)</f>
        <v>-150000</v>
      </c>
      <c r="Y43" s="185">
        <f>'Alt. scenario LCY'!Y43*VLOOKUP(Assumptions!$D$7, Lists!$B$7:$C$10, 2, FALSE)*Assumptions!$D$10/VLOOKUP(Assumptions!$D$9, Lists!$B$7:$C$10, 2, FALSE)</f>
        <v>-150000</v>
      </c>
      <c r="Z43" s="185">
        <f>'Alt. scenario LCY'!Z43*VLOOKUP(Assumptions!$D$7, Lists!$B$7:$C$10, 2, FALSE)*Assumptions!$D$10/VLOOKUP(Assumptions!$D$9, Lists!$B$7:$C$10, 2, FALSE)</f>
        <v>-150000</v>
      </c>
      <c r="AA43" s="185">
        <f>'Alt. scenario LCY'!AA43*VLOOKUP(Assumptions!$D$7, Lists!$B$7:$C$10, 2, FALSE)*Assumptions!$D$10/VLOOKUP(Assumptions!$D$9, Lists!$B$7:$C$10, 2, FALSE)</f>
        <v>-150000</v>
      </c>
      <c r="AB43" s="48">
        <f t="shared" si="52"/>
        <v>-600000</v>
      </c>
      <c r="AC43" s="185">
        <f>'Alt. scenario LCY'!AC43*VLOOKUP(Assumptions!$D$7, Lists!$B$7:$C$10, 2, FALSE)*Assumptions!$D$10/VLOOKUP(Assumptions!$D$9, Lists!$B$7:$C$10, 2, FALSE)</f>
        <v>-150000</v>
      </c>
      <c r="AD43" s="185">
        <f>'Alt. scenario LCY'!AD43*VLOOKUP(Assumptions!$D$7, Lists!$B$7:$C$10, 2, FALSE)*Assumptions!$D$10/VLOOKUP(Assumptions!$D$9, Lists!$B$7:$C$10, 2, FALSE)</f>
        <v>-150000</v>
      </c>
      <c r="AE43" s="185">
        <f>'Alt. scenario LCY'!AE43*VLOOKUP(Assumptions!$D$7, Lists!$B$7:$C$10, 2, FALSE)*Assumptions!$D$10/VLOOKUP(Assumptions!$D$9, Lists!$B$7:$C$10, 2, FALSE)</f>
        <v>-150000</v>
      </c>
      <c r="AF43" s="185">
        <f>'Alt. scenario LCY'!AF43*VLOOKUP(Assumptions!$D$7, Lists!$B$7:$C$10, 2, FALSE)*Assumptions!$D$10/VLOOKUP(Assumptions!$D$9, Lists!$B$7:$C$10, 2, FALSE)</f>
        <v>-150000</v>
      </c>
      <c r="AG43" s="48">
        <f t="shared" si="53"/>
        <v>-600000</v>
      </c>
      <c r="AH43" s="63">
        <f>'Alt. scenario LCY'!AH43*VLOOKUP(Assumptions!$D$7, Lists!$B$7:$C$10, 2, FALSE)*Assumptions!$D$10/VLOOKUP(Assumptions!$D$9, Lists!$B$7:$C$10, 2, FALSE)</f>
        <v>-150000</v>
      </c>
      <c r="AI43" s="64">
        <f>'Alt. scenario LCY'!AI43*VLOOKUP(Assumptions!$D$7, Lists!$B$7:$C$10, 2, FALSE)*Assumptions!$D$10/VLOOKUP(Assumptions!$D$9, Lists!$B$7:$C$10, 2, FALSE)</f>
        <v>-150000</v>
      </c>
      <c r="AJ43" s="64">
        <f>'Alt. scenario LCY'!AJ43*VLOOKUP(Assumptions!$D$7, Lists!$B$7:$C$10, 2, FALSE)*Assumptions!$D$10/VLOOKUP(Assumptions!$D$9, Lists!$B$7:$C$10, 2, FALSE)</f>
        <v>-150000</v>
      </c>
      <c r="AK43" s="108">
        <f>'Alt. scenario LCY'!AK43*VLOOKUP(Assumptions!$D$7, Lists!$B$7:$C$10, 2, FALSE)*Assumptions!$D$10/VLOOKUP(Assumptions!$D$9, Lists!$B$7:$C$10, 2, FALSE)</f>
        <v>-150000</v>
      </c>
      <c r="AL43" s="60">
        <f t="shared" si="54"/>
        <v>-600000</v>
      </c>
    </row>
    <row r="44" spans="1:38" ht="17.100000000000001" outlineLevel="1" thickBot="1">
      <c r="A44" s="31"/>
      <c r="B44" s="34" t="s">
        <v>285</v>
      </c>
      <c r="D44" s="184">
        <f>SUM(D38:D43)</f>
        <v>-1499613.375</v>
      </c>
      <c r="E44" s="184">
        <f>SUM(E38:E43)</f>
        <v>-1296913.5</v>
      </c>
      <c r="F44" s="184">
        <f>SUM(F38:F43)</f>
        <v>-1146660.375</v>
      </c>
      <c r="G44" s="184">
        <f>SUM(G38:G43)</f>
        <v>-996234</v>
      </c>
      <c r="H44" s="61">
        <f t="shared" si="48"/>
        <v>-4939421.25</v>
      </c>
      <c r="I44" s="184">
        <f>SUM(I38:I43)</f>
        <v>-845634.375</v>
      </c>
      <c r="J44" s="184">
        <f>SUM(J38:J43)</f>
        <v>-694861.5</v>
      </c>
      <c r="K44" s="184">
        <f>SUM(K38:K43)</f>
        <v>-543915.375</v>
      </c>
      <c r="L44" s="184">
        <f>SUM(L38:L43)</f>
        <v>-478236</v>
      </c>
      <c r="M44" s="51">
        <f t="shared" si="49"/>
        <v>-2562647.25</v>
      </c>
      <c r="N44" s="184">
        <f>SUM(N38:N43)</f>
        <v>-507123.375</v>
      </c>
      <c r="O44" s="184">
        <f>SUM(O38:O43)</f>
        <v>-535837.5</v>
      </c>
      <c r="P44" s="184">
        <f>SUM(P38:P43)</f>
        <v>-564378.375</v>
      </c>
      <c r="Q44" s="184">
        <f>SUM(Q38:Q43)</f>
        <v>-592746</v>
      </c>
      <c r="R44" s="51">
        <f t="shared" si="50"/>
        <v>-2200085.25</v>
      </c>
      <c r="S44" s="184">
        <f>SUM(S38:S43)</f>
        <v>-620940.375</v>
      </c>
      <c r="T44" s="184">
        <f>SUM(T38:T43)</f>
        <v>-648961.5</v>
      </c>
      <c r="U44" s="184">
        <f>SUM(U38:U43)</f>
        <v>-676809.375</v>
      </c>
      <c r="V44" s="184">
        <f>SUM(V38:V43)</f>
        <v>-704484</v>
      </c>
      <c r="W44" s="51">
        <f t="shared" si="51"/>
        <v>-2651195.25</v>
      </c>
      <c r="X44" s="184">
        <f>SUM(X38:X43)</f>
        <v>-731985.375</v>
      </c>
      <c r="Y44" s="184">
        <f>SUM(Y38:Y43)</f>
        <v>-759313.5</v>
      </c>
      <c r="Z44" s="184">
        <f>SUM(Z38:Z43)</f>
        <v>-786468.375</v>
      </c>
      <c r="AA44" s="184">
        <f>SUM(AA38:AA43)</f>
        <v>-813450</v>
      </c>
      <c r="AB44" s="51">
        <f t="shared" si="52"/>
        <v>-3091217.25</v>
      </c>
      <c r="AC44" s="184">
        <f>SUM(AC38:AC43)</f>
        <v>-737317.5</v>
      </c>
      <c r="AD44" s="184">
        <f>SUM(AD38:AD43)</f>
        <v>-719085</v>
      </c>
      <c r="AE44" s="184">
        <f>SUM(AE38:AE43)</f>
        <v>-717352.5</v>
      </c>
      <c r="AF44" s="184">
        <f>SUM(AF38:AF43)</f>
        <v>-715620</v>
      </c>
      <c r="AG44" s="51">
        <f t="shared" si="53"/>
        <v>-2889375</v>
      </c>
      <c r="AH44" s="142">
        <f>SUM(AH38:AH43)</f>
        <v>-713887.5</v>
      </c>
      <c r="AI44" s="143">
        <f>SUM(AI38:AI43)</f>
        <v>-712155</v>
      </c>
      <c r="AJ44" s="143">
        <f>SUM(AJ38:AJ43)</f>
        <v>-710422.5</v>
      </c>
      <c r="AK44" s="144">
        <f>SUM(AK38:AK43)</f>
        <v>-708690</v>
      </c>
      <c r="AL44" s="61">
        <f t="shared" si="54"/>
        <v>-2845155</v>
      </c>
    </row>
    <row r="45" spans="1:38" ht="17.100000000000001" thickBot="1">
      <c r="A45" s="36" t="s">
        <v>286</v>
      </c>
      <c r="B45" s="37"/>
      <c r="C45" s="38"/>
      <c r="D45" s="53">
        <f>D28+D33+D37+D44</f>
        <v>-1013288.6544642857</v>
      </c>
      <c r="E45" s="53">
        <f>E28+E33+E37+E44</f>
        <v>-453532.24285714293</v>
      </c>
      <c r="F45" s="53">
        <f>F28+F33+F37+F44</f>
        <v>48238.18125000014</v>
      </c>
      <c r="G45" s="53">
        <f>G28+G33+G37+G44</f>
        <v>531078.33214285714</v>
      </c>
      <c r="H45" s="44">
        <f t="shared" si="48"/>
        <v>-887504.38392857136</v>
      </c>
      <c r="I45" s="53">
        <f>I28+I33+I37+I44</f>
        <v>1020616.78125</v>
      </c>
      <c r="J45" s="53">
        <f>J28+J33+J37+J44</f>
        <v>1506289.2428571433</v>
      </c>
      <c r="K45" s="53">
        <f>K28+K33+K37+K44</f>
        <v>1991160.0026785717</v>
      </c>
      <c r="L45" s="53">
        <f>L28+L33+L37+L44</f>
        <v>2385224.7749999999</v>
      </c>
      <c r="M45" s="44">
        <f t="shared" si="49"/>
        <v>6903290.8017857149</v>
      </c>
      <c r="N45" s="53">
        <f>N28+N33+N37+N44</f>
        <v>2674619.2741071428</v>
      </c>
      <c r="O45" s="53">
        <f>O28+O33+O37+O44</f>
        <v>2963212.0714285714</v>
      </c>
      <c r="P45" s="53">
        <f>P28+P33+P37+P44</f>
        <v>3240374.5955357146</v>
      </c>
      <c r="Q45" s="53">
        <f>Q28+Q33+Q37+Q44</f>
        <v>3518235.4178571431</v>
      </c>
      <c r="R45" s="44">
        <f t="shared" si="50"/>
        <v>12396441.358928572</v>
      </c>
      <c r="S45" s="53">
        <f>S28+S33+S37+S44</f>
        <v>3795294.5383928576</v>
      </c>
      <c r="T45" s="53">
        <f>T28+T33+T37+T44</f>
        <v>4062423.385714286</v>
      </c>
      <c r="U45" s="53">
        <f>U28+U33+U37+U44</f>
        <v>4324186.2455357146</v>
      </c>
      <c r="V45" s="53">
        <f>V28+V33+V37+V44</f>
        <v>4580583.1178571424</v>
      </c>
      <c r="W45" s="44">
        <f t="shared" si="51"/>
        <v>16762487.287500001</v>
      </c>
      <c r="X45" s="53">
        <f>X28+X33+X37+X44</f>
        <v>4836178.2883928576</v>
      </c>
      <c r="Y45" s="53">
        <f>Y28+Y33+Y37+Y44</f>
        <v>5099971.7571428576</v>
      </c>
      <c r="Z45" s="53">
        <f>Z28+Z33+Z37+Z44</f>
        <v>5344834.9526785715</v>
      </c>
      <c r="AA45" s="53">
        <f>AA28+AA33+AA37+AA44</f>
        <v>5579767.875</v>
      </c>
      <c r="AB45" s="44">
        <f t="shared" si="52"/>
        <v>20860752.873214286</v>
      </c>
      <c r="AC45" s="53">
        <f>AC28+AC33+AC37+AC44</f>
        <v>5338529.4107142854</v>
      </c>
      <c r="AD45" s="53">
        <f>AD28+AD33+AD37+AD44</f>
        <v>5334412.3928571427</v>
      </c>
      <c r="AE45" s="53">
        <f>AE28+AE33+AE37+AE44</f>
        <v>5285316.8035714282</v>
      </c>
      <c r="AF45" s="53">
        <f>AF28+AF33+AF37+AF44</f>
        <v>5231656.9285714282</v>
      </c>
      <c r="AG45" s="44">
        <f t="shared" si="53"/>
        <v>21189915.535714287</v>
      </c>
      <c r="AH45" s="52">
        <f>AH28+AH33+AH37+AH44</f>
        <v>5200689.9107142854</v>
      </c>
      <c r="AI45" s="52">
        <f>AI28+AI33+AI37+AI44</f>
        <v>5151594.3214285718</v>
      </c>
      <c r="AJ45" s="52">
        <f>AJ28+AJ33+AJ37+AJ44</f>
        <v>5097934.4464285718</v>
      </c>
      <c r="AK45" s="52">
        <f>AK28+AK33+AK37+AK44</f>
        <v>5054903.1428571427</v>
      </c>
      <c r="AL45" s="44">
        <f t="shared" si="54"/>
        <v>20505121.821428571</v>
      </c>
    </row>
    <row r="46" spans="1:38" ht="15.95" outlineLevel="2">
      <c r="A46" s="31"/>
      <c r="C46" s="33" t="s">
        <v>287</v>
      </c>
      <c r="D46" s="46"/>
      <c r="E46" s="47"/>
      <c r="F46" s="47"/>
      <c r="G46" s="47"/>
      <c r="H46" s="48">
        <f t="shared" si="48"/>
        <v>0</v>
      </c>
      <c r="I46" s="46"/>
      <c r="J46" s="47"/>
      <c r="K46" s="47"/>
      <c r="L46" s="47"/>
      <c r="M46" s="48">
        <f t="shared" si="49"/>
        <v>0</v>
      </c>
      <c r="N46" s="46"/>
      <c r="O46" s="47"/>
      <c r="P46" s="47"/>
      <c r="Q46" s="47"/>
      <c r="R46" s="48">
        <f t="shared" si="50"/>
        <v>0</v>
      </c>
      <c r="S46" s="46"/>
      <c r="T46" s="47"/>
      <c r="U46" s="47"/>
      <c r="V46" s="47"/>
      <c r="W46" s="48">
        <f t="shared" si="51"/>
        <v>0</v>
      </c>
      <c r="X46" s="46"/>
      <c r="Y46" s="47"/>
      <c r="Z46" s="47"/>
      <c r="AA46" s="47"/>
      <c r="AB46" s="48">
        <f t="shared" si="52"/>
        <v>0</v>
      </c>
      <c r="AC46" s="46"/>
      <c r="AD46" s="47"/>
      <c r="AE46" s="47"/>
      <c r="AF46" s="47"/>
      <c r="AG46" s="48">
        <f t="shared" si="53"/>
        <v>0</v>
      </c>
      <c r="AH46" s="46"/>
      <c r="AI46" s="47"/>
      <c r="AJ46" s="47"/>
      <c r="AK46" s="47"/>
      <c r="AL46" s="48">
        <f t="shared" si="54"/>
        <v>0</v>
      </c>
    </row>
    <row r="47" spans="1:38" ht="15.95" outlineLevel="1">
      <c r="A47" s="31"/>
      <c r="B47" s="34" t="s">
        <v>287</v>
      </c>
      <c r="C47" s="35"/>
      <c r="D47" s="49"/>
      <c r="E47" s="50"/>
      <c r="F47" s="50"/>
      <c r="G47" s="50"/>
      <c r="H47" s="51">
        <f>IF(H45&gt;0,H45*-Assumptions!$D$62,0)</f>
        <v>0</v>
      </c>
      <c r="I47" s="49"/>
      <c r="J47" s="50"/>
      <c r="K47" s="50"/>
      <c r="L47" s="50"/>
      <c r="M47" s="51">
        <f>M45*-Assumptions!$D$62</f>
        <v>-690329.08017857152</v>
      </c>
      <c r="N47" s="49"/>
      <c r="O47" s="50"/>
      <c r="P47" s="50"/>
      <c r="Q47" s="50"/>
      <c r="R47" s="51">
        <f>R45*-Assumptions!$D$62</f>
        <v>-1239644.1358928573</v>
      </c>
      <c r="S47" s="49"/>
      <c r="T47" s="50"/>
      <c r="U47" s="50"/>
      <c r="V47" s="50"/>
      <c r="W47" s="51">
        <f>W45*-Assumptions!$D$62</f>
        <v>-1676248.7287500002</v>
      </c>
      <c r="X47" s="49"/>
      <c r="Y47" s="50"/>
      <c r="Z47" s="50"/>
      <c r="AA47" s="50"/>
      <c r="AB47" s="51">
        <f>AB45*-Assumptions!$D$62</f>
        <v>-2086075.2873214288</v>
      </c>
      <c r="AC47" s="49"/>
      <c r="AD47" s="50"/>
      <c r="AE47" s="50"/>
      <c r="AF47" s="50"/>
      <c r="AG47" s="51">
        <f>AG45*-Assumptions!$D$62</f>
        <v>-2118991.5535714286</v>
      </c>
      <c r="AH47" s="49"/>
      <c r="AI47" s="50"/>
      <c r="AJ47" s="50"/>
      <c r="AK47" s="50"/>
      <c r="AL47" s="51">
        <f>AL45*-Assumptions!$D$62</f>
        <v>-2050512.1821428572</v>
      </c>
    </row>
    <row r="48" spans="1:38" ht="17.100000000000001" thickBot="1">
      <c r="A48" s="39" t="s">
        <v>288</v>
      </c>
      <c r="B48" s="40"/>
      <c r="C48" s="41"/>
      <c r="D48" s="52"/>
      <c r="E48" s="45"/>
      <c r="F48" s="45"/>
      <c r="G48" s="45"/>
      <c r="H48" s="53">
        <f>H45+H47</f>
        <v>-887504.38392857136</v>
      </c>
      <c r="I48" s="52"/>
      <c r="J48" s="45"/>
      <c r="K48" s="45"/>
      <c r="L48" s="45"/>
      <c r="M48" s="53">
        <f>M45+M47</f>
        <v>6212961.7216071431</v>
      </c>
      <c r="N48" s="52"/>
      <c r="O48" s="45"/>
      <c r="P48" s="45"/>
      <c r="Q48" s="45"/>
      <c r="R48" s="53">
        <f>R45+R47</f>
        <v>11156797.223035716</v>
      </c>
      <c r="S48" s="52"/>
      <c r="T48" s="45"/>
      <c r="U48" s="45"/>
      <c r="V48" s="45"/>
      <c r="W48" s="53">
        <f>W45+W47</f>
        <v>15086238.558750002</v>
      </c>
      <c r="X48" s="52"/>
      <c r="Y48" s="45"/>
      <c r="Z48" s="45"/>
      <c r="AA48" s="45"/>
      <c r="AB48" s="53">
        <f>AB45+AB47</f>
        <v>18774677.585892856</v>
      </c>
      <c r="AC48" s="52"/>
      <c r="AD48" s="45"/>
      <c r="AE48" s="45"/>
      <c r="AF48" s="45"/>
      <c r="AG48" s="53">
        <f>AG45+AG47</f>
        <v>19070923.982142858</v>
      </c>
      <c r="AH48" s="52"/>
      <c r="AI48" s="45"/>
      <c r="AJ48" s="45"/>
      <c r="AK48" s="45"/>
      <c r="AL48" s="53">
        <f>AL45+AL47</f>
        <v>18454609.639285713</v>
      </c>
    </row>
    <row r="49" spans="1:38" ht="18.95">
      <c r="A49" s="42" t="s">
        <v>289</v>
      </c>
      <c r="B49" s="42"/>
      <c r="C49" s="42"/>
      <c r="D49" s="54"/>
      <c r="E49" s="54"/>
      <c r="F49" s="54"/>
      <c r="G49" s="54"/>
      <c r="H49" s="54">
        <f>H48</f>
        <v>-887504.38392857136</v>
      </c>
      <c r="I49" s="54"/>
      <c r="J49" s="54"/>
      <c r="K49" s="54"/>
      <c r="L49" s="54"/>
      <c r="M49" s="54">
        <f>H49+M48</f>
        <v>5325457.3376785722</v>
      </c>
      <c r="N49" s="54"/>
      <c r="O49" s="54"/>
      <c r="P49" s="54"/>
      <c r="Q49" s="54"/>
      <c r="R49" s="54">
        <f>M49+R48</f>
        <v>16482254.560714288</v>
      </c>
      <c r="S49" s="54"/>
      <c r="T49" s="54"/>
      <c r="U49" s="54"/>
      <c r="V49" s="54"/>
      <c r="W49" s="54">
        <f>R49+W48</f>
        <v>31568493.119464289</v>
      </c>
      <c r="X49" s="54"/>
      <c r="Y49" s="54"/>
      <c r="Z49" s="54"/>
      <c r="AA49" s="54"/>
      <c r="AB49" s="54">
        <f>W49+AB48</f>
        <v>50343170.705357149</v>
      </c>
      <c r="AC49" s="54"/>
      <c r="AD49" s="54"/>
      <c r="AE49" s="54"/>
      <c r="AF49" s="54"/>
      <c r="AG49" s="54">
        <f>AB49+AG48</f>
        <v>69414094.6875</v>
      </c>
      <c r="AH49" s="54"/>
      <c r="AI49" s="54"/>
      <c r="AJ49" s="54"/>
      <c r="AK49" s="54"/>
      <c r="AL49" s="54">
        <f>AG49+AL48</f>
        <v>87868704.326785713</v>
      </c>
    </row>
    <row r="50" spans="1:38" ht="17.100000000000001" thickBot="1">
      <c r="A50" s="56"/>
      <c r="C50" s="56"/>
      <c r="D50" s="67"/>
      <c r="E50" s="67"/>
      <c r="F50" s="67"/>
      <c r="G50" s="67"/>
      <c r="H50" s="58"/>
      <c r="I50" s="67"/>
      <c r="J50" s="67"/>
      <c r="K50" s="67"/>
      <c r="L50" s="67"/>
      <c r="M50" s="58"/>
      <c r="N50" s="67"/>
      <c r="O50" s="67"/>
      <c r="P50" s="67"/>
      <c r="Q50" s="67"/>
      <c r="R50" s="58"/>
      <c r="S50" s="67"/>
      <c r="T50" s="67"/>
      <c r="U50" s="67"/>
      <c r="V50" s="67"/>
      <c r="W50" s="58"/>
      <c r="X50" s="67"/>
      <c r="Y50" s="67"/>
      <c r="Z50" s="67"/>
      <c r="AA50" s="67"/>
      <c r="AB50" s="58"/>
      <c r="AC50" s="67"/>
      <c r="AD50" s="67"/>
      <c r="AE50" s="67"/>
      <c r="AF50" s="67"/>
      <c r="AG50" s="58"/>
      <c r="AH50" s="67"/>
      <c r="AI50" s="67"/>
      <c r="AJ50" s="67"/>
      <c r="AK50" s="67"/>
      <c r="AL50" s="58"/>
    </row>
    <row r="51" spans="1:38" ht="17.100000000000001" thickBot="1">
      <c r="A51" s="28" t="s">
        <v>290</v>
      </c>
      <c r="B51" s="28"/>
      <c r="C51" s="28"/>
      <c r="D51" s="103" t="s">
        <v>214</v>
      </c>
      <c r="E51" s="104" t="s">
        <v>215</v>
      </c>
      <c r="F51" s="104" t="s">
        <v>216</v>
      </c>
      <c r="G51" s="104" t="s">
        <v>217</v>
      </c>
      <c r="H51" s="43" t="s">
        <v>218</v>
      </c>
      <c r="I51" s="103" t="s">
        <v>219</v>
      </c>
      <c r="J51" s="104" t="s">
        <v>220</v>
      </c>
      <c r="K51" s="104" t="s">
        <v>221</v>
      </c>
      <c r="L51" s="104" t="s">
        <v>222</v>
      </c>
      <c r="M51" s="43" t="s">
        <v>223</v>
      </c>
      <c r="N51" s="103" t="s">
        <v>224</v>
      </c>
      <c r="O51" s="104" t="s">
        <v>225</v>
      </c>
      <c r="P51" s="104" t="s">
        <v>226</v>
      </c>
      <c r="Q51" s="104" t="s">
        <v>227</v>
      </c>
      <c r="R51" s="43" t="s">
        <v>228</v>
      </c>
      <c r="S51" s="103" t="s">
        <v>229</v>
      </c>
      <c r="T51" s="104" t="s">
        <v>230</v>
      </c>
      <c r="U51" s="104" t="s">
        <v>231</v>
      </c>
      <c r="V51" s="104" t="s">
        <v>232</v>
      </c>
      <c r="W51" s="43" t="s">
        <v>233</v>
      </c>
      <c r="X51" s="103" t="s">
        <v>234</v>
      </c>
      <c r="Y51" s="104" t="s">
        <v>235</v>
      </c>
      <c r="Z51" s="104" t="s">
        <v>236</v>
      </c>
      <c r="AA51" s="104" t="s">
        <v>237</v>
      </c>
      <c r="AB51" s="43" t="s">
        <v>238</v>
      </c>
      <c r="AC51" s="103" t="s">
        <v>239</v>
      </c>
      <c r="AD51" s="104" t="s">
        <v>240</v>
      </c>
      <c r="AE51" s="104" t="s">
        <v>241</v>
      </c>
      <c r="AF51" s="104" t="s">
        <v>242</v>
      </c>
      <c r="AG51" s="43" t="s">
        <v>243</v>
      </c>
      <c r="AH51" s="103" t="s">
        <v>244</v>
      </c>
      <c r="AI51" s="104" t="s">
        <v>245</v>
      </c>
      <c r="AJ51" s="104" t="s">
        <v>246</v>
      </c>
      <c r="AK51" s="104" t="s">
        <v>247</v>
      </c>
      <c r="AL51" s="43" t="s">
        <v>248</v>
      </c>
    </row>
    <row r="52" spans="1:38" ht="15.95">
      <c r="A52" s="36"/>
      <c r="B52" s="34" t="s">
        <v>255</v>
      </c>
      <c r="C52" s="56"/>
      <c r="D52" s="105">
        <f>'Alt. scenario LCY'!D52*VLOOKUP(Assumptions!$D$7, Lists!$B$7:$C$10, 2, FALSE)*Assumptions!$D$10/VLOOKUP(Assumptions!$D$9, Lists!$B$7:$C$10, 2, FALSE)</f>
        <v>190993.78125</v>
      </c>
      <c r="E52" s="106">
        <f>'Alt. scenario LCY'!E52*VLOOKUP(Assumptions!$D$7, Lists!$B$7:$C$10, 2, FALSE)*Assumptions!$D$10/VLOOKUP(Assumptions!$D$9, Lists!$B$7:$C$10, 2, FALSE)</f>
        <v>379585.125</v>
      </c>
      <c r="F52" s="106">
        <f>'Alt. scenario LCY'!F52*VLOOKUP(Assumptions!$D$7, Lists!$B$7:$C$10, 2, FALSE)*Assumptions!$D$10/VLOOKUP(Assumptions!$D$9, Lists!$B$7:$C$10, 2, FALSE)</f>
        <v>565774.03125000012</v>
      </c>
      <c r="G52" s="107">
        <f>'Alt. scenario LCY'!G52*VLOOKUP(Assumptions!$D$7, Lists!$B$7:$C$10, 2, FALSE)*Assumptions!$D$10/VLOOKUP(Assumptions!$D$9, Lists!$B$7:$C$10, 2, FALSE)</f>
        <v>749560.5</v>
      </c>
      <c r="H52" s="97">
        <f>SUM(D52:G52)</f>
        <v>1885913.4375</v>
      </c>
      <c r="I52" s="105">
        <f>'Alt. scenario LCY'!I52*VLOOKUP(Assumptions!$D$7, Lists!$B$7:$C$10, 2, FALSE)*Assumptions!$D$10/VLOOKUP(Assumptions!$D$9, Lists!$B$7:$C$10, 2, FALSE)</f>
        <v>930944.53125</v>
      </c>
      <c r="J52" s="106">
        <f>'Alt. scenario LCY'!J52*VLOOKUP(Assumptions!$D$7, Lists!$B$7:$C$10, 2, FALSE)*Assumptions!$D$10/VLOOKUP(Assumptions!$D$9, Lists!$B$7:$C$10, 2, FALSE)</f>
        <v>1109926.1250000002</v>
      </c>
      <c r="K52" s="106">
        <f>'Alt. scenario LCY'!K52*VLOOKUP(Assumptions!$D$7, Lists!$B$7:$C$10, 2, FALSE)*Assumptions!$D$10/VLOOKUP(Assumptions!$D$9, Lists!$B$7:$C$10, 2, FALSE)</f>
        <v>1286505.2812500002</v>
      </c>
      <c r="L52" s="107">
        <f>'Alt. scenario LCY'!L52*VLOOKUP(Assumptions!$D$7, Lists!$B$7:$C$10, 2, FALSE)*Assumptions!$D$10/VLOOKUP(Assumptions!$D$9, Lists!$B$7:$C$10, 2, FALSE)</f>
        <v>1460682</v>
      </c>
      <c r="M52" s="97">
        <f>SUM(I52:L52)</f>
        <v>4788057.9375</v>
      </c>
      <c r="N52" s="105">
        <f>'Alt. scenario LCY'!N52*VLOOKUP(Assumptions!$D$7, Lists!$B$7:$C$10, 2, FALSE)*Assumptions!$D$10/VLOOKUP(Assumptions!$D$9, Lists!$B$7:$C$10, 2, FALSE)</f>
        <v>1632456.28125</v>
      </c>
      <c r="O52" s="106">
        <f>'Alt. scenario LCY'!O52*VLOOKUP(Assumptions!$D$7, Lists!$B$7:$C$10, 2, FALSE)*Assumptions!$D$10/VLOOKUP(Assumptions!$D$9, Lists!$B$7:$C$10, 2, FALSE)</f>
        <v>1801828.125</v>
      </c>
      <c r="P52" s="106">
        <f>'Alt. scenario LCY'!P52*VLOOKUP(Assumptions!$D$7, Lists!$B$7:$C$10, 2, FALSE)*Assumptions!$D$10/VLOOKUP(Assumptions!$D$9, Lists!$B$7:$C$10, 2, FALSE)</f>
        <v>1968797.5312500005</v>
      </c>
      <c r="Q52" s="107">
        <f>'Alt. scenario LCY'!Q52*VLOOKUP(Assumptions!$D$7, Lists!$B$7:$C$10, 2, FALSE)*Assumptions!$D$10/VLOOKUP(Assumptions!$D$9, Lists!$B$7:$C$10, 2, FALSE)</f>
        <v>2133364.5000000005</v>
      </c>
      <c r="R52" s="97">
        <f>SUM(N52:Q52)</f>
        <v>7536446.4375</v>
      </c>
      <c r="S52" s="105">
        <f>'Alt. scenario LCY'!S52*VLOOKUP(Assumptions!$D$7, Lists!$B$7:$C$10, 2, FALSE)*Assumptions!$D$10/VLOOKUP(Assumptions!$D$9, Lists!$B$7:$C$10, 2, FALSE)</f>
        <v>2295529.0312500005</v>
      </c>
      <c r="T52" s="106">
        <f>'Alt. scenario LCY'!T52*VLOOKUP(Assumptions!$D$7, Lists!$B$7:$C$10, 2, FALSE)*Assumptions!$D$10/VLOOKUP(Assumptions!$D$9, Lists!$B$7:$C$10, 2, FALSE)</f>
        <v>2455291.1250000005</v>
      </c>
      <c r="U52" s="106">
        <f>'Alt. scenario LCY'!U52*VLOOKUP(Assumptions!$D$7, Lists!$B$7:$C$10, 2, FALSE)*Assumptions!$D$10/VLOOKUP(Assumptions!$D$9, Lists!$B$7:$C$10, 2, FALSE)</f>
        <v>2612650.7812500005</v>
      </c>
      <c r="V52" s="107">
        <f>'Alt. scenario LCY'!V52*VLOOKUP(Assumptions!$D$7, Lists!$B$7:$C$10, 2, FALSE)*Assumptions!$D$10/VLOOKUP(Assumptions!$D$9, Lists!$B$7:$C$10, 2, FALSE)</f>
        <v>2767608</v>
      </c>
      <c r="W52" s="97">
        <f>SUM(S52:V52)</f>
        <v>10131078.937500002</v>
      </c>
      <c r="X52" s="105">
        <f>'Alt. scenario LCY'!X52*VLOOKUP(Assumptions!$D$7, Lists!$B$7:$C$10, 2, FALSE)*Assumptions!$D$10/VLOOKUP(Assumptions!$D$9, Lists!$B$7:$C$10, 2, FALSE)</f>
        <v>2920162.78125</v>
      </c>
      <c r="Y52" s="106">
        <f>'Alt. scenario LCY'!Y52*VLOOKUP(Assumptions!$D$7, Lists!$B$7:$C$10, 2, FALSE)*Assumptions!$D$10/VLOOKUP(Assumptions!$D$9, Lists!$B$7:$C$10, 2, FALSE)</f>
        <v>3070315.125</v>
      </c>
      <c r="Z52" s="106">
        <f>'Alt. scenario LCY'!Z52*VLOOKUP(Assumptions!$D$7, Lists!$B$7:$C$10, 2, FALSE)*Assumptions!$D$10/VLOOKUP(Assumptions!$D$9, Lists!$B$7:$C$10, 2, FALSE)</f>
        <v>3218065.03125</v>
      </c>
      <c r="AA52" s="107">
        <f>'Alt. scenario LCY'!AA52*VLOOKUP(Assumptions!$D$7, Lists!$B$7:$C$10, 2, FALSE)*Assumptions!$D$10/VLOOKUP(Assumptions!$D$9, Lists!$B$7:$C$10, 2, FALSE)</f>
        <v>3363412.5</v>
      </c>
      <c r="AB52" s="97">
        <f>SUM(X52:AA52)</f>
        <v>12571955.4375</v>
      </c>
      <c r="AC52" s="105">
        <f>'Alt. scenario LCY'!AC52*VLOOKUP(Assumptions!$D$7, Lists!$B$7:$C$10, 2, FALSE)*Assumptions!$D$10/VLOOKUP(Assumptions!$D$9, Lists!$B$7:$C$10, 2, FALSE)</f>
        <v>3339388.125</v>
      </c>
      <c r="AD52" s="106">
        <f>'Alt. scenario LCY'!AD52*VLOOKUP(Assumptions!$D$7, Lists!$B$7:$C$10, 2, FALSE)*Assumptions!$D$10/VLOOKUP(Assumptions!$D$9, Lists!$B$7:$C$10, 2, FALSE)</f>
        <v>3315363.75</v>
      </c>
      <c r="AE52" s="106">
        <f>'Alt. scenario LCY'!AE52*VLOOKUP(Assumptions!$D$7, Lists!$B$7:$C$10, 2, FALSE)*Assumptions!$D$10/VLOOKUP(Assumptions!$D$9, Lists!$B$7:$C$10, 2, FALSE)</f>
        <v>3291339.375</v>
      </c>
      <c r="AF52" s="107">
        <f>'Alt. scenario LCY'!AF52*VLOOKUP(Assumptions!$D$7, Lists!$B$7:$C$10, 2, FALSE)*Assumptions!$D$10/VLOOKUP(Assumptions!$D$9, Lists!$B$7:$C$10, 2, FALSE)</f>
        <v>3267315</v>
      </c>
      <c r="AG52" s="97">
        <f>SUM(AC52:AF52)</f>
        <v>13213406.25</v>
      </c>
      <c r="AH52" s="105">
        <f>'Alt. scenario LCY'!AH52*VLOOKUP(Assumptions!$D$7, Lists!$B$7:$C$10, 2, FALSE)*Assumptions!$D$10/VLOOKUP(Assumptions!$D$9, Lists!$B$7:$C$10, 2, FALSE)</f>
        <v>3243290.625</v>
      </c>
      <c r="AI52" s="106">
        <f>'Alt. scenario LCY'!AI52*VLOOKUP(Assumptions!$D$7, Lists!$B$7:$C$10, 2, FALSE)*Assumptions!$D$10/VLOOKUP(Assumptions!$D$9, Lists!$B$7:$C$10, 2, FALSE)</f>
        <v>3219266.25</v>
      </c>
      <c r="AJ52" s="106">
        <f>'Alt. scenario LCY'!AJ52*VLOOKUP(Assumptions!$D$7, Lists!$B$7:$C$10, 2, FALSE)*Assumptions!$D$10/VLOOKUP(Assumptions!$D$9, Lists!$B$7:$C$10, 2, FALSE)</f>
        <v>3195241.875</v>
      </c>
      <c r="AK52" s="107">
        <f>'Alt. scenario LCY'!AK52*VLOOKUP(Assumptions!$D$7, Lists!$B$7:$C$10, 2, FALSE)*Assumptions!$D$10/VLOOKUP(Assumptions!$D$9, Lists!$B$7:$C$10, 2, FALSE)</f>
        <v>3171217.5</v>
      </c>
      <c r="AL52" s="60">
        <f>SUM(AH52:AK52)</f>
        <v>12829016.25</v>
      </c>
    </row>
    <row r="53" spans="1:38" ht="15.95">
      <c r="A53" s="36"/>
      <c r="B53" s="34" t="s">
        <v>261</v>
      </c>
      <c r="C53" s="56"/>
      <c r="D53" s="63">
        <f>'Alt. scenario LCY'!D53*VLOOKUP(Assumptions!$D$7, Lists!$B$7:$C$10, 2, FALSE)*Assumptions!$D$10/VLOOKUP(Assumptions!$D$9, Lists!$B$7:$C$10, 2, FALSE)</f>
        <v>405935.94375000003</v>
      </c>
      <c r="E53" s="64">
        <f>'Alt. scenario LCY'!E53*VLOOKUP(Assumptions!$D$7, Lists!$B$7:$C$10, 2, FALSE)*Assumptions!$D$10/VLOOKUP(Assumptions!$D$9, Lists!$B$7:$C$10, 2, FALSE)</f>
        <v>506196.15</v>
      </c>
      <c r="F53" s="64">
        <f>'Alt. scenario LCY'!F53*VLOOKUP(Assumptions!$D$7, Lists!$B$7:$C$10, 2, FALSE)*Assumptions!$D$10/VLOOKUP(Assumptions!$D$9, Lists!$B$7:$C$10, 2, FALSE)</f>
        <v>605130.99375000002</v>
      </c>
      <c r="G53" s="108">
        <f>'Alt. scenario LCY'!G53*VLOOKUP(Assumptions!$D$7, Lists!$B$7:$C$10, 2, FALSE)*Assumptions!$D$10/VLOOKUP(Assumptions!$D$9, Lists!$B$7:$C$10, 2, FALSE)</f>
        <v>702740.47499999998</v>
      </c>
      <c r="H53" s="97">
        <f t="shared" ref="H53:H60" si="55">SUM(D53:G53)</f>
        <v>2220003.5625</v>
      </c>
      <c r="I53" s="63">
        <f>'Alt. scenario LCY'!I53*VLOOKUP(Assumptions!$D$7, Lists!$B$7:$C$10, 2, FALSE)*Assumptions!$D$10/VLOOKUP(Assumptions!$D$9, Lists!$B$7:$C$10, 2, FALSE)</f>
        <v>799024.59375</v>
      </c>
      <c r="J53" s="64">
        <f>'Alt. scenario LCY'!J53*VLOOKUP(Assumptions!$D$7, Lists!$B$7:$C$10, 2, FALSE)*Assumptions!$D$10/VLOOKUP(Assumptions!$D$9, Lists!$B$7:$C$10, 2, FALSE)</f>
        <v>893983.35</v>
      </c>
      <c r="K53" s="64">
        <f>'Alt. scenario LCY'!K53*VLOOKUP(Assumptions!$D$7, Lists!$B$7:$C$10, 2, FALSE)*Assumptions!$D$10/VLOOKUP(Assumptions!$D$9, Lists!$B$7:$C$10, 2, FALSE)</f>
        <v>987616.74375000002</v>
      </c>
      <c r="L53" s="108">
        <f>'Alt. scenario LCY'!L53*VLOOKUP(Assumptions!$D$7, Lists!$B$7:$C$10, 2, FALSE)*Assumptions!$D$10/VLOOKUP(Assumptions!$D$9, Lists!$B$7:$C$10, 2, FALSE)</f>
        <v>1079924.7749999999</v>
      </c>
      <c r="M53" s="97">
        <f t="shared" ref="M53:M60" si="56">SUM(I53:L53)</f>
        <v>3760549.4624999999</v>
      </c>
      <c r="N53" s="63">
        <f>'Alt. scenario LCY'!N53*VLOOKUP(Assumptions!$D$7, Lists!$B$7:$C$10, 2, FALSE)*Assumptions!$D$10/VLOOKUP(Assumptions!$D$9, Lists!$B$7:$C$10, 2, FALSE)</f>
        <v>1170907.4437500001</v>
      </c>
      <c r="O53" s="64">
        <f>'Alt. scenario LCY'!O53*VLOOKUP(Assumptions!$D$7, Lists!$B$7:$C$10, 2, FALSE)*Assumptions!$D$10/VLOOKUP(Assumptions!$D$9, Lists!$B$7:$C$10, 2, FALSE)</f>
        <v>1260564.75</v>
      </c>
      <c r="P53" s="64">
        <f>'Alt. scenario LCY'!P53*VLOOKUP(Assumptions!$D$7, Lists!$B$7:$C$10, 2, FALSE)*Assumptions!$D$10/VLOOKUP(Assumptions!$D$9, Lists!$B$7:$C$10, 2, FALSE)</f>
        <v>1348896.6937500001</v>
      </c>
      <c r="Q53" s="108">
        <f>'Alt. scenario LCY'!Q53*VLOOKUP(Assumptions!$D$7, Lists!$B$7:$C$10, 2, FALSE)*Assumptions!$D$10/VLOOKUP(Assumptions!$D$9, Lists!$B$7:$C$10, 2, FALSE)</f>
        <v>1435903.2750000001</v>
      </c>
      <c r="R53" s="97">
        <f t="shared" ref="R53:R60" si="57">SUM(N53:Q53)</f>
        <v>5216272.1625000006</v>
      </c>
      <c r="S53" s="63">
        <f>'Alt. scenario LCY'!S53*VLOOKUP(Assumptions!$D$7, Lists!$B$7:$C$10, 2, FALSE)*Assumptions!$D$10/VLOOKUP(Assumptions!$D$9, Lists!$B$7:$C$10, 2, FALSE)</f>
        <v>1521584.4937500001</v>
      </c>
      <c r="T53" s="64">
        <f>'Alt. scenario LCY'!T53*VLOOKUP(Assumptions!$D$7, Lists!$B$7:$C$10, 2, FALSE)*Assumptions!$D$10/VLOOKUP(Assumptions!$D$9, Lists!$B$7:$C$10, 2, FALSE)</f>
        <v>1605940.35</v>
      </c>
      <c r="U53" s="64">
        <f>'Alt. scenario LCY'!U53*VLOOKUP(Assumptions!$D$7, Lists!$B$7:$C$10, 2, FALSE)*Assumptions!$D$10/VLOOKUP(Assumptions!$D$9, Lists!$B$7:$C$10, 2, FALSE)</f>
        <v>1688970.84375</v>
      </c>
      <c r="V53" s="108">
        <f>'Alt. scenario LCY'!V53*VLOOKUP(Assumptions!$D$7, Lists!$B$7:$C$10, 2, FALSE)*Assumptions!$D$10/VLOOKUP(Assumptions!$D$9, Lists!$B$7:$C$10, 2, FALSE)</f>
        <v>1770675.9750000001</v>
      </c>
      <c r="W53" s="97">
        <f t="shared" ref="W53:W60" si="58">SUM(S53:V53)</f>
        <v>6587171.6624999996</v>
      </c>
      <c r="X53" s="63">
        <f>'Alt. scenario LCY'!X53*VLOOKUP(Assumptions!$D$7, Lists!$B$7:$C$10, 2, FALSE)*Assumptions!$D$10/VLOOKUP(Assumptions!$D$9, Lists!$B$7:$C$10, 2, FALSE)</f>
        <v>1851055.7437500001</v>
      </c>
      <c r="Y53" s="64">
        <f>'Alt. scenario LCY'!Y53*VLOOKUP(Assumptions!$D$7, Lists!$B$7:$C$10, 2, FALSE)*Assumptions!$D$10/VLOOKUP(Assumptions!$D$9, Lists!$B$7:$C$10, 2, FALSE)</f>
        <v>1930110.1500000001</v>
      </c>
      <c r="Z53" s="64">
        <f>'Alt. scenario LCY'!Z53*VLOOKUP(Assumptions!$D$7, Lists!$B$7:$C$10, 2, FALSE)*Assumptions!$D$10/VLOOKUP(Assumptions!$D$9, Lists!$B$7:$C$10, 2, FALSE)</f>
        <v>2007839.1937500001</v>
      </c>
      <c r="AA53" s="108">
        <f>'Alt. scenario LCY'!AA53*VLOOKUP(Assumptions!$D$7, Lists!$B$7:$C$10, 2, FALSE)*Assumptions!$D$10/VLOOKUP(Assumptions!$D$9, Lists!$B$7:$C$10, 2, FALSE)</f>
        <v>2084242.875</v>
      </c>
      <c r="AB53" s="97">
        <f t="shared" ref="AB53:AB60" si="59">SUM(X53:AA53)</f>
        <v>7873247.9625000004</v>
      </c>
      <c r="AC53" s="63">
        <f>'Alt. scenario LCY'!AC53*VLOOKUP(Assumptions!$D$7, Lists!$B$7:$C$10, 2, FALSE)*Assumptions!$D$10/VLOOKUP(Assumptions!$D$9, Lists!$B$7:$C$10, 2, FALSE)</f>
        <v>1804446.375</v>
      </c>
      <c r="AD53" s="64">
        <f>'Alt. scenario LCY'!AD53*VLOOKUP(Assumptions!$D$7, Lists!$B$7:$C$10, 2, FALSE)*Assumptions!$D$10/VLOOKUP(Assumptions!$D$9, Lists!$B$7:$C$10, 2, FALSE)</f>
        <v>1791192.75</v>
      </c>
      <c r="AE53" s="64">
        <f>'Alt. scenario LCY'!AE53*VLOOKUP(Assumptions!$D$7, Lists!$B$7:$C$10, 2, FALSE)*Assumptions!$D$10/VLOOKUP(Assumptions!$D$9, Lists!$B$7:$C$10, 2, FALSE)</f>
        <v>1777939.125</v>
      </c>
      <c r="AF53" s="108">
        <f>'Alt. scenario LCY'!AF53*VLOOKUP(Assumptions!$D$7, Lists!$B$7:$C$10, 2, FALSE)*Assumptions!$D$10/VLOOKUP(Assumptions!$D$9, Lists!$B$7:$C$10, 2, FALSE)</f>
        <v>1764685.5</v>
      </c>
      <c r="AG53" s="97">
        <f t="shared" ref="AG53:AG60" si="60">SUM(AC53:AF53)</f>
        <v>7138263.75</v>
      </c>
      <c r="AH53" s="63">
        <f>'Alt. scenario LCY'!AH53*VLOOKUP(Assumptions!$D$7, Lists!$B$7:$C$10, 2, FALSE)*Assumptions!$D$10/VLOOKUP(Assumptions!$D$9, Lists!$B$7:$C$10, 2, FALSE)</f>
        <v>1751431.875</v>
      </c>
      <c r="AI53" s="64">
        <f>'Alt. scenario LCY'!AI53*VLOOKUP(Assumptions!$D$7, Lists!$B$7:$C$10, 2, FALSE)*Assumptions!$D$10/VLOOKUP(Assumptions!$D$9, Lists!$B$7:$C$10, 2, FALSE)</f>
        <v>1738178.25</v>
      </c>
      <c r="AJ53" s="64">
        <f>'Alt. scenario LCY'!AJ53*VLOOKUP(Assumptions!$D$7, Lists!$B$7:$C$10, 2, FALSE)*Assumptions!$D$10/VLOOKUP(Assumptions!$D$9, Lists!$B$7:$C$10, 2, FALSE)</f>
        <v>1724924.625</v>
      </c>
      <c r="AK53" s="108">
        <f>'Alt. scenario LCY'!AK53*VLOOKUP(Assumptions!$D$7, Lists!$B$7:$C$10, 2, FALSE)*Assumptions!$D$10/VLOOKUP(Assumptions!$D$9, Lists!$B$7:$C$10, 2, FALSE)</f>
        <v>1711671</v>
      </c>
      <c r="AL53" s="60">
        <f t="shared" ref="AL53:AL60" si="61">SUM(AH53:AK53)</f>
        <v>6926205.75</v>
      </c>
    </row>
    <row r="54" spans="1:38" ht="15.95">
      <c r="A54" s="36"/>
      <c r="B54" s="34" t="s">
        <v>291</v>
      </c>
      <c r="C54" s="56"/>
      <c r="D54" s="63">
        <f>'Alt. scenario LCY'!D54*VLOOKUP(Assumptions!$D$7, Lists!$B$7:$C$10, 2, FALSE)*Assumptions!$D$10/VLOOKUP(Assumptions!$D$9, Lists!$B$7:$C$10, 2, FALSE)</f>
        <v>23866.875</v>
      </c>
      <c r="E54" s="64">
        <f>'Alt. scenario LCY'!E54*VLOOKUP(Assumptions!$D$7, Lists!$B$7:$C$10, 2, FALSE)*Assumptions!$D$10/VLOOKUP(Assumptions!$D$9, Lists!$B$7:$C$10, 2, FALSE)</f>
        <v>91867.5</v>
      </c>
      <c r="F54" s="64">
        <f>'Alt. scenario LCY'!F54*VLOOKUP(Assumptions!$D$7, Lists!$B$7:$C$10, 2, FALSE)*Assumptions!$D$10/VLOOKUP(Assumptions!$D$9, Lists!$B$7:$C$10, 2, FALSE)</f>
        <v>159001.875</v>
      </c>
      <c r="G54" s="108">
        <f>'Alt. scenario LCY'!G54*VLOOKUP(Assumptions!$D$7, Lists!$B$7:$C$10, 2, FALSE)*Assumptions!$D$10/VLOOKUP(Assumptions!$D$9, Lists!$B$7:$C$10, 2, FALSE)</f>
        <v>225270</v>
      </c>
      <c r="H54" s="97">
        <f t="shared" si="55"/>
        <v>500006.25</v>
      </c>
      <c r="I54" s="63">
        <f>'Alt. scenario LCY'!I54*VLOOKUP(Assumptions!$D$7, Lists!$B$7:$C$10, 2, FALSE)*Assumptions!$D$10/VLOOKUP(Assumptions!$D$9, Lists!$B$7:$C$10, 2, FALSE)</f>
        <v>290671.875</v>
      </c>
      <c r="J54" s="64">
        <f>'Alt. scenario LCY'!J54*VLOOKUP(Assumptions!$D$7, Lists!$B$7:$C$10, 2, FALSE)*Assumptions!$D$10/VLOOKUP(Assumptions!$D$9, Lists!$B$7:$C$10, 2, FALSE)</f>
        <v>355207.5</v>
      </c>
      <c r="K54" s="64">
        <f>'Alt. scenario LCY'!K54*VLOOKUP(Assumptions!$D$7, Lists!$B$7:$C$10, 2, FALSE)*Assumptions!$D$10/VLOOKUP(Assumptions!$D$9, Lists!$B$7:$C$10, 2, FALSE)</f>
        <v>418876.875</v>
      </c>
      <c r="L54" s="108">
        <f>'Alt. scenario LCY'!L54*VLOOKUP(Assumptions!$D$7, Lists!$B$7:$C$10, 2, FALSE)*Assumptions!$D$10/VLOOKUP(Assumptions!$D$9, Lists!$B$7:$C$10, 2, FALSE)</f>
        <v>481680</v>
      </c>
      <c r="M54" s="97">
        <f t="shared" si="56"/>
        <v>1546436.25</v>
      </c>
      <c r="N54" s="63">
        <f>'Alt. scenario LCY'!N54*VLOOKUP(Assumptions!$D$7, Lists!$B$7:$C$10, 2, FALSE)*Assumptions!$D$10/VLOOKUP(Assumptions!$D$9, Lists!$B$7:$C$10, 2, FALSE)</f>
        <v>543616.875</v>
      </c>
      <c r="O54" s="64">
        <f>'Alt. scenario LCY'!O54*VLOOKUP(Assumptions!$D$7, Lists!$B$7:$C$10, 2, FALSE)*Assumptions!$D$10/VLOOKUP(Assumptions!$D$9, Lists!$B$7:$C$10, 2, FALSE)</f>
        <v>604687.5</v>
      </c>
      <c r="P54" s="64">
        <f>'Alt. scenario LCY'!P54*VLOOKUP(Assumptions!$D$7, Lists!$B$7:$C$10, 2, FALSE)*Assumptions!$D$10/VLOOKUP(Assumptions!$D$9, Lists!$B$7:$C$10, 2, FALSE)</f>
        <v>664891.875</v>
      </c>
      <c r="Q54" s="108">
        <f>'Alt. scenario LCY'!Q54*VLOOKUP(Assumptions!$D$7, Lists!$B$7:$C$10, 2, FALSE)*Assumptions!$D$10/VLOOKUP(Assumptions!$D$9, Lists!$B$7:$C$10, 2, FALSE)</f>
        <v>724230</v>
      </c>
      <c r="R54" s="97">
        <f t="shared" si="57"/>
        <v>2537426.25</v>
      </c>
      <c r="S54" s="63">
        <f>'Alt. scenario LCY'!S54*VLOOKUP(Assumptions!$D$7, Lists!$B$7:$C$10, 2, FALSE)*Assumptions!$D$10/VLOOKUP(Assumptions!$D$9, Lists!$B$7:$C$10, 2, FALSE)</f>
        <v>782701.875</v>
      </c>
      <c r="T54" s="64">
        <f>'Alt. scenario LCY'!T54*VLOOKUP(Assumptions!$D$7, Lists!$B$7:$C$10, 2, FALSE)*Assumptions!$D$10/VLOOKUP(Assumptions!$D$9, Lists!$B$7:$C$10, 2, FALSE)</f>
        <v>840307.5</v>
      </c>
      <c r="U54" s="64">
        <f>'Alt. scenario LCY'!U54*VLOOKUP(Assumptions!$D$7, Lists!$B$7:$C$10, 2, FALSE)*Assumptions!$D$10/VLOOKUP(Assumptions!$D$9, Lists!$B$7:$C$10, 2, FALSE)</f>
        <v>897046.875</v>
      </c>
      <c r="V54" s="108">
        <f>'Alt. scenario LCY'!V54*VLOOKUP(Assumptions!$D$7, Lists!$B$7:$C$10, 2, FALSE)*Assumptions!$D$10/VLOOKUP(Assumptions!$D$9, Lists!$B$7:$C$10, 2, FALSE)</f>
        <v>952920</v>
      </c>
      <c r="W54" s="97">
        <f t="shared" si="58"/>
        <v>3472976.25</v>
      </c>
      <c r="X54" s="63">
        <f>'Alt. scenario LCY'!X54*VLOOKUP(Assumptions!$D$7, Lists!$B$7:$C$10, 2, FALSE)*Assumptions!$D$10/VLOOKUP(Assumptions!$D$9, Lists!$B$7:$C$10, 2, FALSE)</f>
        <v>1007926.875</v>
      </c>
      <c r="Y54" s="64">
        <f>'Alt. scenario LCY'!Y54*VLOOKUP(Assumptions!$D$7, Lists!$B$7:$C$10, 2, FALSE)*Assumptions!$D$10/VLOOKUP(Assumptions!$D$9, Lists!$B$7:$C$10, 2, FALSE)</f>
        <v>1062067.5</v>
      </c>
      <c r="Z54" s="64">
        <f>'Alt. scenario LCY'!Z54*VLOOKUP(Assumptions!$D$7, Lists!$B$7:$C$10, 2, FALSE)*Assumptions!$D$10/VLOOKUP(Assumptions!$D$9, Lists!$B$7:$C$10, 2, FALSE)</f>
        <v>1115341.875</v>
      </c>
      <c r="AA54" s="108">
        <f>'Alt. scenario LCY'!AA54*VLOOKUP(Assumptions!$D$7, Lists!$B$7:$C$10, 2, FALSE)*Assumptions!$D$10/VLOOKUP(Assumptions!$D$9, Lists!$B$7:$C$10, 2, FALSE)</f>
        <v>1167750</v>
      </c>
      <c r="AB54" s="97">
        <f t="shared" si="59"/>
        <v>4353086.25</v>
      </c>
      <c r="AC54" s="63">
        <f>'Alt. scenario LCY'!AC54*VLOOKUP(Assumptions!$D$7, Lists!$B$7:$C$10, 2, FALSE)*Assumptions!$D$10/VLOOKUP(Assumptions!$D$9, Lists!$B$7:$C$10, 2, FALSE)</f>
        <v>1159087.5</v>
      </c>
      <c r="AD54" s="64">
        <f>'Alt. scenario LCY'!AD54*VLOOKUP(Assumptions!$D$7, Lists!$B$7:$C$10, 2, FALSE)*Assumptions!$D$10/VLOOKUP(Assumptions!$D$9, Lists!$B$7:$C$10, 2, FALSE)</f>
        <v>1150425</v>
      </c>
      <c r="AE54" s="64">
        <f>'Alt. scenario LCY'!AE54*VLOOKUP(Assumptions!$D$7, Lists!$B$7:$C$10, 2, FALSE)*Assumptions!$D$10/VLOOKUP(Assumptions!$D$9, Lists!$B$7:$C$10, 2, FALSE)</f>
        <v>1141762.5</v>
      </c>
      <c r="AF54" s="108">
        <f>'Alt. scenario LCY'!AF54*VLOOKUP(Assumptions!$D$7, Lists!$B$7:$C$10, 2, FALSE)*Assumptions!$D$10/VLOOKUP(Assumptions!$D$9, Lists!$B$7:$C$10, 2, FALSE)</f>
        <v>1133100</v>
      </c>
      <c r="AG54" s="97">
        <f t="shared" si="60"/>
        <v>4584375</v>
      </c>
      <c r="AH54" s="63">
        <f>'Alt. scenario LCY'!AH54*VLOOKUP(Assumptions!$D$7, Lists!$B$7:$C$10, 2, FALSE)*Assumptions!$D$10/VLOOKUP(Assumptions!$D$9, Lists!$B$7:$C$10, 2, FALSE)</f>
        <v>1124437.5</v>
      </c>
      <c r="AI54" s="64">
        <f>'Alt. scenario LCY'!AI54*VLOOKUP(Assumptions!$D$7, Lists!$B$7:$C$10, 2, FALSE)*Assumptions!$D$10/VLOOKUP(Assumptions!$D$9, Lists!$B$7:$C$10, 2, FALSE)</f>
        <v>1115775</v>
      </c>
      <c r="AJ54" s="64">
        <f>'Alt. scenario LCY'!AJ54*VLOOKUP(Assumptions!$D$7, Lists!$B$7:$C$10, 2, FALSE)*Assumptions!$D$10/VLOOKUP(Assumptions!$D$9, Lists!$B$7:$C$10, 2, FALSE)</f>
        <v>1107112.5</v>
      </c>
      <c r="AK54" s="108">
        <f>'Alt. scenario LCY'!AK54*VLOOKUP(Assumptions!$D$7, Lists!$B$7:$C$10, 2, FALSE)*Assumptions!$D$10/VLOOKUP(Assumptions!$D$9, Lists!$B$7:$C$10, 2, FALSE)</f>
        <v>1098450</v>
      </c>
      <c r="AL54" s="60">
        <f t="shared" si="61"/>
        <v>4445775</v>
      </c>
    </row>
    <row r="55" spans="1:38" ht="15.95">
      <c r="A55" s="36"/>
      <c r="B55" s="34" t="s">
        <v>292</v>
      </c>
      <c r="C55" s="56"/>
      <c r="D55" s="63">
        <f>'Alt. scenario LCY'!D55*VLOOKUP(Assumptions!$D$7, Lists!$B$7:$C$10, 2, FALSE)*Assumptions!$D$10/VLOOKUP(Assumptions!$D$9, Lists!$B$7:$C$10, 2, FALSE)</f>
        <v>-75142.40625</v>
      </c>
      <c r="E55" s="64">
        <f>'Alt. scenario LCY'!E55*VLOOKUP(Assumptions!$D$7, Lists!$B$7:$C$10, 2, FALSE)*Assumptions!$D$10/VLOOKUP(Assumptions!$D$9, Lists!$B$7:$C$10, 2, FALSE)</f>
        <v>-149339.625</v>
      </c>
      <c r="F55" s="64">
        <f>'Alt. scenario LCY'!F55*VLOOKUP(Assumptions!$D$7, Lists!$B$7:$C$10, 2, FALSE)*Assumptions!$D$10/VLOOKUP(Assumptions!$D$9, Lists!$B$7:$C$10, 2, FALSE)</f>
        <v>-222591.65625</v>
      </c>
      <c r="G55" s="108">
        <f>'Alt. scenario LCY'!G55*VLOOKUP(Assumptions!$D$7, Lists!$B$7:$C$10, 2, FALSE)*Assumptions!$D$10/VLOOKUP(Assumptions!$D$9, Lists!$B$7:$C$10, 2, FALSE)</f>
        <v>-294898.5</v>
      </c>
      <c r="H55" s="97">
        <f t="shared" si="55"/>
        <v>-741972.1875</v>
      </c>
      <c r="I55" s="63">
        <f>'Alt. scenario LCY'!I55*VLOOKUP(Assumptions!$D$7, Lists!$B$7:$C$10, 2, FALSE)*Assumptions!$D$10/VLOOKUP(Assumptions!$D$9, Lists!$B$7:$C$10, 2, FALSE)</f>
        <v>-366260.15625</v>
      </c>
      <c r="J55" s="64">
        <f>'Alt. scenario LCY'!J55*VLOOKUP(Assumptions!$D$7, Lists!$B$7:$C$10, 2, FALSE)*Assumptions!$D$10/VLOOKUP(Assumptions!$D$9, Lists!$B$7:$C$10, 2, FALSE)</f>
        <v>-436676.625</v>
      </c>
      <c r="K55" s="64">
        <f>'Alt. scenario LCY'!K55*VLOOKUP(Assumptions!$D$7, Lists!$B$7:$C$10, 2, FALSE)*Assumptions!$D$10/VLOOKUP(Assumptions!$D$9, Lists!$B$7:$C$10, 2, FALSE)</f>
        <v>-506147.90625</v>
      </c>
      <c r="L55" s="108">
        <f>'Alt. scenario LCY'!L55*VLOOKUP(Assumptions!$D$7, Lists!$B$7:$C$10, 2, FALSE)*Assumptions!$D$10/VLOOKUP(Assumptions!$D$9, Lists!$B$7:$C$10, 2, FALSE)</f>
        <v>-574674</v>
      </c>
      <c r="M55" s="97">
        <f t="shared" si="56"/>
        <v>-1883758.6875</v>
      </c>
      <c r="N55" s="63">
        <f>'Alt. scenario LCY'!N55*VLOOKUP(Assumptions!$D$7, Lists!$B$7:$C$10, 2, FALSE)*Assumptions!$D$10/VLOOKUP(Assumptions!$D$9, Lists!$B$7:$C$10, 2, FALSE)</f>
        <v>-642254.90625</v>
      </c>
      <c r="O55" s="64">
        <f>'Alt. scenario LCY'!O55*VLOOKUP(Assumptions!$D$7, Lists!$B$7:$C$10, 2, FALSE)*Assumptions!$D$10/VLOOKUP(Assumptions!$D$9, Lists!$B$7:$C$10, 2, FALSE)</f>
        <v>-708890.625</v>
      </c>
      <c r="P55" s="64">
        <f>'Alt. scenario LCY'!P55*VLOOKUP(Assumptions!$D$7, Lists!$B$7:$C$10, 2, FALSE)*Assumptions!$D$10/VLOOKUP(Assumptions!$D$9, Lists!$B$7:$C$10, 2, FALSE)</f>
        <v>-774581.15625</v>
      </c>
      <c r="Q55" s="108">
        <f>'Alt. scenario LCY'!Q55*VLOOKUP(Assumptions!$D$7, Lists!$B$7:$C$10, 2, FALSE)*Assumptions!$D$10/VLOOKUP(Assumptions!$D$9, Lists!$B$7:$C$10, 2, FALSE)</f>
        <v>-839326.5</v>
      </c>
      <c r="R55" s="97">
        <f t="shared" si="57"/>
        <v>-2965053.1875</v>
      </c>
      <c r="S55" s="63">
        <f>'Alt. scenario LCY'!S55*VLOOKUP(Assumptions!$D$7, Lists!$B$7:$C$10, 2, FALSE)*Assumptions!$D$10/VLOOKUP(Assumptions!$D$9, Lists!$B$7:$C$10, 2, FALSE)</f>
        <v>-903126.65625</v>
      </c>
      <c r="T55" s="64">
        <f>'Alt. scenario LCY'!T55*VLOOKUP(Assumptions!$D$7, Lists!$B$7:$C$10, 2, FALSE)*Assumptions!$D$10/VLOOKUP(Assumptions!$D$9, Lists!$B$7:$C$10, 2, FALSE)</f>
        <v>-965981.625</v>
      </c>
      <c r="U55" s="64">
        <f>'Alt. scenario LCY'!U55*VLOOKUP(Assumptions!$D$7, Lists!$B$7:$C$10, 2, FALSE)*Assumptions!$D$10/VLOOKUP(Assumptions!$D$9, Lists!$B$7:$C$10, 2, FALSE)</f>
        <v>-1027891.40625</v>
      </c>
      <c r="V55" s="108">
        <f>'Alt. scenario LCY'!V55*VLOOKUP(Assumptions!$D$7, Lists!$B$7:$C$10, 2, FALSE)*Assumptions!$D$10/VLOOKUP(Assumptions!$D$9, Lists!$B$7:$C$10, 2, FALSE)</f>
        <v>-1088856</v>
      </c>
      <c r="W55" s="97">
        <f t="shared" si="58"/>
        <v>-3985855.6875</v>
      </c>
      <c r="X55" s="63">
        <f>'Alt. scenario LCY'!X55*VLOOKUP(Assumptions!$D$7, Lists!$B$7:$C$10, 2, FALSE)*Assumptions!$D$10/VLOOKUP(Assumptions!$D$9, Lists!$B$7:$C$10, 2, FALSE)</f>
        <v>-1148875.40625</v>
      </c>
      <c r="Y55" s="64">
        <f>'Alt. scenario LCY'!Y55*VLOOKUP(Assumptions!$D$7, Lists!$B$7:$C$10, 2, FALSE)*Assumptions!$D$10/VLOOKUP(Assumptions!$D$9, Lists!$B$7:$C$10, 2, FALSE)</f>
        <v>-1207949.625</v>
      </c>
      <c r="Z55" s="64">
        <f>'Alt. scenario LCY'!Z55*VLOOKUP(Assumptions!$D$7, Lists!$B$7:$C$10, 2, FALSE)*Assumptions!$D$10/VLOOKUP(Assumptions!$D$9, Lists!$B$7:$C$10, 2, FALSE)</f>
        <v>-1266078.65625</v>
      </c>
      <c r="AA55" s="108">
        <f>'Alt. scenario LCY'!AA55*VLOOKUP(Assumptions!$D$7, Lists!$B$7:$C$10, 2, FALSE)*Assumptions!$D$10/VLOOKUP(Assumptions!$D$9, Lists!$B$7:$C$10, 2, FALSE)</f>
        <v>-1323262.5</v>
      </c>
      <c r="AB55" s="97">
        <f t="shared" si="59"/>
        <v>-4946166.1875</v>
      </c>
      <c r="AC55" s="63">
        <f>'Alt. scenario LCY'!AC55*VLOOKUP(Assumptions!$D$7, Lists!$B$7:$C$10, 2, FALSE)*Assumptions!$D$10/VLOOKUP(Assumptions!$D$9, Lists!$B$7:$C$10, 2, FALSE)</f>
        <v>-1313810.625</v>
      </c>
      <c r="AD55" s="64">
        <f>'Alt. scenario LCY'!AD55*VLOOKUP(Assumptions!$D$7, Lists!$B$7:$C$10, 2, FALSE)*Assumptions!$D$10/VLOOKUP(Assumptions!$D$9, Lists!$B$7:$C$10, 2, FALSE)</f>
        <v>-1304358.75</v>
      </c>
      <c r="AE55" s="64">
        <f>'Alt. scenario LCY'!AE55*VLOOKUP(Assumptions!$D$7, Lists!$B$7:$C$10, 2, FALSE)*Assumptions!$D$10/VLOOKUP(Assumptions!$D$9, Lists!$B$7:$C$10, 2, FALSE)</f>
        <v>-1294906.875</v>
      </c>
      <c r="AF55" s="108">
        <f>'Alt. scenario LCY'!AF55*VLOOKUP(Assumptions!$D$7, Lists!$B$7:$C$10, 2, FALSE)*Assumptions!$D$10/VLOOKUP(Assumptions!$D$9, Lists!$B$7:$C$10, 2, FALSE)</f>
        <v>-1285455</v>
      </c>
      <c r="AG55" s="97">
        <f t="shared" si="60"/>
        <v>-5198531.25</v>
      </c>
      <c r="AH55" s="63">
        <f>'Alt. scenario LCY'!AH55*VLOOKUP(Assumptions!$D$7, Lists!$B$7:$C$10, 2, FALSE)*Assumptions!$D$10/VLOOKUP(Assumptions!$D$9, Lists!$B$7:$C$10, 2, FALSE)</f>
        <v>-1276003.125</v>
      </c>
      <c r="AI55" s="64">
        <f>'Alt. scenario LCY'!AI55*VLOOKUP(Assumptions!$D$7, Lists!$B$7:$C$10, 2, FALSE)*Assumptions!$D$10/VLOOKUP(Assumptions!$D$9, Lists!$B$7:$C$10, 2, FALSE)</f>
        <v>-1266551.25</v>
      </c>
      <c r="AJ55" s="64">
        <f>'Alt. scenario LCY'!AJ55*VLOOKUP(Assumptions!$D$7, Lists!$B$7:$C$10, 2, FALSE)*Assumptions!$D$10/VLOOKUP(Assumptions!$D$9, Lists!$B$7:$C$10, 2, FALSE)</f>
        <v>-1257099.375</v>
      </c>
      <c r="AK55" s="108">
        <f>'Alt. scenario LCY'!AK55*VLOOKUP(Assumptions!$D$7, Lists!$B$7:$C$10, 2, FALSE)*Assumptions!$D$10/VLOOKUP(Assumptions!$D$9, Lists!$B$7:$C$10, 2, FALSE)</f>
        <v>-1247647.5</v>
      </c>
      <c r="AL55" s="60">
        <f t="shared" si="61"/>
        <v>-5047301.25</v>
      </c>
    </row>
    <row r="56" spans="1:38" ht="15.95">
      <c r="A56" s="36"/>
      <c r="B56" s="34" t="s">
        <v>293</v>
      </c>
      <c r="C56" s="56"/>
      <c r="D56" s="63">
        <f>'Alt. scenario LCY'!D56*VLOOKUP(Assumptions!$D$7, Lists!$B$7:$C$10, 2, FALSE)*Assumptions!$D$10/VLOOKUP(Assumptions!$D$9, Lists!$B$7:$C$10, 2, FALSE)</f>
        <v>-93000</v>
      </c>
      <c r="E56" s="64">
        <f>'Alt. scenario LCY'!E56*VLOOKUP(Assumptions!$D$7, Lists!$B$7:$C$10, 2, FALSE)*Assumptions!$D$10/VLOOKUP(Assumptions!$D$9, Lists!$B$7:$C$10, 2, FALSE)</f>
        <v>-162000</v>
      </c>
      <c r="F56" s="64">
        <f>'Alt. scenario LCY'!F56*VLOOKUP(Assumptions!$D$7, Lists!$B$7:$C$10, 2, FALSE)*Assumptions!$D$10/VLOOKUP(Assumptions!$D$9, Lists!$B$7:$C$10, 2, FALSE)</f>
        <v>-231000</v>
      </c>
      <c r="G56" s="108">
        <f>'Alt. scenario LCY'!G56*VLOOKUP(Assumptions!$D$7, Lists!$B$7:$C$10, 2, FALSE)*Assumptions!$D$10/VLOOKUP(Assumptions!$D$9, Lists!$B$7:$C$10, 2, FALSE)</f>
        <v>-313500</v>
      </c>
      <c r="H56" s="97">
        <f t="shared" si="55"/>
        <v>-799500</v>
      </c>
      <c r="I56" s="63">
        <f>'Alt. scenario LCY'!I56*VLOOKUP(Assumptions!$D$7, Lists!$B$7:$C$10, 2, FALSE)*Assumptions!$D$10/VLOOKUP(Assumptions!$D$9, Lists!$B$7:$C$10, 2, FALSE)</f>
        <v>-384000</v>
      </c>
      <c r="J56" s="64">
        <f>'Alt. scenario LCY'!J56*VLOOKUP(Assumptions!$D$7, Lists!$B$7:$C$10, 2, FALSE)*Assumptions!$D$10/VLOOKUP(Assumptions!$D$9, Lists!$B$7:$C$10, 2, FALSE)</f>
        <v>-453000</v>
      </c>
      <c r="K56" s="64">
        <f>'Alt. scenario LCY'!K56*VLOOKUP(Assumptions!$D$7, Lists!$B$7:$C$10, 2, FALSE)*Assumptions!$D$10/VLOOKUP(Assumptions!$D$9, Lists!$B$7:$C$10, 2, FALSE)</f>
        <v>-517500</v>
      </c>
      <c r="L56" s="108">
        <f>'Alt. scenario LCY'!L56*VLOOKUP(Assumptions!$D$7, Lists!$B$7:$C$10, 2, FALSE)*Assumptions!$D$10/VLOOKUP(Assumptions!$D$9, Lists!$B$7:$C$10, 2, FALSE)</f>
        <v>-582000</v>
      </c>
      <c r="M56" s="97">
        <f t="shared" si="56"/>
        <v>-1936500</v>
      </c>
      <c r="N56" s="63">
        <f>'Alt. scenario LCY'!N56*VLOOKUP(Assumptions!$D$7, Lists!$B$7:$C$10, 2, FALSE)*Assumptions!$D$10/VLOOKUP(Assumptions!$D$9, Lists!$B$7:$C$10, 2, FALSE)</f>
        <v>-651000</v>
      </c>
      <c r="O56" s="64">
        <f>'Alt. scenario LCY'!O56*VLOOKUP(Assumptions!$D$7, Lists!$B$7:$C$10, 2, FALSE)*Assumptions!$D$10/VLOOKUP(Assumptions!$D$9, Lists!$B$7:$C$10, 2, FALSE)</f>
        <v>-715500</v>
      </c>
      <c r="P56" s="64">
        <f>'Alt. scenario LCY'!P56*VLOOKUP(Assumptions!$D$7, Lists!$B$7:$C$10, 2, FALSE)*Assumptions!$D$10/VLOOKUP(Assumptions!$D$9, Lists!$B$7:$C$10, 2, FALSE)</f>
        <v>-786000</v>
      </c>
      <c r="Q56" s="108">
        <f>'Alt. scenario LCY'!Q56*VLOOKUP(Assumptions!$D$7, Lists!$B$7:$C$10, 2, FALSE)*Assumptions!$D$10/VLOOKUP(Assumptions!$D$9, Lists!$B$7:$C$10, 2, FALSE)</f>
        <v>-850500</v>
      </c>
      <c r="R56" s="97">
        <f t="shared" si="57"/>
        <v>-3003000</v>
      </c>
      <c r="S56" s="63">
        <f>'Alt. scenario LCY'!S56*VLOOKUP(Assumptions!$D$7, Lists!$B$7:$C$10, 2, FALSE)*Assumptions!$D$10/VLOOKUP(Assumptions!$D$9, Lists!$B$7:$C$10, 2, FALSE)</f>
        <v>-910500</v>
      </c>
      <c r="T56" s="64">
        <f>'Alt. scenario LCY'!T56*VLOOKUP(Assumptions!$D$7, Lists!$B$7:$C$10, 2, FALSE)*Assumptions!$D$10/VLOOKUP(Assumptions!$D$9, Lists!$B$7:$C$10, 2, FALSE)</f>
        <v>-975000</v>
      </c>
      <c r="U56" s="64">
        <f>'Alt. scenario LCY'!U56*VLOOKUP(Assumptions!$D$7, Lists!$B$7:$C$10, 2, FALSE)*Assumptions!$D$10/VLOOKUP(Assumptions!$D$9, Lists!$B$7:$C$10, 2, FALSE)</f>
        <v>-1039500</v>
      </c>
      <c r="V56" s="108">
        <f>'Alt. scenario LCY'!V56*VLOOKUP(Assumptions!$D$7, Lists!$B$7:$C$10, 2, FALSE)*Assumptions!$D$10/VLOOKUP(Assumptions!$D$9, Lists!$B$7:$C$10, 2, FALSE)</f>
        <v>-1104000</v>
      </c>
      <c r="W56" s="97">
        <f t="shared" si="58"/>
        <v>-4029000</v>
      </c>
      <c r="X56" s="63">
        <f>'Alt. scenario LCY'!X56*VLOOKUP(Assumptions!$D$7, Lists!$B$7:$C$10, 2, FALSE)*Assumptions!$D$10/VLOOKUP(Assumptions!$D$9, Lists!$B$7:$C$10, 2, FALSE)</f>
        <v>-1164000</v>
      </c>
      <c r="Y56" s="64">
        <f>'Alt. scenario LCY'!Y56*VLOOKUP(Assumptions!$D$7, Lists!$B$7:$C$10, 2, FALSE)*Assumptions!$D$10/VLOOKUP(Assumptions!$D$9, Lists!$B$7:$C$10, 2, FALSE)</f>
        <v>-1210500</v>
      </c>
      <c r="Z56" s="64">
        <f>'Alt. scenario LCY'!Z56*VLOOKUP(Assumptions!$D$7, Lists!$B$7:$C$10, 2, FALSE)*Assumptions!$D$10/VLOOKUP(Assumptions!$D$9, Lists!$B$7:$C$10, 2, FALSE)</f>
        <v>-1270500</v>
      </c>
      <c r="AA56" s="108">
        <f>'Alt. scenario LCY'!AA56*VLOOKUP(Assumptions!$D$7, Lists!$B$7:$C$10, 2, FALSE)*Assumptions!$D$10/VLOOKUP(Assumptions!$D$9, Lists!$B$7:$C$10, 2, FALSE)</f>
        <v>-1335000</v>
      </c>
      <c r="AB56" s="97">
        <f t="shared" si="59"/>
        <v>-4980000</v>
      </c>
      <c r="AC56" s="63">
        <f>'Alt. scenario LCY'!AC56*VLOOKUP(Assumptions!$D$7, Lists!$B$7:$C$10, 2, FALSE)*Assumptions!$D$10/VLOOKUP(Assumptions!$D$9, Lists!$B$7:$C$10, 2, FALSE)</f>
        <v>-1330500</v>
      </c>
      <c r="AD56" s="64">
        <f>'Alt. scenario LCY'!AD56*VLOOKUP(Assumptions!$D$7, Lists!$B$7:$C$10, 2, FALSE)*Assumptions!$D$10/VLOOKUP(Assumptions!$D$9, Lists!$B$7:$C$10, 2, FALSE)</f>
        <v>-1302000</v>
      </c>
      <c r="AE56" s="64">
        <f>'Alt. scenario LCY'!AE56*VLOOKUP(Assumptions!$D$7, Lists!$B$7:$C$10, 2, FALSE)*Assumptions!$D$10/VLOOKUP(Assumptions!$D$9, Lists!$B$7:$C$10, 2, FALSE)</f>
        <v>-1297500</v>
      </c>
      <c r="AF56" s="108">
        <f>'Alt. scenario LCY'!AF56*VLOOKUP(Assumptions!$D$7, Lists!$B$7:$C$10, 2, FALSE)*Assumptions!$D$10/VLOOKUP(Assumptions!$D$9, Lists!$B$7:$C$10, 2, FALSE)</f>
        <v>-1297500</v>
      </c>
      <c r="AG56" s="97">
        <f t="shared" si="60"/>
        <v>-5227500</v>
      </c>
      <c r="AH56" s="63">
        <f>'Alt. scenario LCY'!AH56*VLOOKUP(Assumptions!$D$7, Lists!$B$7:$C$10, 2, FALSE)*Assumptions!$D$10/VLOOKUP(Assumptions!$D$9, Lists!$B$7:$C$10, 2, FALSE)</f>
        <v>-1275000</v>
      </c>
      <c r="AI56" s="64">
        <f>'Alt. scenario LCY'!AI56*VLOOKUP(Assumptions!$D$7, Lists!$B$7:$C$10, 2, FALSE)*Assumptions!$D$10/VLOOKUP(Assumptions!$D$9, Lists!$B$7:$C$10, 2, FALSE)</f>
        <v>-1270500</v>
      </c>
      <c r="AJ56" s="64">
        <f>'Alt. scenario LCY'!AJ56*VLOOKUP(Assumptions!$D$7, Lists!$B$7:$C$10, 2, FALSE)*Assumptions!$D$10/VLOOKUP(Assumptions!$D$9, Lists!$B$7:$C$10, 2, FALSE)</f>
        <v>-1270500</v>
      </c>
      <c r="AK56" s="108">
        <f>'Alt. scenario LCY'!AK56*VLOOKUP(Assumptions!$D$7, Lists!$B$7:$C$10, 2, FALSE)*Assumptions!$D$10/VLOOKUP(Assumptions!$D$9, Lists!$B$7:$C$10, 2, FALSE)</f>
        <v>-1260000</v>
      </c>
      <c r="AL56" s="60">
        <f t="shared" si="61"/>
        <v>-5076000</v>
      </c>
    </row>
    <row r="57" spans="1:38" ht="15.95">
      <c r="A57" s="36"/>
      <c r="B57" s="34" t="s">
        <v>294</v>
      </c>
      <c r="C57" s="56"/>
      <c r="D57" s="63">
        <f>'Alt. scenario LCY'!D57*VLOOKUP(Assumptions!$D$7, Lists!$B$7:$C$10, 2, FALSE)*Assumptions!$D$10/VLOOKUP(Assumptions!$D$9, Lists!$B$7:$C$10, 2, FALSE)</f>
        <v>-1499613.375</v>
      </c>
      <c r="E57" s="64">
        <f>'Alt. scenario LCY'!E57*VLOOKUP(Assumptions!$D$7, Lists!$B$7:$C$10, 2, FALSE)*Assumptions!$D$10/VLOOKUP(Assumptions!$D$9, Lists!$B$7:$C$10, 2, FALSE)</f>
        <v>-1296913.5</v>
      </c>
      <c r="F57" s="64">
        <f>'Alt. scenario LCY'!F57*VLOOKUP(Assumptions!$D$7, Lists!$B$7:$C$10, 2, FALSE)*Assumptions!$D$10/VLOOKUP(Assumptions!$D$9, Lists!$B$7:$C$10, 2, FALSE)</f>
        <v>-1146660.375</v>
      </c>
      <c r="G57" s="108">
        <f>'Alt. scenario LCY'!G57*VLOOKUP(Assumptions!$D$7, Lists!$B$7:$C$10, 2, FALSE)*Assumptions!$D$10/VLOOKUP(Assumptions!$D$9, Lists!$B$7:$C$10, 2, FALSE)</f>
        <v>-996234</v>
      </c>
      <c r="H57" s="97">
        <f t="shared" si="55"/>
        <v>-4939421.25</v>
      </c>
      <c r="I57" s="63">
        <f>'Alt. scenario LCY'!I57*VLOOKUP(Assumptions!$D$7, Lists!$B$7:$C$10, 2, FALSE)*Assumptions!$D$10/VLOOKUP(Assumptions!$D$9, Lists!$B$7:$C$10, 2, FALSE)</f>
        <v>-845634.375</v>
      </c>
      <c r="J57" s="64">
        <f>'Alt. scenario LCY'!J57*VLOOKUP(Assumptions!$D$7, Lists!$B$7:$C$10, 2, FALSE)*Assumptions!$D$10/VLOOKUP(Assumptions!$D$9, Lists!$B$7:$C$10, 2, FALSE)</f>
        <v>-694861.5</v>
      </c>
      <c r="K57" s="64">
        <f>'Alt. scenario LCY'!K57*VLOOKUP(Assumptions!$D$7, Lists!$B$7:$C$10, 2, FALSE)*Assumptions!$D$10/VLOOKUP(Assumptions!$D$9, Lists!$B$7:$C$10, 2, FALSE)</f>
        <v>-543915.375</v>
      </c>
      <c r="L57" s="108">
        <f>'Alt. scenario LCY'!L57*VLOOKUP(Assumptions!$D$7, Lists!$B$7:$C$10, 2, FALSE)*Assumptions!$D$10/VLOOKUP(Assumptions!$D$9, Lists!$B$7:$C$10, 2, FALSE)</f>
        <v>-478236</v>
      </c>
      <c r="M57" s="97">
        <f t="shared" si="56"/>
        <v>-2562647.25</v>
      </c>
      <c r="N57" s="63">
        <f>'Alt. scenario LCY'!N57*VLOOKUP(Assumptions!$D$7, Lists!$B$7:$C$10, 2, FALSE)*Assumptions!$D$10/VLOOKUP(Assumptions!$D$9, Lists!$B$7:$C$10, 2, FALSE)</f>
        <v>-507123.375</v>
      </c>
      <c r="O57" s="64">
        <f>'Alt. scenario LCY'!O57*VLOOKUP(Assumptions!$D$7, Lists!$B$7:$C$10, 2, FALSE)*Assumptions!$D$10/VLOOKUP(Assumptions!$D$9, Lists!$B$7:$C$10, 2, FALSE)</f>
        <v>-535837.5</v>
      </c>
      <c r="P57" s="64">
        <f>'Alt. scenario LCY'!P57*VLOOKUP(Assumptions!$D$7, Lists!$B$7:$C$10, 2, FALSE)*Assumptions!$D$10/VLOOKUP(Assumptions!$D$9, Lists!$B$7:$C$10, 2, FALSE)</f>
        <v>-564378.375</v>
      </c>
      <c r="Q57" s="108">
        <f>'Alt. scenario LCY'!Q57*VLOOKUP(Assumptions!$D$7, Lists!$B$7:$C$10, 2, FALSE)*Assumptions!$D$10/VLOOKUP(Assumptions!$D$9, Lists!$B$7:$C$10, 2, FALSE)</f>
        <v>-592746</v>
      </c>
      <c r="R57" s="97">
        <f t="shared" si="57"/>
        <v>-2200085.25</v>
      </c>
      <c r="S57" s="63">
        <f>'Alt. scenario LCY'!S57*VLOOKUP(Assumptions!$D$7, Lists!$B$7:$C$10, 2, FALSE)*Assumptions!$D$10/VLOOKUP(Assumptions!$D$9, Lists!$B$7:$C$10, 2, FALSE)</f>
        <v>-620940.375</v>
      </c>
      <c r="T57" s="64">
        <f>'Alt. scenario LCY'!T57*VLOOKUP(Assumptions!$D$7, Lists!$B$7:$C$10, 2, FALSE)*Assumptions!$D$10/VLOOKUP(Assumptions!$D$9, Lists!$B$7:$C$10, 2, FALSE)</f>
        <v>-648961.5</v>
      </c>
      <c r="U57" s="64">
        <f>'Alt. scenario LCY'!U57*VLOOKUP(Assumptions!$D$7, Lists!$B$7:$C$10, 2, FALSE)*Assumptions!$D$10/VLOOKUP(Assumptions!$D$9, Lists!$B$7:$C$10, 2, FALSE)</f>
        <v>-676809.375</v>
      </c>
      <c r="V57" s="108">
        <f>'Alt. scenario LCY'!V57*VLOOKUP(Assumptions!$D$7, Lists!$B$7:$C$10, 2, FALSE)*Assumptions!$D$10/VLOOKUP(Assumptions!$D$9, Lists!$B$7:$C$10, 2, FALSE)</f>
        <v>-704484</v>
      </c>
      <c r="W57" s="97">
        <f t="shared" si="58"/>
        <v>-2651195.25</v>
      </c>
      <c r="X57" s="63">
        <f>'Alt. scenario LCY'!X57*VLOOKUP(Assumptions!$D$7, Lists!$B$7:$C$10, 2, FALSE)*Assumptions!$D$10/VLOOKUP(Assumptions!$D$9, Lists!$B$7:$C$10, 2, FALSE)</f>
        <v>-731985.375</v>
      </c>
      <c r="Y57" s="64">
        <f>'Alt. scenario LCY'!Y57*VLOOKUP(Assumptions!$D$7, Lists!$B$7:$C$10, 2, FALSE)*Assumptions!$D$10/VLOOKUP(Assumptions!$D$9, Lists!$B$7:$C$10, 2, FALSE)</f>
        <v>-759313.5</v>
      </c>
      <c r="Z57" s="64">
        <f>'Alt. scenario LCY'!Z57*VLOOKUP(Assumptions!$D$7, Lists!$B$7:$C$10, 2, FALSE)*Assumptions!$D$10/VLOOKUP(Assumptions!$D$9, Lists!$B$7:$C$10, 2, FALSE)</f>
        <v>-786468.375</v>
      </c>
      <c r="AA57" s="108">
        <f>'Alt. scenario LCY'!AA57*VLOOKUP(Assumptions!$D$7, Lists!$B$7:$C$10, 2, FALSE)*Assumptions!$D$10/VLOOKUP(Assumptions!$D$9, Lists!$B$7:$C$10, 2, FALSE)</f>
        <v>-813450</v>
      </c>
      <c r="AB57" s="97">
        <f t="shared" si="59"/>
        <v>-3091217.25</v>
      </c>
      <c r="AC57" s="63">
        <f>'Alt. scenario LCY'!AC57*VLOOKUP(Assumptions!$D$7, Lists!$B$7:$C$10, 2, FALSE)*Assumptions!$D$10/VLOOKUP(Assumptions!$D$9, Lists!$B$7:$C$10, 2, FALSE)</f>
        <v>-737317.5</v>
      </c>
      <c r="AD57" s="64">
        <f>'Alt. scenario LCY'!AD57*VLOOKUP(Assumptions!$D$7, Lists!$B$7:$C$10, 2, FALSE)*Assumptions!$D$10/VLOOKUP(Assumptions!$D$9, Lists!$B$7:$C$10, 2, FALSE)</f>
        <v>-719085</v>
      </c>
      <c r="AE57" s="64">
        <f>'Alt. scenario LCY'!AE57*VLOOKUP(Assumptions!$D$7, Lists!$B$7:$C$10, 2, FALSE)*Assumptions!$D$10/VLOOKUP(Assumptions!$D$9, Lists!$B$7:$C$10, 2, FALSE)</f>
        <v>-717352.5</v>
      </c>
      <c r="AF57" s="108">
        <f>'Alt. scenario LCY'!AF57*VLOOKUP(Assumptions!$D$7, Lists!$B$7:$C$10, 2, FALSE)*Assumptions!$D$10/VLOOKUP(Assumptions!$D$9, Lists!$B$7:$C$10, 2, FALSE)</f>
        <v>-715620</v>
      </c>
      <c r="AG57" s="97">
        <f t="shared" si="60"/>
        <v>-2889375</v>
      </c>
      <c r="AH57" s="63">
        <f>'Alt. scenario LCY'!AH57*VLOOKUP(Assumptions!$D$7, Lists!$B$7:$C$10, 2, FALSE)*Assumptions!$D$10/VLOOKUP(Assumptions!$D$9, Lists!$B$7:$C$10, 2, FALSE)</f>
        <v>-713887.5</v>
      </c>
      <c r="AI57" s="64">
        <f>'Alt. scenario LCY'!AI57*VLOOKUP(Assumptions!$D$7, Lists!$B$7:$C$10, 2, FALSE)*Assumptions!$D$10/VLOOKUP(Assumptions!$D$9, Lists!$B$7:$C$10, 2, FALSE)</f>
        <v>-712155</v>
      </c>
      <c r="AJ57" s="64">
        <f>'Alt. scenario LCY'!AJ57*VLOOKUP(Assumptions!$D$7, Lists!$B$7:$C$10, 2, FALSE)*Assumptions!$D$10/VLOOKUP(Assumptions!$D$9, Lists!$B$7:$C$10, 2, FALSE)</f>
        <v>-710422.5</v>
      </c>
      <c r="AK57" s="108">
        <f>'Alt. scenario LCY'!AK57*VLOOKUP(Assumptions!$D$7, Lists!$B$7:$C$10, 2, FALSE)*Assumptions!$D$10/VLOOKUP(Assumptions!$D$9, Lists!$B$7:$C$10, 2, FALSE)</f>
        <v>-708690</v>
      </c>
      <c r="AL57" s="60">
        <f t="shared" si="61"/>
        <v>-2845155</v>
      </c>
    </row>
    <row r="58" spans="1:38" ht="15.95">
      <c r="A58" s="36"/>
      <c r="B58" s="34" t="s">
        <v>295</v>
      </c>
      <c r="C58" s="56"/>
      <c r="D58" s="63">
        <f>'Alt. scenario LCY'!D58*VLOOKUP(Assumptions!$D$7, Lists!$B$7:$C$10, 2, FALSE)*Assumptions!$D$10/VLOOKUP(Assumptions!$D$9, Lists!$B$7:$C$10, 2, FALSE)</f>
        <v>-3265200</v>
      </c>
      <c r="E58" s="64">
        <f>'Alt. scenario LCY'!E58*VLOOKUP(Assumptions!$D$7, Lists!$B$7:$C$10, 2, FALSE)*Assumptions!$D$10/VLOOKUP(Assumptions!$D$9, Lists!$B$7:$C$10, 2, FALSE)</f>
        <v>-139800</v>
      </c>
      <c r="F58" s="64">
        <f>'Alt. scenario LCY'!F58*VLOOKUP(Assumptions!$D$7, Lists!$B$7:$C$10, 2, FALSE)*Assumptions!$D$10/VLOOKUP(Assumptions!$D$9, Lists!$B$7:$C$10, 2, FALSE)</f>
        <v>-139800</v>
      </c>
      <c r="G58" s="108">
        <f>'Alt. scenario LCY'!G58*VLOOKUP(Assumptions!$D$7, Lists!$B$7:$C$10, 2, FALSE)*Assumptions!$D$10/VLOOKUP(Assumptions!$D$9, Lists!$B$7:$C$10, 2, FALSE)</f>
        <v>-141600</v>
      </c>
      <c r="H58" s="97">
        <f t="shared" si="55"/>
        <v>-3686400</v>
      </c>
      <c r="I58" s="63">
        <f>'Alt. scenario LCY'!I58*VLOOKUP(Assumptions!$D$7, Lists!$B$7:$C$10, 2, FALSE)*Assumptions!$D$10/VLOOKUP(Assumptions!$D$9, Lists!$B$7:$C$10, 2, FALSE)</f>
        <v>-139800</v>
      </c>
      <c r="J58" s="64">
        <f>'Alt. scenario LCY'!J58*VLOOKUP(Assumptions!$D$7, Lists!$B$7:$C$10, 2, FALSE)*Assumptions!$D$10/VLOOKUP(Assumptions!$D$9, Lists!$B$7:$C$10, 2, FALSE)</f>
        <v>-139800</v>
      </c>
      <c r="K58" s="64">
        <f>'Alt. scenario LCY'!K58*VLOOKUP(Assumptions!$D$7, Lists!$B$7:$C$10, 2, FALSE)*Assumptions!$D$10/VLOOKUP(Assumptions!$D$9, Lists!$B$7:$C$10, 2, FALSE)</f>
        <v>-138000</v>
      </c>
      <c r="L58" s="108">
        <f>'Alt. scenario LCY'!L58*VLOOKUP(Assumptions!$D$7, Lists!$B$7:$C$10, 2, FALSE)*Assumptions!$D$10/VLOOKUP(Assumptions!$D$9, Lists!$B$7:$C$10, 2, FALSE)</f>
        <v>-138000</v>
      </c>
      <c r="M58" s="97">
        <f t="shared" si="56"/>
        <v>-555600</v>
      </c>
      <c r="N58" s="63">
        <f>'Alt. scenario LCY'!N58*VLOOKUP(Assumptions!$D$7, Lists!$B$7:$C$10, 2, FALSE)*Assumptions!$D$10/VLOOKUP(Assumptions!$D$9, Lists!$B$7:$C$10, 2, FALSE)</f>
        <v>-139800</v>
      </c>
      <c r="O58" s="64">
        <f>'Alt. scenario LCY'!O58*VLOOKUP(Assumptions!$D$7, Lists!$B$7:$C$10, 2, FALSE)*Assumptions!$D$10/VLOOKUP(Assumptions!$D$9, Lists!$B$7:$C$10, 2, FALSE)</f>
        <v>-138000</v>
      </c>
      <c r="P58" s="64">
        <f>'Alt. scenario LCY'!P58*VLOOKUP(Assumptions!$D$7, Lists!$B$7:$C$10, 2, FALSE)*Assumptions!$D$10/VLOOKUP(Assumptions!$D$9, Lists!$B$7:$C$10, 2, FALSE)</f>
        <v>-139800</v>
      </c>
      <c r="Q58" s="108">
        <f>'Alt. scenario LCY'!Q58*VLOOKUP(Assumptions!$D$7, Lists!$B$7:$C$10, 2, FALSE)*Assumptions!$D$10/VLOOKUP(Assumptions!$D$9, Lists!$B$7:$C$10, 2, FALSE)</f>
        <v>-138000</v>
      </c>
      <c r="R58" s="97">
        <f t="shared" si="57"/>
        <v>-555600</v>
      </c>
      <c r="S58" s="63">
        <f>'Alt. scenario LCY'!S58*VLOOKUP(Assumptions!$D$7, Lists!$B$7:$C$10, 2, FALSE)*Assumptions!$D$10/VLOOKUP(Assumptions!$D$9, Lists!$B$7:$C$10, 2, FALSE)</f>
        <v>-136200</v>
      </c>
      <c r="T58" s="64">
        <f>'Alt. scenario LCY'!T58*VLOOKUP(Assumptions!$D$7, Lists!$B$7:$C$10, 2, FALSE)*Assumptions!$D$10/VLOOKUP(Assumptions!$D$9, Lists!$B$7:$C$10, 2, FALSE)</f>
        <v>-138000</v>
      </c>
      <c r="U58" s="64">
        <f>'Alt. scenario LCY'!U58*VLOOKUP(Assumptions!$D$7, Lists!$B$7:$C$10, 2, FALSE)*Assumptions!$D$10/VLOOKUP(Assumptions!$D$9, Lists!$B$7:$C$10, 2, FALSE)</f>
        <v>-138000</v>
      </c>
      <c r="V58" s="108">
        <f>'Alt. scenario LCY'!V58*VLOOKUP(Assumptions!$D$7, Lists!$B$7:$C$10, 2, FALSE)*Assumptions!$D$10/VLOOKUP(Assumptions!$D$9, Lists!$B$7:$C$10, 2, FALSE)</f>
        <v>-138000</v>
      </c>
      <c r="W58" s="97">
        <f t="shared" si="58"/>
        <v>-550200</v>
      </c>
      <c r="X58" s="63">
        <f>'Alt. scenario LCY'!X58*VLOOKUP(Assumptions!$D$7, Lists!$B$7:$C$10, 2, FALSE)*Assumptions!$D$10/VLOOKUP(Assumptions!$D$9, Lists!$B$7:$C$10, 2, FALSE)</f>
        <v>-136200</v>
      </c>
      <c r="Y58" s="64">
        <f>'Alt. scenario LCY'!Y58*VLOOKUP(Assumptions!$D$7, Lists!$B$7:$C$10, 2, FALSE)*Assumptions!$D$10/VLOOKUP(Assumptions!$D$9, Lists!$B$7:$C$10, 2, FALSE)</f>
        <v>-134400</v>
      </c>
      <c r="Z58" s="64">
        <f>'Alt. scenario LCY'!Z58*VLOOKUP(Assumptions!$D$7, Lists!$B$7:$C$10, 2, FALSE)*Assumptions!$D$10/VLOOKUP(Assumptions!$D$9, Lists!$B$7:$C$10, 2, FALSE)</f>
        <v>-136200</v>
      </c>
      <c r="AA58" s="108">
        <f>'Alt. scenario LCY'!AA58*VLOOKUP(Assumptions!$D$7, Lists!$B$7:$C$10, 2, FALSE)*Assumptions!$D$10/VLOOKUP(Assumptions!$D$9, Lists!$B$7:$C$10, 2, FALSE)</f>
        <v>-138000</v>
      </c>
      <c r="AB58" s="97">
        <f t="shared" si="59"/>
        <v>-544800</v>
      </c>
      <c r="AC58" s="63">
        <f>'Alt. scenario LCY'!AC58*VLOOKUP(Assumptions!$D$7, Lists!$B$7:$C$10, 2, FALSE)*Assumptions!$D$10/VLOOKUP(Assumptions!$D$9, Lists!$B$7:$C$10, 2, FALSE)</f>
        <v>1800</v>
      </c>
      <c r="AD58" s="64">
        <f>'Alt. scenario LCY'!AD58*VLOOKUP(Assumptions!$D$7, Lists!$B$7:$C$10, 2, FALSE)*Assumptions!$D$10/VLOOKUP(Assumptions!$D$9, Lists!$B$7:$C$10, 2, FALSE)</f>
        <v>127200</v>
      </c>
      <c r="AE58" s="64">
        <f>'Alt. scenario LCY'!AE58*VLOOKUP(Assumptions!$D$7, Lists!$B$7:$C$10, 2, FALSE)*Assumptions!$D$10/VLOOKUP(Assumptions!$D$9, Lists!$B$7:$C$10, 2, FALSE)</f>
        <v>1800</v>
      </c>
      <c r="AF58" s="108">
        <f>'Alt. scenario LCY'!AF58*VLOOKUP(Assumptions!$D$7, Lists!$B$7:$C$10, 2, FALSE)*Assumptions!$D$10/VLOOKUP(Assumptions!$D$9, Lists!$B$7:$C$10, 2, FALSE)</f>
        <v>0</v>
      </c>
      <c r="AG58" s="97">
        <f t="shared" si="60"/>
        <v>130800</v>
      </c>
      <c r="AH58" s="63">
        <f>'Alt. scenario LCY'!AH58*VLOOKUP(Assumptions!$D$7, Lists!$B$7:$C$10, 2, FALSE)*Assumptions!$D$10/VLOOKUP(Assumptions!$D$9, Lists!$B$7:$C$10, 2, FALSE)</f>
        <v>5400</v>
      </c>
      <c r="AI58" s="64">
        <f>'Alt. scenario LCY'!AI58*VLOOKUP(Assumptions!$D$7, Lists!$B$7:$C$10, 2, FALSE)*Assumptions!$D$10/VLOOKUP(Assumptions!$D$9, Lists!$B$7:$C$10, 2, FALSE)</f>
        <v>1800</v>
      </c>
      <c r="AJ58" s="64">
        <f>'Alt. scenario LCY'!AJ58*VLOOKUP(Assumptions!$D$7, Lists!$B$7:$C$10, 2, FALSE)*Assumptions!$D$10/VLOOKUP(Assumptions!$D$9, Lists!$B$7:$C$10, 2, FALSE)</f>
        <v>0</v>
      </c>
      <c r="AK58" s="108">
        <f>'Alt. scenario LCY'!AK58*VLOOKUP(Assumptions!$D$7, Lists!$B$7:$C$10, 2, FALSE)*Assumptions!$D$10/VLOOKUP(Assumptions!$D$9, Lists!$B$7:$C$10, 2, FALSE)</f>
        <v>3600</v>
      </c>
      <c r="AL58" s="60">
        <f t="shared" si="61"/>
        <v>10800</v>
      </c>
    </row>
    <row r="59" spans="1:38" ht="15.95">
      <c r="A59" s="36"/>
      <c r="B59" s="34" t="s">
        <v>296</v>
      </c>
      <c r="C59" s="56"/>
      <c r="D59" s="63"/>
      <c r="E59" s="64"/>
      <c r="F59" s="64"/>
      <c r="G59" s="108"/>
      <c r="H59" s="97">
        <f t="shared" si="55"/>
        <v>0</v>
      </c>
      <c r="I59" s="63">
        <f>-H47</f>
        <v>0</v>
      </c>
      <c r="J59" s="64"/>
      <c r="K59" s="64"/>
      <c r="L59" s="108"/>
      <c r="M59" s="97">
        <f t="shared" si="56"/>
        <v>0</v>
      </c>
      <c r="N59" s="63">
        <f>-M47</f>
        <v>690329.08017857152</v>
      </c>
      <c r="O59" s="64"/>
      <c r="P59" s="64"/>
      <c r="Q59" s="108"/>
      <c r="R59" s="97">
        <f t="shared" si="57"/>
        <v>690329.08017857152</v>
      </c>
      <c r="S59" s="63">
        <f>-R47</f>
        <v>1239644.1358928573</v>
      </c>
      <c r="T59" s="64"/>
      <c r="U59" s="64"/>
      <c r="V59" s="108"/>
      <c r="W59" s="97">
        <f t="shared" si="58"/>
        <v>1239644.1358928573</v>
      </c>
      <c r="X59" s="63">
        <f>-W47</f>
        <v>1676248.7287500002</v>
      </c>
      <c r="Y59" s="64"/>
      <c r="Z59" s="64"/>
      <c r="AA59" s="108"/>
      <c r="AB59" s="97">
        <f t="shared" si="59"/>
        <v>1676248.7287500002</v>
      </c>
      <c r="AC59" s="63">
        <f>-AB47</f>
        <v>2086075.2873214288</v>
      </c>
      <c r="AD59" s="64"/>
      <c r="AE59" s="64"/>
      <c r="AF59" s="108"/>
      <c r="AG59" s="97">
        <f t="shared" si="60"/>
        <v>2086075.2873214288</v>
      </c>
      <c r="AH59" s="63">
        <f>-AG47</f>
        <v>2118991.5535714286</v>
      </c>
      <c r="AI59" s="64"/>
      <c r="AJ59" s="64"/>
      <c r="AK59" s="108"/>
      <c r="AL59" s="60">
        <f t="shared" si="61"/>
        <v>2118991.5535714286</v>
      </c>
    </row>
    <row r="60" spans="1:38" ht="17.100000000000001" thickBot="1">
      <c r="A60" s="102" t="s">
        <v>297</v>
      </c>
      <c r="B60" s="34"/>
      <c r="C60" s="56"/>
      <c r="D60" s="142">
        <f>SUM(D52:D59)</f>
        <v>-4312159.1812500004</v>
      </c>
      <c r="E60" s="143">
        <f>SUM(E52:E59)</f>
        <v>-770404.35</v>
      </c>
      <c r="F60" s="143">
        <f>SUM(F52:F59)</f>
        <v>-410145.13124999986</v>
      </c>
      <c r="G60" s="144">
        <f>SUM(G52:G59)</f>
        <v>-68661.524999999907</v>
      </c>
      <c r="H60" s="112">
        <f t="shared" si="55"/>
        <v>-5561370.1875</v>
      </c>
      <c r="I60" s="142">
        <f>SUM(I52:I59)</f>
        <v>284946.46875</v>
      </c>
      <c r="J60" s="143">
        <f>SUM(J52:J59)</f>
        <v>634778.85000000009</v>
      </c>
      <c r="K60" s="143">
        <f>SUM(K52:K59)</f>
        <v>987435.61875000037</v>
      </c>
      <c r="L60" s="144">
        <f>SUM(L52:L59)</f>
        <v>1249376.7749999999</v>
      </c>
      <c r="M60" s="112">
        <f t="shared" si="56"/>
        <v>3156537.7125000004</v>
      </c>
      <c r="N60" s="142">
        <f>SUM(N52:N59)</f>
        <v>2097131.3989285715</v>
      </c>
      <c r="O60" s="143">
        <f>SUM(O52:O59)</f>
        <v>1568852.25</v>
      </c>
      <c r="P60" s="143">
        <f>SUM(P52:P59)</f>
        <v>1717826.5687500006</v>
      </c>
      <c r="Q60" s="144">
        <f>SUM(Q52:Q59)</f>
        <v>1872925.2750000004</v>
      </c>
      <c r="R60" s="112">
        <f t="shared" si="57"/>
        <v>7256735.4926785724</v>
      </c>
      <c r="S60" s="142">
        <f>SUM(S52:S59)</f>
        <v>3268692.5046428577</v>
      </c>
      <c r="T60" s="143">
        <f>SUM(T52:T59)</f>
        <v>2173595.8500000006</v>
      </c>
      <c r="U60" s="143">
        <f>SUM(U52:U59)</f>
        <v>2316467.71875</v>
      </c>
      <c r="V60" s="144">
        <f>SUM(V52:V59)</f>
        <v>2455863.9749999996</v>
      </c>
      <c r="W60" s="112">
        <f t="shared" si="58"/>
        <v>10214620.048392858</v>
      </c>
      <c r="X60" s="142">
        <f>SUM(X52:X59)</f>
        <v>4274333.3475000001</v>
      </c>
      <c r="Y60" s="143">
        <f>SUM(Y52:Y59)</f>
        <v>2750329.6500000004</v>
      </c>
      <c r="Z60" s="143">
        <f>SUM(Z52:Z59)</f>
        <v>2881999.0687499996</v>
      </c>
      <c r="AA60" s="144">
        <f>SUM(AA52:AA59)</f>
        <v>3005692.875</v>
      </c>
      <c r="AB60" s="112">
        <f t="shared" si="59"/>
        <v>12912354.94125</v>
      </c>
      <c r="AC60" s="142">
        <f>SUM(AC52:AC59)</f>
        <v>5009169.1623214288</v>
      </c>
      <c r="AD60" s="143">
        <f>SUM(AD52:AD59)</f>
        <v>3058737.75</v>
      </c>
      <c r="AE60" s="143">
        <f>SUM(AE52:AE59)</f>
        <v>2903081.625</v>
      </c>
      <c r="AF60" s="144">
        <f>SUM(AF52:AF59)</f>
        <v>2866525.5</v>
      </c>
      <c r="AG60" s="112">
        <f t="shared" si="60"/>
        <v>13837514.03732143</v>
      </c>
      <c r="AH60" s="142">
        <f>SUM(AH52:AH59)</f>
        <v>4978660.9285714291</v>
      </c>
      <c r="AI60" s="143">
        <f>SUM(AI52:AI59)</f>
        <v>2825813.25</v>
      </c>
      <c r="AJ60" s="143">
        <f>SUM(AJ52:AJ59)</f>
        <v>2789257.125</v>
      </c>
      <c r="AK60" s="144">
        <f>SUM(AK52:AK59)</f>
        <v>2768601</v>
      </c>
      <c r="AL60" s="61">
        <f t="shared" si="61"/>
        <v>13362332.303571429</v>
      </c>
    </row>
    <row r="61" spans="1:38" s="109" customFormat="1" ht="20.100000000000001" thickBot="1">
      <c r="A61" s="197" t="s">
        <v>298</v>
      </c>
      <c r="B61" s="198"/>
      <c r="C61" s="199"/>
      <c r="D61" s="145">
        <f>D60</f>
        <v>-4312159.1812500004</v>
      </c>
      <c r="E61" s="146">
        <f>D61+E60</f>
        <v>-5082563.53125</v>
      </c>
      <c r="F61" s="146">
        <f>E61+F60</f>
        <v>-5492708.6624999996</v>
      </c>
      <c r="G61" s="147">
        <f>F61+G60</f>
        <v>-5561370.1875</v>
      </c>
      <c r="H61" s="193">
        <f>G61</f>
        <v>-5561370.1875</v>
      </c>
      <c r="I61" s="194">
        <f>G61+I60</f>
        <v>-5276423.71875</v>
      </c>
      <c r="J61" s="195">
        <f>I61+J60</f>
        <v>-4641644.8687500004</v>
      </c>
      <c r="K61" s="195">
        <f>J61+K60</f>
        <v>-3654209.25</v>
      </c>
      <c r="L61" s="196">
        <f>K61+L60</f>
        <v>-2404832.4750000001</v>
      </c>
      <c r="M61" s="110">
        <f>L61</f>
        <v>-2404832.4750000001</v>
      </c>
      <c r="N61" s="194">
        <f>L61+N60</f>
        <v>-307701.0760714286</v>
      </c>
      <c r="O61" s="195">
        <f>N61+O60</f>
        <v>1261151.1739285714</v>
      </c>
      <c r="P61" s="195">
        <f>O61+P60</f>
        <v>2978977.742678572</v>
      </c>
      <c r="Q61" s="196">
        <f>P61+Q60</f>
        <v>4851903.0176785719</v>
      </c>
      <c r="R61" s="110">
        <f>Q61</f>
        <v>4851903.0176785719</v>
      </c>
      <c r="S61" s="194">
        <f>Q61+S60</f>
        <v>8120595.5223214291</v>
      </c>
      <c r="T61" s="195">
        <f>S61+T60</f>
        <v>10294191.372321431</v>
      </c>
      <c r="U61" s="195">
        <f>T61+U60</f>
        <v>12610659.091071431</v>
      </c>
      <c r="V61" s="196">
        <f>U61+V60</f>
        <v>15066523.06607143</v>
      </c>
      <c r="W61" s="110">
        <f>V61</f>
        <v>15066523.06607143</v>
      </c>
      <c r="X61" s="194">
        <f>V61+X60</f>
        <v>19340856.413571432</v>
      </c>
      <c r="Y61" s="195">
        <f>X61+Y60</f>
        <v>22091186.063571431</v>
      </c>
      <c r="Z61" s="195">
        <f>Y61+Z60</f>
        <v>24973185.132321432</v>
      </c>
      <c r="AA61" s="196">
        <f>Z61+AA60</f>
        <v>27978878.007321432</v>
      </c>
      <c r="AB61" s="110">
        <f>AA61</f>
        <v>27978878.007321432</v>
      </c>
      <c r="AC61" s="194">
        <f>AA61+AC60</f>
        <v>32988047.169642862</v>
      </c>
      <c r="AD61" s="195">
        <f>AC61+AD60</f>
        <v>36046784.919642866</v>
      </c>
      <c r="AE61" s="195">
        <f>AD61+AE60</f>
        <v>38949866.544642866</v>
      </c>
      <c r="AF61" s="196">
        <f>AE61+AF60</f>
        <v>41816392.044642866</v>
      </c>
      <c r="AG61" s="110">
        <f>AF61</f>
        <v>41816392.044642866</v>
      </c>
      <c r="AH61" s="194">
        <f>AF61+AH60</f>
        <v>46795052.973214298</v>
      </c>
      <c r="AI61" s="195">
        <f>AH61+AI60</f>
        <v>49620866.223214298</v>
      </c>
      <c r="AJ61" s="195">
        <f>AI61+AJ60</f>
        <v>52410123.348214298</v>
      </c>
      <c r="AK61" s="196">
        <f>AJ61+AK60</f>
        <v>55178724.348214298</v>
      </c>
      <c r="AL61" s="111">
        <f>AK61</f>
        <v>55178724.348214298</v>
      </c>
    </row>
    <row r="62" spans="1:38" ht="15.95" thickBot="1"/>
    <row r="63" spans="1:38" ht="17.100000000000001" thickBot="1">
      <c r="A63" s="28" t="s">
        <v>299</v>
      </c>
      <c r="B63" s="28"/>
      <c r="C63" s="28"/>
      <c r="D63" s="148" t="s">
        <v>214</v>
      </c>
      <c r="E63" s="149" t="s">
        <v>215</v>
      </c>
      <c r="F63" s="149" t="s">
        <v>216</v>
      </c>
      <c r="G63" s="149" t="s">
        <v>217</v>
      </c>
      <c r="H63" s="43" t="s">
        <v>218</v>
      </c>
      <c r="I63" s="148" t="s">
        <v>219</v>
      </c>
      <c r="J63" s="149" t="s">
        <v>220</v>
      </c>
      <c r="K63" s="149" t="s">
        <v>221</v>
      </c>
      <c r="L63" s="149" t="s">
        <v>222</v>
      </c>
      <c r="M63" s="43" t="s">
        <v>223</v>
      </c>
      <c r="N63" s="148" t="s">
        <v>224</v>
      </c>
      <c r="O63" s="149" t="s">
        <v>225</v>
      </c>
      <c r="P63" s="149" t="s">
        <v>226</v>
      </c>
      <c r="Q63" s="149" t="s">
        <v>227</v>
      </c>
      <c r="R63" s="43" t="s">
        <v>228</v>
      </c>
      <c r="S63" s="148" t="s">
        <v>229</v>
      </c>
      <c r="T63" s="149" t="s">
        <v>230</v>
      </c>
      <c r="U63" s="149" t="s">
        <v>231</v>
      </c>
      <c r="V63" s="149" t="s">
        <v>232</v>
      </c>
      <c r="W63" s="43" t="s">
        <v>233</v>
      </c>
      <c r="X63" s="148" t="s">
        <v>234</v>
      </c>
      <c r="Y63" s="149" t="s">
        <v>235</v>
      </c>
      <c r="Z63" s="149" t="s">
        <v>236</v>
      </c>
      <c r="AA63" s="149" t="s">
        <v>237</v>
      </c>
      <c r="AB63" s="43" t="s">
        <v>238</v>
      </c>
      <c r="AC63" s="148" t="s">
        <v>239</v>
      </c>
      <c r="AD63" s="149" t="s">
        <v>240</v>
      </c>
      <c r="AE63" s="149" t="s">
        <v>241</v>
      </c>
      <c r="AF63" s="149" t="s">
        <v>242</v>
      </c>
      <c r="AG63" s="43" t="s">
        <v>243</v>
      </c>
      <c r="AH63" s="148" t="s">
        <v>244</v>
      </c>
      <c r="AI63" s="149" t="s">
        <v>245</v>
      </c>
      <c r="AJ63" s="149" t="s">
        <v>246</v>
      </c>
      <c r="AK63" s="149" t="s">
        <v>247</v>
      </c>
      <c r="AL63" s="43" t="s">
        <v>248</v>
      </c>
    </row>
    <row r="64" spans="1:38" ht="15.95">
      <c r="A64" s="188"/>
      <c r="B64" s="29"/>
      <c r="C64" s="30" t="s">
        <v>300</v>
      </c>
      <c r="D64" s="130">
        <f>IFERROR(D72/(_xlfn.XLOOKUP(Assumptions!$D$5, 'Baseline Headcount Estimates'!$B$13:$B$180, 'Baseline Headcount Estimates'!$R$13:$R$180, "")*1000), "N/A")</f>
        <v>3.4927718458987911E-3</v>
      </c>
      <c r="E64" s="150">
        <f>IFERROR(E72/(_xlfn.XLOOKUP(Assumptions!$D$5, 'Baseline Headcount Estimates'!$B$13:$B$180, 'Baseline Headcount Estimates'!$R$13:$R$180, "")*1000), "N/A")</f>
        <v>6.9416094547422513E-3</v>
      </c>
      <c r="F64" s="150">
        <f>IFERROR(F72/(_xlfn.XLOOKUP(Assumptions!$D$5, 'Baseline Headcount Estimates'!$B$13:$B$180, 'Baseline Headcount Estimates'!$R$13:$R$180, "")*1000), "N/A")</f>
        <v>1.0346512826530381E-2</v>
      </c>
      <c r="G64" s="151">
        <f>IFERROR(G72/(_xlfn.XLOOKUP(Assumptions!$D$5, 'Baseline Headcount Estimates'!$B$13:$B$180, 'Baseline Headcount Estimates'!$R$13:$R$180, "")*1000), "N/A")</f>
        <v>1.3707481961263179E-2</v>
      </c>
      <c r="H64" s="129">
        <f t="shared" ref="H64:H81" si="62">G64</f>
        <v>1.3707481961263179E-2</v>
      </c>
      <c r="I64" s="130">
        <f>IFERROR(I72/(_xlfn.XLOOKUP(Assumptions!$D$5, 'Baseline Headcount Estimates'!$B$13:$B$180, 'Baseline Headcount Estimates'!$R$13:$R$180, "")*1000), "N/A")</f>
        <v>1.7024516858940648E-2</v>
      </c>
      <c r="J64" s="150">
        <f>IFERROR(J72/(_xlfn.XLOOKUP(Assumptions!$D$5, 'Baseline Headcount Estimates'!$B$13:$B$180, 'Baseline Headcount Estimates'!$R$13:$R$180, "")*1000), "N/A")</f>
        <v>2.0297617519562786E-2</v>
      </c>
      <c r="K64" s="150">
        <f>IFERROR(K72/(_xlfn.XLOOKUP(Assumptions!$D$5, 'Baseline Headcount Estimates'!$B$13:$B$180, 'Baseline Headcount Estimates'!$R$13:$R$180, "")*1000), "N/A")</f>
        <v>2.3526783943129591E-2</v>
      </c>
      <c r="L64" s="151">
        <f>IFERROR(L72/(_xlfn.XLOOKUP(Assumptions!$D$5, 'Baseline Headcount Estimates'!$B$13:$B$180, 'Baseline Headcount Estimates'!$R$13:$R$180, "")*1000), "N/A")</f>
        <v>2.6712016129641067E-2</v>
      </c>
      <c r="M64" s="129">
        <f t="shared" ref="M64:M81" si="63">L64</f>
        <v>2.6712016129641067E-2</v>
      </c>
      <c r="N64" s="130">
        <f>IFERROR(N72/(_xlfn.XLOOKUP(Assumptions!$D$5, 'Baseline Headcount Estimates'!$B$13:$B$180, 'Baseline Headcount Estimates'!$R$13:$R$180, "")*1000), "N/A")</f>
        <v>2.9853314079097214E-2</v>
      </c>
      <c r="O64" s="150">
        <f>IFERROR(O72/(_xlfn.XLOOKUP(Assumptions!$D$5, 'Baseline Headcount Estimates'!$B$13:$B$180, 'Baseline Headcount Estimates'!$R$13:$R$180, "")*1000), "N/A")</f>
        <v>3.2950677791498025E-2</v>
      </c>
      <c r="P64" s="150">
        <f>IFERROR(P72/(_xlfn.XLOOKUP(Assumptions!$D$5, 'Baseline Headcount Estimates'!$B$13:$B$180, 'Baseline Headcount Estimates'!$R$13:$R$180, "")*1000), "N/A")</f>
        <v>3.6004107266843513E-2</v>
      </c>
      <c r="Q64" s="151">
        <f>IFERROR(Q72/(_xlfn.XLOOKUP(Assumptions!$D$5, 'Baseline Headcount Estimates'!$B$13:$B$180, 'Baseline Headcount Estimates'!$R$13:$R$180, "")*1000), "N/A")</f>
        <v>3.9013602505133665E-2</v>
      </c>
      <c r="R64" s="129">
        <f t="shared" ref="R64:R81" si="64">Q64</f>
        <v>3.9013602505133665E-2</v>
      </c>
      <c r="S64" s="130">
        <f>IFERROR(S72/(_xlfn.XLOOKUP(Assumptions!$D$5, 'Baseline Headcount Estimates'!$B$13:$B$180, 'Baseline Headcount Estimates'!$R$13:$R$180, "")*1000), "N/A")</f>
        <v>4.1979163506368489E-2</v>
      </c>
      <c r="T64" s="150">
        <f>IFERROR(T72/(_xlfn.XLOOKUP(Assumptions!$D$5, 'Baseline Headcount Estimates'!$B$13:$B$180, 'Baseline Headcount Estimates'!$R$13:$R$180, "")*1000), "N/A")</f>
        <v>4.4900790270547976E-2</v>
      </c>
      <c r="U64" s="150">
        <f>IFERROR(U72/(_xlfn.XLOOKUP(Assumptions!$D$5, 'Baseline Headcount Estimates'!$B$13:$B$180, 'Baseline Headcount Estimates'!$R$13:$R$180, "")*1000), "N/A")</f>
        <v>4.7778482797672141E-2</v>
      </c>
      <c r="V64" s="151">
        <f>IFERROR(V72/(_xlfn.XLOOKUP(Assumptions!$D$5, 'Baseline Headcount Estimates'!$B$13:$B$180, 'Baseline Headcount Estimates'!$R$13:$R$180, "")*1000), "N/A")</f>
        <v>5.061224108774097E-2</v>
      </c>
      <c r="W64" s="129">
        <f t="shared" ref="W64:W81" si="65">V64</f>
        <v>5.061224108774097E-2</v>
      </c>
      <c r="X64" s="130">
        <f>IFERROR(X72/(_xlfn.XLOOKUP(Assumptions!$D$5, 'Baseline Headcount Estimates'!$B$13:$B$180, 'Baseline Headcount Estimates'!$R$13:$R$180, "")*1000), "N/A")</f>
        <v>5.3402065140754469E-2</v>
      </c>
      <c r="Y64" s="150">
        <f>IFERROR(Y72/(_xlfn.XLOOKUP(Assumptions!$D$5, 'Baseline Headcount Estimates'!$B$13:$B$180, 'Baseline Headcount Estimates'!$R$13:$R$180, "")*1000), "N/A")</f>
        <v>5.614795495671264E-2</v>
      </c>
      <c r="Z64" s="150">
        <f>IFERROR(Z72/(_xlfn.XLOOKUP(Assumptions!$D$5, 'Baseline Headcount Estimates'!$B$13:$B$180, 'Baseline Headcount Estimates'!$R$13:$R$180, "")*1000), "N/A")</f>
        <v>5.8849910535615474E-2</v>
      </c>
      <c r="AA64" s="151">
        <f>IFERROR(AA72/(_xlfn.XLOOKUP(Assumptions!$D$5, 'Baseline Headcount Estimates'!$B$13:$B$180, 'Baseline Headcount Estimates'!$R$13:$R$180, "")*1000), "N/A")</f>
        <v>6.1507931877462986E-2</v>
      </c>
      <c r="AB64" s="180">
        <f>AA64</f>
        <v>6.1507931877462986E-2</v>
      </c>
      <c r="AC64" s="130">
        <f>IFERROR(AC72/(_xlfn.XLOOKUP(Assumptions!$D$5, 'Baseline Headcount Estimates'!$B$13:$B$180, 'Baseline Headcount Estimates'!$R$13:$R$180, "")*1000), "N/A")</f>
        <v>6.106858950690968E-2</v>
      </c>
      <c r="AD64" s="150">
        <f>IFERROR(AD72/(_xlfn.XLOOKUP(Assumptions!$D$5, 'Baseline Headcount Estimates'!$B$13:$B$180, 'Baseline Headcount Estimates'!$R$13:$R$180, "")*1000), "N/A")</f>
        <v>6.0629247136356368E-2</v>
      </c>
      <c r="AE64" s="150">
        <f>IFERROR(AE72/(_xlfn.XLOOKUP(Assumptions!$D$5, 'Baseline Headcount Estimates'!$B$13:$B$180, 'Baseline Headcount Estimates'!$R$13:$R$180, "")*1000), "N/A")</f>
        <v>6.0189904765803062E-2</v>
      </c>
      <c r="AF64" s="151">
        <f>IFERROR(AF72/(_xlfn.XLOOKUP(Assumptions!$D$5, 'Baseline Headcount Estimates'!$B$13:$B$180, 'Baseline Headcount Estimates'!$R$13:$R$180, "")*1000), "N/A")</f>
        <v>5.9750562395249757E-2</v>
      </c>
      <c r="AG64" s="180">
        <f>AF64</f>
        <v>5.9750562395249757E-2</v>
      </c>
      <c r="AH64" s="130">
        <f>IFERROR(AH72/(_xlfn.XLOOKUP(Assumptions!$D$5, 'Baseline Headcount Estimates'!$B$13:$B$180, 'Baseline Headcount Estimates'!$R$13:$R$180, "")*1000), "N/A")</f>
        <v>5.9311220024696451E-2</v>
      </c>
      <c r="AI64" s="150">
        <f>IFERROR(AI72/(_xlfn.XLOOKUP(Assumptions!$D$5, 'Baseline Headcount Estimates'!$B$13:$B$180, 'Baseline Headcount Estimates'!$R$13:$R$180, "")*1000), "N/A")</f>
        <v>5.8871877654143145E-2</v>
      </c>
      <c r="AJ64" s="150">
        <f>IFERROR(AJ72/(_xlfn.XLOOKUP(Assumptions!$D$5, 'Baseline Headcount Estimates'!$B$13:$B$180, 'Baseline Headcount Estimates'!$R$13:$R$180, "")*1000), "N/A")</f>
        <v>5.8432535283589833E-2</v>
      </c>
      <c r="AK64" s="151">
        <f>IFERROR(AK72/(_xlfn.XLOOKUP(Assumptions!$D$5, 'Baseline Headcount Estimates'!$B$13:$B$180, 'Baseline Headcount Estimates'!$R$13:$R$180, "")*1000), "N/A")</f>
        <v>5.7993192913036527E-2</v>
      </c>
      <c r="AL64" s="129">
        <f>AK64</f>
        <v>5.7993192913036527E-2</v>
      </c>
    </row>
    <row r="65" spans="1:38" ht="15.95">
      <c r="A65" s="31"/>
      <c r="C65" s="33" t="s">
        <v>301</v>
      </c>
      <c r="D65" s="132">
        <f>IFERROR(D73/(_xlfn.XLOOKUP(Assumptions!$D$5, 'Baseline Headcount Estimates'!$B$13:$B$180, 'Baseline Headcount Estimates'!$Q$13:$Q$180, "")*1000), "N/A")</f>
        <v>5.971471512259836E-3</v>
      </c>
      <c r="E65" s="131">
        <f>IFERROR(E73/(_xlfn.XLOOKUP(Assumptions!$D$5, 'Baseline Headcount Estimates'!$B$13:$B$180, 'Baseline Headcount Estimates'!$Q$13:$Q$180, "")*1000), "N/A")</f>
        <v>1.1867830175308857E-2</v>
      </c>
      <c r="F65" s="131">
        <f>IFERROR(F73/(_xlfn.XLOOKUP(Assumptions!$D$5, 'Baseline Headcount Estimates'!$B$13:$B$180, 'Baseline Headcount Estimates'!$Q$13:$Q$180, "")*1000), "N/A")</f>
        <v>1.7689075989147061E-2</v>
      </c>
      <c r="G65" s="133">
        <f>IFERROR(G73/(_xlfn.XLOOKUP(Assumptions!$D$5, 'Baseline Headcount Estimates'!$B$13:$B$180, 'Baseline Headcount Estimates'!$Q$13:$Q$180, "")*1000), "N/A")</f>
        <v>2.3435208953774451E-2</v>
      </c>
      <c r="H65" s="129">
        <f t="shared" si="62"/>
        <v>2.3435208953774451E-2</v>
      </c>
      <c r="I65" s="132">
        <f>IFERROR(I73/(_xlfn.XLOOKUP(Assumptions!$D$5, 'Baseline Headcount Estimates'!$B$13:$B$180, 'Baseline Headcount Estimates'!$Q$13:$Q$180, "")*1000), "N/A")</f>
        <v>2.9106229069191025E-2</v>
      </c>
      <c r="J65" s="131">
        <f>IFERROR(J73/(_xlfn.XLOOKUP(Assumptions!$D$5, 'Baseline Headcount Estimates'!$B$13:$B$180, 'Baseline Headcount Estimates'!$Q$13:$Q$180, "")*1000), "N/A")</f>
        <v>3.4702136335396781E-2</v>
      </c>
      <c r="K65" s="131">
        <f>IFERROR(K73/(_xlfn.XLOOKUP(Assumptions!$D$5, 'Baseline Headcount Estimates'!$B$13:$B$180, 'Baseline Headcount Estimates'!$Q$13:$Q$180, "")*1000), "N/A")</f>
        <v>4.0222930752391722E-2</v>
      </c>
      <c r="L65" s="133">
        <f>IFERROR(L73/(_xlfn.XLOOKUP(Assumptions!$D$5, 'Baseline Headcount Estimates'!$B$13:$B$180, 'Baseline Headcount Estimates'!$Q$13:$Q$180, "")*1000), "N/A")</f>
        <v>4.5668612320175855E-2</v>
      </c>
      <c r="M65" s="129">
        <f t="shared" si="63"/>
        <v>4.5668612320175855E-2</v>
      </c>
      <c r="N65" s="132">
        <f>IFERROR(N73/(_xlfn.XLOOKUP(Assumptions!$D$5, 'Baseline Headcount Estimates'!$B$13:$B$180, 'Baseline Headcount Estimates'!$Q$13:$Q$180, "")*1000), "N/A")</f>
        <v>5.1039181038749167E-2</v>
      </c>
      <c r="O65" s="131">
        <f>IFERROR(O73/(_xlfn.XLOOKUP(Assumptions!$D$5, 'Baseline Headcount Estimates'!$B$13:$B$180, 'Baseline Headcount Estimates'!$Q$13:$Q$180, "")*1000), "N/A")</f>
        <v>5.6334636908111663E-2</v>
      </c>
      <c r="P65" s="131">
        <f>IFERROR(P73/(_xlfn.XLOOKUP(Assumptions!$D$5, 'Baseline Headcount Estimates'!$B$13:$B$180, 'Baseline Headcount Estimates'!$Q$13:$Q$180, "")*1000), "N/A")</f>
        <v>6.1554979928263344E-2</v>
      </c>
      <c r="Q65" s="133">
        <f>IFERROR(Q73/(_xlfn.XLOOKUP(Assumptions!$D$5, 'Baseline Headcount Estimates'!$B$13:$B$180, 'Baseline Headcount Estimates'!$Q$13:$Q$180, "")*1000), "N/A")</f>
        <v>6.670021009920421E-2</v>
      </c>
      <c r="R65" s="129">
        <f t="shared" si="64"/>
        <v>6.670021009920421E-2</v>
      </c>
      <c r="S65" s="132">
        <f>IFERROR(S73/(_xlfn.XLOOKUP(Assumptions!$D$5, 'Baseline Headcount Estimates'!$B$13:$B$180, 'Baseline Headcount Estimates'!$Q$13:$Q$180, "")*1000), "N/A")</f>
        <v>7.1770327420934255E-2</v>
      </c>
      <c r="T65" s="131">
        <f>IFERROR(T73/(_xlfn.XLOOKUP(Assumptions!$D$5, 'Baseline Headcount Estimates'!$B$13:$B$180, 'Baseline Headcount Estimates'!$Q$13:$Q$180, "")*1000), "N/A")</f>
        <v>7.6765331893453484E-2</v>
      </c>
      <c r="U65" s="131">
        <f>IFERROR(U73/(_xlfn.XLOOKUP(Assumptions!$D$5, 'Baseline Headcount Estimates'!$B$13:$B$180, 'Baseline Headcount Estimates'!$Q$13:$Q$180, "")*1000), "N/A")</f>
        <v>8.1685223516761912E-2</v>
      </c>
      <c r="V65" s="133">
        <f>IFERROR(V73/(_xlfn.XLOOKUP(Assumptions!$D$5, 'Baseline Headcount Estimates'!$B$13:$B$180, 'Baseline Headcount Estimates'!$Q$13:$Q$180, "")*1000), "N/A")</f>
        <v>8.6530002290859512E-2</v>
      </c>
      <c r="W65" s="129">
        <f t="shared" si="65"/>
        <v>8.6530002290859512E-2</v>
      </c>
      <c r="X65" s="132">
        <f>IFERROR(X73/(_xlfn.XLOOKUP(Assumptions!$D$5, 'Baseline Headcount Estimates'!$B$13:$B$180, 'Baseline Headcount Estimates'!$Q$13:$Q$180, "")*1000), "N/A")</f>
        <v>9.1299668215746296E-2</v>
      </c>
      <c r="Y65" s="131">
        <f>IFERROR(Y73/(_xlfn.XLOOKUP(Assumptions!$D$5, 'Baseline Headcount Estimates'!$B$13:$B$180, 'Baseline Headcount Estimates'!$Q$13:$Q$180, "")*1000), "N/A")</f>
        <v>9.5994221291422266E-2</v>
      </c>
      <c r="Z65" s="131">
        <f>IFERROR(Z73/(_xlfn.XLOOKUP(Assumptions!$D$5, 'Baseline Headcount Estimates'!$B$13:$B$180, 'Baseline Headcount Estimates'!$Q$13:$Q$180, "")*1000), "N/A")</f>
        <v>0.10061366151788742</v>
      </c>
      <c r="AA65" s="133">
        <f>IFERROR(AA73/(_xlfn.XLOOKUP(Assumptions!$D$5, 'Baseline Headcount Estimates'!$B$13:$B$180, 'Baseline Headcount Estimates'!$Q$13:$Q$180, "")*1000), "N/A")</f>
        <v>0.10515798889514176</v>
      </c>
      <c r="AB65" s="181">
        <f>AA65</f>
        <v>0.10515798889514176</v>
      </c>
      <c r="AC65" s="132">
        <f>IFERROR(AC73/(_xlfn.XLOOKUP(Assumptions!$D$5, 'Baseline Headcount Estimates'!$B$13:$B$180, 'Baseline Headcount Estimates'!$Q$13:$Q$180, "")*1000), "N/A")</f>
        <v>0.10440686040303361</v>
      </c>
      <c r="AD65" s="131">
        <f>IFERROR(AD73/(_xlfn.XLOOKUP(Assumptions!$D$5, 'Baseline Headcount Estimates'!$B$13:$B$180, 'Baseline Headcount Estimates'!$Q$13:$Q$180, "")*1000), "N/A")</f>
        <v>0.10365573191092546</v>
      </c>
      <c r="AE65" s="131">
        <f>IFERROR(AE73/(_xlfn.XLOOKUP(Assumptions!$D$5, 'Baseline Headcount Estimates'!$B$13:$B$180, 'Baseline Headcount Estimates'!$Q$13:$Q$180, "")*1000), "N/A")</f>
        <v>0.1029046034188173</v>
      </c>
      <c r="AF65" s="133">
        <f>IFERROR(AF73/(_xlfn.XLOOKUP(Assumptions!$D$5, 'Baseline Headcount Estimates'!$B$13:$B$180, 'Baseline Headcount Estimates'!$Q$13:$Q$180, "")*1000), "N/A")</f>
        <v>0.10215347492670915</v>
      </c>
      <c r="AG65" s="181">
        <f>AF65</f>
        <v>0.10215347492670915</v>
      </c>
      <c r="AH65" s="132">
        <f>IFERROR(AH73/(_xlfn.XLOOKUP(Assumptions!$D$5, 'Baseline Headcount Estimates'!$B$13:$B$180, 'Baseline Headcount Estimates'!$Q$13:$Q$180, "")*1000), "N/A")</f>
        <v>0.10140234643460098</v>
      </c>
      <c r="AI65" s="131">
        <f>IFERROR(AI73/(_xlfn.XLOOKUP(Assumptions!$D$5, 'Baseline Headcount Estimates'!$B$13:$B$180, 'Baseline Headcount Estimates'!$Q$13:$Q$180, "")*1000), "N/A")</f>
        <v>0.10065121794249283</v>
      </c>
      <c r="AJ65" s="131">
        <f>IFERROR(AJ73/(_xlfn.XLOOKUP(Assumptions!$D$5, 'Baseline Headcount Estimates'!$B$13:$B$180, 'Baseline Headcount Estimates'!$Q$13:$Q$180, "")*1000), "N/A")</f>
        <v>9.9900089450384671E-2</v>
      </c>
      <c r="AK65" s="133">
        <f>IFERROR(AK73/(_xlfn.XLOOKUP(Assumptions!$D$5, 'Baseline Headcount Estimates'!$B$13:$B$180, 'Baseline Headcount Estimates'!$Q$13:$Q$180, "")*1000), "N/A")</f>
        <v>9.9148960958276522E-2</v>
      </c>
      <c r="AL65" s="129">
        <f>AK65</f>
        <v>9.9148960958276522E-2</v>
      </c>
    </row>
    <row r="66" spans="1:38" ht="15.95">
      <c r="A66" s="31"/>
      <c r="C66" s="33" t="s">
        <v>302</v>
      </c>
      <c r="D66" s="132">
        <f>IFERROR(D74/(_xlfn.XLOOKUP(Assumptions!$D$5, 'Baseline Headcount Estimates'!$B$13:$B$180, 'Baseline Headcount Estimates'!$P$13:$P$180, "")*1000), "N/A")</f>
        <v>9.8181020050228194E-3</v>
      </c>
      <c r="E66" s="131">
        <f>IFERROR(E74/(_xlfn.XLOOKUP(Assumptions!$D$5, 'Baseline Headcount Estimates'!$B$13:$B$180, 'Baseline Headcount Estimates'!$P$13:$P$180, "")*1000), "N/A")</f>
        <v>1.9512705871617679E-2</v>
      </c>
      <c r="F66" s="131">
        <f>IFERROR(F74/(_xlfn.XLOOKUP(Assumptions!$D$5, 'Baseline Headcount Estimates'!$B$13:$B$180, 'Baseline Headcount Estimates'!$P$13:$P$180, "")*1000), "N/A")</f>
        <v>2.9083811599784577E-2</v>
      </c>
      <c r="G66" s="133">
        <f>IFERROR(G74/(_xlfn.XLOOKUP(Assumptions!$D$5, 'Baseline Headcount Estimates'!$B$13:$B$180, 'Baseline Headcount Estimates'!$P$13:$P$180, "")*1000), "N/A")</f>
        <v>3.8531419189523519E-2</v>
      </c>
      <c r="H66" s="129">
        <f t="shared" si="62"/>
        <v>3.8531419189523519E-2</v>
      </c>
      <c r="I66" s="132">
        <f>IFERROR(I74/(_xlfn.XLOOKUP(Assumptions!$D$5, 'Baseline Headcount Estimates'!$B$13:$B$180, 'Baseline Headcount Estimates'!$P$13:$P$180, "")*1000), "N/A")</f>
        <v>4.7855528640834498E-2</v>
      </c>
      <c r="J66" s="131">
        <f>IFERROR(J74/(_xlfn.XLOOKUP(Assumptions!$D$5, 'Baseline Headcount Estimates'!$B$13:$B$180, 'Baseline Headcount Estimates'!$P$13:$P$180, "")*1000), "N/A")</f>
        <v>5.7056139953717513E-2</v>
      </c>
      <c r="K66" s="131">
        <f>IFERROR(K74/(_xlfn.XLOOKUP(Assumptions!$D$5, 'Baseline Headcount Estimates'!$B$13:$B$180, 'Baseline Headcount Estimates'!$P$13:$P$180, "")*1000), "N/A")</f>
        <v>6.6133253128172573E-2</v>
      </c>
      <c r="L66" s="133">
        <f>IFERROR(L74/(_xlfn.XLOOKUP(Assumptions!$D$5, 'Baseline Headcount Estimates'!$B$13:$B$180, 'Baseline Headcount Estimates'!$P$13:$P$180, "")*1000), "N/A")</f>
        <v>7.5086868164199669E-2</v>
      </c>
      <c r="M66" s="129">
        <f t="shared" si="63"/>
        <v>7.5086868164199669E-2</v>
      </c>
      <c r="N66" s="132">
        <f>IFERROR(N74/(_xlfn.XLOOKUP(Assumptions!$D$5, 'Baseline Headcount Estimates'!$B$13:$B$180, 'Baseline Headcount Estimates'!$P$13:$P$180, "")*1000), "N/A")</f>
        <v>8.3916985061798816E-2</v>
      </c>
      <c r="O66" s="131">
        <f>IFERROR(O74/(_xlfn.XLOOKUP(Assumptions!$D$5, 'Baseline Headcount Estimates'!$B$13:$B$180, 'Baseline Headcount Estimates'!$P$13:$P$180, "")*1000), "N/A")</f>
        <v>9.2623603820969999E-2</v>
      </c>
      <c r="P66" s="131">
        <f>IFERROR(P74/(_xlfn.XLOOKUP(Assumptions!$D$5, 'Baseline Headcount Estimates'!$B$13:$B$180, 'Baseline Headcount Estimates'!$P$13:$P$180, "")*1000), "N/A")</f>
        <v>0.10120672444171321</v>
      </c>
      <c r="Q66" s="133">
        <f>IFERROR(Q74/(_xlfn.XLOOKUP(Assumptions!$D$5, 'Baseline Headcount Estimates'!$B$13:$B$180, 'Baseline Headcount Estimates'!$P$13:$P$180, "")*1000), "N/A")</f>
        <v>0.10966634692402848</v>
      </c>
      <c r="R66" s="129">
        <f t="shared" si="64"/>
        <v>0.10966634692402848</v>
      </c>
      <c r="S66" s="132">
        <f>IFERROR(S74/(_xlfn.XLOOKUP(Assumptions!$D$5, 'Baseline Headcount Estimates'!$B$13:$B$180, 'Baseline Headcount Estimates'!$P$13:$P$180, "")*1000), "N/A")</f>
        <v>0.11800247126791577</v>
      </c>
      <c r="T66" s="131">
        <f>IFERROR(T74/(_xlfn.XLOOKUP(Assumptions!$D$5, 'Baseline Headcount Estimates'!$B$13:$B$180, 'Baseline Headcount Estimates'!$P$13:$P$180, "")*1000), "N/A")</f>
        <v>0.12621509747337512</v>
      </c>
      <c r="U66" s="131">
        <f>IFERROR(U74/(_xlfn.XLOOKUP(Assumptions!$D$5, 'Baseline Headcount Estimates'!$B$13:$B$180, 'Baseline Headcount Estimates'!$P$13:$P$180, "")*1000), "N/A")</f>
        <v>0.1343042255404065</v>
      </c>
      <c r="V66" s="133">
        <f>IFERROR(V74/(_xlfn.XLOOKUP(Assumptions!$D$5, 'Baseline Headcount Estimates'!$B$13:$B$180, 'Baseline Headcount Estimates'!$P$13:$P$180, "")*1000), "N/A")</f>
        <v>0.14226985546900991</v>
      </c>
      <c r="W66" s="129">
        <f t="shared" si="65"/>
        <v>0.14226985546900991</v>
      </c>
      <c r="X66" s="132">
        <f>IFERROR(X74/(_xlfn.XLOOKUP(Assumptions!$D$5, 'Baseline Headcount Estimates'!$B$13:$B$180, 'Baseline Headcount Estimates'!$P$13:$P$180, "")*1000), "N/A")</f>
        <v>0.15011198725918537</v>
      </c>
      <c r="Y66" s="131">
        <f>IFERROR(Y74/(_xlfn.XLOOKUP(Assumptions!$D$5, 'Baseline Headcount Estimates'!$B$13:$B$180, 'Baseline Headcount Estimates'!$P$13:$P$180, "")*1000), "N/A")</f>
        <v>0.15783062091093286</v>
      </c>
      <c r="Z66" s="131">
        <f>IFERROR(Z74/(_xlfn.XLOOKUP(Assumptions!$D$5, 'Baseline Headcount Estimates'!$B$13:$B$180, 'Baseline Headcount Estimates'!$P$13:$P$180, "")*1000), "N/A")</f>
        <v>0.16542575642425242</v>
      </c>
      <c r="AA66" s="133">
        <f>IFERROR(AA74/(_xlfn.XLOOKUP(Assumptions!$D$5, 'Baseline Headcount Estimates'!$B$13:$B$180, 'Baseline Headcount Estimates'!$P$13:$P$180, "")*1000), "N/A")</f>
        <v>0.17289739379914398</v>
      </c>
      <c r="AB66" s="181">
        <f>AA66</f>
        <v>0.17289739379914398</v>
      </c>
      <c r="AC66" s="132">
        <f>IFERROR(AC74/(_xlfn.XLOOKUP(Assumptions!$D$5, 'Baseline Headcount Estimates'!$B$13:$B$180, 'Baseline Headcount Estimates'!$P$13:$P$180, "")*1000), "N/A")</f>
        <v>0.17166241241486438</v>
      </c>
      <c r="AD66" s="131">
        <f>IFERROR(AD74/(_xlfn.XLOOKUP(Assumptions!$D$5, 'Baseline Headcount Estimates'!$B$13:$B$180, 'Baseline Headcount Estimates'!$P$13:$P$180, "")*1000), "N/A")</f>
        <v>0.17042743103058478</v>
      </c>
      <c r="AE66" s="131">
        <f>IFERROR(AE74/(_xlfn.XLOOKUP(Assumptions!$D$5, 'Baseline Headcount Estimates'!$B$13:$B$180, 'Baseline Headcount Estimates'!$P$13:$P$180, "")*1000), "N/A")</f>
        <v>0.1691924496463052</v>
      </c>
      <c r="AF66" s="133">
        <f>IFERROR(AF74/(_xlfn.XLOOKUP(Assumptions!$D$5, 'Baseline Headcount Estimates'!$B$13:$B$180, 'Baseline Headcount Estimates'!$P$13:$P$180, "")*1000), "N/A")</f>
        <v>0.16795746826202559</v>
      </c>
      <c r="AG66" s="181">
        <f>AF66</f>
        <v>0.16795746826202559</v>
      </c>
      <c r="AH66" s="132">
        <f>IFERROR(AH74/(_xlfn.XLOOKUP(Assumptions!$D$5, 'Baseline Headcount Estimates'!$B$13:$B$180, 'Baseline Headcount Estimates'!$P$13:$P$180, "")*1000), "N/A")</f>
        <v>0.16672248687774599</v>
      </c>
      <c r="AI66" s="131">
        <f>IFERROR(AI74/(_xlfn.XLOOKUP(Assumptions!$D$5, 'Baseline Headcount Estimates'!$B$13:$B$180, 'Baseline Headcount Estimates'!$P$13:$P$180, "")*1000), "N/A")</f>
        <v>0.16548750549346639</v>
      </c>
      <c r="AJ66" s="131">
        <f>IFERROR(AJ74/(_xlfn.XLOOKUP(Assumptions!$D$5, 'Baseline Headcount Estimates'!$B$13:$B$180, 'Baseline Headcount Estimates'!$P$13:$P$180, "")*1000), "N/A")</f>
        <v>0.16425252410918678</v>
      </c>
      <c r="AK66" s="133">
        <f>IFERROR(AK74/(_xlfn.XLOOKUP(Assumptions!$D$5, 'Baseline Headcount Estimates'!$B$13:$B$180, 'Baseline Headcount Estimates'!$P$13:$P$180, "")*1000), "N/A")</f>
        <v>0.16301754272490718</v>
      </c>
      <c r="AL66" s="129">
        <f>AK66</f>
        <v>0.16301754272490718</v>
      </c>
    </row>
    <row r="67" spans="1:38" ht="15.95">
      <c r="A67" s="31"/>
      <c r="C67" s="33" t="s">
        <v>303</v>
      </c>
      <c r="D67" s="132">
        <f>IFERROR(D75/(_xlfn.XLOOKUP(Assumptions!$D$5, 'Baseline Headcount Estimates'!$B$13:$B$180, 'Baseline Headcount Estimates'!$O$13:$O$180, "")*1000), "N/A")</f>
        <v>9.4418130698424082E-3</v>
      </c>
      <c r="E67" s="131">
        <f>IFERROR(E75/(_xlfn.XLOOKUP(Assumptions!$D$5, 'Baseline Headcount Estimates'!$B$13:$B$180, 'Baseline Headcount Estimates'!$O$13:$O$180, "")*1000), "N/A")</f>
        <v>1.8764861195410067E-2</v>
      </c>
      <c r="F67" s="131">
        <f>IFERROR(F75/(_xlfn.XLOOKUP(Assumptions!$D$5, 'Baseline Headcount Estimates'!$B$13:$B$180, 'Baseline Headcount Estimates'!$O$13:$O$180, "")*1000), "N/A")</f>
        <v>2.7969144376702979E-2</v>
      </c>
      <c r="G67" s="133">
        <f>IFERROR(G75/(_xlfn.XLOOKUP(Assumptions!$D$5, 'Baseline Headcount Estimates'!$B$13:$B$180, 'Baseline Headcount Estimates'!$O$13:$O$180, "")*1000), "N/A")</f>
        <v>3.7054662613721145E-2</v>
      </c>
      <c r="H67" s="129">
        <f t="shared" si="62"/>
        <v>3.7054662613721145E-2</v>
      </c>
      <c r="I67" s="132">
        <f>IFERROR(I75/(_xlfn.XLOOKUP(Assumptions!$D$5, 'Baseline Headcount Estimates'!$B$13:$B$180, 'Baseline Headcount Estimates'!$O$13:$O$180, "")*1000), "N/A")</f>
        <v>4.6021415906464566E-2</v>
      </c>
      <c r="J67" s="131">
        <f>IFERROR(J75/(_xlfn.XLOOKUP(Assumptions!$D$5, 'Baseline Headcount Estimates'!$B$13:$B$180, 'Baseline Headcount Estimates'!$O$13:$O$180, "")*1000), "N/A")</f>
        <v>5.4869404254933238E-2</v>
      </c>
      <c r="K67" s="131">
        <f>IFERROR(K75/(_xlfn.XLOOKUP(Assumptions!$D$5, 'Baseline Headcount Estimates'!$B$13:$B$180, 'Baseline Headcount Estimates'!$O$13:$O$180, "")*1000), "N/A")</f>
        <v>6.359862765912716E-2</v>
      </c>
      <c r="L67" s="133">
        <f>IFERROR(L75/(_xlfn.XLOOKUP(Assumptions!$D$5, 'Baseline Headcount Estimates'!$B$13:$B$180, 'Baseline Headcount Estimates'!$O$13:$O$180, "")*1000), "N/A")</f>
        <v>7.2209086119046334E-2</v>
      </c>
      <c r="M67" s="129">
        <f t="shared" si="63"/>
        <v>7.2209086119046334E-2</v>
      </c>
      <c r="N67" s="132">
        <f>IFERROR(N75/(_xlfn.XLOOKUP(Assumptions!$D$5, 'Baseline Headcount Estimates'!$B$13:$B$180, 'Baseline Headcount Estimates'!$O$13:$O$180, "")*1000), "N/A")</f>
        <v>8.0700779634690772E-2</v>
      </c>
      <c r="O67" s="131">
        <f>IFERROR(O75/(_xlfn.XLOOKUP(Assumptions!$D$5, 'Baseline Headcount Estimates'!$B$13:$B$180, 'Baseline Headcount Estimates'!$O$13:$O$180, "")*1000), "N/A")</f>
        <v>8.9073708206060448E-2</v>
      </c>
      <c r="P67" s="131">
        <f>IFERROR(P75/(_xlfn.XLOOKUP(Assumptions!$D$5, 'Baseline Headcount Estimates'!$B$13:$B$180, 'Baseline Headcount Estimates'!$O$13:$O$180, "")*1000), "N/A")</f>
        <v>9.7327871833155388E-2</v>
      </c>
      <c r="Q67" s="133">
        <f>IFERROR(Q75/(_xlfn.XLOOKUP(Assumptions!$D$5, 'Baseline Headcount Estimates'!$B$13:$B$180, 'Baseline Headcount Estimates'!$O$13:$O$180, "")*1000), "N/A")</f>
        <v>0.10546327051597557</v>
      </c>
      <c r="R67" s="129">
        <f t="shared" si="64"/>
        <v>0.10546327051597557</v>
      </c>
      <c r="S67" s="132">
        <f>IFERROR(S75/(_xlfn.XLOOKUP(Assumptions!$D$5, 'Baseline Headcount Estimates'!$B$13:$B$180, 'Baseline Headcount Estimates'!$O$13:$O$180, "")*1000), "N/A")</f>
        <v>0.11347990425452101</v>
      </c>
      <c r="T67" s="131">
        <f>IFERROR(T75/(_xlfn.XLOOKUP(Assumptions!$D$5, 'Baseline Headcount Estimates'!$B$13:$B$180, 'Baseline Headcount Estimates'!$O$13:$O$180, "")*1000), "N/A")</f>
        <v>0.1213777730487917</v>
      </c>
      <c r="U67" s="131">
        <f>IFERROR(U75/(_xlfn.XLOOKUP(Assumptions!$D$5, 'Baseline Headcount Estimates'!$B$13:$B$180, 'Baseline Headcount Estimates'!$O$13:$O$180, "")*1000), "N/A")</f>
        <v>0.12915687689878766</v>
      </c>
      <c r="V67" s="133">
        <f>IFERROR(V75/(_xlfn.XLOOKUP(Assumptions!$D$5, 'Baseline Headcount Estimates'!$B$13:$B$180, 'Baseline Headcount Estimates'!$O$13:$O$180, "")*1000), "N/A")</f>
        <v>0.13681721580450884</v>
      </c>
      <c r="W67" s="129">
        <f t="shared" si="65"/>
        <v>0.13681721580450884</v>
      </c>
      <c r="X67" s="132">
        <f>IFERROR(X75/(_xlfn.XLOOKUP(Assumptions!$D$5, 'Baseline Headcount Estimates'!$B$13:$B$180, 'Baseline Headcount Estimates'!$O$13:$O$180, "")*1000), "N/A")</f>
        <v>0.14435878976595529</v>
      </c>
      <c r="Y67" s="131">
        <f>IFERROR(Y75/(_xlfn.XLOOKUP(Assumptions!$D$5, 'Baseline Headcount Estimates'!$B$13:$B$180, 'Baseline Headcount Estimates'!$O$13:$O$180, "")*1000), "N/A")</f>
        <v>0.151781598783127</v>
      </c>
      <c r="Z67" s="131">
        <f>IFERROR(Z75/(_xlfn.XLOOKUP(Assumptions!$D$5, 'Baseline Headcount Estimates'!$B$13:$B$180, 'Baseline Headcount Estimates'!$O$13:$O$180, "")*1000), "N/A")</f>
        <v>0.15908564285602397</v>
      </c>
      <c r="AA67" s="133">
        <f>IFERROR(AA75/(_xlfn.XLOOKUP(Assumptions!$D$5, 'Baseline Headcount Estimates'!$B$13:$B$180, 'Baseline Headcount Estimates'!$O$13:$O$180, "")*1000), "N/A")</f>
        <v>0.16627092198464616</v>
      </c>
      <c r="AB67" s="181">
        <f>AA67</f>
        <v>0.16627092198464616</v>
      </c>
      <c r="AC67" s="132">
        <f>IFERROR(AC75/(_xlfn.XLOOKUP(Assumptions!$D$5, 'Baseline Headcount Estimates'!$B$13:$B$180, 'Baseline Headcount Estimates'!$O$13:$O$180, "")*1000), "N/A")</f>
        <v>0.1650832725418987</v>
      </c>
      <c r="AD67" s="131">
        <f>IFERROR(AD75/(_xlfn.XLOOKUP(Assumptions!$D$5, 'Baseline Headcount Estimates'!$B$13:$B$180, 'Baseline Headcount Estimates'!$O$13:$O$180, "")*1000), "N/A")</f>
        <v>0.16389562309915123</v>
      </c>
      <c r="AE67" s="131">
        <f>IFERROR(AE75/(_xlfn.XLOOKUP(Assumptions!$D$5, 'Baseline Headcount Estimates'!$B$13:$B$180, 'Baseline Headcount Estimates'!$O$13:$O$180, "")*1000), "N/A")</f>
        <v>0.16270797365640374</v>
      </c>
      <c r="AF67" s="133">
        <f>IFERROR(AF75/(_xlfn.XLOOKUP(Assumptions!$D$5, 'Baseline Headcount Estimates'!$B$13:$B$180, 'Baseline Headcount Estimates'!$O$13:$O$180, "")*1000), "N/A")</f>
        <v>0.16152032421365628</v>
      </c>
      <c r="AG67" s="181">
        <f>AF67</f>
        <v>0.16152032421365628</v>
      </c>
      <c r="AH67" s="132">
        <f>IFERROR(AH75/(_xlfn.XLOOKUP(Assumptions!$D$5, 'Baseline Headcount Estimates'!$B$13:$B$180, 'Baseline Headcount Estimates'!$O$13:$O$180, "")*1000), "N/A")</f>
        <v>0.16033267477090882</v>
      </c>
      <c r="AI67" s="131">
        <f>IFERROR(AI75/(_xlfn.XLOOKUP(Assumptions!$D$5, 'Baseline Headcount Estimates'!$B$13:$B$180, 'Baseline Headcount Estimates'!$O$13:$O$180, "")*1000), "N/A")</f>
        <v>0.15914502532816133</v>
      </c>
      <c r="AJ67" s="131">
        <f>IFERROR(AJ75/(_xlfn.XLOOKUP(Assumptions!$D$5, 'Baseline Headcount Estimates'!$B$13:$B$180, 'Baseline Headcount Estimates'!$O$13:$O$180, "")*1000), "N/A")</f>
        <v>0.15795737588541386</v>
      </c>
      <c r="AK67" s="133">
        <f>IFERROR(AK75/(_xlfn.XLOOKUP(Assumptions!$D$5, 'Baseline Headcount Estimates'!$B$13:$B$180, 'Baseline Headcount Estimates'!$O$13:$O$180, "")*1000), "N/A")</f>
        <v>0.1567697264426664</v>
      </c>
      <c r="AL67" s="129">
        <f>AK67</f>
        <v>0.1567697264426664</v>
      </c>
    </row>
    <row r="68" spans="1:38" ht="15.95">
      <c r="A68" s="55"/>
      <c r="C68" s="189" t="s">
        <v>304</v>
      </c>
      <c r="D68" s="68">
        <f>Assumptions!$D$12*(1/(Assumptions!$D$16*4))</f>
        <v>10</v>
      </c>
      <c r="E68" s="69">
        <f>D68+Assumptions!$D$12*(1/(Assumptions!$D$16*4))</f>
        <v>20</v>
      </c>
      <c r="F68" s="69">
        <f>E68+Assumptions!$D$12*(1/(Assumptions!$D$16*4))</f>
        <v>30</v>
      </c>
      <c r="G68" s="92">
        <f>F68+Assumptions!$D$12*(1/(Assumptions!$D$16*4))</f>
        <v>40</v>
      </c>
      <c r="H68" s="91">
        <f t="shared" si="62"/>
        <v>40</v>
      </c>
      <c r="I68" s="68">
        <f>IF($H$68&lt;Assumptions!$D$12,(H68+Assumptions!$D$12*(1/(Assumptions!$D$16*4))),$H$68)</f>
        <v>50</v>
      </c>
      <c r="J68" s="69">
        <f>IF($H$68&lt;Assumptions!$D$12,(I68+Assumptions!$D$12*(1/(Assumptions!$D$16*4))),$H$68)</f>
        <v>60</v>
      </c>
      <c r="K68" s="69">
        <f>IF($H$68&lt;Assumptions!$D$12,(J68+Assumptions!$D$12*(1/(Assumptions!$D$16*4))),$H$68)</f>
        <v>70</v>
      </c>
      <c r="L68" s="92">
        <f>IF($H$68&lt;Assumptions!$D$12,(K68+Assumptions!$D$12*(1/(Assumptions!$D$16*4))),$H$68)</f>
        <v>80</v>
      </c>
      <c r="M68" s="57">
        <f t="shared" si="63"/>
        <v>80</v>
      </c>
      <c r="N68" s="68">
        <f>IF($M$68&lt;Assumptions!$D$12,(M68+Assumptions!$D$12*(1/(Assumptions!$D$16*4))),$M$68)</f>
        <v>90</v>
      </c>
      <c r="O68" s="69">
        <f>IF($M$68&lt;Assumptions!$D$12,(N68+Assumptions!$D$12*(1/(Assumptions!$D$16*4))),$M$68)</f>
        <v>100</v>
      </c>
      <c r="P68" s="69">
        <f>IF($M$68&lt;Assumptions!$D$12,(O68+Assumptions!$D$12*(1/(Assumptions!$D$16*4))),$M$68)</f>
        <v>110</v>
      </c>
      <c r="Q68" s="92">
        <f>IF($M$68&lt;Assumptions!$D$12,(P68+Assumptions!$D$12*(1/(Assumptions!$D$16*4))),$M$68)</f>
        <v>120</v>
      </c>
      <c r="R68" s="57">
        <f t="shared" si="64"/>
        <v>120</v>
      </c>
      <c r="S68" s="68">
        <f>IF($R$68&lt;Assumptions!$D$12,(R68+Assumptions!$D$12*(1/(Assumptions!$D$16*4))),$R$68)</f>
        <v>130</v>
      </c>
      <c r="T68" s="69">
        <f>IF($R$68&lt;Assumptions!$D$12,(S68+Assumptions!$D$12*(1/(Assumptions!$D$16*4))),$R$68)</f>
        <v>140</v>
      </c>
      <c r="U68" s="69">
        <f>IF($R$68&lt;Assumptions!$D$12,(T68+Assumptions!$D$12*(1/(Assumptions!$D$16*4))),$R$68)</f>
        <v>150</v>
      </c>
      <c r="V68" s="92">
        <f>IF($R$68&lt;Assumptions!$D$12,(U68+Assumptions!$D$12*(1/(Assumptions!$D$16*4))),$R$68)</f>
        <v>160</v>
      </c>
      <c r="W68" s="57">
        <f t="shared" si="65"/>
        <v>160</v>
      </c>
      <c r="X68" s="68">
        <f>IF($W$68&lt;Assumptions!$D$12,(W68+Assumptions!$D$12*(1/(Assumptions!$D$16*4))),$W$68)</f>
        <v>170</v>
      </c>
      <c r="Y68" s="69">
        <f>IF($W$68&lt;Assumptions!$D$12,(X68+Assumptions!$D$12*(1/(Assumptions!$D$16*4))),$W$68)</f>
        <v>180</v>
      </c>
      <c r="Z68" s="69">
        <f>IF($W$68&lt;Assumptions!$D$12,(Y68+Assumptions!$D$12*(1/(Assumptions!$D$16*4))),$W$68)</f>
        <v>190</v>
      </c>
      <c r="AA68" s="92">
        <f>IF($W$68&lt;Assumptions!$D$12,(Z68+Assumptions!$D$12*(1/(Assumptions!$D$16*4))),$W$68)</f>
        <v>200</v>
      </c>
      <c r="AB68" s="57">
        <f t="shared" ref="AB68:AL71" si="66">AA68</f>
        <v>200</v>
      </c>
      <c r="AC68" s="68">
        <f>IF($AB$68&lt;Assumptions!$D$12,(AB68+Assumptions!$D$12*(1/(Assumptions!$D$16*4))),$AB$68)</f>
        <v>200</v>
      </c>
      <c r="AD68" s="69">
        <f>IF($AB$68&lt;Assumptions!$D$12,(AC68+Assumptions!$D$12*(1/(Assumptions!$D$16*4))),$AB$68)</f>
        <v>200</v>
      </c>
      <c r="AE68" s="69">
        <f>IF($AB$68&lt;Assumptions!$D$12,(AD68+Assumptions!$D$12*(1/(Assumptions!$D$16*4))),$AB$68)</f>
        <v>200</v>
      </c>
      <c r="AF68" s="92">
        <f>IF($AB$68&lt;Assumptions!$D$12,(AE68+Assumptions!$D$12*(1/(Assumptions!$D$16*4))),$AB$68)</f>
        <v>200</v>
      </c>
      <c r="AG68" s="57">
        <f t="shared" si="66"/>
        <v>200</v>
      </c>
      <c r="AH68" s="68">
        <f>IF($AB$68&lt;Assumptions!$D$12,(AG68+Assumptions!$D$12*(1/(Assumptions!$D$16*4))),$AB$68)</f>
        <v>200</v>
      </c>
      <c r="AI68" s="69">
        <f>IF($AB$68&lt;Assumptions!$D$12,(AH68+Assumptions!$D$12*(1/(Assumptions!$D$16*4))),$AB$68)</f>
        <v>200</v>
      </c>
      <c r="AJ68" s="69">
        <f>IF($AB$68&lt;Assumptions!$D$12,(AI68+Assumptions!$D$12*(1/(Assumptions!$D$16*4))),$AB$68)</f>
        <v>200</v>
      </c>
      <c r="AK68" s="92">
        <f>IF($AB$68&lt;Assumptions!$D$12,(AJ68+Assumptions!$D$12*(1/(Assumptions!$D$16*4))),$AB$68)</f>
        <v>200</v>
      </c>
      <c r="AL68" s="91">
        <f t="shared" si="66"/>
        <v>200</v>
      </c>
    </row>
    <row r="69" spans="1:38" ht="15.95">
      <c r="A69" s="55"/>
      <c r="C69" s="189" t="s">
        <v>305</v>
      </c>
      <c r="D69" s="68">
        <f>Assumptions!$D$13*(1/(Assumptions!$D$16*4))</f>
        <v>50</v>
      </c>
      <c r="E69" s="69">
        <f>D69+Assumptions!$D$13*(1/(Assumptions!$D$16*4))</f>
        <v>100</v>
      </c>
      <c r="F69" s="69">
        <f>E69+Assumptions!$D$13*(1/(Assumptions!$D$16*4))</f>
        <v>150</v>
      </c>
      <c r="G69" s="92">
        <f>F69+Assumptions!$D$13*(1/(Assumptions!$D$16*4))</f>
        <v>200</v>
      </c>
      <c r="H69" s="91">
        <f t="shared" si="62"/>
        <v>200</v>
      </c>
      <c r="I69" s="68">
        <f>IF($H$69&lt;Assumptions!$D$13,(H69+Assumptions!$D$13*(1/(Assumptions!$D$16*4))),$H$69)</f>
        <v>250</v>
      </c>
      <c r="J69" s="69">
        <f>IF($H$69&lt;Assumptions!$D$13,(I69+Assumptions!$D$13*(1/(Assumptions!$D$16*4))),$H$69)</f>
        <v>300</v>
      </c>
      <c r="K69" s="69">
        <f>IF($H$69&lt;Assumptions!$D$13,(J69+Assumptions!$D$13*(1/(Assumptions!$D$16*4))),$H$69)</f>
        <v>350</v>
      </c>
      <c r="L69" s="92">
        <f>IF($H$69&lt;Assumptions!$D$13,(K69+Assumptions!$D$13*(1/(Assumptions!$D$16*4))),$H$69)</f>
        <v>400</v>
      </c>
      <c r="M69" s="57">
        <f t="shared" si="63"/>
        <v>400</v>
      </c>
      <c r="N69" s="68">
        <f>IF($M$69&lt;Assumptions!$D$13,(M69+Assumptions!$D$13*(1/(Assumptions!$D$16*4))),$M$69)</f>
        <v>450</v>
      </c>
      <c r="O69" s="69">
        <f>IF($M$69&lt;Assumptions!$D$13,(N69+Assumptions!$D$13*(1/(Assumptions!$D$16*4))),$M$69)</f>
        <v>500</v>
      </c>
      <c r="P69" s="69">
        <f>IF($M$69&lt;Assumptions!$D$13,(O69+Assumptions!$D$13*(1/(Assumptions!$D$16*4))),$M$69)</f>
        <v>550</v>
      </c>
      <c r="Q69" s="92">
        <f>IF($M$69&lt;Assumptions!$D$13,(P69+Assumptions!$D$13*(1/(Assumptions!$D$16*4))),$M$69)</f>
        <v>600</v>
      </c>
      <c r="R69" s="57">
        <f t="shared" si="64"/>
        <v>600</v>
      </c>
      <c r="S69" s="68">
        <f>IF($R$69&lt;Assumptions!$D$13,(R69+Assumptions!$D$13*(1/(Assumptions!$D$16*4))),$R$69)</f>
        <v>650</v>
      </c>
      <c r="T69" s="69">
        <f>IF($R$69&lt;Assumptions!$D$13,(S69+Assumptions!$D$13*(1/(Assumptions!$D$16*4))),$R$69)</f>
        <v>700</v>
      </c>
      <c r="U69" s="69">
        <f>IF($R$69&lt;Assumptions!$D$13,(T69+Assumptions!$D$13*(1/(Assumptions!$D$16*4))),$R$69)</f>
        <v>750</v>
      </c>
      <c r="V69" s="92">
        <f>IF($R$69&lt;Assumptions!$D$13,(U69+Assumptions!$D$13*(1/(Assumptions!$D$16*4))),$R$69)</f>
        <v>800</v>
      </c>
      <c r="W69" s="57">
        <f t="shared" si="65"/>
        <v>800</v>
      </c>
      <c r="X69" s="68">
        <f>IF($W$69&lt;Assumptions!$D$13,(W69+Assumptions!$D$13*(1/(Assumptions!$D$16*4))),$W$69)</f>
        <v>850</v>
      </c>
      <c r="Y69" s="69">
        <f>IF($W$69&lt;Assumptions!$D$13,(X69+Assumptions!$D$13*(1/(Assumptions!$D$16*4))),$W$69)</f>
        <v>900</v>
      </c>
      <c r="Z69" s="69">
        <f>IF($W$69&lt;Assumptions!$D$13,(Y69+Assumptions!$D$13*(1/(Assumptions!$D$16*4))),$W$69)</f>
        <v>950</v>
      </c>
      <c r="AA69" s="92">
        <f>IF($W$69&lt;Assumptions!$D$13,(Z69+Assumptions!$D$13*(1/(Assumptions!$D$16*4))),$W$69)</f>
        <v>1000</v>
      </c>
      <c r="AB69" s="57">
        <f t="shared" si="66"/>
        <v>1000</v>
      </c>
      <c r="AC69" s="68">
        <f>IF($AB$69&lt;Assumptions!$D$13,(AB69+Assumptions!$D$13*(1/(Assumptions!$D$16*4))),$AB$69)</f>
        <v>1000</v>
      </c>
      <c r="AD69" s="69">
        <f>IF($AB$69&lt;Assumptions!$D$13,(AC69+Assumptions!$D$13*(1/(Assumptions!$D$16*4))),$AB$69)</f>
        <v>1000</v>
      </c>
      <c r="AE69" s="69">
        <f>IF($AB$69&lt;Assumptions!$D$13,(AD69+Assumptions!$D$13*(1/(Assumptions!$D$16*4))),$AB$69)</f>
        <v>1000</v>
      </c>
      <c r="AF69" s="92">
        <f>IF($AB$69&lt;Assumptions!$D$13,(AE69+Assumptions!$D$13*(1/(Assumptions!$D$16*4))),$AB$69)</f>
        <v>1000</v>
      </c>
      <c r="AG69" s="57">
        <f t="shared" si="66"/>
        <v>1000</v>
      </c>
      <c r="AH69" s="68">
        <f>IF($AB$69&lt;Assumptions!$D$13,(AG69+Assumptions!$D$13*(1/(Assumptions!$D$16*4))),$AB$69)</f>
        <v>1000</v>
      </c>
      <c r="AI69" s="69">
        <f>IF($AB$69&lt;Assumptions!$D$13,(AH69+Assumptions!$D$13*(1/(Assumptions!$D$16*4))),$AB$69)</f>
        <v>1000</v>
      </c>
      <c r="AJ69" s="69">
        <f>IF($AB$69&lt;Assumptions!$D$13,(AI69+Assumptions!$D$13*(1/(Assumptions!$D$16*4))),$AB$69)</f>
        <v>1000</v>
      </c>
      <c r="AK69" s="92">
        <f>IF($AB$69&lt;Assumptions!$D$13,(AJ69+Assumptions!$D$13*(1/(Assumptions!$D$16*4))),$AB$69)</f>
        <v>1000</v>
      </c>
      <c r="AL69" s="91">
        <f t="shared" si="66"/>
        <v>1000</v>
      </c>
    </row>
    <row r="70" spans="1:38" ht="15.95">
      <c r="A70" s="55"/>
      <c r="C70" s="189" t="s">
        <v>306</v>
      </c>
      <c r="D70" s="68">
        <f>Assumptions!$D$14*(1/(Assumptions!$D$16*4))</f>
        <v>250</v>
      </c>
      <c r="E70" s="69">
        <f>D70+Assumptions!$D$14*(1/(Assumptions!$D$16*4))</f>
        <v>500</v>
      </c>
      <c r="F70" s="69">
        <f>E70+Assumptions!$D$14*(1/(Assumptions!$D$16*4))</f>
        <v>750</v>
      </c>
      <c r="G70" s="92">
        <f>F70+Assumptions!$D$14*(1/(Assumptions!$D$16*4))</f>
        <v>1000</v>
      </c>
      <c r="H70" s="91">
        <f t="shared" si="62"/>
        <v>1000</v>
      </c>
      <c r="I70" s="68">
        <f>IF($H$70&lt;Assumptions!$D$14,(H70+Assumptions!$D$14*(1/(Assumptions!$D$16*4))),$H$70)</f>
        <v>1250</v>
      </c>
      <c r="J70" s="69">
        <f>IF($H$70&lt;Assumptions!$D$14,(I70+Assumptions!$D$14*(1/(Assumptions!$D$16*4))),$H$70)</f>
        <v>1500</v>
      </c>
      <c r="K70" s="69">
        <f>IF($H$70&lt;Assumptions!$D$14,(J70+Assumptions!$D$14*(1/(Assumptions!$D$16*4))),$H$70)</f>
        <v>1750</v>
      </c>
      <c r="L70" s="92">
        <f>IF($H$70&lt;Assumptions!$D$14,(K70+Assumptions!$D$14*(1/(Assumptions!$D$16*4))),$H$70)</f>
        <v>2000</v>
      </c>
      <c r="M70" s="57">
        <f t="shared" si="63"/>
        <v>2000</v>
      </c>
      <c r="N70" s="68">
        <f>IF($M$70&lt;Assumptions!$D$14,(M70+Assumptions!$D$14*(1/(Assumptions!$D$16*4))),$M$70)</f>
        <v>2250</v>
      </c>
      <c r="O70" s="69">
        <f>IF($M$70&lt;Assumptions!$D$14,(N70+Assumptions!$D$14*(1/(Assumptions!$D$16*4))),$M$70)</f>
        <v>2500</v>
      </c>
      <c r="P70" s="69">
        <f>IF($M$70&lt;Assumptions!$D$14,(O70+Assumptions!$D$14*(1/(Assumptions!$D$16*4))),$M$70)</f>
        <v>2750</v>
      </c>
      <c r="Q70" s="92">
        <f>IF($M$70&lt;Assumptions!$D$14,(P70+Assumptions!$D$14*(1/(Assumptions!$D$16*4))),$M$70)</f>
        <v>3000</v>
      </c>
      <c r="R70" s="57">
        <f t="shared" si="64"/>
        <v>3000</v>
      </c>
      <c r="S70" s="68">
        <f>IF($R$70&lt;Assumptions!$D$14,(R70+Assumptions!$D$14*(1/(Assumptions!$D$16*4))),$R$70)</f>
        <v>3250</v>
      </c>
      <c r="T70" s="69">
        <f>IF($R$70&lt;Assumptions!$D$14,(S70+Assumptions!$D$14*(1/(Assumptions!$D$16*4))),$R$70)</f>
        <v>3500</v>
      </c>
      <c r="U70" s="69">
        <f>IF($R$70&lt;Assumptions!$D$14,(T70+Assumptions!$D$14*(1/(Assumptions!$D$16*4))),$R$70)</f>
        <v>3750</v>
      </c>
      <c r="V70" s="92">
        <f>IF($R$70&lt;Assumptions!$D$14,(U70+Assumptions!$D$14*(1/(Assumptions!$D$16*4))),$R$70)</f>
        <v>4000</v>
      </c>
      <c r="W70" s="57">
        <f t="shared" si="65"/>
        <v>4000</v>
      </c>
      <c r="X70" s="68">
        <f>IF($W$70&lt;Assumptions!$D$14,(W70+Assumptions!$D$14*(1/(Assumptions!$D$16*4))),$W$70)</f>
        <v>4250</v>
      </c>
      <c r="Y70" s="69">
        <f>IF($W$70&lt;Assumptions!$D$14,(X70+Assumptions!$D$14*(1/(Assumptions!$D$16*4))),$W$70)</f>
        <v>4500</v>
      </c>
      <c r="Z70" s="69">
        <f>IF($W$70&lt;Assumptions!$D$14,(Y70+Assumptions!$D$14*(1/(Assumptions!$D$16*4))),$W$70)</f>
        <v>4750</v>
      </c>
      <c r="AA70" s="92">
        <f>IF($W$70&lt;Assumptions!$D$14,(Z70+Assumptions!$D$14*(1/(Assumptions!$D$16*4))),$W$70)</f>
        <v>5000</v>
      </c>
      <c r="AB70" s="57">
        <f t="shared" si="66"/>
        <v>5000</v>
      </c>
      <c r="AC70" s="68">
        <f>IF($AB$70&lt;Assumptions!$D$14,(AB70+Assumptions!$D$14*(1/(Assumptions!$D$16*4))),$AB$70)</f>
        <v>5000</v>
      </c>
      <c r="AD70" s="69">
        <f>IF($AB$70&lt;Assumptions!$D$14,(AC70+Assumptions!$D$14*(1/(Assumptions!$D$16*4))),$AB$70)</f>
        <v>5000</v>
      </c>
      <c r="AE70" s="69">
        <f>IF($AB$70&lt;Assumptions!$D$14,(AD70+Assumptions!$D$14*(1/(Assumptions!$D$16*4))),$AB$70)</f>
        <v>5000</v>
      </c>
      <c r="AF70" s="92">
        <f>IF($AB$70&lt;Assumptions!$D$14,(AE70+Assumptions!$D$14*(1/(Assumptions!$D$16*4))),$AB$70)</f>
        <v>5000</v>
      </c>
      <c r="AG70" s="57">
        <f t="shared" si="66"/>
        <v>5000</v>
      </c>
      <c r="AH70" s="68">
        <f>IF($AB$70&lt;Assumptions!$D$14,(AG70+Assumptions!$D$14*(1/(Assumptions!$D$16*4))),$AB$70)</f>
        <v>5000</v>
      </c>
      <c r="AI70" s="69">
        <f>IF($AB$70&lt;Assumptions!$D$14,(AH70+Assumptions!$D$14*(1/(Assumptions!$D$16*4))),$AB$70)</f>
        <v>5000</v>
      </c>
      <c r="AJ70" s="69">
        <f>IF($AB$70&lt;Assumptions!$D$14,(AI70+Assumptions!$D$14*(1/(Assumptions!$D$16*4))),$AB$70)</f>
        <v>5000</v>
      </c>
      <c r="AK70" s="92">
        <f>IF($AB$70&lt;Assumptions!$D$14,(AJ70+Assumptions!$D$14*(1/(Assumptions!$D$16*4))),$AB$70)</f>
        <v>5000</v>
      </c>
      <c r="AL70" s="91">
        <f t="shared" si="66"/>
        <v>5000</v>
      </c>
    </row>
    <row r="71" spans="1:38" ht="15.95">
      <c r="A71" s="55"/>
      <c r="C71" s="189" t="s">
        <v>307</v>
      </c>
      <c r="D71" s="68">
        <f>Assumptions!$D$15*(1/(Assumptions!$D$16*4))</f>
        <v>2000</v>
      </c>
      <c r="E71" s="69">
        <f>D71+Assumptions!$D$15*(1/(Assumptions!$D$16*4))</f>
        <v>4000</v>
      </c>
      <c r="F71" s="69">
        <f>E71+Assumptions!$D$15*(1/(Assumptions!$D$16*4))</f>
        <v>6000</v>
      </c>
      <c r="G71" s="92">
        <f>F71+Assumptions!$D$15*(1/(Assumptions!$D$16*4))</f>
        <v>8000</v>
      </c>
      <c r="H71" s="91">
        <f t="shared" si="62"/>
        <v>8000</v>
      </c>
      <c r="I71" s="68">
        <f>IF($H$71&lt;Assumptions!$D$15,(H71+Assumptions!$D$15*(1/(Assumptions!$D$16*4))),$H$71)</f>
        <v>10000</v>
      </c>
      <c r="J71" s="69">
        <f>IF($H$71&lt;Assumptions!$D$15,(I71+Assumptions!$D$15*(1/(Assumptions!$D$16*4))),$H$71)</f>
        <v>12000</v>
      </c>
      <c r="K71" s="69">
        <f>IF($H$71&lt;Assumptions!$D$15,(J71+Assumptions!$D$15*(1/(Assumptions!$D$16*4))),$H$71)</f>
        <v>14000</v>
      </c>
      <c r="L71" s="92">
        <f>IF($H$71&lt;Assumptions!$D$15,(K71+Assumptions!$D$15*(1/(Assumptions!$D$16*4))),$H$71)</f>
        <v>16000</v>
      </c>
      <c r="M71" s="57">
        <f t="shared" si="63"/>
        <v>16000</v>
      </c>
      <c r="N71" s="68">
        <f>IF($M$71&lt;Assumptions!$D$15,(M71+Assumptions!$D$15*(1/(Assumptions!$D$16*4))),$M$71)</f>
        <v>18000</v>
      </c>
      <c r="O71" s="69">
        <f>IF($M$71&lt;Assumptions!$D$15,(N71+Assumptions!$D$15*(1/(Assumptions!$D$16*4))),$M$71)</f>
        <v>20000</v>
      </c>
      <c r="P71" s="69">
        <f>IF($M$71&lt;Assumptions!$D$15,(O71+Assumptions!$D$15*(1/(Assumptions!$D$16*4))),$M$71)</f>
        <v>22000</v>
      </c>
      <c r="Q71" s="92">
        <f>IF($M$71&lt;Assumptions!$D$15,(P71+Assumptions!$D$15*(1/(Assumptions!$D$16*4))),$M$71)</f>
        <v>24000</v>
      </c>
      <c r="R71" s="57">
        <f t="shared" si="64"/>
        <v>24000</v>
      </c>
      <c r="S71" s="68">
        <f>IF($R$71&lt;Assumptions!$D$15,(R71+Assumptions!$D$15*(1/(Assumptions!$D$16*4))),$R$71)</f>
        <v>26000</v>
      </c>
      <c r="T71" s="69">
        <f>IF($R$71&lt;Assumptions!$D$15,(S71+Assumptions!$D$15*(1/(Assumptions!$D$16*4))),$R$71)</f>
        <v>28000</v>
      </c>
      <c r="U71" s="69">
        <f>IF($R$71&lt;Assumptions!$D$15,(T71+Assumptions!$D$15*(1/(Assumptions!$D$16*4))),$R$71)</f>
        <v>30000</v>
      </c>
      <c r="V71" s="92">
        <f>IF($R$71&lt;Assumptions!$D$15,(U71+Assumptions!$D$15*(1/(Assumptions!$D$16*4))),$R$71)</f>
        <v>32000</v>
      </c>
      <c r="W71" s="57">
        <f t="shared" si="65"/>
        <v>32000</v>
      </c>
      <c r="X71" s="68">
        <f>IF($W$71&lt;Assumptions!$D$15,(W71+Assumptions!$D$15*(1/(Assumptions!$D$16*4))),$W$71)</f>
        <v>34000</v>
      </c>
      <c r="Y71" s="69">
        <f>IF($W$71&lt;Assumptions!$D$15,(X71+Assumptions!$D$15*(1/(Assumptions!$D$16*4))),$W$71)</f>
        <v>36000</v>
      </c>
      <c r="Z71" s="69">
        <f>IF($W$71&lt;Assumptions!$D$15,(Y71+Assumptions!$D$15*(1/(Assumptions!$D$16*4))),$W$71)</f>
        <v>38000</v>
      </c>
      <c r="AA71" s="92">
        <f>IF($W$71&lt;Assumptions!$D$15,(Z71+Assumptions!$D$15*(1/(Assumptions!$D$16*4))),$W$71)</f>
        <v>40000</v>
      </c>
      <c r="AB71" s="57">
        <f t="shared" si="66"/>
        <v>40000</v>
      </c>
      <c r="AC71" s="68">
        <f>IF($AB$71&lt;Assumptions!$D$15,(AB71+Assumptions!$D$15*(1/(Assumptions!$D$16*4))),$AB$71)</f>
        <v>40000</v>
      </c>
      <c r="AD71" s="69">
        <f>IF($AB$71&lt;Assumptions!$D$15,(AC71+Assumptions!$D$15*(1/(Assumptions!$D$16*4))),$AB$71)</f>
        <v>40000</v>
      </c>
      <c r="AE71" s="69">
        <f>IF($AB$71&lt;Assumptions!$D$15,(AD71+Assumptions!$D$15*(1/(Assumptions!$D$16*4))),$AB$71)</f>
        <v>40000</v>
      </c>
      <c r="AF71" s="92">
        <f>IF($AB$71&lt;Assumptions!$D$15,(AE71+Assumptions!$D$15*(1/(Assumptions!$D$16*4))),$AB$71)</f>
        <v>40000</v>
      </c>
      <c r="AG71" s="57">
        <f t="shared" si="66"/>
        <v>40000</v>
      </c>
      <c r="AH71" s="68">
        <f>IF($AB$71&lt;Assumptions!$D$15,(AG71+Assumptions!$D$15*(1/(Assumptions!$D$16*4))),$AB$71)</f>
        <v>40000</v>
      </c>
      <c r="AI71" s="69">
        <f>IF($AB$71&lt;Assumptions!$D$15,(AH71+Assumptions!$D$15*(1/(Assumptions!$D$16*4))),$AB$71)</f>
        <v>40000</v>
      </c>
      <c r="AJ71" s="69">
        <f>IF($AB$71&lt;Assumptions!$D$15,(AI71+Assumptions!$D$15*(1/(Assumptions!$D$16*4))),$AB$71)</f>
        <v>40000</v>
      </c>
      <c r="AK71" s="92">
        <f>IF($AB$71&lt;Assumptions!$D$15,(AJ71+Assumptions!$D$15*(1/(Assumptions!$D$16*4))),$AB$71)</f>
        <v>40000</v>
      </c>
      <c r="AL71" s="91">
        <f t="shared" si="66"/>
        <v>40000</v>
      </c>
    </row>
    <row r="72" spans="1:38" s="56" customFormat="1" ht="15.95">
      <c r="A72" s="55"/>
      <c r="C72" s="189" t="s">
        <v>308</v>
      </c>
      <c r="D72" s="68">
        <f>D68*(1-(Assumptions!$D$85/4))</f>
        <v>9.9375</v>
      </c>
      <c r="E72" s="69">
        <f>E68*(1-2*(Assumptions!$D$85/4))</f>
        <v>19.75</v>
      </c>
      <c r="F72" s="69">
        <f>F68*(1-3*(Assumptions!$D$85/4))</f>
        <v>29.4375</v>
      </c>
      <c r="G72" s="92">
        <f>G68*(1-4*(Assumptions!$D$85/4))</f>
        <v>39</v>
      </c>
      <c r="H72" s="91">
        <f t="shared" si="62"/>
        <v>39</v>
      </c>
      <c r="I72" s="68">
        <f>I68*(1-5*(Assumptions!$D$85/4))</f>
        <v>48.4375</v>
      </c>
      <c r="J72" s="69">
        <f>J68*(1-6*(Assumptions!$D$85/4))</f>
        <v>57.75</v>
      </c>
      <c r="K72" s="69">
        <f>K68*(1-7*(Assumptions!$D$85/4))</f>
        <v>66.9375</v>
      </c>
      <c r="L72" s="92">
        <f>L68*(1-8*(Assumptions!$D$85/4))</f>
        <v>76</v>
      </c>
      <c r="M72" s="57">
        <f t="shared" si="63"/>
        <v>76</v>
      </c>
      <c r="N72" s="68">
        <f>N68*(1-9*(Assumptions!$D$85/4))</f>
        <v>84.9375</v>
      </c>
      <c r="O72" s="69">
        <f>O68*(1-10*(Assumptions!$D$85/4))</f>
        <v>93.75</v>
      </c>
      <c r="P72" s="69">
        <f>P68*(1-11*(Assumptions!$D$85/4))</f>
        <v>102.4375</v>
      </c>
      <c r="Q72" s="92">
        <f>Q68*(1-12*(Assumptions!$D$85/4))</f>
        <v>111</v>
      </c>
      <c r="R72" s="57">
        <f t="shared" si="64"/>
        <v>111</v>
      </c>
      <c r="S72" s="68">
        <f>S68*(1-13*(Assumptions!$D$85/4))</f>
        <v>119.4375</v>
      </c>
      <c r="T72" s="69">
        <f>T68*(1-14*(Assumptions!$D$85/4))</f>
        <v>127.75</v>
      </c>
      <c r="U72" s="69">
        <f>U68*(1-15*(Assumptions!$D$85/4))</f>
        <v>135.9375</v>
      </c>
      <c r="V72" s="92">
        <f>V68*(1-16*(Assumptions!$D$85/4))</f>
        <v>144</v>
      </c>
      <c r="W72" s="57">
        <f t="shared" si="65"/>
        <v>144</v>
      </c>
      <c r="X72" s="68">
        <f>X68*(1-17*(Assumptions!$D$85/4))</f>
        <v>151.9375</v>
      </c>
      <c r="Y72" s="69">
        <f>Y68*(1-18*(Assumptions!$D$85/4))</f>
        <v>159.75</v>
      </c>
      <c r="Z72" s="69">
        <f>Z68*(1-19*(Assumptions!$D$85/4))</f>
        <v>167.4375</v>
      </c>
      <c r="AA72" s="92">
        <f>AA68*(1-20*(Assumptions!$D$85/4))</f>
        <v>175</v>
      </c>
      <c r="AB72" s="57">
        <f>AA72</f>
        <v>175</v>
      </c>
      <c r="AC72" s="68">
        <f>AC68*(1-21*(Assumptions!$D$85/4))</f>
        <v>173.75</v>
      </c>
      <c r="AD72" s="69">
        <f>AD68*(1-22*(Assumptions!$D$85/4))</f>
        <v>172.5</v>
      </c>
      <c r="AE72" s="69">
        <f>AE68*(1-23*(Assumptions!$D$85/4))</f>
        <v>171.25</v>
      </c>
      <c r="AF72" s="92">
        <f>AF68*(1-24*(Assumptions!$D$85/4))</f>
        <v>170</v>
      </c>
      <c r="AG72" s="57">
        <f>AF72</f>
        <v>170</v>
      </c>
      <c r="AH72" s="68">
        <f>AH68*(1-25*(Assumptions!$D$85/4))</f>
        <v>168.75</v>
      </c>
      <c r="AI72" s="69">
        <f>AI68*(1-26*(Assumptions!$D$85/4))</f>
        <v>167.5</v>
      </c>
      <c r="AJ72" s="69">
        <f>AJ68*(1-27*(Assumptions!$D$85/4))</f>
        <v>166.25</v>
      </c>
      <c r="AK72" s="92">
        <f>AK68*(1-28*(Assumptions!$D$85/4))</f>
        <v>165</v>
      </c>
      <c r="AL72" s="91">
        <f>AK72</f>
        <v>165</v>
      </c>
    </row>
    <row r="73" spans="1:38" s="56" customFormat="1" ht="15.95">
      <c r="A73" s="55"/>
      <c r="C73" s="189" t="s">
        <v>309</v>
      </c>
      <c r="D73" s="68">
        <f>D69*(1-(Assumptions!$D$85/4))</f>
        <v>49.6875</v>
      </c>
      <c r="E73" s="69">
        <f>E69*(1-2*(Assumptions!$D$85/4))</f>
        <v>98.75</v>
      </c>
      <c r="F73" s="69">
        <f>F69*(1-3*(Assumptions!$D$85/4))</f>
        <v>147.1875</v>
      </c>
      <c r="G73" s="92">
        <f>G69*(1-4*(Assumptions!$D$85/4))</f>
        <v>195</v>
      </c>
      <c r="H73" s="91">
        <f t="shared" si="62"/>
        <v>195</v>
      </c>
      <c r="I73" s="68">
        <f>I69*(1-5*(Assumptions!$D$85/4))</f>
        <v>242.1875</v>
      </c>
      <c r="J73" s="69">
        <f>J69*(1-6*(Assumptions!$D$85/4))</f>
        <v>288.75</v>
      </c>
      <c r="K73" s="69">
        <f>K69*(1-7*(Assumptions!$D$85/4))</f>
        <v>334.6875</v>
      </c>
      <c r="L73" s="92">
        <f>L69*(1-8*(Assumptions!$D$85/4))</f>
        <v>380</v>
      </c>
      <c r="M73" s="57">
        <f t="shared" si="63"/>
        <v>380</v>
      </c>
      <c r="N73" s="68">
        <f>N69*(1-9*(Assumptions!$D$85/4))</f>
        <v>424.6875</v>
      </c>
      <c r="O73" s="69">
        <f>O69*(1-10*(Assumptions!$D$85/4))</f>
        <v>468.75</v>
      </c>
      <c r="P73" s="69">
        <f>P69*(1-11*(Assumptions!$D$85/4))</f>
        <v>512.1875</v>
      </c>
      <c r="Q73" s="92">
        <f>Q69*(1-12*(Assumptions!$D$85/4))</f>
        <v>555</v>
      </c>
      <c r="R73" s="57">
        <f t="shared" si="64"/>
        <v>555</v>
      </c>
      <c r="S73" s="68">
        <f>S69*(1-13*(Assumptions!$D$85/4))</f>
        <v>597.1875</v>
      </c>
      <c r="T73" s="69">
        <f>T69*(1-14*(Assumptions!$D$85/4))</f>
        <v>638.75</v>
      </c>
      <c r="U73" s="69">
        <f>U69*(1-15*(Assumptions!$D$85/4))</f>
        <v>679.6875</v>
      </c>
      <c r="V73" s="92">
        <f>V69*(1-16*(Assumptions!$D$85/4))</f>
        <v>720</v>
      </c>
      <c r="W73" s="57">
        <f t="shared" si="65"/>
        <v>720</v>
      </c>
      <c r="X73" s="68">
        <f>X69*(1-17*(Assumptions!$D$85/4))</f>
        <v>759.6875</v>
      </c>
      <c r="Y73" s="69">
        <f>Y69*(1-18*(Assumptions!$D$85/4))</f>
        <v>798.75</v>
      </c>
      <c r="Z73" s="69">
        <f>Z69*(1-19*(Assumptions!$D$85/4))</f>
        <v>837.1875</v>
      </c>
      <c r="AA73" s="92">
        <f>AA69*(1-20*(Assumptions!$D$85/4))</f>
        <v>875</v>
      </c>
      <c r="AB73" s="57">
        <f t="shared" ref="AB73:AB81" si="67">AA73</f>
        <v>875</v>
      </c>
      <c r="AC73" s="68">
        <f>AC69*(1-21*(Assumptions!$D$85/4))</f>
        <v>868.75</v>
      </c>
      <c r="AD73" s="69">
        <f>AD69*(1-22*(Assumptions!$D$85/4))</f>
        <v>862.5</v>
      </c>
      <c r="AE73" s="69">
        <f>AE69*(1-23*(Assumptions!$D$85/4))</f>
        <v>856.25</v>
      </c>
      <c r="AF73" s="92">
        <f>AF69*(1-24*(Assumptions!$D$85/4))</f>
        <v>850</v>
      </c>
      <c r="AG73" s="57">
        <f t="shared" ref="AG73:AG81" si="68">AF73</f>
        <v>850</v>
      </c>
      <c r="AH73" s="68">
        <f>AH69*(1-25*(Assumptions!$D$85/4))</f>
        <v>843.75</v>
      </c>
      <c r="AI73" s="69">
        <f>AI69*(1-26*(Assumptions!$D$85/4))</f>
        <v>837.5</v>
      </c>
      <c r="AJ73" s="69">
        <f>AJ69*(1-27*(Assumptions!$D$85/4))</f>
        <v>831.25</v>
      </c>
      <c r="AK73" s="92">
        <f>AK69*(1-28*(Assumptions!$D$85/4))</f>
        <v>825</v>
      </c>
      <c r="AL73" s="91">
        <f t="shared" ref="AL73:AL81" si="69">AK73</f>
        <v>825</v>
      </c>
    </row>
    <row r="74" spans="1:38" s="56" customFormat="1" ht="15.95">
      <c r="A74" s="55"/>
      <c r="C74" s="189" t="s">
        <v>310</v>
      </c>
      <c r="D74" s="68">
        <f>D70*(1-(Assumptions!$D$85/4))</f>
        <v>248.4375</v>
      </c>
      <c r="E74" s="69">
        <f>E70*(1-2*(Assumptions!$D$85/4))</f>
        <v>493.75</v>
      </c>
      <c r="F74" s="69">
        <f>F70*(1-3*(Assumptions!$D$85/4))</f>
        <v>735.9375</v>
      </c>
      <c r="G74" s="92">
        <f>G70*(1-4*(Assumptions!$D$85/4))</f>
        <v>975</v>
      </c>
      <c r="H74" s="91">
        <f t="shared" si="62"/>
        <v>975</v>
      </c>
      <c r="I74" s="68">
        <f>I70*(1-5*(Assumptions!$D$85/4))</f>
        <v>1210.9375</v>
      </c>
      <c r="J74" s="69">
        <f>J70*(1-6*(Assumptions!$D$85/4))</f>
        <v>1443.75</v>
      </c>
      <c r="K74" s="69">
        <f>K70*(1-7*(Assumptions!$D$85/4))</f>
        <v>1673.4375</v>
      </c>
      <c r="L74" s="92">
        <f>L70*(1-8*(Assumptions!$D$85/4))</f>
        <v>1900</v>
      </c>
      <c r="M74" s="57">
        <f t="shared" si="63"/>
        <v>1900</v>
      </c>
      <c r="N74" s="68">
        <f>N70*(1-9*(Assumptions!$D$85/4))</f>
        <v>2123.4375</v>
      </c>
      <c r="O74" s="69">
        <f>O70*(1-10*(Assumptions!$D$85/4))</f>
        <v>2343.75</v>
      </c>
      <c r="P74" s="69">
        <f>P70*(1-11*(Assumptions!$D$85/4))</f>
        <v>2560.9375</v>
      </c>
      <c r="Q74" s="92">
        <f>Q70*(1-12*(Assumptions!$D$85/4))</f>
        <v>2775</v>
      </c>
      <c r="R74" s="57">
        <f t="shared" si="64"/>
        <v>2775</v>
      </c>
      <c r="S74" s="68">
        <f>S70*(1-13*(Assumptions!$D$85/4))</f>
        <v>2985.9375</v>
      </c>
      <c r="T74" s="69">
        <f>T70*(1-14*(Assumptions!$D$85/4))</f>
        <v>3193.75</v>
      </c>
      <c r="U74" s="69">
        <f>U70*(1-15*(Assumptions!$D$85/4))</f>
        <v>3398.4375</v>
      </c>
      <c r="V74" s="92">
        <f>V70*(1-16*(Assumptions!$D$85/4))</f>
        <v>3600</v>
      </c>
      <c r="W74" s="57">
        <f t="shared" si="65"/>
        <v>3600</v>
      </c>
      <c r="X74" s="68">
        <f>X70*(1-17*(Assumptions!$D$85/4))</f>
        <v>3798.4375</v>
      </c>
      <c r="Y74" s="69">
        <f>Y70*(1-18*(Assumptions!$D$85/4))</f>
        <v>3993.75</v>
      </c>
      <c r="Z74" s="69">
        <f>Z70*(1-19*(Assumptions!$D$85/4))</f>
        <v>4185.9375</v>
      </c>
      <c r="AA74" s="92">
        <f>AA70*(1-20*(Assumptions!$D$85/4))</f>
        <v>4375</v>
      </c>
      <c r="AB74" s="57">
        <f t="shared" si="67"/>
        <v>4375</v>
      </c>
      <c r="AC74" s="68">
        <f>AC70*(1-21*(Assumptions!$D$85/4))</f>
        <v>4343.75</v>
      </c>
      <c r="AD74" s="69">
        <f>AD70*(1-22*(Assumptions!$D$85/4))</f>
        <v>4312.5</v>
      </c>
      <c r="AE74" s="69">
        <f>AE70*(1-23*(Assumptions!$D$85/4))</f>
        <v>4281.25</v>
      </c>
      <c r="AF74" s="92">
        <f>AF70*(1-24*(Assumptions!$D$85/4))</f>
        <v>4250</v>
      </c>
      <c r="AG74" s="57">
        <f t="shared" si="68"/>
        <v>4250</v>
      </c>
      <c r="AH74" s="68">
        <f>AH70*(1-25*(Assumptions!$D$85/4))</f>
        <v>4218.75</v>
      </c>
      <c r="AI74" s="69">
        <f>AI70*(1-26*(Assumptions!$D$85/4))</f>
        <v>4187.5</v>
      </c>
      <c r="AJ74" s="69">
        <f>AJ70*(1-27*(Assumptions!$D$85/4))</f>
        <v>4156.25</v>
      </c>
      <c r="AK74" s="92">
        <f>AK70*(1-28*(Assumptions!$D$85/4))</f>
        <v>4125</v>
      </c>
      <c r="AL74" s="91">
        <f t="shared" si="69"/>
        <v>4125</v>
      </c>
    </row>
    <row r="75" spans="1:38" s="56" customFormat="1" ht="15.95">
      <c r="A75" s="55"/>
      <c r="C75" s="189" t="s">
        <v>311</v>
      </c>
      <c r="D75" s="68">
        <f>D71*(1-(Assumptions!$D$85/4))</f>
        <v>1987.5</v>
      </c>
      <c r="E75" s="69">
        <f>E71*(1-2*(Assumptions!$D$85/4))</f>
        <v>3950</v>
      </c>
      <c r="F75" s="69">
        <f>F71*(1-3*(Assumptions!$D$85/4))</f>
        <v>5887.5</v>
      </c>
      <c r="G75" s="92">
        <f>G71*(1-4*(Assumptions!$D$85/4))</f>
        <v>7800</v>
      </c>
      <c r="H75" s="91">
        <f t="shared" si="62"/>
        <v>7800</v>
      </c>
      <c r="I75" s="68">
        <f>I71*(1-5*(Assumptions!$D$85/4))</f>
        <v>9687.5</v>
      </c>
      <c r="J75" s="69">
        <f>J71*(1-6*(Assumptions!$D$85/4))</f>
        <v>11550</v>
      </c>
      <c r="K75" s="69">
        <f>K71*(1-7*(Assumptions!$D$85/4))</f>
        <v>13387.5</v>
      </c>
      <c r="L75" s="92">
        <f>L71*(1-8*(Assumptions!$D$85/4))</f>
        <v>15200</v>
      </c>
      <c r="M75" s="57">
        <f t="shared" si="63"/>
        <v>15200</v>
      </c>
      <c r="N75" s="68">
        <f>N71*(1-9*(Assumptions!$D$85/4))</f>
        <v>16987.5</v>
      </c>
      <c r="O75" s="69">
        <f>O71*(1-10*(Assumptions!$D$85/4))</f>
        <v>18750</v>
      </c>
      <c r="P75" s="69">
        <f>P71*(1-11*(Assumptions!$D$85/4))</f>
        <v>20487.5</v>
      </c>
      <c r="Q75" s="92">
        <f>Q71*(1-12*(Assumptions!$D$85/4))</f>
        <v>22200</v>
      </c>
      <c r="R75" s="57">
        <f t="shared" si="64"/>
        <v>22200</v>
      </c>
      <c r="S75" s="68">
        <f>S71*(1-13*(Assumptions!$D$85/4))</f>
        <v>23887.5</v>
      </c>
      <c r="T75" s="69">
        <f>T71*(1-14*(Assumptions!$D$85/4))</f>
        <v>25550</v>
      </c>
      <c r="U75" s="69">
        <f>U71*(1-15*(Assumptions!$D$85/4))</f>
        <v>27187.5</v>
      </c>
      <c r="V75" s="92">
        <f>V71*(1-16*(Assumptions!$D$85/4))</f>
        <v>28800</v>
      </c>
      <c r="W75" s="57">
        <f t="shared" si="65"/>
        <v>28800</v>
      </c>
      <c r="X75" s="68">
        <f>X71*(1-17*(Assumptions!$D$85/4))</f>
        <v>30387.5</v>
      </c>
      <c r="Y75" s="69">
        <f>Y71*(1-18*(Assumptions!$D$85/4))</f>
        <v>31950</v>
      </c>
      <c r="Z75" s="69">
        <f>Z71*(1-19*(Assumptions!$D$85/4))</f>
        <v>33487.5</v>
      </c>
      <c r="AA75" s="92">
        <f>AA71*(1-20*(Assumptions!$D$85/4))</f>
        <v>35000</v>
      </c>
      <c r="AB75" s="57">
        <f t="shared" si="67"/>
        <v>35000</v>
      </c>
      <c r="AC75" s="68">
        <f>AC71*(1-21*(Assumptions!$D$85/4))</f>
        <v>34750</v>
      </c>
      <c r="AD75" s="69">
        <f>AD71*(1-22*(Assumptions!$D$85/4))</f>
        <v>34500</v>
      </c>
      <c r="AE75" s="69">
        <f>AE71*(1-23*(Assumptions!$D$85/4))</f>
        <v>34250</v>
      </c>
      <c r="AF75" s="92">
        <f>AF71*(1-24*(Assumptions!$D$85/4))</f>
        <v>34000</v>
      </c>
      <c r="AG75" s="57">
        <f t="shared" si="68"/>
        <v>34000</v>
      </c>
      <c r="AH75" s="68">
        <f>AH71*(1-25*(Assumptions!$D$85/4))</f>
        <v>33750</v>
      </c>
      <c r="AI75" s="69">
        <f>AI71*(1-26*(Assumptions!$D$85/4))</f>
        <v>33500</v>
      </c>
      <c r="AJ75" s="69">
        <f>AJ71*(1-27*(Assumptions!$D$85/4))</f>
        <v>33250</v>
      </c>
      <c r="AK75" s="92">
        <f>AK71*(1-28*(Assumptions!$D$85/4))</f>
        <v>33000</v>
      </c>
      <c r="AL75" s="91">
        <f t="shared" si="69"/>
        <v>33000</v>
      </c>
    </row>
    <row r="76" spans="1:38" s="56" customFormat="1" ht="15.95">
      <c r="A76" s="55"/>
      <c r="C76" s="189" t="s">
        <v>312</v>
      </c>
      <c r="D76" s="68">
        <f>'Alt. scenario LCY'!D76*VLOOKUP(Assumptions!$D$7, Lists!$B$7:$C$10, 2, FALSE)*Assumptions!$D$10/VLOOKUP(Assumptions!$D$9, Lists!$B$7:$C$10, 2, FALSE)</f>
        <v>14906250</v>
      </c>
      <c r="E76" s="69">
        <f>'Alt. scenario LCY'!E76*VLOOKUP(Assumptions!$D$7, Lists!$B$7:$C$10, 2, FALSE)*Assumptions!$D$10/VLOOKUP(Assumptions!$D$9, Lists!$B$7:$C$10, 2, FALSE)</f>
        <v>29625000</v>
      </c>
      <c r="F76" s="69">
        <f>'Alt. scenario LCY'!F76*VLOOKUP(Assumptions!$D$7, Lists!$B$7:$C$10, 2, FALSE)*Assumptions!$D$10/VLOOKUP(Assumptions!$D$9, Lists!$B$7:$C$10, 2, FALSE)</f>
        <v>44156250</v>
      </c>
      <c r="G76" s="92">
        <f>'Alt. scenario LCY'!G76*VLOOKUP(Assumptions!$D$7, Lists!$B$7:$C$10, 2, FALSE)*Assumptions!$D$10/VLOOKUP(Assumptions!$D$9, Lists!$B$7:$C$10, 2, FALSE)</f>
        <v>58500000</v>
      </c>
      <c r="H76" s="91">
        <f t="shared" si="62"/>
        <v>58500000</v>
      </c>
      <c r="I76" s="68">
        <f>'Alt. scenario LCY'!I76*VLOOKUP(Assumptions!$D$7, Lists!$B$7:$C$10, 2, FALSE)*Assumptions!$D$10/VLOOKUP(Assumptions!$D$9, Lists!$B$7:$C$10, 2, FALSE)</f>
        <v>72656250</v>
      </c>
      <c r="J76" s="69">
        <f>'Alt. scenario LCY'!J76*VLOOKUP(Assumptions!$D$7, Lists!$B$7:$C$10, 2, FALSE)*Assumptions!$D$10/VLOOKUP(Assumptions!$D$9, Lists!$B$7:$C$10, 2, FALSE)</f>
        <v>86625000</v>
      </c>
      <c r="K76" s="69">
        <f>'Alt. scenario LCY'!K76*VLOOKUP(Assumptions!$D$7, Lists!$B$7:$C$10, 2, FALSE)*Assumptions!$D$10/VLOOKUP(Assumptions!$D$9, Lists!$B$7:$C$10, 2, FALSE)</f>
        <v>100406250</v>
      </c>
      <c r="L76" s="92">
        <f>'Alt. scenario LCY'!L76*VLOOKUP(Assumptions!$D$7, Lists!$B$7:$C$10, 2, FALSE)*Assumptions!$D$10/VLOOKUP(Assumptions!$D$9, Lists!$B$7:$C$10, 2, FALSE)</f>
        <v>114000000</v>
      </c>
      <c r="M76" s="48">
        <f t="shared" si="63"/>
        <v>114000000</v>
      </c>
      <c r="N76" s="68">
        <f>'Alt. scenario LCY'!N76*VLOOKUP(Assumptions!$D$7, Lists!$B$7:$C$10, 2, FALSE)*Assumptions!$D$10/VLOOKUP(Assumptions!$D$9, Lists!$B$7:$C$10, 2, FALSE)</f>
        <v>127406250</v>
      </c>
      <c r="O76" s="69">
        <f>'Alt. scenario LCY'!O76*VLOOKUP(Assumptions!$D$7, Lists!$B$7:$C$10, 2, FALSE)*Assumptions!$D$10/VLOOKUP(Assumptions!$D$9, Lists!$B$7:$C$10, 2, FALSE)</f>
        <v>140625000</v>
      </c>
      <c r="P76" s="69">
        <f>'Alt. scenario LCY'!P76*VLOOKUP(Assumptions!$D$7, Lists!$B$7:$C$10, 2, FALSE)*Assumptions!$D$10/VLOOKUP(Assumptions!$D$9, Lists!$B$7:$C$10, 2, FALSE)</f>
        <v>153656250</v>
      </c>
      <c r="Q76" s="92">
        <f>'Alt. scenario LCY'!Q76*VLOOKUP(Assumptions!$D$7, Lists!$B$7:$C$10, 2, FALSE)*Assumptions!$D$10/VLOOKUP(Assumptions!$D$9, Lists!$B$7:$C$10, 2, FALSE)</f>
        <v>166500000</v>
      </c>
      <c r="R76" s="48">
        <f t="shared" si="64"/>
        <v>166500000</v>
      </c>
      <c r="S76" s="68">
        <f>'Alt. scenario LCY'!S76*VLOOKUP(Assumptions!$D$7, Lists!$B$7:$C$10, 2, FALSE)*Assumptions!$D$10/VLOOKUP(Assumptions!$D$9, Lists!$B$7:$C$10, 2, FALSE)</f>
        <v>179156250</v>
      </c>
      <c r="T76" s="69">
        <f>'Alt. scenario LCY'!T76*VLOOKUP(Assumptions!$D$7, Lists!$B$7:$C$10, 2, FALSE)*Assumptions!$D$10/VLOOKUP(Assumptions!$D$9, Lists!$B$7:$C$10, 2, FALSE)</f>
        <v>191625000</v>
      </c>
      <c r="U76" s="69">
        <f>'Alt. scenario LCY'!U76*VLOOKUP(Assumptions!$D$7, Lists!$B$7:$C$10, 2, FALSE)*Assumptions!$D$10/VLOOKUP(Assumptions!$D$9, Lists!$B$7:$C$10, 2, FALSE)</f>
        <v>203906250</v>
      </c>
      <c r="V76" s="92">
        <f>'Alt. scenario LCY'!V76*VLOOKUP(Assumptions!$D$7, Lists!$B$7:$C$10, 2, FALSE)*Assumptions!$D$10/VLOOKUP(Assumptions!$D$9, Lists!$B$7:$C$10, 2, FALSE)</f>
        <v>216000000</v>
      </c>
      <c r="W76" s="48">
        <f t="shared" si="65"/>
        <v>216000000</v>
      </c>
      <c r="X76" s="68">
        <f>'Alt. scenario LCY'!X76*VLOOKUP(Assumptions!$D$7, Lists!$B$7:$C$10, 2, FALSE)*Assumptions!$D$10/VLOOKUP(Assumptions!$D$9, Lists!$B$7:$C$10, 2, FALSE)</f>
        <v>227906250</v>
      </c>
      <c r="Y76" s="69">
        <f>'Alt. scenario LCY'!Y76*VLOOKUP(Assumptions!$D$7, Lists!$B$7:$C$10, 2, FALSE)*Assumptions!$D$10/VLOOKUP(Assumptions!$D$9, Lists!$B$7:$C$10, 2, FALSE)</f>
        <v>239625000</v>
      </c>
      <c r="Z76" s="69">
        <f>'Alt. scenario LCY'!Z76*VLOOKUP(Assumptions!$D$7, Lists!$B$7:$C$10, 2, FALSE)*Assumptions!$D$10/VLOOKUP(Assumptions!$D$9, Lists!$B$7:$C$10, 2, FALSE)</f>
        <v>251156250</v>
      </c>
      <c r="AA76" s="92">
        <f>'Alt. scenario LCY'!AA76*VLOOKUP(Assumptions!$D$7, Lists!$B$7:$C$10, 2, FALSE)*Assumptions!$D$10/VLOOKUP(Assumptions!$D$9, Lists!$B$7:$C$10, 2, FALSE)</f>
        <v>262500000</v>
      </c>
      <c r="AB76" s="48">
        <f t="shared" si="67"/>
        <v>262500000</v>
      </c>
      <c r="AC76" s="68">
        <f>'Alt. scenario LCY'!AC76*VLOOKUP(Assumptions!$D$7, Lists!$B$7:$C$10, 2, FALSE)*Assumptions!$D$10/VLOOKUP(Assumptions!$D$9, Lists!$B$7:$C$10, 2, FALSE)</f>
        <v>260625000</v>
      </c>
      <c r="AD76" s="69">
        <f>'Alt. scenario LCY'!AD76*VLOOKUP(Assumptions!$D$7, Lists!$B$7:$C$10, 2, FALSE)*Assumptions!$D$10/VLOOKUP(Assumptions!$D$9, Lists!$B$7:$C$10, 2, FALSE)</f>
        <v>258750000</v>
      </c>
      <c r="AE76" s="69">
        <f>'Alt. scenario LCY'!AE76*VLOOKUP(Assumptions!$D$7, Lists!$B$7:$C$10, 2, FALSE)*Assumptions!$D$10/VLOOKUP(Assumptions!$D$9, Lists!$B$7:$C$10, 2, FALSE)</f>
        <v>256875000</v>
      </c>
      <c r="AF76" s="92">
        <f>'Alt. scenario LCY'!AF76*VLOOKUP(Assumptions!$D$7, Lists!$B$7:$C$10, 2, FALSE)*Assumptions!$D$10/VLOOKUP(Assumptions!$D$9, Lists!$B$7:$C$10, 2, FALSE)</f>
        <v>255000000</v>
      </c>
      <c r="AG76" s="48">
        <f t="shared" si="68"/>
        <v>255000000</v>
      </c>
      <c r="AH76" s="68">
        <f>'Alt. scenario LCY'!AH76*VLOOKUP(Assumptions!$D$7, Lists!$B$7:$C$10, 2, FALSE)*Assumptions!$D$10/VLOOKUP(Assumptions!$D$9, Lists!$B$7:$C$10, 2, FALSE)</f>
        <v>253125000</v>
      </c>
      <c r="AI76" s="69">
        <f>'Alt. scenario LCY'!AI76*VLOOKUP(Assumptions!$D$7, Lists!$B$7:$C$10, 2, FALSE)*Assumptions!$D$10/VLOOKUP(Assumptions!$D$9, Lists!$B$7:$C$10, 2, FALSE)</f>
        <v>251250000</v>
      </c>
      <c r="AJ76" s="69">
        <f>'Alt. scenario LCY'!AJ76*VLOOKUP(Assumptions!$D$7, Lists!$B$7:$C$10, 2, FALSE)*Assumptions!$D$10/VLOOKUP(Assumptions!$D$9, Lists!$B$7:$C$10, 2, FALSE)</f>
        <v>249375000</v>
      </c>
      <c r="AK76" s="92">
        <f>'Alt. scenario LCY'!AK76*VLOOKUP(Assumptions!$D$7, Lists!$B$7:$C$10, 2, FALSE)*Assumptions!$D$10/VLOOKUP(Assumptions!$D$9, Lists!$B$7:$C$10, 2, FALSE)</f>
        <v>247500000</v>
      </c>
      <c r="AL76" s="60">
        <f t="shared" si="69"/>
        <v>247500000</v>
      </c>
    </row>
    <row r="77" spans="1:38" ht="15.95">
      <c r="A77" s="55"/>
      <c r="C77" s="189" t="s">
        <v>313</v>
      </c>
      <c r="D77" s="68">
        <f>'Alt. scenario LCY'!D77*VLOOKUP(Assumptions!$D$7, Lists!$B$7:$C$10, 2, FALSE)*Assumptions!$D$10/VLOOKUP(Assumptions!$D$9, Lists!$B$7:$C$10, 2, FALSE)</f>
        <v>13773375</v>
      </c>
      <c r="E77" s="69">
        <f>'Alt. scenario LCY'!E77*VLOOKUP(Assumptions!$D$7, Lists!$B$7:$C$10, 2, FALSE)*Assumptions!$D$10/VLOOKUP(Assumptions!$D$9, Lists!$B$7:$C$10, 2, FALSE)</f>
        <v>27373500</v>
      </c>
      <c r="F77" s="69">
        <f>'Alt. scenario LCY'!F77*VLOOKUP(Assumptions!$D$7, Lists!$B$7:$C$10, 2, FALSE)*Assumptions!$D$10/VLOOKUP(Assumptions!$D$9, Lists!$B$7:$C$10, 2, FALSE)</f>
        <v>40800375</v>
      </c>
      <c r="G77" s="92">
        <f>'Alt. scenario LCY'!G77*VLOOKUP(Assumptions!$D$7, Lists!$B$7:$C$10, 2, FALSE)*Assumptions!$D$10/VLOOKUP(Assumptions!$D$9, Lists!$B$7:$C$10, 2, FALSE)</f>
        <v>54054000</v>
      </c>
      <c r="H77" s="91">
        <f t="shared" si="62"/>
        <v>54054000</v>
      </c>
      <c r="I77" s="68">
        <f>'Alt. scenario LCY'!I77*VLOOKUP(Assumptions!$D$7, Lists!$B$7:$C$10, 2, FALSE)*Assumptions!$D$10/VLOOKUP(Assumptions!$D$9, Lists!$B$7:$C$10, 2, FALSE)</f>
        <v>67134375</v>
      </c>
      <c r="J77" s="69">
        <f>'Alt. scenario LCY'!J77*VLOOKUP(Assumptions!$D$7, Lists!$B$7:$C$10, 2, FALSE)*Assumptions!$D$10/VLOOKUP(Assumptions!$D$9, Lists!$B$7:$C$10, 2, FALSE)</f>
        <v>80041500</v>
      </c>
      <c r="K77" s="69">
        <f>'Alt. scenario LCY'!K77*VLOOKUP(Assumptions!$D$7, Lists!$B$7:$C$10, 2, FALSE)*Assumptions!$D$10/VLOOKUP(Assumptions!$D$9, Lists!$B$7:$C$10, 2, FALSE)</f>
        <v>92775375</v>
      </c>
      <c r="L77" s="92">
        <f>'Alt. scenario LCY'!L77*VLOOKUP(Assumptions!$D$7, Lists!$B$7:$C$10, 2, FALSE)*Assumptions!$D$10/VLOOKUP(Assumptions!$D$9, Lists!$B$7:$C$10, 2, FALSE)</f>
        <v>105336000</v>
      </c>
      <c r="M77" s="57">
        <f t="shared" si="63"/>
        <v>105336000</v>
      </c>
      <c r="N77" s="68">
        <f>'Alt. scenario LCY'!N77*VLOOKUP(Assumptions!$D$7, Lists!$B$7:$C$10, 2, FALSE)*Assumptions!$D$10/VLOOKUP(Assumptions!$D$9, Lists!$B$7:$C$10, 2, FALSE)</f>
        <v>117723375</v>
      </c>
      <c r="O77" s="69">
        <f>'Alt. scenario LCY'!O77*VLOOKUP(Assumptions!$D$7, Lists!$B$7:$C$10, 2, FALSE)*Assumptions!$D$10/VLOOKUP(Assumptions!$D$9, Lists!$B$7:$C$10, 2, FALSE)</f>
        <v>129937500</v>
      </c>
      <c r="P77" s="69">
        <f>'Alt. scenario LCY'!P77*VLOOKUP(Assumptions!$D$7, Lists!$B$7:$C$10, 2, FALSE)*Assumptions!$D$10/VLOOKUP(Assumptions!$D$9, Lists!$B$7:$C$10, 2, FALSE)</f>
        <v>141978375</v>
      </c>
      <c r="Q77" s="92">
        <f>'Alt. scenario LCY'!Q77*VLOOKUP(Assumptions!$D$7, Lists!$B$7:$C$10, 2, FALSE)*Assumptions!$D$10/VLOOKUP(Assumptions!$D$9, Lists!$B$7:$C$10, 2, FALSE)</f>
        <v>153846000</v>
      </c>
      <c r="R77" s="57">
        <f t="shared" si="64"/>
        <v>153846000</v>
      </c>
      <c r="S77" s="68">
        <f>'Alt. scenario LCY'!S77*VLOOKUP(Assumptions!$D$7, Lists!$B$7:$C$10, 2, FALSE)*Assumptions!$D$10/VLOOKUP(Assumptions!$D$9, Lists!$B$7:$C$10, 2, FALSE)</f>
        <v>165540375</v>
      </c>
      <c r="T77" s="69">
        <f>'Alt. scenario LCY'!T77*VLOOKUP(Assumptions!$D$7, Lists!$B$7:$C$10, 2, FALSE)*Assumptions!$D$10/VLOOKUP(Assumptions!$D$9, Lists!$B$7:$C$10, 2, FALSE)</f>
        <v>177061500</v>
      </c>
      <c r="U77" s="69">
        <f>'Alt. scenario LCY'!U77*VLOOKUP(Assumptions!$D$7, Lists!$B$7:$C$10, 2, FALSE)*Assumptions!$D$10/VLOOKUP(Assumptions!$D$9, Lists!$B$7:$C$10, 2, FALSE)</f>
        <v>188409375</v>
      </c>
      <c r="V77" s="92">
        <f>'Alt. scenario LCY'!V77*VLOOKUP(Assumptions!$D$7, Lists!$B$7:$C$10, 2, FALSE)*Assumptions!$D$10/VLOOKUP(Assumptions!$D$9, Lists!$B$7:$C$10, 2, FALSE)</f>
        <v>199584000</v>
      </c>
      <c r="W77" s="57">
        <f t="shared" si="65"/>
        <v>199584000</v>
      </c>
      <c r="X77" s="68">
        <f>'Alt. scenario LCY'!X77*VLOOKUP(Assumptions!$D$7, Lists!$B$7:$C$10, 2, FALSE)*Assumptions!$D$10/VLOOKUP(Assumptions!$D$9, Lists!$B$7:$C$10, 2, FALSE)</f>
        <v>210585375</v>
      </c>
      <c r="Y77" s="69">
        <f>'Alt. scenario LCY'!Y77*VLOOKUP(Assumptions!$D$7, Lists!$B$7:$C$10, 2, FALSE)*Assumptions!$D$10/VLOOKUP(Assumptions!$D$9, Lists!$B$7:$C$10, 2, FALSE)</f>
        <v>221413500</v>
      </c>
      <c r="Z77" s="69">
        <f>'Alt. scenario LCY'!Z77*VLOOKUP(Assumptions!$D$7, Lists!$B$7:$C$10, 2, FALSE)*Assumptions!$D$10/VLOOKUP(Assumptions!$D$9, Lists!$B$7:$C$10, 2, FALSE)</f>
        <v>232068375</v>
      </c>
      <c r="AA77" s="92">
        <f>'Alt. scenario LCY'!AA77*VLOOKUP(Assumptions!$D$7, Lists!$B$7:$C$10, 2, FALSE)*Assumptions!$D$10/VLOOKUP(Assumptions!$D$9, Lists!$B$7:$C$10, 2, FALSE)</f>
        <v>242550000</v>
      </c>
      <c r="AB77" s="57">
        <f t="shared" si="67"/>
        <v>242550000</v>
      </c>
      <c r="AC77" s="68">
        <f>'Alt. scenario LCY'!AC77*VLOOKUP(Assumptions!$D$7, Lists!$B$7:$C$10, 2, FALSE)*Assumptions!$D$10/VLOOKUP(Assumptions!$D$9, Lists!$B$7:$C$10, 2, FALSE)</f>
        <v>240817500</v>
      </c>
      <c r="AD77" s="69">
        <f>'Alt. scenario LCY'!AD77*VLOOKUP(Assumptions!$D$7, Lists!$B$7:$C$10, 2, FALSE)*Assumptions!$D$10/VLOOKUP(Assumptions!$D$9, Lists!$B$7:$C$10, 2, FALSE)</f>
        <v>239085000</v>
      </c>
      <c r="AE77" s="69">
        <f>'Alt. scenario LCY'!AE77*VLOOKUP(Assumptions!$D$7, Lists!$B$7:$C$10, 2, FALSE)*Assumptions!$D$10/VLOOKUP(Assumptions!$D$9, Lists!$B$7:$C$10, 2, FALSE)</f>
        <v>237352500</v>
      </c>
      <c r="AF77" s="92">
        <f>'Alt. scenario LCY'!AF77*VLOOKUP(Assumptions!$D$7, Lists!$B$7:$C$10, 2, FALSE)*Assumptions!$D$10/VLOOKUP(Assumptions!$D$9, Lists!$B$7:$C$10, 2, FALSE)</f>
        <v>235620000</v>
      </c>
      <c r="AG77" s="57">
        <f t="shared" si="68"/>
        <v>235620000</v>
      </c>
      <c r="AH77" s="68">
        <f>'Alt. scenario LCY'!AH77*VLOOKUP(Assumptions!$D$7, Lists!$B$7:$C$10, 2, FALSE)*Assumptions!$D$10/VLOOKUP(Assumptions!$D$9, Lists!$B$7:$C$10, 2, FALSE)</f>
        <v>233887500</v>
      </c>
      <c r="AI77" s="69">
        <f>'Alt. scenario LCY'!AI77*VLOOKUP(Assumptions!$D$7, Lists!$B$7:$C$10, 2, FALSE)*Assumptions!$D$10/VLOOKUP(Assumptions!$D$9, Lists!$B$7:$C$10, 2, FALSE)</f>
        <v>232155000</v>
      </c>
      <c r="AJ77" s="69">
        <f>'Alt. scenario LCY'!AJ77*VLOOKUP(Assumptions!$D$7, Lists!$B$7:$C$10, 2, FALSE)*Assumptions!$D$10/VLOOKUP(Assumptions!$D$9, Lists!$B$7:$C$10, 2, FALSE)</f>
        <v>230422500</v>
      </c>
      <c r="AK77" s="92">
        <f>'Alt. scenario LCY'!AK77*VLOOKUP(Assumptions!$D$7, Lists!$B$7:$C$10, 2, FALSE)*Assumptions!$D$10/VLOOKUP(Assumptions!$D$9, Lists!$B$7:$C$10, 2, FALSE)</f>
        <v>228690000</v>
      </c>
      <c r="AL77" s="91">
        <f t="shared" si="69"/>
        <v>228690000</v>
      </c>
    </row>
    <row r="78" spans="1:38" s="56" customFormat="1" ht="15.95">
      <c r="A78" s="55"/>
      <c r="C78" s="189" t="s">
        <v>314</v>
      </c>
      <c r="D78" s="68">
        <f>'Alt. scenario LCY'!D78*VLOOKUP(Assumptions!$D$7, Lists!$B$7:$C$10, 2, FALSE)*Assumptions!$D$10/VLOOKUP(Assumptions!$D$9, Lists!$B$7:$C$10, 2, FALSE)</f>
        <v>1377337.5</v>
      </c>
      <c r="E78" s="69">
        <f>'Alt. scenario LCY'!E78*VLOOKUP(Assumptions!$D$7, Lists!$B$7:$C$10, 2, FALSE)*Assumptions!$D$10/VLOOKUP(Assumptions!$D$9, Lists!$B$7:$C$10, 2, FALSE)</f>
        <v>2737350</v>
      </c>
      <c r="F78" s="69">
        <f>'Alt. scenario LCY'!F78*VLOOKUP(Assumptions!$D$7, Lists!$B$7:$C$10, 2, FALSE)*Assumptions!$D$10/VLOOKUP(Assumptions!$D$9, Lists!$B$7:$C$10, 2, FALSE)</f>
        <v>4080037.5</v>
      </c>
      <c r="G78" s="92">
        <f>'Alt. scenario LCY'!G78*VLOOKUP(Assumptions!$D$7, Lists!$B$7:$C$10, 2, FALSE)*Assumptions!$D$10/VLOOKUP(Assumptions!$D$9, Lists!$B$7:$C$10, 2, FALSE)</f>
        <v>5405400</v>
      </c>
      <c r="H78" s="91">
        <f t="shared" si="62"/>
        <v>5405400</v>
      </c>
      <c r="I78" s="68">
        <f>'Alt. scenario LCY'!I78*VLOOKUP(Assumptions!$D$7, Lists!$B$7:$C$10, 2, FALSE)*Assumptions!$D$10/VLOOKUP(Assumptions!$D$9, Lists!$B$7:$C$10, 2, FALSE)</f>
        <v>6713437.5</v>
      </c>
      <c r="J78" s="69">
        <f>'Alt. scenario LCY'!J78*VLOOKUP(Assumptions!$D$7, Lists!$B$7:$C$10, 2, FALSE)*Assumptions!$D$10/VLOOKUP(Assumptions!$D$9, Lists!$B$7:$C$10, 2, FALSE)</f>
        <v>8004150</v>
      </c>
      <c r="K78" s="69">
        <f>'Alt. scenario LCY'!K78*VLOOKUP(Assumptions!$D$7, Lists!$B$7:$C$10, 2, FALSE)*Assumptions!$D$10/VLOOKUP(Assumptions!$D$9, Lists!$B$7:$C$10, 2, FALSE)</f>
        <v>9277537.5</v>
      </c>
      <c r="L78" s="92">
        <f>'Alt. scenario LCY'!L78*VLOOKUP(Assumptions!$D$7, Lists!$B$7:$C$10, 2, FALSE)*Assumptions!$D$10/VLOOKUP(Assumptions!$D$9, Lists!$B$7:$C$10, 2, FALSE)</f>
        <v>10533600</v>
      </c>
      <c r="M78" s="48">
        <f t="shared" si="63"/>
        <v>10533600</v>
      </c>
      <c r="N78" s="68">
        <f>'Alt. scenario LCY'!N78*VLOOKUP(Assumptions!$D$7, Lists!$B$7:$C$10, 2, FALSE)*Assumptions!$D$10/VLOOKUP(Assumptions!$D$9, Lists!$B$7:$C$10, 2, FALSE)</f>
        <v>11772337.5</v>
      </c>
      <c r="O78" s="69">
        <f>'Alt. scenario LCY'!O78*VLOOKUP(Assumptions!$D$7, Lists!$B$7:$C$10, 2, FALSE)*Assumptions!$D$10/VLOOKUP(Assumptions!$D$9, Lists!$B$7:$C$10, 2, FALSE)</f>
        <v>12993750</v>
      </c>
      <c r="P78" s="69">
        <f>'Alt. scenario LCY'!P78*VLOOKUP(Assumptions!$D$7, Lists!$B$7:$C$10, 2, FALSE)*Assumptions!$D$10/VLOOKUP(Assumptions!$D$9, Lists!$B$7:$C$10, 2, FALSE)</f>
        <v>14197837.5</v>
      </c>
      <c r="Q78" s="92">
        <f>'Alt. scenario LCY'!Q78*VLOOKUP(Assumptions!$D$7, Lists!$B$7:$C$10, 2, FALSE)*Assumptions!$D$10/VLOOKUP(Assumptions!$D$9, Lists!$B$7:$C$10, 2, FALSE)</f>
        <v>15384600</v>
      </c>
      <c r="R78" s="48">
        <f t="shared" si="64"/>
        <v>15384600</v>
      </c>
      <c r="S78" s="68">
        <f>'Alt. scenario LCY'!S78*VLOOKUP(Assumptions!$D$7, Lists!$B$7:$C$10, 2, FALSE)*Assumptions!$D$10/VLOOKUP(Assumptions!$D$9, Lists!$B$7:$C$10, 2, FALSE)</f>
        <v>16554037.5</v>
      </c>
      <c r="T78" s="69">
        <f>'Alt. scenario LCY'!T78*VLOOKUP(Assumptions!$D$7, Lists!$B$7:$C$10, 2, FALSE)*Assumptions!$D$10/VLOOKUP(Assumptions!$D$9, Lists!$B$7:$C$10, 2, FALSE)</f>
        <v>17706150</v>
      </c>
      <c r="U78" s="69">
        <f>'Alt. scenario LCY'!U78*VLOOKUP(Assumptions!$D$7, Lists!$B$7:$C$10, 2, FALSE)*Assumptions!$D$10/VLOOKUP(Assumptions!$D$9, Lists!$B$7:$C$10, 2, FALSE)</f>
        <v>18840937.5</v>
      </c>
      <c r="V78" s="92">
        <f>'Alt. scenario LCY'!V78*VLOOKUP(Assumptions!$D$7, Lists!$B$7:$C$10, 2, FALSE)*Assumptions!$D$10/VLOOKUP(Assumptions!$D$9, Lists!$B$7:$C$10, 2, FALSE)</f>
        <v>19958400</v>
      </c>
      <c r="W78" s="48">
        <f t="shared" si="65"/>
        <v>19958400</v>
      </c>
      <c r="X78" s="68">
        <f>'Alt. scenario LCY'!X78*VLOOKUP(Assumptions!$D$7, Lists!$B$7:$C$10, 2, FALSE)*Assumptions!$D$10/VLOOKUP(Assumptions!$D$9, Lists!$B$7:$C$10, 2, FALSE)</f>
        <v>21058537.5</v>
      </c>
      <c r="Y78" s="69">
        <f>'Alt. scenario LCY'!Y78*VLOOKUP(Assumptions!$D$7, Lists!$B$7:$C$10, 2, FALSE)*Assumptions!$D$10/VLOOKUP(Assumptions!$D$9, Lists!$B$7:$C$10, 2, FALSE)</f>
        <v>22141350</v>
      </c>
      <c r="Z78" s="69">
        <f>'Alt. scenario LCY'!Z78*VLOOKUP(Assumptions!$D$7, Lists!$B$7:$C$10, 2, FALSE)*Assumptions!$D$10/VLOOKUP(Assumptions!$D$9, Lists!$B$7:$C$10, 2, FALSE)</f>
        <v>23206837.5</v>
      </c>
      <c r="AA78" s="92">
        <f>'Alt. scenario LCY'!AA78*VLOOKUP(Assumptions!$D$7, Lists!$B$7:$C$10, 2, FALSE)*Assumptions!$D$10/VLOOKUP(Assumptions!$D$9, Lists!$B$7:$C$10, 2, FALSE)</f>
        <v>24255000</v>
      </c>
      <c r="AB78" s="48">
        <f t="shared" si="67"/>
        <v>24255000</v>
      </c>
      <c r="AC78" s="68">
        <f>'Alt. scenario LCY'!AC78*VLOOKUP(Assumptions!$D$7, Lists!$B$7:$C$10, 2, FALSE)*Assumptions!$D$10/VLOOKUP(Assumptions!$D$9, Lists!$B$7:$C$10, 2, FALSE)</f>
        <v>24081750</v>
      </c>
      <c r="AD78" s="69">
        <f>'Alt. scenario LCY'!AD78*VLOOKUP(Assumptions!$D$7, Lists!$B$7:$C$10, 2, FALSE)*Assumptions!$D$10/VLOOKUP(Assumptions!$D$9, Lists!$B$7:$C$10, 2, FALSE)</f>
        <v>23908500</v>
      </c>
      <c r="AE78" s="69">
        <f>'Alt. scenario LCY'!AE78*VLOOKUP(Assumptions!$D$7, Lists!$B$7:$C$10, 2, FALSE)*Assumptions!$D$10/VLOOKUP(Assumptions!$D$9, Lists!$B$7:$C$10, 2, FALSE)</f>
        <v>23735250</v>
      </c>
      <c r="AF78" s="92">
        <f>'Alt. scenario LCY'!AF78*VLOOKUP(Assumptions!$D$7, Lists!$B$7:$C$10, 2, FALSE)*Assumptions!$D$10/VLOOKUP(Assumptions!$D$9, Lists!$B$7:$C$10, 2, FALSE)</f>
        <v>23562000</v>
      </c>
      <c r="AG78" s="48">
        <f t="shared" si="68"/>
        <v>23562000</v>
      </c>
      <c r="AH78" s="68">
        <f>'Alt. scenario LCY'!AH78*VLOOKUP(Assumptions!$D$7, Lists!$B$7:$C$10, 2, FALSE)*Assumptions!$D$10/VLOOKUP(Assumptions!$D$9, Lists!$B$7:$C$10, 2, FALSE)</f>
        <v>23388750</v>
      </c>
      <c r="AI78" s="69">
        <f>'Alt. scenario LCY'!AI78*VLOOKUP(Assumptions!$D$7, Lists!$B$7:$C$10, 2, FALSE)*Assumptions!$D$10/VLOOKUP(Assumptions!$D$9, Lists!$B$7:$C$10, 2, FALSE)</f>
        <v>23215500</v>
      </c>
      <c r="AJ78" s="69">
        <f>'Alt. scenario LCY'!AJ78*VLOOKUP(Assumptions!$D$7, Lists!$B$7:$C$10, 2, FALSE)*Assumptions!$D$10/VLOOKUP(Assumptions!$D$9, Lists!$B$7:$C$10, 2, FALSE)</f>
        <v>23042250</v>
      </c>
      <c r="AK78" s="92">
        <f>'Alt. scenario LCY'!AK78*VLOOKUP(Assumptions!$D$7, Lists!$B$7:$C$10, 2, FALSE)*Assumptions!$D$10/VLOOKUP(Assumptions!$D$9, Lists!$B$7:$C$10, 2, FALSE)</f>
        <v>22869000</v>
      </c>
      <c r="AL78" s="60">
        <f t="shared" si="69"/>
        <v>22869000</v>
      </c>
    </row>
    <row r="79" spans="1:38" s="56" customFormat="1" ht="15.95">
      <c r="A79" s="55"/>
      <c r="C79" s="189" t="s">
        <v>315</v>
      </c>
      <c r="D79" s="68">
        <f>'Alt. scenario LCY'!D79*VLOOKUP(Assumptions!$D$7, Lists!$B$7:$C$10, 2, FALSE)*Assumptions!$D$10/VLOOKUP(Assumptions!$D$9, Lists!$B$7:$C$10, 2, FALSE)</f>
        <v>1377337.5</v>
      </c>
      <c r="E79" s="69">
        <f>'Alt. scenario LCY'!E79*VLOOKUP(Assumptions!$D$7, Lists!$B$7:$C$10, 2, FALSE)*Assumptions!$D$10/VLOOKUP(Assumptions!$D$9, Lists!$B$7:$C$10, 2, FALSE)</f>
        <v>2737350</v>
      </c>
      <c r="F79" s="69">
        <f>'Alt. scenario LCY'!F79*VLOOKUP(Assumptions!$D$7, Lists!$B$7:$C$10, 2, FALSE)*Assumptions!$D$10/VLOOKUP(Assumptions!$D$9, Lists!$B$7:$C$10, 2, FALSE)</f>
        <v>4080037.5</v>
      </c>
      <c r="G79" s="92">
        <f>'Alt. scenario LCY'!G79*VLOOKUP(Assumptions!$D$7, Lists!$B$7:$C$10, 2, FALSE)*Assumptions!$D$10/VLOOKUP(Assumptions!$D$9, Lists!$B$7:$C$10, 2, FALSE)</f>
        <v>5405400</v>
      </c>
      <c r="H79" s="91">
        <f t="shared" si="62"/>
        <v>5405400</v>
      </c>
      <c r="I79" s="68">
        <f>'Alt. scenario LCY'!I79*VLOOKUP(Assumptions!$D$7, Lists!$B$7:$C$10, 2, FALSE)*Assumptions!$D$10/VLOOKUP(Assumptions!$D$9, Lists!$B$7:$C$10, 2, FALSE)</f>
        <v>6713437.5</v>
      </c>
      <c r="J79" s="69">
        <f>'Alt. scenario LCY'!J79*VLOOKUP(Assumptions!$D$7, Lists!$B$7:$C$10, 2, FALSE)*Assumptions!$D$10/VLOOKUP(Assumptions!$D$9, Lists!$B$7:$C$10, 2, FALSE)</f>
        <v>8004150</v>
      </c>
      <c r="K79" s="69">
        <f>'Alt. scenario LCY'!K79*VLOOKUP(Assumptions!$D$7, Lists!$B$7:$C$10, 2, FALSE)*Assumptions!$D$10/VLOOKUP(Assumptions!$D$9, Lists!$B$7:$C$10, 2, FALSE)</f>
        <v>9277537.5</v>
      </c>
      <c r="L79" s="92">
        <f>'Alt. scenario LCY'!L79*VLOOKUP(Assumptions!$D$7, Lists!$B$7:$C$10, 2, FALSE)*Assumptions!$D$10/VLOOKUP(Assumptions!$D$9, Lists!$B$7:$C$10, 2, FALSE)</f>
        <v>10533600</v>
      </c>
      <c r="M79" s="48">
        <f t="shared" si="63"/>
        <v>10533600</v>
      </c>
      <c r="N79" s="68">
        <f>'Alt. scenario LCY'!N79*VLOOKUP(Assumptions!$D$7, Lists!$B$7:$C$10, 2, FALSE)*Assumptions!$D$10/VLOOKUP(Assumptions!$D$9, Lists!$B$7:$C$10, 2, FALSE)</f>
        <v>11772337.5</v>
      </c>
      <c r="O79" s="69">
        <f>'Alt. scenario LCY'!O79*VLOOKUP(Assumptions!$D$7, Lists!$B$7:$C$10, 2, FALSE)*Assumptions!$D$10/VLOOKUP(Assumptions!$D$9, Lists!$B$7:$C$10, 2, FALSE)</f>
        <v>12993750</v>
      </c>
      <c r="P79" s="69">
        <f>'Alt. scenario LCY'!P79*VLOOKUP(Assumptions!$D$7, Lists!$B$7:$C$10, 2, FALSE)*Assumptions!$D$10/VLOOKUP(Assumptions!$D$9, Lists!$B$7:$C$10, 2, FALSE)</f>
        <v>14197837.5</v>
      </c>
      <c r="Q79" s="92">
        <f>'Alt. scenario LCY'!Q79*VLOOKUP(Assumptions!$D$7, Lists!$B$7:$C$10, 2, FALSE)*Assumptions!$D$10/VLOOKUP(Assumptions!$D$9, Lists!$B$7:$C$10, 2, FALSE)</f>
        <v>15384600</v>
      </c>
      <c r="R79" s="48">
        <f t="shared" si="64"/>
        <v>15384600</v>
      </c>
      <c r="S79" s="68">
        <f>'Alt. scenario LCY'!S79*VLOOKUP(Assumptions!$D$7, Lists!$B$7:$C$10, 2, FALSE)*Assumptions!$D$10/VLOOKUP(Assumptions!$D$9, Lists!$B$7:$C$10, 2, FALSE)</f>
        <v>16554037.5</v>
      </c>
      <c r="T79" s="69">
        <f>'Alt. scenario LCY'!T79*VLOOKUP(Assumptions!$D$7, Lists!$B$7:$C$10, 2, FALSE)*Assumptions!$D$10/VLOOKUP(Assumptions!$D$9, Lists!$B$7:$C$10, 2, FALSE)</f>
        <v>17706150</v>
      </c>
      <c r="U79" s="69">
        <f>'Alt. scenario LCY'!U79*VLOOKUP(Assumptions!$D$7, Lists!$B$7:$C$10, 2, FALSE)*Assumptions!$D$10/VLOOKUP(Assumptions!$D$9, Lists!$B$7:$C$10, 2, FALSE)</f>
        <v>18840937.5</v>
      </c>
      <c r="V79" s="92">
        <f>'Alt. scenario LCY'!V79*VLOOKUP(Assumptions!$D$7, Lists!$B$7:$C$10, 2, FALSE)*Assumptions!$D$10/VLOOKUP(Assumptions!$D$9, Lists!$B$7:$C$10, 2, FALSE)</f>
        <v>19958400</v>
      </c>
      <c r="W79" s="48">
        <f t="shared" si="65"/>
        <v>19958400</v>
      </c>
      <c r="X79" s="68">
        <f>'Alt. scenario LCY'!X79*VLOOKUP(Assumptions!$D$7, Lists!$B$7:$C$10, 2, FALSE)*Assumptions!$D$10/VLOOKUP(Assumptions!$D$9, Lists!$B$7:$C$10, 2, FALSE)</f>
        <v>21058537.5</v>
      </c>
      <c r="Y79" s="69">
        <f>'Alt. scenario LCY'!Y79*VLOOKUP(Assumptions!$D$7, Lists!$B$7:$C$10, 2, FALSE)*Assumptions!$D$10/VLOOKUP(Assumptions!$D$9, Lists!$B$7:$C$10, 2, FALSE)</f>
        <v>22141350</v>
      </c>
      <c r="Z79" s="69">
        <f>'Alt. scenario LCY'!Z79*VLOOKUP(Assumptions!$D$7, Lists!$B$7:$C$10, 2, FALSE)*Assumptions!$D$10/VLOOKUP(Assumptions!$D$9, Lists!$B$7:$C$10, 2, FALSE)</f>
        <v>23206837.5</v>
      </c>
      <c r="AA79" s="92">
        <f>'Alt. scenario LCY'!AA79*VLOOKUP(Assumptions!$D$7, Lists!$B$7:$C$10, 2, FALSE)*Assumptions!$D$10/VLOOKUP(Assumptions!$D$9, Lists!$B$7:$C$10, 2, FALSE)</f>
        <v>24255000</v>
      </c>
      <c r="AB79" s="48">
        <f t="shared" si="67"/>
        <v>24255000</v>
      </c>
      <c r="AC79" s="68">
        <f>'Alt. scenario LCY'!AC79*VLOOKUP(Assumptions!$D$7, Lists!$B$7:$C$10, 2, FALSE)*Assumptions!$D$10/VLOOKUP(Assumptions!$D$9, Lists!$B$7:$C$10, 2, FALSE)</f>
        <v>24081750</v>
      </c>
      <c r="AD79" s="69">
        <f>'Alt. scenario LCY'!AD79*VLOOKUP(Assumptions!$D$7, Lists!$B$7:$C$10, 2, FALSE)*Assumptions!$D$10/VLOOKUP(Assumptions!$D$9, Lists!$B$7:$C$10, 2, FALSE)</f>
        <v>23908500</v>
      </c>
      <c r="AE79" s="69">
        <f>'Alt. scenario LCY'!AE79*VLOOKUP(Assumptions!$D$7, Lists!$B$7:$C$10, 2, FALSE)*Assumptions!$D$10/VLOOKUP(Assumptions!$D$9, Lists!$B$7:$C$10, 2, FALSE)</f>
        <v>23735250</v>
      </c>
      <c r="AF79" s="92">
        <f>'Alt. scenario LCY'!AF79*VLOOKUP(Assumptions!$D$7, Lists!$B$7:$C$10, 2, FALSE)*Assumptions!$D$10/VLOOKUP(Assumptions!$D$9, Lists!$B$7:$C$10, 2, FALSE)</f>
        <v>23562000</v>
      </c>
      <c r="AG79" s="48">
        <f t="shared" si="68"/>
        <v>23562000</v>
      </c>
      <c r="AH79" s="68">
        <f>'Alt. scenario LCY'!AH79*VLOOKUP(Assumptions!$D$7, Lists!$B$7:$C$10, 2, FALSE)*Assumptions!$D$10/VLOOKUP(Assumptions!$D$9, Lists!$B$7:$C$10, 2, FALSE)</f>
        <v>23388750</v>
      </c>
      <c r="AI79" s="69">
        <f>'Alt. scenario LCY'!AI79*VLOOKUP(Assumptions!$D$7, Lists!$B$7:$C$10, 2, FALSE)*Assumptions!$D$10/VLOOKUP(Assumptions!$D$9, Lists!$B$7:$C$10, 2, FALSE)</f>
        <v>23215500</v>
      </c>
      <c r="AJ79" s="69">
        <f>'Alt. scenario LCY'!AJ79*VLOOKUP(Assumptions!$D$7, Lists!$B$7:$C$10, 2, FALSE)*Assumptions!$D$10/VLOOKUP(Assumptions!$D$9, Lists!$B$7:$C$10, 2, FALSE)</f>
        <v>23042250</v>
      </c>
      <c r="AK79" s="92">
        <f>'Alt. scenario LCY'!AK79*VLOOKUP(Assumptions!$D$7, Lists!$B$7:$C$10, 2, FALSE)*Assumptions!$D$10/VLOOKUP(Assumptions!$D$9, Lists!$B$7:$C$10, 2, FALSE)</f>
        <v>22869000</v>
      </c>
      <c r="AL79" s="60">
        <f t="shared" si="69"/>
        <v>22869000</v>
      </c>
    </row>
    <row r="80" spans="1:38" ht="15.95">
      <c r="A80" s="55"/>
      <c r="C80" s="189" t="s">
        <v>316</v>
      </c>
      <c r="D80" s="68">
        <f>'Alt. scenario LCY'!D80*VLOOKUP(Assumptions!$D$7, Lists!$B$7:$C$10, 2, FALSE)*Assumptions!$D$10/VLOOKUP(Assumptions!$D$9, Lists!$B$7:$C$10, 2, FALSE)</f>
        <v>1377337.5</v>
      </c>
      <c r="E80" s="69">
        <f>'Alt. scenario LCY'!E80*VLOOKUP(Assumptions!$D$7, Lists!$B$7:$C$10, 2, FALSE)*Assumptions!$D$10/VLOOKUP(Assumptions!$D$9, Lists!$B$7:$C$10, 2, FALSE)</f>
        <v>2737350</v>
      </c>
      <c r="F80" s="69">
        <f>'Alt. scenario LCY'!F80*VLOOKUP(Assumptions!$D$7, Lists!$B$7:$C$10, 2, FALSE)*Assumptions!$D$10/VLOOKUP(Assumptions!$D$9, Lists!$B$7:$C$10, 2, FALSE)</f>
        <v>4080037.5</v>
      </c>
      <c r="G80" s="92">
        <f>'Alt. scenario LCY'!G80*VLOOKUP(Assumptions!$D$7, Lists!$B$7:$C$10, 2, FALSE)*Assumptions!$D$10/VLOOKUP(Assumptions!$D$9, Lists!$B$7:$C$10, 2, FALSE)</f>
        <v>5405400</v>
      </c>
      <c r="H80" s="91">
        <f t="shared" si="62"/>
        <v>5405400</v>
      </c>
      <c r="I80" s="68">
        <f>'Alt. scenario LCY'!I80*VLOOKUP(Assumptions!$D$7, Lists!$B$7:$C$10, 2, FALSE)*Assumptions!$D$10/VLOOKUP(Assumptions!$D$9, Lists!$B$7:$C$10, 2, FALSE)</f>
        <v>6713437.5</v>
      </c>
      <c r="J80" s="69">
        <f>'Alt. scenario LCY'!J80*VLOOKUP(Assumptions!$D$7, Lists!$B$7:$C$10, 2, FALSE)*Assumptions!$D$10/VLOOKUP(Assumptions!$D$9, Lists!$B$7:$C$10, 2, FALSE)</f>
        <v>8004150</v>
      </c>
      <c r="K80" s="69">
        <f>'Alt. scenario LCY'!K80*VLOOKUP(Assumptions!$D$7, Lists!$B$7:$C$10, 2, FALSE)*Assumptions!$D$10/VLOOKUP(Assumptions!$D$9, Lists!$B$7:$C$10, 2, FALSE)</f>
        <v>9277537.5</v>
      </c>
      <c r="L80" s="92">
        <f>'Alt. scenario LCY'!L80*VLOOKUP(Assumptions!$D$7, Lists!$B$7:$C$10, 2, FALSE)*Assumptions!$D$10/VLOOKUP(Assumptions!$D$9, Lists!$B$7:$C$10, 2, FALSE)</f>
        <v>10533600</v>
      </c>
      <c r="M80" s="57">
        <f t="shared" si="63"/>
        <v>10533600</v>
      </c>
      <c r="N80" s="68">
        <f>'Alt. scenario LCY'!N80*VLOOKUP(Assumptions!$D$7, Lists!$B$7:$C$10, 2, FALSE)*Assumptions!$D$10/VLOOKUP(Assumptions!$D$9, Lists!$B$7:$C$10, 2, FALSE)</f>
        <v>11772337.5</v>
      </c>
      <c r="O80" s="69">
        <f>'Alt. scenario LCY'!O80*VLOOKUP(Assumptions!$D$7, Lists!$B$7:$C$10, 2, FALSE)*Assumptions!$D$10/VLOOKUP(Assumptions!$D$9, Lists!$B$7:$C$10, 2, FALSE)</f>
        <v>12993750</v>
      </c>
      <c r="P80" s="69">
        <f>'Alt. scenario LCY'!P80*VLOOKUP(Assumptions!$D$7, Lists!$B$7:$C$10, 2, FALSE)*Assumptions!$D$10/VLOOKUP(Assumptions!$D$9, Lists!$B$7:$C$10, 2, FALSE)</f>
        <v>14197837.5</v>
      </c>
      <c r="Q80" s="92">
        <f>'Alt. scenario LCY'!Q80*VLOOKUP(Assumptions!$D$7, Lists!$B$7:$C$10, 2, FALSE)*Assumptions!$D$10/VLOOKUP(Assumptions!$D$9, Lists!$B$7:$C$10, 2, FALSE)</f>
        <v>15384600</v>
      </c>
      <c r="R80" s="57">
        <f t="shared" si="64"/>
        <v>15384600</v>
      </c>
      <c r="S80" s="68">
        <f>'Alt. scenario LCY'!S80*VLOOKUP(Assumptions!$D$7, Lists!$B$7:$C$10, 2, FALSE)*Assumptions!$D$10/VLOOKUP(Assumptions!$D$9, Lists!$B$7:$C$10, 2, FALSE)</f>
        <v>16554037.5</v>
      </c>
      <c r="T80" s="69">
        <f>'Alt. scenario LCY'!T80*VLOOKUP(Assumptions!$D$7, Lists!$B$7:$C$10, 2, FALSE)*Assumptions!$D$10/VLOOKUP(Assumptions!$D$9, Lists!$B$7:$C$10, 2, FALSE)</f>
        <v>17706150</v>
      </c>
      <c r="U80" s="69">
        <f>'Alt. scenario LCY'!U80*VLOOKUP(Assumptions!$D$7, Lists!$B$7:$C$10, 2, FALSE)*Assumptions!$D$10/VLOOKUP(Assumptions!$D$9, Lists!$B$7:$C$10, 2, FALSE)</f>
        <v>18840937.5</v>
      </c>
      <c r="V80" s="92">
        <f>'Alt. scenario LCY'!V80*VLOOKUP(Assumptions!$D$7, Lists!$B$7:$C$10, 2, FALSE)*Assumptions!$D$10/VLOOKUP(Assumptions!$D$9, Lists!$B$7:$C$10, 2, FALSE)</f>
        <v>19958400</v>
      </c>
      <c r="W80" s="57">
        <f t="shared" si="65"/>
        <v>19958400</v>
      </c>
      <c r="X80" s="68">
        <f>'Alt. scenario LCY'!X80*VLOOKUP(Assumptions!$D$7, Lists!$B$7:$C$10, 2, FALSE)*Assumptions!$D$10/VLOOKUP(Assumptions!$D$9, Lists!$B$7:$C$10, 2, FALSE)</f>
        <v>21058537.5</v>
      </c>
      <c r="Y80" s="69">
        <f>'Alt. scenario LCY'!Y80*VLOOKUP(Assumptions!$D$7, Lists!$B$7:$C$10, 2, FALSE)*Assumptions!$D$10/VLOOKUP(Assumptions!$D$9, Lists!$B$7:$C$10, 2, FALSE)</f>
        <v>22141350</v>
      </c>
      <c r="Z80" s="69">
        <f>'Alt. scenario LCY'!Z80*VLOOKUP(Assumptions!$D$7, Lists!$B$7:$C$10, 2, FALSE)*Assumptions!$D$10/VLOOKUP(Assumptions!$D$9, Lists!$B$7:$C$10, 2, FALSE)</f>
        <v>23206837.5</v>
      </c>
      <c r="AA80" s="92">
        <f>'Alt. scenario LCY'!AA80*VLOOKUP(Assumptions!$D$7, Lists!$B$7:$C$10, 2, FALSE)*Assumptions!$D$10/VLOOKUP(Assumptions!$D$9, Lists!$B$7:$C$10, 2, FALSE)</f>
        <v>24255000</v>
      </c>
      <c r="AB80" s="57">
        <f t="shared" si="67"/>
        <v>24255000</v>
      </c>
      <c r="AC80" s="68">
        <f>'Alt. scenario LCY'!AC80*VLOOKUP(Assumptions!$D$7, Lists!$B$7:$C$10, 2, FALSE)*Assumptions!$D$10/VLOOKUP(Assumptions!$D$9, Lists!$B$7:$C$10, 2, FALSE)</f>
        <v>24081750</v>
      </c>
      <c r="AD80" s="69">
        <f>'Alt. scenario LCY'!AD80*VLOOKUP(Assumptions!$D$7, Lists!$B$7:$C$10, 2, FALSE)*Assumptions!$D$10/VLOOKUP(Assumptions!$D$9, Lists!$B$7:$C$10, 2, FALSE)</f>
        <v>23908500</v>
      </c>
      <c r="AE80" s="69">
        <f>'Alt. scenario LCY'!AE80*VLOOKUP(Assumptions!$D$7, Lists!$B$7:$C$10, 2, FALSE)*Assumptions!$D$10/VLOOKUP(Assumptions!$D$9, Lists!$B$7:$C$10, 2, FALSE)</f>
        <v>23735250</v>
      </c>
      <c r="AF80" s="92">
        <f>'Alt. scenario LCY'!AF80*VLOOKUP(Assumptions!$D$7, Lists!$B$7:$C$10, 2, FALSE)*Assumptions!$D$10/VLOOKUP(Assumptions!$D$9, Lists!$B$7:$C$10, 2, FALSE)</f>
        <v>23562000</v>
      </c>
      <c r="AG80" s="57">
        <f t="shared" si="68"/>
        <v>23562000</v>
      </c>
      <c r="AH80" s="68">
        <f>'Alt. scenario LCY'!AH80*VLOOKUP(Assumptions!$D$7, Lists!$B$7:$C$10, 2, FALSE)*Assumptions!$D$10/VLOOKUP(Assumptions!$D$9, Lists!$B$7:$C$10, 2, FALSE)</f>
        <v>23388750</v>
      </c>
      <c r="AI80" s="69">
        <f>'Alt. scenario LCY'!AI80*VLOOKUP(Assumptions!$D$7, Lists!$B$7:$C$10, 2, FALSE)*Assumptions!$D$10/VLOOKUP(Assumptions!$D$9, Lists!$B$7:$C$10, 2, FALSE)</f>
        <v>23215500</v>
      </c>
      <c r="AJ80" s="69">
        <f>'Alt. scenario LCY'!AJ80*VLOOKUP(Assumptions!$D$7, Lists!$B$7:$C$10, 2, FALSE)*Assumptions!$D$10/VLOOKUP(Assumptions!$D$9, Lists!$B$7:$C$10, 2, FALSE)</f>
        <v>23042250</v>
      </c>
      <c r="AK80" s="92">
        <f>'Alt. scenario LCY'!AK80*VLOOKUP(Assumptions!$D$7, Lists!$B$7:$C$10, 2, FALSE)*Assumptions!$D$10/VLOOKUP(Assumptions!$D$9, Lists!$B$7:$C$10, 2, FALSE)</f>
        <v>22869000</v>
      </c>
      <c r="AL80" s="91">
        <f t="shared" si="69"/>
        <v>22869000</v>
      </c>
    </row>
    <row r="81" spans="1:38" ht="15.95">
      <c r="A81" s="55"/>
      <c r="C81" s="189" t="s">
        <v>317</v>
      </c>
      <c r="D81" s="68">
        <f>'Alt. scenario LCY'!D81*VLOOKUP(Assumptions!$D$7, Lists!$B$7:$C$10, 2, FALSE)*Assumptions!$D$10/VLOOKUP(Assumptions!$D$9, Lists!$B$7:$C$10, 2, FALSE)</f>
        <v>8264025</v>
      </c>
      <c r="E81" s="69">
        <f>'Alt. scenario LCY'!E81*VLOOKUP(Assumptions!$D$7, Lists!$B$7:$C$10, 2, FALSE)*Assumptions!$D$10/VLOOKUP(Assumptions!$D$9, Lists!$B$7:$C$10, 2, FALSE)</f>
        <v>16424100</v>
      </c>
      <c r="F81" s="69">
        <f>'Alt. scenario LCY'!F81*VLOOKUP(Assumptions!$D$7, Lists!$B$7:$C$10, 2, FALSE)*Assumptions!$D$10/VLOOKUP(Assumptions!$D$9, Lists!$B$7:$C$10, 2, FALSE)</f>
        <v>24480225</v>
      </c>
      <c r="G81" s="92">
        <f>'Alt. scenario LCY'!G81*VLOOKUP(Assumptions!$D$7, Lists!$B$7:$C$10, 2, FALSE)*Assumptions!$D$10/VLOOKUP(Assumptions!$D$9, Lists!$B$7:$C$10, 2, FALSE)</f>
        <v>32432400</v>
      </c>
      <c r="H81" s="91">
        <f t="shared" si="62"/>
        <v>32432400</v>
      </c>
      <c r="I81" s="68">
        <f>'Alt. scenario LCY'!I81*VLOOKUP(Assumptions!$D$7, Lists!$B$7:$C$10, 2, FALSE)*Assumptions!$D$10/VLOOKUP(Assumptions!$D$9, Lists!$B$7:$C$10, 2, FALSE)</f>
        <v>40280625</v>
      </c>
      <c r="J81" s="69">
        <f>'Alt. scenario LCY'!J81*VLOOKUP(Assumptions!$D$7, Lists!$B$7:$C$10, 2, FALSE)*Assumptions!$D$10/VLOOKUP(Assumptions!$D$9, Lists!$B$7:$C$10, 2, FALSE)</f>
        <v>48024900</v>
      </c>
      <c r="K81" s="69">
        <f>'Alt. scenario LCY'!K81*VLOOKUP(Assumptions!$D$7, Lists!$B$7:$C$10, 2, FALSE)*Assumptions!$D$10/VLOOKUP(Assumptions!$D$9, Lists!$B$7:$C$10, 2, FALSE)</f>
        <v>55665225</v>
      </c>
      <c r="L81" s="92">
        <f>'Alt. scenario LCY'!L81*VLOOKUP(Assumptions!$D$7, Lists!$B$7:$C$10, 2, FALSE)*Assumptions!$D$10/VLOOKUP(Assumptions!$D$9, Lists!$B$7:$C$10, 2, FALSE)</f>
        <v>63201600</v>
      </c>
      <c r="M81" s="57">
        <f t="shared" si="63"/>
        <v>63201600</v>
      </c>
      <c r="N81" s="68">
        <f>'Alt. scenario LCY'!N81*VLOOKUP(Assumptions!$D$7, Lists!$B$7:$C$10, 2, FALSE)*Assumptions!$D$10/VLOOKUP(Assumptions!$D$9, Lists!$B$7:$C$10, 2, FALSE)</f>
        <v>70634025</v>
      </c>
      <c r="O81" s="69">
        <f>'Alt. scenario LCY'!O81*VLOOKUP(Assumptions!$D$7, Lists!$B$7:$C$10, 2, FALSE)*Assumptions!$D$10/VLOOKUP(Assumptions!$D$9, Lists!$B$7:$C$10, 2, FALSE)</f>
        <v>77962500</v>
      </c>
      <c r="P81" s="69">
        <f>'Alt. scenario LCY'!P81*VLOOKUP(Assumptions!$D$7, Lists!$B$7:$C$10, 2, FALSE)*Assumptions!$D$10/VLOOKUP(Assumptions!$D$9, Lists!$B$7:$C$10, 2, FALSE)</f>
        <v>85187025</v>
      </c>
      <c r="Q81" s="92">
        <f>'Alt. scenario LCY'!Q81*VLOOKUP(Assumptions!$D$7, Lists!$B$7:$C$10, 2, FALSE)*Assumptions!$D$10/VLOOKUP(Assumptions!$D$9, Lists!$B$7:$C$10, 2, FALSE)</f>
        <v>92307600</v>
      </c>
      <c r="R81" s="57">
        <f t="shared" si="64"/>
        <v>92307600</v>
      </c>
      <c r="S81" s="68">
        <f>'Alt. scenario LCY'!S81*VLOOKUP(Assumptions!$D$7, Lists!$B$7:$C$10, 2, FALSE)*Assumptions!$D$10/VLOOKUP(Assumptions!$D$9, Lists!$B$7:$C$10, 2, FALSE)</f>
        <v>99324225</v>
      </c>
      <c r="T81" s="69">
        <f>'Alt. scenario LCY'!T81*VLOOKUP(Assumptions!$D$7, Lists!$B$7:$C$10, 2, FALSE)*Assumptions!$D$10/VLOOKUP(Assumptions!$D$9, Lists!$B$7:$C$10, 2, FALSE)</f>
        <v>106236900</v>
      </c>
      <c r="U81" s="69">
        <f>'Alt. scenario LCY'!U81*VLOOKUP(Assumptions!$D$7, Lists!$B$7:$C$10, 2, FALSE)*Assumptions!$D$10/VLOOKUP(Assumptions!$D$9, Lists!$B$7:$C$10, 2, FALSE)</f>
        <v>113045625</v>
      </c>
      <c r="V81" s="92">
        <f>'Alt. scenario LCY'!V81*VLOOKUP(Assumptions!$D$7, Lists!$B$7:$C$10, 2, FALSE)*Assumptions!$D$10/VLOOKUP(Assumptions!$D$9, Lists!$B$7:$C$10, 2, FALSE)</f>
        <v>119750400</v>
      </c>
      <c r="W81" s="57">
        <f t="shared" si="65"/>
        <v>119750400</v>
      </c>
      <c r="X81" s="68">
        <f>'Alt. scenario LCY'!X81*VLOOKUP(Assumptions!$D$7, Lists!$B$7:$C$10, 2, FALSE)*Assumptions!$D$10/VLOOKUP(Assumptions!$D$9, Lists!$B$7:$C$10, 2, FALSE)</f>
        <v>126351225</v>
      </c>
      <c r="Y81" s="69">
        <f>'Alt. scenario LCY'!Y81*VLOOKUP(Assumptions!$D$7, Lists!$B$7:$C$10, 2, FALSE)*Assumptions!$D$10/VLOOKUP(Assumptions!$D$9, Lists!$B$7:$C$10, 2, FALSE)</f>
        <v>132848100</v>
      </c>
      <c r="Z81" s="69">
        <f>'Alt. scenario LCY'!Z81*VLOOKUP(Assumptions!$D$7, Lists!$B$7:$C$10, 2, FALSE)*Assumptions!$D$10/VLOOKUP(Assumptions!$D$9, Lists!$B$7:$C$10, 2, FALSE)</f>
        <v>139241025</v>
      </c>
      <c r="AA81" s="92">
        <f>'Alt. scenario LCY'!AA81*VLOOKUP(Assumptions!$D$7, Lists!$B$7:$C$10, 2, FALSE)*Assumptions!$D$10/VLOOKUP(Assumptions!$D$9, Lists!$B$7:$C$10, 2, FALSE)</f>
        <v>145530000</v>
      </c>
      <c r="AB81" s="57">
        <f t="shared" si="67"/>
        <v>145530000</v>
      </c>
      <c r="AC81" s="68">
        <f>'Alt. scenario LCY'!AC81*VLOOKUP(Assumptions!$D$7, Lists!$B$7:$C$10, 2, FALSE)*Assumptions!$D$10/VLOOKUP(Assumptions!$D$9, Lists!$B$7:$C$10, 2, FALSE)</f>
        <v>144490500</v>
      </c>
      <c r="AD81" s="69">
        <f>'Alt. scenario LCY'!AD81*VLOOKUP(Assumptions!$D$7, Lists!$B$7:$C$10, 2, FALSE)*Assumptions!$D$10/VLOOKUP(Assumptions!$D$9, Lists!$B$7:$C$10, 2, FALSE)</f>
        <v>143451000</v>
      </c>
      <c r="AE81" s="69">
        <f>'Alt. scenario LCY'!AE81*VLOOKUP(Assumptions!$D$7, Lists!$B$7:$C$10, 2, FALSE)*Assumptions!$D$10/VLOOKUP(Assumptions!$D$9, Lists!$B$7:$C$10, 2, FALSE)</f>
        <v>142411500</v>
      </c>
      <c r="AF81" s="92">
        <f>'Alt. scenario LCY'!AF81*VLOOKUP(Assumptions!$D$7, Lists!$B$7:$C$10, 2, FALSE)*Assumptions!$D$10/VLOOKUP(Assumptions!$D$9, Lists!$B$7:$C$10, 2, FALSE)</f>
        <v>141372000</v>
      </c>
      <c r="AG81" s="57">
        <f t="shared" si="68"/>
        <v>141372000</v>
      </c>
      <c r="AH81" s="68">
        <f>'Alt. scenario LCY'!AH81*VLOOKUP(Assumptions!$D$7, Lists!$B$7:$C$10, 2, FALSE)*Assumptions!$D$10/VLOOKUP(Assumptions!$D$9, Lists!$B$7:$C$10, 2, FALSE)</f>
        <v>140332500</v>
      </c>
      <c r="AI81" s="69">
        <f>'Alt. scenario LCY'!AI81*VLOOKUP(Assumptions!$D$7, Lists!$B$7:$C$10, 2, FALSE)*Assumptions!$D$10/VLOOKUP(Assumptions!$D$9, Lists!$B$7:$C$10, 2, FALSE)</f>
        <v>139293000</v>
      </c>
      <c r="AJ81" s="69">
        <f>'Alt. scenario LCY'!AJ81*VLOOKUP(Assumptions!$D$7, Lists!$B$7:$C$10, 2, FALSE)*Assumptions!$D$10/VLOOKUP(Assumptions!$D$9, Lists!$B$7:$C$10, 2, FALSE)</f>
        <v>138253500</v>
      </c>
      <c r="AK81" s="92">
        <f>'Alt. scenario LCY'!AK81*VLOOKUP(Assumptions!$D$7, Lists!$B$7:$C$10, 2, FALSE)*Assumptions!$D$10/VLOOKUP(Assumptions!$D$9, Lists!$B$7:$C$10, 2, FALSE)</f>
        <v>137214000</v>
      </c>
      <c r="AL81" s="91">
        <f t="shared" si="69"/>
        <v>137214000</v>
      </c>
    </row>
    <row r="82" spans="1:38" s="56" customFormat="1" ht="15.95">
      <c r="A82" s="55"/>
      <c r="C82" s="189" t="s">
        <v>318</v>
      </c>
      <c r="D82" s="68">
        <f>'Alt. scenario LCY'!D82*VLOOKUP(Assumptions!$D$7, Lists!$B$7:$C$10, 2, FALSE)*Assumptions!$D$10/VLOOKUP(Assumptions!$D$9, Lists!$B$7:$C$10, 2, FALSE)</f>
        <v>8264025</v>
      </c>
      <c r="E82" s="69">
        <f>'Alt. scenario LCY'!E82*VLOOKUP(Assumptions!$D$7, Lists!$B$7:$C$10, 2, FALSE)*Assumptions!$D$10/VLOOKUP(Assumptions!$D$9, Lists!$B$7:$C$10, 2, FALSE)</f>
        <v>16424100</v>
      </c>
      <c r="F82" s="69">
        <f>'Alt. scenario LCY'!F82*VLOOKUP(Assumptions!$D$7, Lists!$B$7:$C$10, 2, FALSE)*Assumptions!$D$10/VLOOKUP(Assumptions!$D$9, Lists!$B$7:$C$10, 2, FALSE)</f>
        <v>24480225</v>
      </c>
      <c r="G82" s="92">
        <f>'Alt. scenario LCY'!G82*VLOOKUP(Assumptions!$D$7, Lists!$B$7:$C$10, 2, FALSE)*Assumptions!$D$10/VLOOKUP(Assumptions!$D$9, Lists!$B$7:$C$10, 2, FALSE)</f>
        <v>32432400</v>
      </c>
      <c r="H82" s="91">
        <f>SUM(D82:G82)</f>
        <v>81600750</v>
      </c>
      <c r="I82" s="68">
        <f>'Alt. scenario LCY'!I82*VLOOKUP(Assumptions!$D$7, Lists!$B$7:$C$10, 2, FALSE)*Assumptions!$D$10/VLOOKUP(Assumptions!$D$9, Lists!$B$7:$C$10, 2, FALSE)</f>
        <v>40280625</v>
      </c>
      <c r="J82" s="69">
        <f>'Alt. scenario LCY'!J82*VLOOKUP(Assumptions!$D$7, Lists!$B$7:$C$10, 2, FALSE)*Assumptions!$D$10/VLOOKUP(Assumptions!$D$9, Lists!$B$7:$C$10, 2, FALSE)</f>
        <v>48024900</v>
      </c>
      <c r="K82" s="69">
        <f>'Alt. scenario LCY'!K82*VLOOKUP(Assumptions!$D$7, Lists!$B$7:$C$10, 2, FALSE)*Assumptions!$D$10/VLOOKUP(Assumptions!$D$9, Lists!$B$7:$C$10, 2, FALSE)</f>
        <v>55665225</v>
      </c>
      <c r="L82" s="92">
        <f>'Alt. scenario LCY'!L82*VLOOKUP(Assumptions!$D$7, Lists!$B$7:$C$10, 2, FALSE)*Assumptions!$D$10/VLOOKUP(Assumptions!$D$9, Lists!$B$7:$C$10, 2, FALSE)</f>
        <v>63201600</v>
      </c>
      <c r="M82" s="48">
        <f>SUM(I82:L82)</f>
        <v>207172350</v>
      </c>
      <c r="N82" s="68">
        <f>'Alt. scenario LCY'!N82*VLOOKUP(Assumptions!$D$7, Lists!$B$7:$C$10, 2, FALSE)*Assumptions!$D$10/VLOOKUP(Assumptions!$D$9, Lists!$B$7:$C$10, 2, FALSE)</f>
        <v>70634025</v>
      </c>
      <c r="O82" s="69">
        <f>'Alt. scenario LCY'!O82*VLOOKUP(Assumptions!$D$7, Lists!$B$7:$C$10, 2, FALSE)*Assumptions!$D$10/VLOOKUP(Assumptions!$D$9, Lists!$B$7:$C$10, 2, FALSE)</f>
        <v>77962500</v>
      </c>
      <c r="P82" s="69">
        <f>'Alt. scenario LCY'!P82*VLOOKUP(Assumptions!$D$7, Lists!$B$7:$C$10, 2, FALSE)*Assumptions!$D$10/VLOOKUP(Assumptions!$D$9, Lists!$B$7:$C$10, 2, FALSE)</f>
        <v>85187025</v>
      </c>
      <c r="Q82" s="92">
        <f>'Alt. scenario LCY'!Q82*VLOOKUP(Assumptions!$D$7, Lists!$B$7:$C$10, 2, FALSE)*Assumptions!$D$10/VLOOKUP(Assumptions!$D$9, Lists!$B$7:$C$10, 2, FALSE)</f>
        <v>92307600</v>
      </c>
      <c r="R82" s="48">
        <f>SUM(N82:Q82)</f>
        <v>326091150</v>
      </c>
      <c r="S82" s="68">
        <f>'Alt. scenario LCY'!S82*VLOOKUP(Assumptions!$D$7, Lists!$B$7:$C$10, 2, FALSE)*Assumptions!$D$10/VLOOKUP(Assumptions!$D$9, Lists!$B$7:$C$10, 2, FALSE)</f>
        <v>99324225</v>
      </c>
      <c r="T82" s="69">
        <f>'Alt. scenario LCY'!T82*VLOOKUP(Assumptions!$D$7, Lists!$B$7:$C$10, 2, FALSE)*Assumptions!$D$10/VLOOKUP(Assumptions!$D$9, Lists!$B$7:$C$10, 2, FALSE)</f>
        <v>106236900</v>
      </c>
      <c r="U82" s="69">
        <f>'Alt. scenario LCY'!U82*VLOOKUP(Assumptions!$D$7, Lists!$B$7:$C$10, 2, FALSE)*Assumptions!$D$10/VLOOKUP(Assumptions!$D$9, Lists!$B$7:$C$10, 2, FALSE)</f>
        <v>113045625</v>
      </c>
      <c r="V82" s="92">
        <f>'Alt. scenario LCY'!V82*VLOOKUP(Assumptions!$D$7, Lists!$B$7:$C$10, 2, FALSE)*Assumptions!$D$10/VLOOKUP(Assumptions!$D$9, Lists!$B$7:$C$10, 2, FALSE)</f>
        <v>119750400</v>
      </c>
      <c r="W82" s="48">
        <f>SUM(S82:V82)</f>
        <v>438357150</v>
      </c>
      <c r="X82" s="68">
        <f>'Alt. scenario LCY'!X82*VLOOKUP(Assumptions!$D$7, Lists!$B$7:$C$10, 2, FALSE)*Assumptions!$D$10/VLOOKUP(Assumptions!$D$9, Lists!$B$7:$C$10, 2, FALSE)</f>
        <v>126351225</v>
      </c>
      <c r="Y82" s="69">
        <f>'Alt. scenario LCY'!Y82*VLOOKUP(Assumptions!$D$7, Lists!$B$7:$C$10, 2, FALSE)*Assumptions!$D$10/VLOOKUP(Assumptions!$D$9, Lists!$B$7:$C$10, 2, FALSE)</f>
        <v>132848100</v>
      </c>
      <c r="Z82" s="69">
        <f>'Alt. scenario LCY'!Z82*VLOOKUP(Assumptions!$D$7, Lists!$B$7:$C$10, 2, FALSE)*Assumptions!$D$10/VLOOKUP(Assumptions!$D$9, Lists!$B$7:$C$10, 2, FALSE)</f>
        <v>139241025</v>
      </c>
      <c r="AA82" s="92">
        <f>'Alt. scenario LCY'!AA82*VLOOKUP(Assumptions!$D$7, Lists!$B$7:$C$10, 2, FALSE)*Assumptions!$D$10/VLOOKUP(Assumptions!$D$9, Lists!$B$7:$C$10, 2, FALSE)</f>
        <v>145530000</v>
      </c>
      <c r="AB82" s="48">
        <f>SUM(X82:AA82)</f>
        <v>543970350</v>
      </c>
      <c r="AC82" s="68">
        <f>'Alt. scenario LCY'!AC82*VLOOKUP(Assumptions!$D$7, Lists!$B$7:$C$10, 2, FALSE)*Assumptions!$D$10/VLOOKUP(Assumptions!$D$9, Lists!$B$7:$C$10, 2, FALSE)</f>
        <v>144490500</v>
      </c>
      <c r="AD82" s="69">
        <f>'Alt. scenario LCY'!AD82*VLOOKUP(Assumptions!$D$7, Lists!$B$7:$C$10, 2, FALSE)*Assumptions!$D$10/VLOOKUP(Assumptions!$D$9, Lists!$B$7:$C$10, 2, FALSE)</f>
        <v>143451000</v>
      </c>
      <c r="AE82" s="69">
        <f>'Alt. scenario LCY'!AE82*VLOOKUP(Assumptions!$D$7, Lists!$B$7:$C$10, 2, FALSE)*Assumptions!$D$10/VLOOKUP(Assumptions!$D$9, Lists!$B$7:$C$10, 2, FALSE)</f>
        <v>142411500</v>
      </c>
      <c r="AF82" s="92">
        <f>'Alt. scenario LCY'!AF82*VLOOKUP(Assumptions!$D$7, Lists!$B$7:$C$10, 2, FALSE)*Assumptions!$D$10/VLOOKUP(Assumptions!$D$9, Lists!$B$7:$C$10, 2, FALSE)</f>
        <v>141372000</v>
      </c>
      <c r="AG82" s="48">
        <f>SUM(AC82:AF82)</f>
        <v>571725000</v>
      </c>
      <c r="AH82" s="68">
        <f>'Alt. scenario LCY'!AH82*VLOOKUP(Assumptions!$D$7, Lists!$B$7:$C$10, 2, FALSE)*Assumptions!$D$10/VLOOKUP(Assumptions!$D$9, Lists!$B$7:$C$10, 2, FALSE)</f>
        <v>140332500</v>
      </c>
      <c r="AI82" s="69">
        <f>'Alt. scenario LCY'!AI82*VLOOKUP(Assumptions!$D$7, Lists!$B$7:$C$10, 2, FALSE)*Assumptions!$D$10/VLOOKUP(Assumptions!$D$9, Lists!$B$7:$C$10, 2, FALSE)</f>
        <v>139293000</v>
      </c>
      <c r="AJ82" s="69">
        <f>'Alt. scenario LCY'!AJ82*VLOOKUP(Assumptions!$D$7, Lists!$B$7:$C$10, 2, FALSE)*Assumptions!$D$10/VLOOKUP(Assumptions!$D$9, Lists!$B$7:$C$10, 2, FALSE)</f>
        <v>138253500</v>
      </c>
      <c r="AK82" s="92">
        <f>'Alt. scenario LCY'!AK82*VLOOKUP(Assumptions!$D$7, Lists!$B$7:$C$10, 2, FALSE)*Assumptions!$D$10/VLOOKUP(Assumptions!$D$9, Lists!$B$7:$C$10, 2, FALSE)</f>
        <v>137214000</v>
      </c>
      <c r="AL82" s="60">
        <f>SUM(AH82:AK82)</f>
        <v>555093000</v>
      </c>
    </row>
    <row r="83" spans="1:38" s="56" customFormat="1" ht="15.95">
      <c r="A83" s="55"/>
      <c r="C83" s="189" t="s">
        <v>319</v>
      </c>
      <c r="D83" s="68">
        <f>'Alt. scenario LCY'!D83*VLOOKUP(Assumptions!$D$7, Lists!$B$7:$C$10, 2, FALSE)*Assumptions!$D$10/VLOOKUP(Assumptions!$D$9, Lists!$B$7:$C$10, 2, FALSE)</f>
        <v>8264025</v>
      </c>
      <c r="E83" s="69">
        <f>'Alt. scenario LCY'!E83*VLOOKUP(Assumptions!$D$7, Lists!$B$7:$C$10, 2, FALSE)*Assumptions!$D$10/VLOOKUP(Assumptions!$D$9, Lists!$B$7:$C$10, 2, FALSE)</f>
        <v>16424100</v>
      </c>
      <c r="F83" s="69">
        <f>'Alt. scenario LCY'!F83*VLOOKUP(Assumptions!$D$7, Lists!$B$7:$C$10, 2, FALSE)*Assumptions!$D$10/VLOOKUP(Assumptions!$D$9, Lists!$B$7:$C$10, 2, FALSE)</f>
        <v>24480225</v>
      </c>
      <c r="G83" s="92">
        <f>'Alt. scenario LCY'!G83*VLOOKUP(Assumptions!$D$7, Lists!$B$7:$C$10, 2, FALSE)*Assumptions!$D$10/VLOOKUP(Assumptions!$D$9, Lists!$B$7:$C$10, 2, FALSE)</f>
        <v>32432400</v>
      </c>
      <c r="H83" s="91">
        <f>SUM(D83:G83)</f>
        <v>81600750</v>
      </c>
      <c r="I83" s="68">
        <f>'Alt. scenario LCY'!I83*VLOOKUP(Assumptions!$D$7, Lists!$B$7:$C$10, 2, FALSE)*Assumptions!$D$10/VLOOKUP(Assumptions!$D$9, Lists!$B$7:$C$10, 2, FALSE)</f>
        <v>40280625</v>
      </c>
      <c r="J83" s="69">
        <f>'Alt. scenario LCY'!J83*VLOOKUP(Assumptions!$D$7, Lists!$B$7:$C$10, 2, FALSE)*Assumptions!$D$10/VLOOKUP(Assumptions!$D$9, Lists!$B$7:$C$10, 2, FALSE)</f>
        <v>48024900</v>
      </c>
      <c r="K83" s="69">
        <f>'Alt. scenario LCY'!K83*VLOOKUP(Assumptions!$D$7, Lists!$B$7:$C$10, 2, FALSE)*Assumptions!$D$10/VLOOKUP(Assumptions!$D$9, Lists!$B$7:$C$10, 2, FALSE)</f>
        <v>55665225</v>
      </c>
      <c r="L83" s="92">
        <f>'Alt. scenario LCY'!L83*VLOOKUP(Assumptions!$D$7, Lists!$B$7:$C$10, 2, FALSE)*Assumptions!$D$10/VLOOKUP(Assumptions!$D$9, Lists!$B$7:$C$10, 2, FALSE)</f>
        <v>63201600</v>
      </c>
      <c r="M83" s="48">
        <f>SUM(I83:L83)</f>
        <v>207172350</v>
      </c>
      <c r="N83" s="68">
        <f>'Alt. scenario LCY'!N83*VLOOKUP(Assumptions!$D$7, Lists!$B$7:$C$10, 2, FALSE)*Assumptions!$D$10/VLOOKUP(Assumptions!$D$9, Lists!$B$7:$C$10, 2, FALSE)</f>
        <v>70634025</v>
      </c>
      <c r="O83" s="69">
        <f>'Alt. scenario LCY'!O83*VLOOKUP(Assumptions!$D$7, Lists!$B$7:$C$10, 2, FALSE)*Assumptions!$D$10/VLOOKUP(Assumptions!$D$9, Lists!$B$7:$C$10, 2, FALSE)</f>
        <v>77962500</v>
      </c>
      <c r="P83" s="69">
        <f>'Alt. scenario LCY'!P83*VLOOKUP(Assumptions!$D$7, Lists!$B$7:$C$10, 2, FALSE)*Assumptions!$D$10/VLOOKUP(Assumptions!$D$9, Lists!$B$7:$C$10, 2, FALSE)</f>
        <v>85187025</v>
      </c>
      <c r="Q83" s="92">
        <f>'Alt. scenario LCY'!Q83*VLOOKUP(Assumptions!$D$7, Lists!$B$7:$C$10, 2, FALSE)*Assumptions!$D$10/VLOOKUP(Assumptions!$D$9, Lists!$B$7:$C$10, 2, FALSE)</f>
        <v>92307600</v>
      </c>
      <c r="R83" s="48">
        <f>SUM(N83:Q83)</f>
        <v>326091150</v>
      </c>
      <c r="S83" s="68">
        <f>'Alt. scenario LCY'!S83*VLOOKUP(Assumptions!$D$7, Lists!$B$7:$C$10, 2, FALSE)*Assumptions!$D$10/VLOOKUP(Assumptions!$D$9, Lists!$B$7:$C$10, 2, FALSE)</f>
        <v>99324225</v>
      </c>
      <c r="T83" s="69">
        <f>'Alt. scenario LCY'!T83*VLOOKUP(Assumptions!$D$7, Lists!$B$7:$C$10, 2, FALSE)*Assumptions!$D$10/VLOOKUP(Assumptions!$D$9, Lists!$B$7:$C$10, 2, FALSE)</f>
        <v>106236900</v>
      </c>
      <c r="U83" s="69">
        <f>'Alt. scenario LCY'!U83*VLOOKUP(Assumptions!$D$7, Lists!$B$7:$C$10, 2, FALSE)*Assumptions!$D$10/VLOOKUP(Assumptions!$D$9, Lists!$B$7:$C$10, 2, FALSE)</f>
        <v>113045625</v>
      </c>
      <c r="V83" s="92">
        <f>'Alt. scenario LCY'!V83*VLOOKUP(Assumptions!$D$7, Lists!$B$7:$C$10, 2, FALSE)*Assumptions!$D$10/VLOOKUP(Assumptions!$D$9, Lists!$B$7:$C$10, 2, FALSE)</f>
        <v>119750400</v>
      </c>
      <c r="W83" s="48">
        <f>SUM(S83:V83)</f>
        <v>438357150</v>
      </c>
      <c r="X83" s="68">
        <f>'Alt. scenario LCY'!X83*VLOOKUP(Assumptions!$D$7, Lists!$B$7:$C$10, 2, FALSE)*Assumptions!$D$10/VLOOKUP(Assumptions!$D$9, Lists!$B$7:$C$10, 2, FALSE)</f>
        <v>126351225</v>
      </c>
      <c r="Y83" s="69">
        <f>'Alt. scenario LCY'!Y83*VLOOKUP(Assumptions!$D$7, Lists!$B$7:$C$10, 2, FALSE)*Assumptions!$D$10/VLOOKUP(Assumptions!$D$9, Lists!$B$7:$C$10, 2, FALSE)</f>
        <v>132848100</v>
      </c>
      <c r="Z83" s="69">
        <f>'Alt. scenario LCY'!Z83*VLOOKUP(Assumptions!$D$7, Lists!$B$7:$C$10, 2, FALSE)*Assumptions!$D$10/VLOOKUP(Assumptions!$D$9, Lists!$B$7:$C$10, 2, FALSE)</f>
        <v>139241025</v>
      </c>
      <c r="AA83" s="92">
        <f>'Alt. scenario LCY'!AA83*VLOOKUP(Assumptions!$D$7, Lists!$B$7:$C$10, 2, FALSE)*Assumptions!$D$10/VLOOKUP(Assumptions!$D$9, Lists!$B$7:$C$10, 2, FALSE)</f>
        <v>145530000</v>
      </c>
      <c r="AB83" s="48">
        <f>SUM(X83:AA83)</f>
        <v>543970350</v>
      </c>
      <c r="AC83" s="68">
        <f>'Alt. scenario LCY'!AC83*VLOOKUP(Assumptions!$D$7, Lists!$B$7:$C$10, 2, FALSE)*Assumptions!$D$10/VLOOKUP(Assumptions!$D$9, Lists!$B$7:$C$10, 2, FALSE)</f>
        <v>144490500</v>
      </c>
      <c r="AD83" s="69">
        <f>'Alt. scenario LCY'!AD83*VLOOKUP(Assumptions!$D$7, Lists!$B$7:$C$10, 2, FALSE)*Assumptions!$D$10/VLOOKUP(Assumptions!$D$9, Lists!$B$7:$C$10, 2, FALSE)</f>
        <v>143451000</v>
      </c>
      <c r="AE83" s="69">
        <f>'Alt. scenario LCY'!AE83*VLOOKUP(Assumptions!$D$7, Lists!$B$7:$C$10, 2, FALSE)*Assumptions!$D$10/VLOOKUP(Assumptions!$D$9, Lists!$B$7:$C$10, 2, FALSE)</f>
        <v>142411500</v>
      </c>
      <c r="AF83" s="92">
        <f>'Alt. scenario LCY'!AF83*VLOOKUP(Assumptions!$D$7, Lists!$B$7:$C$10, 2, FALSE)*Assumptions!$D$10/VLOOKUP(Assumptions!$D$9, Lists!$B$7:$C$10, 2, FALSE)</f>
        <v>141372000</v>
      </c>
      <c r="AG83" s="48">
        <f>SUM(AC83:AF83)</f>
        <v>571725000</v>
      </c>
      <c r="AH83" s="68">
        <f>'Alt. scenario LCY'!AH83*VLOOKUP(Assumptions!$D$7, Lists!$B$7:$C$10, 2, FALSE)*Assumptions!$D$10/VLOOKUP(Assumptions!$D$9, Lists!$B$7:$C$10, 2, FALSE)</f>
        <v>140332500</v>
      </c>
      <c r="AI83" s="69">
        <f>'Alt. scenario LCY'!AI83*VLOOKUP(Assumptions!$D$7, Lists!$B$7:$C$10, 2, FALSE)*Assumptions!$D$10/VLOOKUP(Assumptions!$D$9, Lists!$B$7:$C$10, 2, FALSE)</f>
        <v>139293000</v>
      </c>
      <c r="AJ83" s="69">
        <f>'Alt. scenario LCY'!AJ83*VLOOKUP(Assumptions!$D$7, Lists!$B$7:$C$10, 2, FALSE)*Assumptions!$D$10/VLOOKUP(Assumptions!$D$9, Lists!$B$7:$C$10, 2, FALSE)</f>
        <v>138253500</v>
      </c>
      <c r="AK83" s="92">
        <f>'Alt. scenario LCY'!AK83*VLOOKUP(Assumptions!$D$7, Lists!$B$7:$C$10, 2, FALSE)*Assumptions!$D$10/VLOOKUP(Assumptions!$D$9, Lists!$B$7:$C$10, 2, FALSE)</f>
        <v>137214000</v>
      </c>
      <c r="AL83" s="60">
        <f>SUM(AH83:AK83)</f>
        <v>555093000</v>
      </c>
    </row>
    <row r="84" spans="1:38" s="56" customFormat="1" ht="15.95">
      <c r="A84" s="55"/>
      <c r="C84" s="189" t="s">
        <v>109</v>
      </c>
      <c r="D84" s="68">
        <f>'Alt. scenario LCY'!D84*VLOOKUP(Assumptions!$D$7, Lists!$B$7:$C$10, 2, FALSE)*Assumptions!$D$10/VLOOKUP(Assumptions!$D$9, Lists!$B$7:$C$10, 2, FALSE)</f>
        <v>275467.5</v>
      </c>
      <c r="E84" s="69">
        <f>'Alt. scenario LCY'!E84*VLOOKUP(Assumptions!$D$7, Lists!$B$7:$C$10, 2, FALSE)*Assumptions!$D$10/VLOOKUP(Assumptions!$D$9, Lists!$B$7:$C$10, 2, FALSE)</f>
        <v>547470</v>
      </c>
      <c r="F84" s="69">
        <f>'Alt. scenario LCY'!F84*VLOOKUP(Assumptions!$D$7, Lists!$B$7:$C$10, 2, FALSE)*Assumptions!$D$10/VLOOKUP(Assumptions!$D$9, Lists!$B$7:$C$10, 2, FALSE)</f>
        <v>816007.5</v>
      </c>
      <c r="G84" s="92">
        <f>'Alt. scenario LCY'!G84*VLOOKUP(Assumptions!$D$7, Lists!$B$7:$C$10, 2, FALSE)*Assumptions!$D$10/VLOOKUP(Assumptions!$D$9, Lists!$B$7:$C$10, 2, FALSE)</f>
        <v>1081080</v>
      </c>
      <c r="H84" s="91">
        <f>G84</f>
        <v>1081080</v>
      </c>
      <c r="I84" s="68">
        <f>'Alt. scenario LCY'!I84*VLOOKUP(Assumptions!$D$7, Lists!$B$7:$C$10, 2, FALSE)*Assumptions!$D$10/VLOOKUP(Assumptions!$D$9, Lists!$B$7:$C$10, 2, FALSE)</f>
        <v>1342687.5</v>
      </c>
      <c r="J84" s="69">
        <f>'Alt. scenario LCY'!J84*VLOOKUP(Assumptions!$D$7, Lists!$B$7:$C$10, 2, FALSE)*Assumptions!$D$10/VLOOKUP(Assumptions!$D$9, Lists!$B$7:$C$10, 2, FALSE)</f>
        <v>1600830</v>
      </c>
      <c r="K84" s="69">
        <f>'Alt. scenario LCY'!K84*VLOOKUP(Assumptions!$D$7, Lists!$B$7:$C$10, 2, FALSE)*Assumptions!$D$10/VLOOKUP(Assumptions!$D$9, Lists!$B$7:$C$10, 2, FALSE)</f>
        <v>1855507.5</v>
      </c>
      <c r="L84" s="92">
        <f>'Alt. scenario LCY'!L84*VLOOKUP(Assumptions!$D$7, Lists!$B$7:$C$10, 2, FALSE)*Assumptions!$D$10/VLOOKUP(Assumptions!$D$9, Lists!$B$7:$C$10, 2, FALSE)</f>
        <v>2106720</v>
      </c>
      <c r="M84" s="91">
        <f>L84</f>
        <v>2106720</v>
      </c>
      <c r="N84" s="68">
        <f>'Alt. scenario LCY'!N84*VLOOKUP(Assumptions!$D$7, Lists!$B$7:$C$10, 2, FALSE)*Assumptions!$D$10/VLOOKUP(Assumptions!$D$9, Lists!$B$7:$C$10, 2, FALSE)</f>
        <v>2354467.5</v>
      </c>
      <c r="O84" s="69">
        <f>'Alt. scenario LCY'!O84*VLOOKUP(Assumptions!$D$7, Lists!$B$7:$C$10, 2, FALSE)*Assumptions!$D$10/VLOOKUP(Assumptions!$D$9, Lists!$B$7:$C$10, 2, FALSE)</f>
        <v>2598750</v>
      </c>
      <c r="P84" s="69">
        <f>'Alt. scenario LCY'!P84*VLOOKUP(Assumptions!$D$7, Lists!$B$7:$C$10, 2, FALSE)*Assumptions!$D$10/VLOOKUP(Assumptions!$D$9, Lists!$B$7:$C$10, 2, FALSE)</f>
        <v>2839567.5</v>
      </c>
      <c r="Q84" s="92">
        <f>'Alt. scenario LCY'!Q84*VLOOKUP(Assumptions!$D$7, Lists!$B$7:$C$10, 2, FALSE)*Assumptions!$D$10/VLOOKUP(Assumptions!$D$9, Lists!$B$7:$C$10, 2, FALSE)</f>
        <v>3076920</v>
      </c>
      <c r="R84" s="91">
        <f>Q84</f>
        <v>3076920</v>
      </c>
      <c r="S84" s="68">
        <f>'Alt. scenario LCY'!S84*VLOOKUP(Assumptions!$D$7, Lists!$B$7:$C$10, 2, FALSE)*Assumptions!$D$10/VLOOKUP(Assumptions!$D$9, Lists!$B$7:$C$10, 2, FALSE)</f>
        <v>3310807.5</v>
      </c>
      <c r="T84" s="69">
        <f>'Alt. scenario LCY'!T84*VLOOKUP(Assumptions!$D$7, Lists!$B$7:$C$10, 2, FALSE)*Assumptions!$D$10/VLOOKUP(Assumptions!$D$9, Lists!$B$7:$C$10, 2, FALSE)</f>
        <v>3541230</v>
      </c>
      <c r="U84" s="69">
        <f>'Alt. scenario LCY'!U84*VLOOKUP(Assumptions!$D$7, Lists!$B$7:$C$10, 2, FALSE)*Assumptions!$D$10/VLOOKUP(Assumptions!$D$9, Lists!$B$7:$C$10, 2, FALSE)</f>
        <v>3768187.5</v>
      </c>
      <c r="V84" s="92">
        <f>'Alt. scenario LCY'!V84*VLOOKUP(Assumptions!$D$7, Lists!$B$7:$C$10, 2, FALSE)*Assumptions!$D$10/VLOOKUP(Assumptions!$D$9, Lists!$B$7:$C$10, 2, FALSE)</f>
        <v>3991680</v>
      </c>
      <c r="W84" s="91">
        <f>V84</f>
        <v>3991680</v>
      </c>
      <c r="X84" s="68">
        <f>'Alt. scenario LCY'!X84*VLOOKUP(Assumptions!$D$7, Lists!$B$7:$C$10, 2, FALSE)*Assumptions!$D$10/VLOOKUP(Assumptions!$D$9, Lists!$B$7:$C$10, 2, FALSE)</f>
        <v>4211707.5</v>
      </c>
      <c r="Y84" s="69">
        <f>'Alt. scenario LCY'!Y84*VLOOKUP(Assumptions!$D$7, Lists!$B$7:$C$10, 2, FALSE)*Assumptions!$D$10/VLOOKUP(Assumptions!$D$9, Lists!$B$7:$C$10, 2, FALSE)</f>
        <v>4428270</v>
      </c>
      <c r="Z84" s="69">
        <f>'Alt. scenario LCY'!Z84*VLOOKUP(Assumptions!$D$7, Lists!$B$7:$C$10, 2, FALSE)*Assumptions!$D$10/VLOOKUP(Assumptions!$D$9, Lists!$B$7:$C$10, 2, FALSE)</f>
        <v>4641367.5</v>
      </c>
      <c r="AA84" s="92">
        <f>'Alt. scenario LCY'!AA84*VLOOKUP(Assumptions!$D$7, Lists!$B$7:$C$10, 2, FALSE)*Assumptions!$D$10/VLOOKUP(Assumptions!$D$9, Lists!$B$7:$C$10, 2, FALSE)</f>
        <v>4851000</v>
      </c>
      <c r="AB84" s="57">
        <f>AA84</f>
        <v>4851000</v>
      </c>
      <c r="AC84" s="68">
        <f>'Alt. scenario LCY'!AC84*VLOOKUP(Assumptions!$D$7, Lists!$B$7:$C$10, 2, FALSE)*Assumptions!$D$10/VLOOKUP(Assumptions!$D$9, Lists!$B$7:$C$10, 2, FALSE)</f>
        <v>4816350</v>
      </c>
      <c r="AD84" s="69">
        <f>'Alt. scenario LCY'!AD84*VLOOKUP(Assumptions!$D$7, Lists!$B$7:$C$10, 2, FALSE)*Assumptions!$D$10/VLOOKUP(Assumptions!$D$9, Lists!$B$7:$C$10, 2, FALSE)</f>
        <v>4781700</v>
      </c>
      <c r="AE84" s="69">
        <f>'Alt. scenario LCY'!AE84*VLOOKUP(Assumptions!$D$7, Lists!$B$7:$C$10, 2, FALSE)*Assumptions!$D$10/VLOOKUP(Assumptions!$D$9, Lists!$B$7:$C$10, 2, FALSE)</f>
        <v>4747050</v>
      </c>
      <c r="AF84" s="92">
        <f>'Alt. scenario LCY'!AF84*VLOOKUP(Assumptions!$D$7, Lists!$B$7:$C$10, 2, FALSE)*Assumptions!$D$10/VLOOKUP(Assumptions!$D$9, Lists!$B$7:$C$10, 2, FALSE)</f>
        <v>4712400</v>
      </c>
      <c r="AG84" s="57">
        <f>AF84</f>
        <v>4712400</v>
      </c>
      <c r="AH84" s="68">
        <f>'Alt. scenario LCY'!AH84*VLOOKUP(Assumptions!$D$7, Lists!$B$7:$C$10, 2, FALSE)*Assumptions!$D$10/VLOOKUP(Assumptions!$D$9, Lists!$B$7:$C$10, 2, FALSE)</f>
        <v>4677750</v>
      </c>
      <c r="AI84" s="69">
        <f>'Alt. scenario LCY'!AI84*VLOOKUP(Assumptions!$D$7, Lists!$B$7:$C$10, 2, FALSE)*Assumptions!$D$10/VLOOKUP(Assumptions!$D$9, Lists!$B$7:$C$10, 2, FALSE)</f>
        <v>4643100</v>
      </c>
      <c r="AJ84" s="69">
        <f>'Alt. scenario LCY'!AJ84*VLOOKUP(Assumptions!$D$7, Lists!$B$7:$C$10, 2, FALSE)*Assumptions!$D$10/VLOOKUP(Assumptions!$D$9, Lists!$B$7:$C$10, 2, FALSE)</f>
        <v>4608450</v>
      </c>
      <c r="AK84" s="92">
        <f>'Alt. scenario LCY'!AK84*VLOOKUP(Assumptions!$D$7, Lists!$B$7:$C$10, 2, FALSE)*Assumptions!$D$10/VLOOKUP(Assumptions!$D$9, Lists!$B$7:$C$10, 2, FALSE)</f>
        <v>4573800</v>
      </c>
      <c r="AL84" s="91">
        <f>AK84</f>
        <v>4573800</v>
      </c>
    </row>
    <row r="85" spans="1:38" s="56" customFormat="1" ht="15.95">
      <c r="A85" s="55"/>
      <c r="C85" s="189" t="s">
        <v>320</v>
      </c>
      <c r="D85" s="68">
        <f>SUM(D72:D75)*Assumptions!$D$76/Assumptions!$D$75</f>
        <v>11.477812500000001</v>
      </c>
      <c r="E85" s="69">
        <f>SUM(E72:E75)*Assumptions!$D$76/Assumptions!$D$75</f>
        <v>22.811250000000001</v>
      </c>
      <c r="F85" s="69">
        <f>SUM(F72:F75)*Assumptions!$D$76/Assumptions!$D$75</f>
        <v>34.0003125</v>
      </c>
      <c r="G85" s="92">
        <f>SUM(G72:G75)*Assumptions!$D$76/Assumptions!$D$75</f>
        <v>45.045000000000002</v>
      </c>
      <c r="H85" s="62">
        <f t="shared" ref="H85:H90" si="70">AVERAGE(D85:G85)</f>
        <v>28.333593750000002</v>
      </c>
      <c r="I85" s="68">
        <f>SUM(I72:I75)*Assumptions!$D$76/Assumptions!$D$75</f>
        <v>55.9453125</v>
      </c>
      <c r="J85" s="69">
        <f>SUM(J72:J75)*Assumptions!$D$76/Assumptions!$D$75</f>
        <v>66.701250000000002</v>
      </c>
      <c r="K85" s="69">
        <f>SUM(K72:K75)*Assumptions!$D$76/Assumptions!$D$75</f>
        <v>77.312812500000007</v>
      </c>
      <c r="L85" s="92">
        <f>SUM(L72:L75)*Assumptions!$D$76/Assumptions!$D$75</f>
        <v>87.78</v>
      </c>
      <c r="M85" s="62">
        <f t="shared" ref="M85:M90" si="71">AVERAGE(I85:L85)</f>
        <v>71.934843749999999</v>
      </c>
      <c r="N85" s="68">
        <f>SUM(N72:N75)*Assumptions!$D$76/Assumptions!$D$75</f>
        <v>98.102812499999999</v>
      </c>
      <c r="O85" s="69">
        <f>SUM(O72:O75)*Assumptions!$D$76/Assumptions!$D$75</f>
        <v>108.28125</v>
      </c>
      <c r="P85" s="69">
        <f>SUM(P72:P75)*Assumptions!$D$76/Assumptions!$D$75</f>
        <v>118.3153125</v>
      </c>
      <c r="Q85" s="92">
        <f>SUM(Q72:Q75)*Assumptions!$D$76/Assumptions!$D$75</f>
        <v>128.20500000000001</v>
      </c>
      <c r="R85" s="62">
        <f t="shared" ref="R85:R90" si="72">AVERAGE(N85:Q85)</f>
        <v>113.22609375000002</v>
      </c>
      <c r="S85" s="68">
        <f>SUM(S72:S75)*Assumptions!$D$76/Assumptions!$D$75</f>
        <v>137.9503125</v>
      </c>
      <c r="T85" s="69">
        <f>SUM(T72:T75)*Assumptions!$D$76/Assumptions!$D$75</f>
        <v>147.55125000000001</v>
      </c>
      <c r="U85" s="69">
        <f>SUM(U72:U75)*Assumptions!$D$76/Assumptions!$D$75</f>
        <v>157.0078125</v>
      </c>
      <c r="V85" s="92">
        <f>SUM(V72:V75)*Assumptions!$D$76/Assumptions!$D$75</f>
        <v>166.32</v>
      </c>
      <c r="W85" s="62">
        <f t="shared" ref="W85:W90" si="73">AVERAGE(S85:V85)</f>
        <v>152.20734375000001</v>
      </c>
      <c r="X85" s="68">
        <f>SUM(X72:X75)*Assumptions!$D$76/Assumptions!$D$75</f>
        <v>175.48781249999999</v>
      </c>
      <c r="Y85" s="69">
        <f>SUM(Y72:Y75)*Assumptions!$D$76/Assumptions!$D$75</f>
        <v>184.51124999999999</v>
      </c>
      <c r="Z85" s="69">
        <f>SUM(Z72:Z75)*Assumptions!$D$76/Assumptions!$D$75</f>
        <v>193.39031249999999</v>
      </c>
      <c r="AA85" s="92">
        <f>SUM(AA72:AA75)*Assumptions!$D$76/Assumptions!$D$75</f>
        <v>202.125</v>
      </c>
      <c r="AB85" s="59">
        <f t="shared" ref="AB85:AB90" si="74">AVERAGE(X85:AA85)</f>
        <v>188.87859374999999</v>
      </c>
      <c r="AC85" s="68">
        <f>SUM(AC72:AC75)*Assumptions!$D$76/Assumptions!$D$75</f>
        <v>200.68125000000001</v>
      </c>
      <c r="AD85" s="69">
        <f>SUM(AD72:AD75)*Assumptions!$D$76/Assumptions!$D$75</f>
        <v>199.23750000000001</v>
      </c>
      <c r="AE85" s="69">
        <f>SUM(AE72:AE75)*Assumptions!$D$76/Assumptions!$D$75</f>
        <v>197.79374999999999</v>
      </c>
      <c r="AF85" s="92">
        <f>SUM(AF72:AF75)*Assumptions!$D$76/Assumptions!$D$75</f>
        <v>196.35</v>
      </c>
      <c r="AG85" s="59">
        <f t="shared" ref="AG85:AG90" si="75">AVERAGE(AC85:AF85)</f>
        <v>198.51562500000003</v>
      </c>
      <c r="AH85" s="68">
        <f>SUM(AH72:AH75)*Assumptions!$D$76/Assumptions!$D$75</f>
        <v>194.90625</v>
      </c>
      <c r="AI85" s="69">
        <f>SUM(AI72:AI75)*Assumptions!$D$76/Assumptions!$D$75</f>
        <v>193.46250000000001</v>
      </c>
      <c r="AJ85" s="69">
        <f>SUM(AJ72:AJ75)*Assumptions!$D$76/Assumptions!$D$75</f>
        <v>192.01875000000001</v>
      </c>
      <c r="AK85" s="92">
        <f>SUM(AK72:AK75)*Assumptions!$D$76/Assumptions!$D$75</f>
        <v>190.57499999999999</v>
      </c>
      <c r="AL85" s="62">
        <f t="shared" ref="AL85:AL90" si="76">AVERAGE(AH85:AK85)</f>
        <v>192.74062500000002</v>
      </c>
    </row>
    <row r="86" spans="1:38" s="56" customFormat="1" ht="15.95">
      <c r="A86" s="55"/>
      <c r="C86" s="189" t="s">
        <v>321</v>
      </c>
      <c r="D86" s="68">
        <f>ROUNDUP((SUM(D72:D75)*(1-Assumptions!$D$17))/Assumptions!$D$74,0)</f>
        <v>2</v>
      </c>
      <c r="E86" s="69">
        <f>ROUNDUP((SUM(E72:E75)*(1-Assumptions!$D$17))/Assumptions!$D$74,0)</f>
        <v>3</v>
      </c>
      <c r="F86" s="69">
        <f>ROUNDUP((SUM(F72:F75)*(1-Assumptions!$D$17))/Assumptions!$D$74,0)</f>
        <v>4</v>
      </c>
      <c r="G86" s="92">
        <f>ROUNDUP((SUM(G72:G75)*(1-Assumptions!$D$17))/Assumptions!$D$74,0)</f>
        <v>5</v>
      </c>
      <c r="H86" s="62">
        <f t="shared" si="70"/>
        <v>3.5</v>
      </c>
      <c r="I86" s="68">
        <f>ROUNDUP((SUM(I72:I75)*(1-Assumptions!$D$17))/Assumptions!$D$74,0)</f>
        <v>6</v>
      </c>
      <c r="J86" s="69">
        <f>ROUNDUP((SUM(J72:J75)*(1-Assumptions!$D$17))/Assumptions!$D$74,0)</f>
        <v>7</v>
      </c>
      <c r="K86" s="69">
        <f>ROUNDUP((SUM(K72:K75)*(1-Assumptions!$D$17))/Assumptions!$D$74,0)</f>
        <v>8</v>
      </c>
      <c r="L86" s="92">
        <f>ROUNDUP((SUM(L72:L75)*(1-Assumptions!$D$17))/Assumptions!$D$74,0)</f>
        <v>9</v>
      </c>
      <c r="M86" s="59">
        <f t="shared" si="71"/>
        <v>7.5</v>
      </c>
      <c r="N86" s="68">
        <f>ROUNDUP((SUM(N72:N75)*(1-Assumptions!$D$17))/Assumptions!$D$74,0)</f>
        <v>10</v>
      </c>
      <c r="O86" s="69">
        <f>ROUNDUP((SUM(O72:O75)*(1-Assumptions!$D$17))/Assumptions!$D$74,0)</f>
        <v>11</v>
      </c>
      <c r="P86" s="69">
        <f>ROUNDUP((SUM(P72:P75)*(1-Assumptions!$D$17))/Assumptions!$D$74,0)</f>
        <v>12</v>
      </c>
      <c r="Q86" s="92">
        <f>ROUNDUP((SUM(Q72:Q75)*(1-Assumptions!$D$17))/Assumptions!$D$74,0)</f>
        <v>13</v>
      </c>
      <c r="R86" s="59">
        <f t="shared" si="72"/>
        <v>11.5</v>
      </c>
      <c r="S86" s="68">
        <f>ROUNDUP((SUM(S72:S75)*(1-Assumptions!$D$17))/Assumptions!$D$74,0)</f>
        <v>14</v>
      </c>
      <c r="T86" s="69">
        <f>ROUNDUP((SUM(T72:T75)*(1-Assumptions!$D$17))/Assumptions!$D$74,0)</f>
        <v>15</v>
      </c>
      <c r="U86" s="69">
        <f>ROUNDUP((SUM(U72:U75)*(1-Assumptions!$D$17))/Assumptions!$D$74,0)</f>
        <v>16</v>
      </c>
      <c r="V86" s="92">
        <f>ROUNDUP((SUM(V72:V75)*(1-Assumptions!$D$17))/Assumptions!$D$74,0)</f>
        <v>17</v>
      </c>
      <c r="W86" s="59">
        <f t="shared" si="73"/>
        <v>15.5</v>
      </c>
      <c r="X86" s="68">
        <f>ROUNDUP((SUM(X72:X75)*(1-Assumptions!$D$17))/Assumptions!$D$74,0)</f>
        <v>18</v>
      </c>
      <c r="Y86" s="69">
        <f>ROUNDUP((SUM(Y72:Y75)*(1-Assumptions!$D$17))/Assumptions!$D$74,0)</f>
        <v>19</v>
      </c>
      <c r="Z86" s="69">
        <f>ROUNDUP((SUM(Z72:Z75)*(1-Assumptions!$D$17))/Assumptions!$D$74,0)</f>
        <v>20</v>
      </c>
      <c r="AA86" s="92">
        <f>ROUNDUP((SUM(AA72:AA75)*(1-Assumptions!$D$17))/Assumptions!$D$74,0)</f>
        <v>21</v>
      </c>
      <c r="AB86" s="59">
        <f t="shared" si="74"/>
        <v>19.5</v>
      </c>
      <c r="AC86" s="68">
        <f>ROUNDUP((SUM(AC72:AC75)*(1-Assumptions!$D$17))/Assumptions!$D$74,0)</f>
        <v>21</v>
      </c>
      <c r="AD86" s="69">
        <f>ROUNDUP((SUM(AD72:AD75)*(1-Assumptions!$D$17))/Assumptions!$D$74,0)</f>
        <v>20</v>
      </c>
      <c r="AE86" s="69">
        <f>ROUNDUP((SUM(AE72:AE75)*(1-Assumptions!$D$17))/Assumptions!$D$74,0)</f>
        <v>20</v>
      </c>
      <c r="AF86" s="92">
        <f>ROUNDUP((SUM(AF72:AF75)*(1-Assumptions!$D$17))/Assumptions!$D$74,0)</f>
        <v>20</v>
      </c>
      <c r="AG86" s="59">
        <f t="shared" si="75"/>
        <v>20.25</v>
      </c>
      <c r="AH86" s="68">
        <f>ROUNDUP((SUM(AH72:AH75)*(1-Assumptions!$D$17))/Assumptions!$D$74,0)</f>
        <v>20</v>
      </c>
      <c r="AI86" s="69">
        <f>ROUNDUP((SUM(AI72:AI75)*(1-Assumptions!$D$17))/Assumptions!$D$74,0)</f>
        <v>20</v>
      </c>
      <c r="AJ86" s="69">
        <f>ROUNDUP((SUM(AJ72:AJ75)*(1-Assumptions!$D$17))/Assumptions!$D$74,0)</f>
        <v>20</v>
      </c>
      <c r="AK86" s="92">
        <f>ROUNDUP((SUM(AK72:AK75)*(1-Assumptions!$D$17))/Assumptions!$D$74,0)</f>
        <v>20</v>
      </c>
      <c r="AL86" s="59">
        <f t="shared" si="76"/>
        <v>20</v>
      </c>
    </row>
    <row r="87" spans="1:38" ht="15.95">
      <c r="A87" s="36"/>
      <c r="B87" s="37"/>
      <c r="C87" s="189" t="s">
        <v>322</v>
      </c>
      <c r="D87" s="70">
        <f>ROUNDUP(SUM(D72:D75)*(1-Assumptions!$D$17)/Assumptions!$D$64,0)</f>
        <v>6</v>
      </c>
      <c r="E87" s="71">
        <f>ROUNDUP(SUM(E72:E75)*(1-Assumptions!$D$17)/Assumptions!$D$64,0)</f>
        <v>12</v>
      </c>
      <c r="F87" s="71">
        <f>ROUNDUP(SUM(F72:F75)*(1-Assumptions!$D$17)/Assumptions!$D$64,0)</f>
        <v>18</v>
      </c>
      <c r="G87" s="93">
        <f>ROUNDUP(SUM(G72:G75)*(1-Assumptions!$D$17)/Assumptions!$D$64,0)</f>
        <v>23</v>
      </c>
      <c r="H87" s="62">
        <f t="shared" si="70"/>
        <v>14.75</v>
      </c>
      <c r="I87" s="70">
        <f>ROUNDUP(SUM(I72:I75)*(1-Assumptions!$D$17)/Assumptions!$D$64,0)</f>
        <v>28</v>
      </c>
      <c r="J87" s="71">
        <f>ROUNDUP(SUM(J72:J75)*(1-Assumptions!$D$17)/Assumptions!$D$64,0)</f>
        <v>34</v>
      </c>
      <c r="K87" s="71">
        <f>ROUNDUP(SUM(K72:K75)*(1-Assumptions!$D$17)/Assumptions!$D$64,0)</f>
        <v>39</v>
      </c>
      <c r="L87" s="93">
        <f>ROUNDUP(SUM(L72:L75)*(1-Assumptions!$D$17)/Assumptions!$D$64,0)</f>
        <v>44</v>
      </c>
      <c r="M87" s="59">
        <f t="shared" si="71"/>
        <v>36.25</v>
      </c>
      <c r="N87" s="70">
        <f>ROUNDUP(SUM(N72:N75)*(1-Assumptions!$D$17)/Assumptions!$D$64,0)</f>
        <v>50</v>
      </c>
      <c r="O87" s="71">
        <f>ROUNDUP(SUM(O72:O75)*(1-Assumptions!$D$17)/Assumptions!$D$64,0)</f>
        <v>55</v>
      </c>
      <c r="P87" s="71">
        <f>ROUNDUP(SUM(P72:P75)*(1-Assumptions!$D$17)/Assumptions!$D$64,0)</f>
        <v>60</v>
      </c>
      <c r="Q87" s="93">
        <f>ROUNDUP(SUM(Q72:Q75)*(1-Assumptions!$D$17)/Assumptions!$D$64,0)</f>
        <v>65</v>
      </c>
      <c r="R87" s="59">
        <f t="shared" si="72"/>
        <v>57.5</v>
      </c>
      <c r="S87" s="70">
        <f>ROUNDUP(SUM(S72:S75)*(1-Assumptions!$D$17)/Assumptions!$D$64,0)</f>
        <v>69</v>
      </c>
      <c r="T87" s="71">
        <f>ROUNDUP(SUM(T72:T75)*(1-Assumptions!$D$17)/Assumptions!$D$64,0)</f>
        <v>74</v>
      </c>
      <c r="U87" s="71">
        <f>ROUNDUP(SUM(U72:U75)*(1-Assumptions!$D$17)/Assumptions!$D$64,0)</f>
        <v>79</v>
      </c>
      <c r="V87" s="93">
        <f>ROUNDUP(SUM(V72:V75)*(1-Assumptions!$D$17)/Assumptions!$D$64,0)</f>
        <v>84</v>
      </c>
      <c r="W87" s="59">
        <f t="shared" si="73"/>
        <v>76.5</v>
      </c>
      <c r="X87" s="70">
        <f>ROUNDUP(SUM(X72:X75)*(1-Assumptions!$D$17)/Assumptions!$D$64,0)</f>
        <v>88</v>
      </c>
      <c r="Y87" s="71">
        <f>ROUNDUP(SUM(Y72:Y75)*(1-Assumptions!$D$17)/Assumptions!$D$64,0)</f>
        <v>93</v>
      </c>
      <c r="Z87" s="71">
        <f>ROUNDUP(SUM(Z72:Z75)*(1-Assumptions!$D$17)/Assumptions!$D$64,0)</f>
        <v>97</v>
      </c>
      <c r="AA87" s="93">
        <f>ROUNDUP(SUM(AA72:AA75)*(1-Assumptions!$D$17)/Assumptions!$D$64,0)</f>
        <v>102</v>
      </c>
      <c r="AB87" s="59">
        <f t="shared" si="74"/>
        <v>95</v>
      </c>
      <c r="AC87" s="70">
        <f>ROUNDUP(SUM(AC72:AC75)*(1-Assumptions!$D$17)/Assumptions!$D$64,0)</f>
        <v>101</v>
      </c>
      <c r="AD87" s="71">
        <f>ROUNDUP(SUM(AD72:AD75)*(1-Assumptions!$D$17)/Assumptions!$D$64,0)</f>
        <v>100</v>
      </c>
      <c r="AE87" s="71">
        <f>ROUNDUP(SUM(AE72:AE75)*(1-Assumptions!$D$17)/Assumptions!$D$64,0)</f>
        <v>99</v>
      </c>
      <c r="AF87" s="93">
        <f>ROUNDUP(SUM(AF72:AF75)*(1-Assumptions!$D$17)/Assumptions!$D$64,0)</f>
        <v>99</v>
      </c>
      <c r="AG87" s="59">
        <f t="shared" si="75"/>
        <v>99.75</v>
      </c>
      <c r="AH87" s="70">
        <f>ROUNDUP(SUM(AH72:AH75)*(1-Assumptions!$D$17)/Assumptions!$D$64,0)</f>
        <v>98</v>
      </c>
      <c r="AI87" s="71">
        <f>ROUNDUP(SUM(AI72:AI75)*(1-Assumptions!$D$17)/Assumptions!$D$64,0)</f>
        <v>97</v>
      </c>
      <c r="AJ87" s="71">
        <f>ROUNDUP(SUM(AJ72:AJ75)*(1-Assumptions!$D$17)/Assumptions!$D$64,0)</f>
        <v>97</v>
      </c>
      <c r="AK87" s="93">
        <f>ROUNDUP(SUM(AK72:AK75)*(1-Assumptions!$D$17)/Assumptions!$D$64,0)</f>
        <v>96</v>
      </c>
      <c r="AL87" s="62">
        <f t="shared" si="76"/>
        <v>97</v>
      </c>
    </row>
    <row r="88" spans="1:38" s="56" customFormat="1" ht="15.95">
      <c r="A88" s="31"/>
      <c r="B88" s="32"/>
      <c r="C88" s="189" t="s">
        <v>323</v>
      </c>
      <c r="D88" s="68">
        <f>ROUNDUP(SUM(D72:D75)*(Assumptions!$D$17)/Assumptions!$D$65,0)</f>
        <v>3</v>
      </c>
      <c r="E88" s="69">
        <f>ROUNDUP(SUM(E72:E75)*(Assumptions!$D$17)/Assumptions!$D$65,0)</f>
        <v>5</v>
      </c>
      <c r="F88" s="69">
        <f>ROUNDUP(SUM(F72:F75)*(Assumptions!$D$17)/Assumptions!$D$65,0)</f>
        <v>7</v>
      </c>
      <c r="G88" s="92">
        <f>ROUNDUP(SUM(G72:G75)*(Assumptions!$D$17)/Assumptions!$D$65,0)</f>
        <v>10</v>
      </c>
      <c r="H88" s="62">
        <f t="shared" si="70"/>
        <v>6.25</v>
      </c>
      <c r="I88" s="68">
        <f>ROUNDUP(SUM(I72:I75)*(Assumptions!$D$17)/Assumptions!$D$65,0)</f>
        <v>12</v>
      </c>
      <c r="J88" s="69">
        <f>ROUNDUP(SUM(J72:J75)*(Assumptions!$D$17)/Assumptions!$D$65,0)</f>
        <v>14</v>
      </c>
      <c r="K88" s="69">
        <f>ROUNDUP(SUM(K72:K75)*(Assumptions!$D$17)/Assumptions!$D$65,0)</f>
        <v>16</v>
      </c>
      <c r="L88" s="92">
        <f>ROUNDUP(SUM(L72:L75)*(Assumptions!$D$17)/Assumptions!$D$65,0)</f>
        <v>18</v>
      </c>
      <c r="M88" s="59">
        <f t="shared" si="71"/>
        <v>15</v>
      </c>
      <c r="N88" s="68">
        <f>ROUNDUP(SUM(N72:N75)*(Assumptions!$D$17)/Assumptions!$D$65,0)</f>
        <v>20</v>
      </c>
      <c r="O88" s="69">
        <f>ROUNDUP(SUM(O72:O75)*(Assumptions!$D$17)/Assumptions!$D$65,0)</f>
        <v>22</v>
      </c>
      <c r="P88" s="69">
        <f>ROUNDUP(SUM(P72:P75)*(Assumptions!$D$17)/Assumptions!$D$65,0)</f>
        <v>24</v>
      </c>
      <c r="Q88" s="92">
        <f>ROUNDUP(SUM(Q72:Q75)*(Assumptions!$D$17)/Assumptions!$D$65,0)</f>
        <v>26</v>
      </c>
      <c r="R88" s="59">
        <f t="shared" si="72"/>
        <v>23</v>
      </c>
      <c r="S88" s="68">
        <f>ROUNDUP(SUM(S72:S75)*(Assumptions!$D$17)/Assumptions!$D$65,0)</f>
        <v>28</v>
      </c>
      <c r="T88" s="69">
        <f>ROUNDUP(SUM(T72:T75)*(Assumptions!$D$17)/Assumptions!$D$65,0)</f>
        <v>30</v>
      </c>
      <c r="U88" s="69">
        <f>ROUNDUP(SUM(U72:U75)*(Assumptions!$D$17)/Assumptions!$D$65,0)</f>
        <v>32</v>
      </c>
      <c r="V88" s="92">
        <f>ROUNDUP(SUM(V72:V75)*(Assumptions!$D$17)/Assumptions!$D$65,0)</f>
        <v>34</v>
      </c>
      <c r="W88" s="59">
        <f t="shared" si="73"/>
        <v>31</v>
      </c>
      <c r="X88" s="68">
        <f>ROUNDUP(SUM(X72:X75)*(Assumptions!$D$17)/Assumptions!$D$65,0)</f>
        <v>36</v>
      </c>
      <c r="Y88" s="69">
        <f>ROUNDUP(SUM(Y72:Y75)*(Assumptions!$D$17)/Assumptions!$D$65,0)</f>
        <v>37</v>
      </c>
      <c r="Z88" s="69">
        <f>ROUNDUP(SUM(Z72:Z75)*(Assumptions!$D$17)/Assumptions!$D$65,0)</f>
        <v>39</v>
      </c>
      <c r="AA88" s="92">
        <f>ROUNDUP(SUM(AA72:AA75)*(Assumptions!$D$17)/Assumptions!$D$65,0)</f>
        <v>41</v>
      </c>
      <c r="AB88" s="59">
        <f t="shared" si="74"/>
        <v>38.25</v>
      </c>
      <c r="AC88" s="68">
        <f>ROUNDUP(SUM(AC72:AC75)*(Assumptions!$D$17)/Assumptions!$D$65,0)</f>
        <v>41</v>
      </c>
      <c r="AD88" s="69">
        <f>ROUNDUP(SUM(AD72:AD75)*(Assumptions!$D$17)/Assumptions!$D$65,0)</f>
        <v>40</v>
      </c>
      <c r="AE88" s="69">
        <f>ROUNDUP(SUM(AE72:AE75)*(Assumptions!$D$17)/Assumptions!$D$65,0)</f>
        <v>40</v>
      </c>
      <c r="AF88" s="92">
        <f>ROUNDUP(SUM(AF72:AF75)*(Assumptions!$D$17)/Assumptions!$D$65,0)</f>
        <v>40</v>
      </c>
      <c r="AG88" s="59">
        <f t="shared" si="75"/>
        <v>40.25</v>
      </c>
      <c r="AH88" s="68">
        <f>ROUNDUP(SUM(AH72:AH75)*(Assumptions!$D$17)/Assumptions!$D$65,0)</f>
        <v>39</v>
      </c>
      <c r="AI88" s="69">
        <f>ROUNDUP(SUM(AI72:AI75)*(Assumptions!$D$17)/Assumptions!$D$65,0)</f>
        <v>39</v>
      </c>
      <c r="AJ88" s="69">
        <f>ROUNDUP(SUM(AJ72:AJ75)*(Assumptions!$D$17)/Assumptions!$D$65,0)</f>
        <v>39</v>
      </c>
      <c r="AK88" s="92">
        <f>ROUNDUP(SUM(AK72:AK75)*(Assumptions!$D$17)/Assumptions!$D$65,0)</f>
        <v>39</v>
      </c>
      <c r="AL88" s="62">
        <f t="shared" si="76"/>
        <v>39</v>
      </c>
    </row>
    <row r="89" spans="1:38" s="56" customFormat="1" ht="15.95">
      <c r="A89" s="31"/>
      <c r="B89" s="32"/>
      <c r="C89" s="189" t="s">
        <v>324</v>
      </c>
      <c r="D89" s="68">
        <f>ROUNDUP(SUM(D72:D75)*(AVERAGE(Assumptions!$D$41:$D$44)+Assumptions!$D$46+Assumptions!$D$48)/Assumptions!$D$67,0)</f>
        <v>2</v>
      </c>
      <c r="E89" s="69">
        <f>ROUNDUP(SUM(E72:E75)*(AVERAGE(Assumptions!$D$41:$D$44)+Assumptions!$D$46+Assumptions!$D$48)/Assumptions!$D$67,0)</f>
        <v>3</v>
      </c>
      <c r="F89" s="69">
        <f>ROUNDUP(SUM(F72:F75)*(AVERAGE(Assumptions!$D$41:$D$44)+Assumptions!$D$46+Assumptions!$D$48)/Assumptions!$D$67,0)</f>
        <v>4</v>
      </c>
      <c r="G89" s="92">
        <f>ROUNDUP(SUM(G72:G75)*(AVERAGE(Assumptions!$D$41:$D$44)+Assumptions!$D$46+Assumptions!$D$48)/Assumptions!$D$67,0)</f>
        <v>5</v>
      </c>
      <c r="H89" s="62">
        <f t="shared" si="70"/>
        <v>3.5</v>
      </c>
      <c r="I89" s="68">
        <f>ROUNDUP(SUM(I72:I75)*(AVERAGE(Assumptions!$D$41:$D$44)+Assumptions!$D$46+Assumptions!$D$48)/Assumptions!$D$67,0)</f>
        <v>7</v>
      </c>
      <c r="J89" s="69">
        <f>ROUNDUP(SUM(J72:J75)*(AVERAGE(Assumptions!$D$41:$D$44)+Assumptions!$D$46+Assumptions!$D$48)/Assumptions!$D$67,0)</f>
        <v>8</v>
      </c>
      <c r="K89" s="69">
        <f>ROUNDUP(SUM(K72:K75)*(AVERAGE(Assumptions!$D$41:$D$44)+Assumptions!$D$46+Assumptions!$D$48)/Assumptions!$D$67,0)</f>
        <v>9</v>
      </c>
      <c r="L89" s="92">
        <f>ROUNDUP(SUM(L72:L75)*(AVERAGE(Assumptions!$D$41:$D$44)+Assumptions!$D$46+Assumptions!$D$48)/Assumptions!$D$67,0)</f>
        <v>10</v>
      </c>
      <c r="M89" s="59">
        <f t="shared" si="71"/>
        <v>8.5</v>
      </c>
      <c r="N89" s="68">
        <f>ROUNDUP(SUM(N72:N75)*(AVERAGE(Assumptions!$D$41:$D$44)+Assumptions!$D$46+Assumptions!$D$48)/Assumptions!$D$67,0)</f>
        <v>11</v>
      </c>
      <c r="O89" s="69">
        <f>ROUNDUP(SUM(O72:O75)*(AVERAGE(Assumptions!$D$41:$D$44)+Assumptions!$D$46+Assumptions!$D$48)/Assumptions!$D$67,0)</f>
        <v>12</v>
      </c>
      <c r="P89" s="69">
        <f>ROUNDUP(SUM(P72:P75)*(AVERAGE(Assumptions!$D$41:$D$44)+Assumptions!$D$46+Assumptions!$D$48)/Assumptions!$D$67,0)</f>
        <v>14</v>
      </c>
      <c r="Q89" s="92">
        <f>ROUNDUP(SUM(Q72:Q75)*(AVERAGE(Assumptions!$D$41:$D$44)+Assumptions!$D$46+Assumptions!$D$48)/Assumptions!$D$67,0)</f>
        <v>15</v>
      </c>
      <c r="R89" s="59">
        <f t="shared" si="72"/>
        <v>13</v>
      </c>
      <c r="S89" s="68">
        <f>ROUNDUP(SUM(S72:S75)*(AVERAGE(Assumptions!$D$41:$D$44)+Assumptions!$D$46+Assumptions!$D$48)/Assumptions!$D$67,0)</f>
        <v>16</v>
      </c>
      <c r="T89" s="69">
        <f>ROUNDUP(SUM(T72:T75)*(AVERAGE(Assumptions!$D$41:$D$44)+Assumptions!$D$46+Assumptions!$D$48)/Assumptions!$D$67,0)</f>
        <v>17</v>
      </c>
      <c r="U89" s="69">
        <f>ROUNDUP(SUM(U72:U75)*(AVERAGE(Assumptions!$D$41:$D$44)+Assumptions!$D$46+Assumptions!$D$48)/Assumptions!$D$67,0)</f>
        <v>18</v>
      </c>
      <c r="V89" s="92">
        <f>ROUNDUP(SUM(V72:V75)*(AVERAGE(Assumptions!$D$41:$D$44)+Assumptions!$D$46+Assumptions!$D$48)/Assumptions!$D$67,0)</f>
        <v>19</v>
      </c>
      <c r="W89" s="59">
        <f t="shared" si="73"/>
        <v>17.5</v>
      </c>
      <c r="X89" s="68">
        <f>ROUNDUP(SUM(X72:X75)*(AVERAGE(Assumptions!$D$41:$D$44)+Assumptions!$D$46+Assumptions!$D$48)/Assumptions!$D$67,0)</f>
        <v>20</v>
      </c>
      <c r="Y89" s="69">
        <f>ROUNDUP(SUM(Y72:Y75)*(AVERAGE(Assumptions!$D$41:$D$44)+Assumptions!$D$46+Assumptions!$D$48)/Assumptions!$D$67,0)</f>
        <v>21</v>
      </c>
      <c r="Z89" s="69">
        <f>ROUNDUP(SUM(Z72:Z75)*(AVERAGE(Assumptions!$D$41:$D$44)+Assumptions!$D$46+Assumptions!$D$48)/Assumptions!$D$67,0)</f>
        <v>22</v>
      </c>
      <c r="AA89" s="92">
        <f>ROUNDUP(SUM(AA72:AA75)*(AVERAGE(Assumptions!$D$41:$D$44)+Assumptions!$D$46+Assumptions!$D$48)/Assumptions!$D$67,0)</f>
        <v>23</v>
      </c>
      <c r="AB89" s="59">
        <f t="shared" si="74"/>
        <v>21.5</v>
      </c>
      <c r="AC89" s="68">
        <f>ROUNDUP(SUM(AC72:AC75)*(AVERAGE(Assumptions!$D$41:$D$44)+Assumptions!$D$46+Assumptions!$D$48)/Assumptions!$D$67,0)</f>
        <v>23</v>
      </c>
      <c r="AD89" s="69">
        <f>ROUNDUP(SUM(AD72:AD75)*(AVERAGE(Assumptions!$D$41:$D$44)+Assumptions!$D$46+Assumptions!$D$48)/Assumptions!$D$67,0)</f>
        <v>22</v>
      </c>
      <c r="AE89" s="69">
        <f>ROUNDUP(SUM(AE72:AE75)*(AVERAGE(Assumptions!$D$41:$D$44)+Assumptions!$D$46+Assumptions!$D$48)/Assumptions!$D$67,0)</f>
        <v>22</v>
      </c>
      <c r="AF89" s="92">
        <f>ROUNDUP(SUM(AF72:AF75)*(AVERAGE(Assumptions!$D$41:$D$44)+Assumptions!$D$46+Assumptions!$D$48)/Assumptions!$D$67,0)</f>
        <v>22</v>
      </c>
      <c r="AG89" s="59">
        <f t="shared" si="75"/>
        <v>22.25</v>
      </c>
      <c r="AH89" s="68">
        <f>ROUNDUP(SUM(AH72:AH75)*(AVERAGE(Assumptions!$D$41:$D$44)+Assumptions!$D$46+Assumptions!$D$48)/Assumptions!$D$67,0)</f>
        <v>22</v>
      </c>
      <c r="AI89" s="69">
        <f>ROUNDUP(SUM(AI72:AI75)*(AVERAGE(Assumptions!$D$41:$D$44)+Assumptions!$D$46+Assumptions!$D$48)/Assumptions!$D$67,0)</f>
        <v>22</v>
      </c>
      <c r="AJ89" s="69">
        <f>ROUNDUP(SUM(AJ72:AJ75)*(AVERAGE(Assumptions!$D$41:$D$44)+Assumptions!$D$46+Assumptions!$D$48)/Assumptions!$D$67,0)</f>
        <v>22</v>
      </c>
      <c r="AK89" s="92">
        <f>ROUNDUP(SUM(AK72:AK75)*(AVERAGE(Assumptions!$D$41:$D$44)+Assumptions!$D$46+Assumptions!$D$48)/Assumptions!$D$67,0)</f>
        <v>21</v>
      </c>
      <c r="AL89" s="62">
        <f t="shared" si="76"/>
        <v>21.75</v>
      </c>
    </row>
    <row r="90" spans="1:38" s="56" customFormat="1" ht="17.100000000000001" thickBot="1">
      <c r="A90" s="190"/>
      <c r="B90" s="191"/>
      <c r="C90" s="192" t="s">
        <v>325</v>
      </c>
      <c r="D90" s="94">
        <f>ROUNDUP(SUM(D72:D75)/Assumptions!$D$67,0)</f>
        <v>3</v>
      </c>
      <c r="E90" s="95">
        <f>ROUNDUP(SUM(E72:E75)/Assumptions!$D$67,0)</f>
        <v>5</v>
      </c>
      <c r="F90" s="95">
        <f>ROUNDUP(SUM(F72:F75)/Assumptions!$D$67,0)</f>
        <v>7</v>
      </c>
      <c r="G90" s="96">
        <f>ROUNDUP(SUM(G72:G75)/Assumptions!$D$67,0)</f>
        <v>10</v>
      </c>
      <c r="H90" s="98">
        <f t="shared" si="70"/>
        <v>6.25</v>
      </c>
      <c r="I90" s="94">
        <f>ROUNDUP(SUM(I72:I75)/Assumptions!$D$67,0)</f>
        <v>12</v>
      </c>
      <c r="J90" s="95">
        <f>ROUNDUP(SUM(J72:J75)/Assumptions!$D$67,0)</f>
        <v>14</v>
      </c>
      <c r="K90" s="95">
        <f>ROUNDUP(SUM(K72:K75)/Assumptions!$D$67,0)</f>
        <v>16</v>
      </c>
      <c r="L90" s="96">
        <f>ROUNDUP(SUM(L72:L75)/Assumptions!$D$67,0)</f>
        <v>18</v>
      </c>
      <c r="M90" s="99">
        <f t="shared" si="71"/>
        <v>15</v>
      </c>
      <c r="N90" s="94">
        <f>ROUNDUP(SUM(N72:N75)/Assumptions!$D$67,0)</f>
        <v>20</v>
      </c>
      <c r="O90" s="95">
        <f>ROUNDUP(SUM(O72:O75)/Assumptions!$D$67,0)</f>
        <v>22</v>
      </c>
      <c r="P90" s="95">
        <f>ROUNDUP(SUM(P72:P75)/Assumptions!$D$67,0)</f>
        <v>24</v>
      </c>
      <c r="Q90" s="96">
        <f>ROUNDUP(SUM(Q72:Q75)/Assumptions!$D$67,0)</f>
        <v>26</v>
      </c>
      <c r="R90" s="99">
        <f t="shared" si="72"/>
        <v>23</v>
      </c>
      <c r="S90" s="94">
        <f>ROUNDUP(SUM(S72:S75)/Assumptions!$D$67,0)</f>
        <v>28</v>
      </c>
      <c r="T90" s="95">
        <f>ROUNDUP(SUM(T72:T75)/Assumptions!$D$67,0)</f>
        <v>30</v>
      </c>
      <c r="U90" s="95">
        <f>ROUNDUP(SUM(U72:U75)/Assumptions!$D$67,0)</f>
        <v>32</v>
      </c>
      <c r="V90" s="96">
        <f>ROUNDUP(SUM(V72:V75)/Assumptions!$D$67,0)</f>
        <v>34</v>
      </c>
      <c r="W90" s="99">
        <f t="shared" si="73"/>
        <v>31</v>
      </c>
      <c r="X90" s="94">
        <f>ROUNDUP(SUM(X72:X75)/Assumptions!$D$67,0)</f>
        <v>36</v>
      </c>
      <c r="Y90" s="95">
        <f>ROUNDUP(SUM(Y72:Y75)/Assumptions!$D$67,0)</f>
        <v>37</v>
      </c>
      <c r="Z90" s="95">
        <f>ROUNDUP(SUM(Z72:Z75)/Assumptions!$D$67,0)</f>
        <v>39</v>
      </c>
      <c r="AA90" s="96">
        <f>ROUNDUP(SUM(AA72:AA75)/Assumptions!$D$67,0)</f>
        <v>41</v>
      </c>
      <c r="AB90" s="99">
        <f t="shared" si="74"/>
        <v>38.25</v>
      </c>
      <c r="AC90" s="94">
        <f>ROUNDUP(SUM(AC72:AC75)/Assumptions!$D$67,0)</f>
        <v>41</v>
      </c>
      <c r="AD90" s="95">
        <f>ROUNDUP(SUM(AD72:AD75)/Assumptions!$D$67,0)</f>
        <v>40</v>
      </c>
      <c r="AE90" s="95">
        <f>ROUNDUP(SUM(AE72:AE75)/Assumptions!$D$67,0)</f>
        <v>40</v>
      </c>
      <c r="AF90" s="96">
        <f>ROUNDUP(SUM(AF72:AF75)/Assumptions!$D$67,0)</f>
        <v>40</v>
      </c>
      <c r="AG90" s="99">
        <f t="shared" si="75"/>
        <v>40.25</v>
      </c>
      <c r="AH90" s="94">
        <f>ROUNDUP(SUM(AH72:AH75)/Assumptions!$D$67,0)</f>
        <v>39</v>
      </c>
      <c r="AI90" s="95">
        <f>ROUNDUP(SUM(AI72:AI75)/Assumptions!$D$67,0)</f>
        <v>39</v>
      </c>
      <c r="AJ90" s="95">
        <f>ROUNDUP(SUM(AJ72:AJ75)/Assumptions!$D$67,0)</f>
        <v>39</v>
      </c>
      <c r="AK90" s="96">
        <f>ROUNDUP(SUM(AK72:AK75)/Assumptions!$D$67,0)</f>
        <v>39</v>
      </c>
      <c r="AL90" s="98">
        <f t="shared" si="76"/>
        <v>39</v>
      </c>
    </row>
    <row r="91" spans="1:38">
      <c r="AL91" s="32">
        <f>SUM(AL64:AL90)-SUM('Key financial and ops fig.s COM'!AL64:AL90)</f>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6111-DC9F-4EF0-939C-9C77F00E7435}">
  <sheetPr>
    <tabColor rgb="FFFFD15D"/>
  </sheetPr>
  <dimension ref="A1:BU179"/>
  <sheetViews>
    <sheetView workbookViewId="0">
      <selection activeCell="M60" sqref="M60"/>
    </sheetView>
  </sheetViews>
  <sheetFormatPr defaultColWidth="9" defaultRowHeight="15" outlineLevelRow="2" outlineLevelCol="1"/>
  <cols>
    <col min="1" max="2" width="2.7109375" style="32" customWidth="1"/>
    <col min="3" max="3" width="51.85546875" style="32" customWidth="1"/>
    <col min="4" max="7" width="16.7109375" style="32" hidden="1" customWidth="1" outlineLevel="1"/>
    <col min="8" max="8" width="16.7109375" style="32" customWidth="1" collapsed="1"/>
    <col min="9" max="12" width="16.7109375" style="32" hidden="1" customWidth="1" outlineLevel="1"/>
    <col min="13" max="13" width="16.7109375" style="32" customWidth="1" collapsed="1"/>
    <col min="14" max="17" width="16.7109375" style="32" hidden="1" customWidth="1" outlineLevel="1"/>
    <col min="18" max="18" width="16.7109375" style="32" customWidth="1" collapsed="1"/>
    <col min="19" max="22" width="16.7109375" style="32" hidden="1" customWidth="1" outlineLevel="1"/>
    <col min="23" max="23" width="16.7109375" style="32" customWidth="1" collapsed="1"/>
    <col min="24" max="27" width="16.7109375" style="32" hidden="1" customWidth="1" outlineLevel="1"/>
    <col min="28" max="28" width="16.7109375" style="32" customWidth="1" collapsed="1"/>
    <col min="29" max="32" width="16.7109375" style="32" hidden="1" customWidth="1" outlineLevel="1"/>
    <col min="33" max="33" width="16.7109375" style="32" customWidth="1" collapsed="1"/>
    <col min="34" max="37" width="16.7109375" style="32" hidden="1" customWidth="1" outlineLevel="1"/>
    <col min="38" max="38" width="16.7109375" style="32" customWidth="1" collapsed="1"/>
    <col min="39" max="42" width="16.7109375" style="32" hidden="1" customWidth="1" outlineLevel="1"/>
    <col min="43" max="43" width="16.7109375" style="32" customWidth="1" collapsed="1"/>
    <col min="44" max="47" width="16.7109375" style="32" hidden="1" customWidth="1" outlineLevel="1"/>
    <col min="48" max="48" width="16.7109375" style="32" customWidth="1" collapsed="1"/>
    <col min="49" max="52" width="16.7109375" style="32" hidden="1" customWidth="1" outlineLevel="1"/>
    <col min="53" max="53" width="16.7109375" style="32" customWidth="1" collapsed="1"/>
    <col min="54" max="57" width="16.7109375" style="32" hidden="1" customWidth="1" outlineLevel="1"/>
    <col min="58" max="58" width="16.7109375" style="32" customWidth="1" collapsed="1"/>
    <col min="59" max="62" width="16.7109375" style="32" hidden="1" customWidth="1" outlineLevel="1"/>
    <col min="63" max="63" width="16.7109375" style="32" customWidth="1" collapsed="1"/>
    <col min="64" max="67" width="16.7109375" style="32" hidden="1" customWidth="1" outlineLevel="1"/>
    <col min="68" max="68" width="16.7109375" style="32" customWidth="1" collapsed="1"/>
    <col min="69" max="72" width="16.7109375" style="32" hidden="1" customWidth="1" outlineLevel="1"/>
    <col min="73" max="73" width="16.7109375" style="32" customWidth="1" collapsed="1"/>
    <col min="74" max="80" width="9" style="32"/>
    <col min="81" max="81" width="11.28515625" style="32" bestFit="1" customWidth="1"/>
    <col min="82" max="83" width="10.7109375" style="32" bestFit="1" customWidth="1"/>
    <col min="84" max="87" width="12.140625" style="32" bestFit="1" customWidth="1"/>
    <col min="88" max="16384" width="9" style="32"/>
  </cols>
  <sheetData>
    <row r="1" spans="1:73" s="3" customFormat="1" ht="86.1" customHeight="1">
      <c r="B1" s="4"/>
    </row>
    <row r="2" spans="1:73" s="3" customFormat="1" ht="15.95">
      <c r="B2" s="4"/>
      <c r="C2" s="3" t="s">
        <v>0</v>
      </c>
    </row>
    <row r="3" spans="1:73" s="5" customFormat="1" ht="15.95">
      <c r="B3" s="6"/>
      <c r="C3" s="5" t="s">
        <v>326</v>
      </c>
    </row>
    <row r="4" spans="1:73" s="5" customFormat="1" ht="15.95">
      <c r="B4" s="6"/>
    </row>
    <row r="6" spans="1:73" s="210" customFormat="1" ht="15.95" thickBot="1">
      <c r="A6" s="211" t="str">
        <f>IF(Assumptions!D7&lt;&gt;Lists!B2,CONCATENATE("Comparison of two scenarios in ",Assumptions!D7," of ",Assumptions!D6),CONCATENATE("Comparison of two scenarios in ",Assumptions!D6))</f>
        <v>Comparison of two scenarios in ALL</v>
      </c>
    </row>
    <row r="7" spans="1:73" ht="33" thickBot="1">
      <c r="A7" s="88" t="s">
        <v>213</v>
      </c>
      <c r="B7" s="29"/>
      <c r="C7" s="30"/>
      <c r="D7" s="205" t="s">
        <v>214</v>
      </c>
      <c r="E7" s="205" t="s">
        <v>215</v>
      </c>
      <c r="F7" s="205" t="s">
        <v>216</v>
      </c>
      <c r="G7" s="205" t="s">
        <v>217</v>
      </c>
      <c r="H7" s="212" t="s">
        <v>218</v>
      </c>
      <c r="I7" s="205" t="str">
        <f>CONCATENATE("Alternative scenario for ",D7)</f>
        <v>Alternative scenario for Q1 Y1</v>
      </c>
      <c r="J7" s="205" t="str">
        <f t="shared" ref="J7:M7" si="0">CONCATENATE("Alternative scenario for ",E7)</f>
        <v>Alternative scenario for Q2 Y1</v>
      </c>
      <c r="K7" s="205" t="str">
        <f t="shared" si="0"/>
        <v>Alternative scenario for Q3 Y1</v>
      </c>
      <c r="L7" s="205" t="str">
        <f t="shared" si="0"/>
        <v>Alternative scenario for Q4 Y1</v>
      </c>
      <c r="M7" s="229" t="str">
        <f t="shared" si="0"/>
        <v>Alternative scenario for Y1</v>
      </c>
      <c r="N7" s="205" t="s">
        <v>219</v>
      </c>
      <c r="O7" s="205" t="s">
        <v>220</v>
      </c>
      <c r="P7" s="205" t="s">
        <v>221</v>
      </c>
      <c r="Q7" s="205" t="s">
        <v>222</v>
      </c>
      <c r="R7" s="212" t="s">
        <v>223</v>
      </c>
      <c r="S7" s="205" t="str">
        <f>CONCATENATE("Alternative scenario for ",N7)</f>
        <v>Alternative scenario for Q1 Y2</v>
      </c>
      <c r="T7" s="205" t="str">
        <f t="shared" ref="T7" si="1">CONCATENATE("Alternative scenario for ",O7)</f>
        <v>Alternative scenario for Q2 Y2</v>
      </c>
      <c r="U7" s="205" t="str">
        <f t="shared" ref="U7" si="2">CONCATENATE("Alternative scenario for ",P7)</f>
        <v>Alternative scenario for Q3 Y2</v>
      </c>
      <c r="V7" s="205" t="str">
        <f t="shared" ref="V7" si="3">CONCATENATE("Alternative scenario for ",Q7)</f>
        <v>Alternative scenario for Q4 Y2</v>
      </c>
      <c r="W7" s="229" t="str">
        <f t="shared" ref="W7" si="4">CONCATENATE("Alternative scenario for ",R7)</f>
        <v>Alternative scenario for Y2</v>
      </c>
      <c r="X7" s="205" t="s">
        <v>224</v>
      </c>
      <c r="Y7" s="205" t="s">
        <v>225</v>
      </c>
      <c r="Z7" s="205" t="s">
        <v>226</v>
      </c>
      <c r="AA7" s="205" t="s">
        <v>227</v>
      </c>
      <c r="AB7" s="212" t="s">
        <v>228</v>
      </c>
      <c r="AC7" s="205" t="str">
        <f>CONCATENATE("Alternative scenario for ",X7)</f>
        <v>Alternative scenario for Q1 Y3</v>
      </c>
      <c r="AD7" s="205" t="str">
        <f t="shared" ref="AD7" si="5">CONCATENATE("Alternative scenario for ",Y7)</f>
        <v>Alternative scenario for Q2 Y3</v>
      </c>
      <c r="AE7" s="205" t="str">
        <f t="shared" ref="AE7" si="6">CONCATENATE("Alternative scenario for ",Z7)</f>
        <v>Alternative scenario for Q3 Y3</v>
      </c>
      <c r="AF7" s="205" t="str">
        <f t="shared" ref="AF7" si="7">CONCATENATE("Alternative scenario for ",AA7)</f>
        <v>Alternative scenario for Q4 Y3</v>
      </c>
      <c r="AG7" s="229" t="str">
        <f t="shared" ref="AG7" si="8">CONCATENATE("Alternative scenario for ",AB7)</f>
        <v>Alternative scenario for Y3</v>
      </c>
      <c r="AH7" s="205" t="s">
        <v>229</v>
      </c>
      <c r="AI7" s="205" t="s">
        <v>230</v>
      </c>
      <c r="AJ7" s="205" t="s">
        <v>231</v>
      </c>
      <c r="AK7" s="205" t="s">
        <v>232</v>
      </c>
      <c r="AL7" s="212" t="s">
        <v>233</v>
      </c>
      <c r="AM7" s="205" t="str">
        <f>CONCATENATE("Alternative scenario for ",AH7)</f>
        <v>Alternative scenario for Q1 Y4</v>
      </c>
      <c r="AN7" s="205" t="str">
        <f t="shared" ref="AN7" si="9">CONCATENATE("Alternative scenario for ",AI7)</f>
        <v>Alternative scenario for Q2 Y4</v>
      </c>
      <c r="AO7" s="205" t="str">
        <f t="shared" ref="AO7" si="10">CONCATENATE("Alternative scenario for ",AJ7)</f>
        <v>Alternative scenario for Q3 Y4</v>
      </c>
      <c r="AP7" s="205" t="str">
        <f t="shared" ref="AP7" si="11">CONCATENATE("Alternative scenario for ",AK7)</f>
        <v>Alternative scenario for Q4 Y4</v>
      </c>
      <c r="AQ7" s="229" t="str">
        <f t="shared" ref="AQ7" si="12">CONCATENATE("Alternative scenario for ",AL7)</f>
        <v>Alternative scenario for Y4</v>
      </c>
      <c r="AR7" s="205" t="s">
        <v>234</v>
      </c>
      <c r="AS7" s="205" t="s">
        <v>235</v>
      </c>
      <c r="AT7" s="205" t="s">
        <v>236</v>
      </c>
      <c r="AU7" s="205" t="s">
        <v>237</v>
      </c>
      <c r="AV7" s="212" t="s">
        <v>238</v>
      </c>
      <c r="AW7" s="205" t="str">
        <f>CONCATENATE("Alternative scenario for ",AR7)</f>
        <v>Alternative scenario for Q1 Y5</v>
      </c>
      <c r="AX7" s="205" t="str">
        <f t="shared" ref="AX7" si="13">CONCATENATE("Alternative scenario for ",AS7)</f>
        <v>Alternative scenario for Q2 Y5</v>
      </c>
      <c r="AY7" s="205" t="str">
        <f t="shared" ref="AY7" si="14">CONCATENATE("Alternative scenario for ",AT7)</f>
        <v>Alternative scenario for Q3 Y5</v>
      </c>
      <c r="AZ7" s="205" t="str">
        <f t="shared" ref="AZ7" si="15">CONCATENATE("Alternative scenario for ",AU7)</f>
        <v>Alternative scenario for Q4 Y5</v>
      </c>
      <c r="BA7" s="229" t="str">
        <f t="shared" ref="BA7" si="16">CONCATENATE("Alternative scenario for ",AV7)</f>
        <v>Alternative scenario for Y5</v>
      </c>
      <c r="BB7" s="205" t="s">
        <v>239</v>
      </c>
      <c r="BC7" s="205" t="s">
        <v>240</v>
      </c>
      <c r="BD7" s="205" t="s">
        <v>241</v>
      </c>
      <c r="BE7" s="205" t="s">
        <v>242</v>
      </c>
      <c r="BF7" s="212" t="s">
        <v>243</v>
      </c>
      <c r="BG7" s="205" t="str">
        <f>CONCATENATE("Alternative scenario for ",BB7)</f>
        <v>Alternative scenario for Q1 Y6</v>
      </c>
      <c r="BH7" s="205" t="str">
        <f t="shared" ref="BH7" si="17">CONCATENATE("Alternative scenario for ",BC7)</f>
        <v>Alternative scenario for Q2 Y6</v>
      </c>
      <c r="BI7" s="205" t="str">
        <f t="shared" ref="BI7" si="18">CONCATENATE("Alternative scenario for ",BD7)</f>
        <v>Alternative scenario for Q3 Y6</v>
      </c>
      <c r="BJ7" s="205" t="str">
        <f t="shared" ref="BJ7" si="19">CONCATENATE("Alternative scenario for ",BE7)</f>
        <v>Alternative scenario for Q4 Y6</v>
      </c>
      <c r="BK7" s="229" t="str">
        <f t="shared" ref="BK7" si="20">CONCATENATE("Alternative scenario for ",BF7)</f>
        <v>Alternative scenario for Y6</v>
      </c>
      <c r="BL7" s="205" t="s">
        <v>244</v>
      </c>
      <c r="BM7" s="205" t="s">
        <v>245</v>
      </c>
      <c r="BN7" s="205" t="s">
        <v>246</v>
      </c>
      <c r="BO7" s="205" t="s">
        <v>247</v>
      </c>
      <c r="BP7" s="212" t="s">
        <v>248</v>
      </c>
      <c r="BQ7" s="205" t="str">
        <f>CONCATENATE("Alternative scenario for ",BL7)</f>
        <v>Alternative scenario for Q1 Y7</v>
      </c>
      <c r="BR7" s="205" t="str">
        <f t="shared" ref="BR7" si="21">CONCATENATE("Alternative scenario for ",BM7)</f>
        <v>Alternative scenario for Q2 Y7</v>
      </c>
      <c r="BS7" s="205" t="str">
        <f t="shared" ref="BS7" si="22">CONCATENATE("Alternative scenario for ",BN7)</f>
        <v>Alternative scenario for Q3 Y7</v>
      </c>
      <c r="BT7" s="205" t="str">
        <f t="shared" ref="BT7" si="23">CONCATENATE("Alternative scenario for ",BO7)</f>
        <v>Alternative scenario for Q4 Y7</v>
      </c>
      <c r="BU7" s="229" t="str">
        <f t="shared" ref="BU7" si="24">CONCATENATE("Alternative scenario for ",BP7)</f>
        <v>Alternative scenario for Y7</v>
      </c>
    </row>
    <row r="8" spans="1:73" ht="17.100000000000001" hidden="1" outlineLevel="2" thickBot="1">
      <c r="A8" s="31"/>
      <c r="C8" s="32" t="s">
        <v>249</v>
      </c>
      <c r="D8" s="183">
        <f>'Key financial and ops fig.s LCY'!D6</f>
        <v>9316406.25</v>
      </c>
      <c r="E8" s="183">
        <f>'Key financial and ops fig.s LCY'!E6</f>
        <v>18515625</v>
      </c>
      <c r="F8" s="183">
        <f>'Key financial and ops fig.s LCY'!F6</f>
        <v>27597656.250000004</v>
      </c>
      <c r="G8" s="183">
        <f>'Key financial and ops fig.s LCY'!G6</f>
        <v>36562500</v>
      </c>
      <c r="H8" s="213">
        <f>'Key financial and ops fig.s LCY'!H6</f>
        <v>91992187.5</v>
      </c>
      <c r="I8" s="183">
        <f>'Alt. scenario LCY'!D6</f>
        <v>9316406.25</v>
      </c>
      <c r="J8" s="183">
        <f>'Alt. scenario LCY'!E6</f>
        <v>18515625</v>
      </c>
      <c r="K8" s="183">
        <f>'Alt. scenario LCY'!F6</f>
        <v>27597656.250000004</v>
      </c>
      <c r="L8" s="183">
        <f>'Alt. scenario LCY'!G6</f>
        <v>36562500</v>
      </c>
      <c r="M8" s="230">
        <f>'Alt. scenario LCY'!H6</f>
        <v>91992187.5</v>
      </c>
      <c r="N8" s="183">
        <f>'Key financial and ops fig.s LCY'!I6</f>
        <v>45410156.25</v>
      </c>
      <c r="O8" s="183">
        <f>'Key financial and ops fig.s LCY'!J6</f>
        <v>54140625.000000007</v>
      </c>
      <c r="P8" s="183">
        <f>'Key financial and ops fig.s LCY'!K6</f>
        <v>62753906.250000007</v>
      </c>
      <c r="Q8" s="183">
        <f>'Key financial and ops fig.s LCY'!L6</f>
        <v>71250000</v>
      </c>
      <c r="R8" s="213">
        <f>'Key financial and ops fig.s LCY'!M6</f>
        <v>233554687.5</v>
      </c>
      <c r="S8" s="183">
        <f>'Alt. scenario LCY'!I6</f>
        <v>45410156.25</v>
      </c>
      <c r="T8" s="183">
        <f>'Alt. scenario LCY'!J6</f>
        <v>54140625.000000007</v>
      </c>
      <c r="U8" s="183">
        <f>'Alt. scenario LCY'!K6</f>
        <v>62753906.250000007</v>
      </c>
      <c r="V8" s="183">
        <f>'Alt. scenario LCY'!L6</f>
        <v>71250000</v>
      </c>
      <c r="W8" s="230">
        <f>'Alt. scenario LCY'!M6</f>
        <v>233554687.5</v>
      </c>
      <c r="X8" s="183">
        <f>'Key financial and ops fig.s LCY'!N6</f>
        <v>79628906.25</v>
      </c>
      <c r="Y8" s="183">
        <f>'Key financial and ops fig.s LCY'!O6</f>
        <v>87890625</v>
      </c>
      <c r="Z8" s="183">
        <f>'Key financial and ops fig.s LCY'!P6</f>
        <v>96035156.250000015</v>
      </c>
      <c r="AA8" s="183">
        <f>'Key financial and ops fig.s LCY'!Q6</f>
        <v>104062500.00000001</v>
      </c>
      <c r="AB8" s="213">
        <f>'Key financial and ops fig.s LCY'!R6</f>
        <v>367617187.5</v>
      </c>
      <c r="AC8" s="183">
        <f>'Alt. scenario LCY'!N6</f>
        <v>79628906.25</v>
      </c>
      <c r="AD8" s="183">
        <f>'Alt. scenario LCY'!O6</f>
        <v>87890625</v>
      </c>
      <c r="AE8" s="183">
        <f>'Alt. scenario LCY'!P6</f>
        <v>96035156.250000015</v>
      </c>
      <c r="AF8" s="183">
        <f>'Alt. scenario LCY'!Q6</f>
        <v>104062500.00000001</v>
      </c>
      <c r="AG8" s="230">
        <f>'Alt. scenario LCY'!R6</f>
        <v>367617187.5</v>
      </c>
      <c r="AH8" s="183">
        <f>'Key financial and ops fig.s LCY'!S6</f>
        <v>111972656.25000001</v>
      </c>
      <c r="AI8" s="183">
        <f>'Key financial and ops fig.s LCY'!T6</f>
        <v>119765625.00000001</v>
      </c>
      <c r="AJ8" s="183">
        <f>'Key financial and ops fig.s LCY'!U6</f>
        <v>127441406.25000001</v>
      </c>
      <c r="AK8" s="183">
        <f>'Key financial and ops fig.s LCY'!V6</f>
        <v>135000000</v>
      </c>
      <c r="AL8" s="213">
        <f>'Key financial and ops fig.s LCY'!W6</f>
        <v>494179687.50000006</v>
      </c>
      <c r="AM8" s="183">
        <f>'Alt. scenario LCY'!S6</f>
        <v>111972656.25000001</v>
      </c>
      <c r="AN8" s="183">
        <f>'Alt. scenario LCY'!T6</f>
        <v>119765625.00000001</v>
      </c>
      <c r="AO8" s="183">
        <f>'Alt. scenario LCY'!U6</f>
        <v>127441406.25000001</v>
      </c>
      <c r="AP8" s="183">
        <f>'Alt. scenario LCY'!V6</f>
        <v>135000000</v>
      </c>
      <c r="AQ8" s="230">
        <f>'Alt. scenario LCY'!W6</f>
        <v>494179687.50000006</v>
      </c>
      <c r="AR8" s="183">
        <f>'Key financial and ops fig.s LCY'!X6</f>
        <v>142441406.25</v>
      </c>
      <c r="AS8" s="183">
        <f>'Key financial and ops fig.s LCY'!Y6</f>
        <v>149765625</v>
      </c>
      <c r="AT8" s="183">
        <f>'Key financial and ops fig.s LCY'!Z6</f>
        <v>156972656.25</v>
      </c>
      <c r="AU8" s="183">
        <f>'Key financial and ops fig.s LCY'!AA6</f>
        <v>164062500</v>
      </c>
      <c r="AV8" s="213">
        <f>'Key financial and ops fig.s LCY'!AB6</f>
        <v>613242187.5</v>
      </c>
      <c r="AW8" s="183">
        <f>'Alt. scenario LCY'!X6</f>
        <v>142441406.25</v>
      </c>
      <c r="AX8" s="183">
        <f>'Alt. scenario LCY'!Y6</f>
        <v>149765625</v>
      </c>
      <c r="AY8" s="183">
        <f>'Alt. scenario LCY'!Z6</f>
        <v>156972656.25</v>
      </c>
      <c r="AZ8" s="183">
        <f>'Alt. scenario LCY'!AA6</f>
        <v>164062500</v>
      </c>
      <c r="BA8" s="230">
        <f>'Alt. scenario LCY'!AB6</f>
        <v>613242187.5</v>
      </c>
      <c r="BB8" s="183">
        <f>'Key financial and ops fig.s LCY'!AC6</f>
        <v>162890625</v>
      </c>
      <c r="BC8" s="183">
        <f>'Key financial and ops fig.s LCY'!AD6</f>
        <v>161718750</v>
      </c>
      <c r="BD8" s="183">
        <f>'Key financial and ops fig.s LCY'!AE6</f>
        <v>160546875</v>
      </c>
      <c r="BE8" s="183">
        <f>'Key financial and ops fig.s LCY'!AF6</f>
        <v>159375000</v>
      </c>
      <c r="BF8" s="213">
        <f>'Key financial and ops fig.s LCY'!AG6</f>
        <v>644531250</v>
      </c>
      <c r="BG8" s="183">
        <f>'Alt. scenario LCY'!AC6</f>
        <v>162890625</v>
      </c>
      <c r="BH8" s="183">
        <f>'Alt. scenario LCY'!AD6</f>
        <v>161718750</v>
      </c>
      <c r="BI8" s="183">
        <f>'Alt. scenario LCY'!AE6</f>
        <v>160546875</v>
      </c>
      <c r="BJ8" s="183">
        <f>'Alt. scenario LCY'!AF6</f>
        <v>159375000</v>
      </c>
      <c r="BK8" s="230">
        <f>'Alt. scenario LCY'!AG6</f>
        <v>644531250</v>
      </c>
      <c r="BL8" s="183">
        <f>'Key financial and ops fig.s LCY'!AH6</f>
        <v>158203125</v>
      </c>
      <c r="BM8" s="183">
        <f>'Key financial and ops fig.s LCY'!AI6</f>
        <v>157031250</v>
      </c>
      <c r="BN8" s="183">
        <f>'Key financial and ops fig.s LCY'!AJ6</f>
        <v>155859375</v>
      </c>
      <c r="BO8" s="183">
        <f>'Key financial and ops fig.s LCY'!AK6</f>
        <v>154687500</v>
      </c>
      <c r="BP8" s="213">
        <f>'Key financial and ops fig.s LCY'!AL6</f>
        <v>625781250</v>
      </c>
      <c r="BQ8" s="183">
        <f>'Alt. scenario LCY'!AH6</f>
        <v>158203125</v>
      </c>
      <c r="BR8" s="183">
        <f>'Alt. scenario LCY'!AI6</f>
        <v>157031250</v>
      </c>
      <c r="BS8" s="183">
        <f>'Alt. scenario LCY'!AJ6</f>
        <v>155859375</v>
      </c>
      <c r="BT8" s="183">
        <f>'Alt. scenario LCY'!AK6</f>
        <v>154687500</v>
      </c>
      <c r="BU8" s="230">
        <f>'Alt. scenario LCY'!AL6</f>
        <v>625781250</v>
      </c>
    </row>
    <row r="9" spans="1:73" ht="17.100000000000001" hidden="1" outlineLevel="2" thickBot="1">
      <c r="A9" s="31"/>
      <c r="C9" s="32" t="s">
        <v>250</v>
      </c>
      <c r="D9" s="185">
        <f>'Key financial and ops fig.s LCY'!D7</f>
        <v>4304179.6875000009</v>
      </c>
      <c r="E9" s="185">
        <f>'Key financial and ops fig.s LCY'!E7</f>
        <v>8554218.7500000019</v>
      </c>
      <c r="F9" s="185">
        <f>'Key financial and ops fig.s LCY'!F7</f>
        <v>12750117.187500002</v>
      </c>
      <c r="G9" s="185">
        <f>'Key financial and ops fig.s LCY'!G7</f>
        <v>16891875.000000004</v>
      </c>
      <c r="H9" s="213">
        <f>'Key financial and ops fig.s LCY'!H7</f>
        <v>42500390.625000015</v>
      </c>
      <c r="I9" s="185">
        <f>'Alt. scenario LCY'!D7</f>
        <v>4304179.6875000009</v>
      </c>
      <c r="J9" s="185">
        <f>'Alt. scenario LCY'!E7</f>
        <v>8554218.7500000019</v>
      </c>
      <c r="K9" s="185">
        <f>'Alt. scenario LCY'!F7</f>
        <v>12750117.187500002</v>
      </c>
      <c r="L9" s="185">
        <f>'Alt. scenario LCY'!G7</f>
        <v>16891875.000000004</v>
      </c>
      <c r="M9" s="230">
        <f>'Alt. scenario LCY'!H7</f>
        <v>42500390.625000015</v>
      </c>
      <c r="N9" s="185">
        <f>'Key financial and ops fig.s LCY'!I7</f>
        <v>20979492.187500004</v>
      </c>
      <c r="O9" s="185">
        <f>'Key financial and ops fig.s LCY'!J7</f>
        <v>25012968.750000004</v>
      </c>
      <c r="P9" s="185">
        <f>'Key financial and ops fig.s LCY'!K7</f>
        <v>28992304.687500007</v>
      </c>
      <c r="Q9" s="185">
        <f>'Key financial and ops fig.s LCY'!L7</f>
        <v>32917500.000000007</v>
      </c>
      <c r="R9" s="213">
        <f>'Key financial and ops fig.s LCY'!M7</f>
        <v>107902265.62500003</v>
      </c>
      <c r="S9" s="185">
        <f>'Alt. scenario LCY'!I7</f>
        <v>20979492.187500004</v>
      </c>
      <c r="T9" s="185">
        <f>'Alt. scenario LCY'!J7</f>
        <v>25012968.750000004</v>
      </c>
      <c r="U9" s="185">
        <f>'Alt. scenario LCY'!K7</f>
        <v>28992304.687500007</v>
      </c>
      <c r="V9" s="185">
        <f>'Alt. scenario LCY'!L7</f>
        <v>32917500.000000007</v>
      </c>
      <c r="W9" s="230">
        <f>'Alt. scenario LCY'!M7</f>
        <v>107902265.62500003</v>
      </c>
      <c r="X9" s="185">
        <f>'Key financial and ops fig.s LCY'!N7</f>
        <v>36788554.687500007</v>
      </c>
      <c r="Y9" s="185">
        <f>'Key financial and ops fig.s LCY'!O7</f>
        <v>40605468.750000007</v>
      </c>
      <c r="Z9" s="185">
        <f>'Key financial and ops fig.s LCY'!P7</f>
        <v>44368242.187500007</v>
      </c>
      <c r="AA9" s="185">
        <f>'Key financial and ops fig.s LCY'!Q7</f>
        <v>48076875.000000007</v>
      </c>
      <c r="AB9" s="213">
        <f>'Key financial and ops fig.s LCY'!R7</f>
        <v>169839140.62500003</v>
      </c>
      <c r="AC9" s="185">
        <f>'Alt. scenario LCY'!N7</f>
        <v>36788554.687500007</v>
      </c>
      <c r="AD9" s="185">
        <f>'Alt. scenario LCY'!O7</f>
        <v>40605468.750000007</v>
      </c>
      <c r="AE9" s="185">
        <f>'Alt. scenario LCY'!P7</f>
        <v>44368242.187500007</v>
      </c>
      <c r="AF9" s="185">
        <f>'Alt. scenario LCY'!Q7</f>
        <v>48076875.000000007</v>
      </c>
      <c r="AG9" s="230">
        <f>'Alt. scenario LCY'!R7</f>
        <v>169839140.62500003</v>
      </c>
      <c r="AH9" s="185">
        <f>'Key financial and ops fig.s LCY'!S7</f>
        <v>51731367.187500007</v>
      </c>
      <c r="AI9" s="185">
        <f>'Key financial and ops fig.s LCY'!T7</f>
        <v>55331718.750000007</v>
      </c>
      <c r="AJ9" s="185">
        <f>'Key financial and ops fig.s LCY'!U7</f>
        <v>58877929.687500015</v>
      </c>
      <c r="AK9" s="185">
        <f>'Key financial and ops fig.s LCY'!V7</f>
        <v>62370000.000000015</v>
      </c>
      <c r="AL9" s="213">
        <f>'Key financial and ops fig.s LCY'!W7</f>
        <v>228311015.62500006</v>
      </c>
      <c r="AM9" s="185">
        <f>'Alt. scenario LCY'!S7</f>
        <v>51731367.187500007</v>
      </c>
      <c r="AN9" s="185">
        <f>'Alt. scenario LCY'!T7</f>
        <v>55331718.750000007</v>
      </c>
      <c r="AO9" s="185">
        <f>'Alt. scenario LCY'!U7</f>
        <v>58877929.687500015</v>
      </c>
      <c r="AP9" s="185">
        <f>'Alt. scenario LCY'!V7</f>
        <v>62370000.000000015</v>
      </c>
      <c r="AQ9" s="230">
        <f>'Alt. scenario LCY'!W7</f>
        <v>228311015.62500006</v>
      </c>
      <c r="AR9" s="185">
        <f>'Key financial and ops fig.s LCY'!X7</f>
        <v>65807929.687500015</v>
      </c>
      <c r="AS9" s="185">
        <f>'Key financial and ops fig.s LCY'!Y7</f>
        <v>69191718.750000015</v>
      </c>
      <c r="AT9" s="185">
        <f>'Key financial and ops fig.s LCY'!Z7</f>
        <v>72521367.187500015</v>
      </c>
      <c r="AU9" s="185">
        <f>'Key financial and ops fig.s LCY'!AA7</f>
        <v>75796875.000000015</v>
      </c>
      <c r="AV9" s="213">
        <f>'Key financial and ops fig.s LCY'!AB7</f>
        <v>283317890.62500006</v>
      </c>
      <c r="AW9" s="185">
        <f>'Alt. scenario LCY'!X7</f>
        <v>65807929.687500015</v>
      </c>
      <c r="AX9" s="185">
        <f>'Alt. scenario LCY'!Y7</f>
        <v>69191718.750000015</v>
      </c>
      <c r="AY9" s="185">
        <f>'Alt. scenario LCY'!Z7</f>
        <v>72521367.187500015</v>
      </c>
      <c r="AZ9" s="185">
        <f>'Alt. scenario LCY'!AA7</f>
        <v>75796875.000000015</v>
      </c>
      <c r="BA9" s="230">
        <f>'Alt. scenario LCY'!AB7</f>
        <v>283317890.62500006</v>
      </c>
      <c r="BB9" s="185">
        <f>'Key financial and ops fig.s LCY'!AC7</f>
        <v>75255468.750000015</v>
      </c>
      <c r="BC9" s="185">
        <f>'Key financial and ops fig.s LCY'!AD7</f>
        <v>74714062.500000015</v>
      </c>
      <c r="BD9" s="185">
        <f>'Key financial and ops fig.s LCY'!AE7</f>
        <v>74172656.250000015</v>
      </c>
      <c r="BE9" s="185">
        <f>'Key financial and ops fig.s LCY'!AF7</f>
        <v>73631250.000000015</v>
      </c>
      <c r="BF9" s="213">
        <f>'Key financial and ops fig.s LCY'!AG7</f>
        <v>297773437.50000006</v>
      </c>
      <c r="BG9" s="185">
        <f>'Alt. scenario LCY'!AC7</f>
        <v>75255468.750000015</v>
      </c>
      <c r="BH9" s="185">
        <f>'Alt. scenario LCY'!AD7</f>
        <v>74714062.500000015</v>
      </c>
      <c r="BI9" s="185">
        <f>'Alt. scenario LCY'!AE7</f>
        <v>74172656.250000015</v>
      </c>
      <c r="BJ9" s="185">
        <f>'Alt. scenario LCY'!AF7</f>
        <v>73631250.000000015</v>
      </c>
      <c r="BK9" s="230">
        <f>'Alt. scenario LCY'!AG7</f>
        <v>297773437.50000006</v>
      </c>
      <c r="BL9" s="185">
        <f>'Key financial and ops fig.s LCY'!AH7</f>
        <v>73089843.750000015</v>
      </c>
      <c r="BM9" s="185">
        <f>'Key financial and ops fig.s LCY'!AI7</f>
        <v>72548437.500000015</v>
      </c>
      <c r="BN9" s="185">
        <f>'Key financial and ops fig.s LCY'!AJ7</f>
        <v>72007031.250000015</v>
      </c>
      <c r="BO9" s="185">
        <f>'Key financial and ops fig.s LCY'!AK7</f>
        <v>71465625.000000015</v>
      </c>
      <c r="BP9" s="213">
        <f>'Key financial and ops fig.s LCY'!AL7</f>
        <v>289110937.50000006</v>
      </c>
      <c r="BQ9" s="185">
        <f>'Alt. scenario LCY'!AH7</f>
        <v>73089843.750000015</v>
      </c>
      <c r="BR9" s="185">
        <f>'Alt. scenario LCY'!AI7</f>
        <v>72548437.500000015</v>
      </c>
      <c r="BS9" s="185">
        <f>'Alt. scenario LCY'!AJ7</f>
        <v>72007031.250000015</v>
      </c>
      <c r="BT9" s="185">
        <f>'Alt. scenario LCY'!AK7</f>
        <v>71465625.000000015</v>
      </c>
      <c r="BU9" s="230">
        <f>'Alt. scenario LCY'!AL7</f>
        <v>289110937.50000006</v>
      </c>
    </row>
    <row r="10" spans="1:73" ht="17.100000000000001" hidden="1" outlineLevel="2" thickBot="1">
      <c r="A10" s="31"/>
      <c r="C10" s="32" t="s">
        <v>251</v>
      </c>
      <c r="D10" s="185">
        <f>'Key financial and ops fig.s LCY'!D8</f>
        <v>1721671.875</v>
      </c>
      <c r="E10" s="185">
        <f>'Key financial and ops fig.s LCY'!E8</f>
        <v>3421687.5</v>
      </c>
      <c r="F10" s="185">
        <f>'Key financial and ops fig.s LCY'!F8</f>
        <v>5100046.875</v>
      </c>
      <c r="G10" s="185">
        <f>'Key financial and ops fig.s LCY'!G8</f>
        <v>6756750</v>
      </c>
      <c r="H10" s="213">
        <f>'Key financial and ops fig.s LCY'!H8</f>
        <v>17000156.25</v>
      </c>
      <c r="I10" s="185">
        <f>'Alt. scenario LCY'!D8</f>
        <v>1721671.875</v>
      </c>
      <c r="J10" s="185">
        <f>'Alt. scenario LCY'!E8</f>
        <v>3421687.5</v>
      </c>
      <c r="K10" s="185">
        <f>'Alt. scenario LCY'!F8</f>
        <v>5100046.875</v>
      </c>
      <c r="L10" s="185">
        <f>'Alt. scenario LCY'!G8</f>
        <v>6756750</v>
      </c>
      <c r="M10" s="230">
        <f>'Alt. scenario LCY'!H8</f>
        <v>17000156.25</v>
      </c>
      <c r="N10" s="185">
        <f>'Key financial and ops fig.s LCY'!I8</f>
        <v>8391796.875</v>
      </c>
      <c r="O10" s="185">
        <f>'Key financial and ops fig.s LCY'!J8</f>
        <v>10005187.5</v>
      </c>
      <c r="P10" s="185">
        <f>'Key financial and ops fig.s LCY'!K8</f>
        <v>11596921.875</v>
      </c>
      <c r="Q10" s="185">
        <f>'Key financial and ops fig.s LCY'!L8</f>
        <v>13167000</v>
      </c>
      <c r="R10" s="213">
        <f>'Key financial and ops fig.s LCY'!M8</f>
        <v>43160906.25</v>
      </c>
      <c r="S10" s="185">
        <f>'Alt. scenario LCY'!I8</f>
        <v>8391796.875</v>
      </c>
      <c r="T10" s="185">
        <f>'Alt. scenario LCY'!J8</f>
        <v>10005187.5</v>
      </c>
      <c r="U10" s="185">
        <f>'Alt. scenario LCY'!K8</f>
        <v>11596921.875</v>
      </c>
      <c r="V10" s="185">
        <f>'Alt. scenario LCY'!L8</f>
        <v>13167000</v>
      </c>
      <c r="W10" s="230">
        <f>'Alt. scenario LCY'!M8</f>
        <v>43160906.25</v>
      </c>
      <c r="X10" s="185">
        <f>'Key financial and ops fig.s LCY'!N8</f>
        <v>14715421.875</v>
      </c>
      <c r="Y10" s="185">
        <f>'Key financial and ops fig.s LCY'!O8</f>
        <v>16242187.5</v>
      </c>
      <c r="Z10" s="185">
        <f>'Key financial and ops fig.s LCY'!P8</f>
        <v>17747296.875</v>
      </c>
      <c r="AA10" s="185">
        <f>'Key financial and ops fig.s LCY'!Q8</f>
        <v>19230750</v>
      </c>
      <c r="AB10" s="213">
        <f>'Key financial and ops fig.s LCY'!R8</f>
        <v>67935656.25</v>
      </c>
      <c r="AC10" s="185">
        <f>'Alt. scenario LCY'!N8</f>
        <v>14715421.875</v>
      </c>
      <c r="AD10" s="185">
        <f>'Alt. scenario LCY'!O8</f>
        <v>16242187.5</v>
      </c>
      <c r="AE10" s="185">
        <f>'Alt. scenario LCY'!P8</f>
        <v>17747296.875</v>
      </c>
      <c r="AF10" s="185">
        <f>'Alt. scenario LCY'!Q8</f>
        <v>19230750</v>
      </c>
      <c r="AG10" s="230">
        <f>'Alt. scenario LCY'!R8</f>
        <v>67935656.25</v>
      </c>
      <c r="AH10" s="185">
        <f>'Key financial and ops fig.s LCY'!S8</f>
        <v>20692546.875</v>
      </c>
      <c r="AI10" s="185">
        <f>'Key financial and ops fig.s LCY'!T8</f>
        <v>22132687.5</v>
      </c>
      <c r="AJ10" s="185">
        <f>'Key financial and ops fig.s LCY'!U8</f>
        <v>23551171.875</v>
      </c>
      <c r="AK10" s="185">
        <f>'Key financial and ops fig.s LCY'!V8</f>
        <v>24948000</v>
      </c>
      <c r="AL10" s="213">
        <f>'Key financial and ops fig.s LCY'!W8</f>
        <v>91324406.25</v>
      </c>
      <c r="AM10" s="185">
        <f>'Alt. scenario LCY'!S8</f>
        <v>20692546.875</v>
      </c>
      <c r="AN10" s="185">
        <f>'Alt. scenario LCY'!T8</f>
        <v>22132687.5</v>
      </c>
      <c r="AO10" s="185">
        <f>'Alt. scenario LCY'!U8</f>
        <v>23551171.875</v>
      </c>
      <c r="AP10" s="185">
        <f>'Alt. scenario LCY'!V8</f>
        <v>24948000</v>
      </c>
      <c r="AQ10" s="230">
        <f>'Alt. scenario LCY'!W8</f>
        <v>91324406.25</v>
      </c>
      <c r="AR10" s="185">
        <f>'Key financial and ops fig.s LCY'!X8</f>
        <v>26323171.875</v>
      </c>
      <c r="AS10" s="185">
        <f>'Key financial and ops fig.s LCY'!Y8</f>
        <v>27676687.5</v>
      </c>
      <c r="AT10" s="185">
        <f>'Key financial and ops fig.s LCY'!Z8</f>
        <v>29008546.875</v>
      </c>
      <c r="AU10" s="185">
        <f>'Key financial and ops fig.s LCY'!AA8</f>
        <v>30318750</v>
      </c>
      <c r="AV10" s="213">
        <f>'Key financial and ops fig.s LCY'!AB8</f>
        <v>113327156.25</v>
      </c>
      <c r="AW10" s="185">
        <f>'Alt. scenario LCY'!X8</f>
        <v>26323171.875</v>
      </c>
      <c r="AX10" s="185">
        <f>'Alt. scenario LCY'!Y8</f>
        <v>27676687.5</v>
      </c>
      <c r="AY10" s="185">
        <f>'Alt. scenario LCY'!Z8</f>
        <v>29008546.875</v>
      </c>
      <c r="AZ10" s="185">
        <f>'Alt. scenario LCY'!AA8</f>
        <v>30318750</v>
      </c>
      <c r="BA10" s="230">
        <f>'Alt. scenario LCY'!AB8</f>
        <v>113327156.25</v>
      </c>
      <c r="BB10" s="185">
        <f>'Key financial and ops fig.s LCY'!AC8</f>
        <v>30102187.5</v>
      </c>
      <c r="BC10" s="185">
        <f>'Key financial and ops fig.s LCY'!AD8</f>
        <v>29885625</v>
      </c>
      <c r="BD10" s="185">
        <f>'Key financial and ops fig.s LCY'!AE8</f>
        <v>29669062.5</v>
      </c>
      <c r="BE10" s="185">
        <f>'Key financial and ops fig.s LCY'!AF8</f>
        <v>29452500</v>
      </c>
      <c r="BF10" s="213">
        <f>'Key financial and ops fig.s LCY'!AG8</f>
        <v>119109375</v>
      </c>
      <c r="BG10" s="185">
        <f>'Alt. scenario LCY'!AC8</f>
        <v>30102187.5</v>
      </c>
      <c r="BH10" s="185">
        <f>'Alt. scenario LCY'!AD8</f>
        <v>29885625</v>
      </c>
      <c r="BI10" s="185">
        <f>'Alt. scenario LCY'!AE8</f>
        <v>29669062.5</v>
      </c>
      <c r="BJ10" s="185">
        <f>'Alt. scenario LCY'!AF8</f>
        <v>29452500</v>
      </c>
      <c r="BK10" s="230">
        <f>'Alt. scenario LCY'!AG8</f>
        <v>119109375</v>
      </c>
      <c r="BL10" s="185">
        <f>'Key financial and ops fig.s LCY'!AH8</f>
        <v>29235937.5</v>
      </c>
      <c r="BM10" s="185">
        <f>'Key financial and ops fig.s LCY'!AI8</f>
        <v>29019375</v>
      </c>
      <c r="BN10" s="185">
        <f>'Key financial and ops fig.s LCY'!AJ8</f>
        <v>28802812.5</v>
      </c>
      <c r="BO10" s="185">
        <f>'Key financial and ops fig.s LCY'!AK8</f>
        <v>28586250</v>
      </c>
      <c r="BP10" s="213">
        <f>'Key financial and ops fig.s LCY'!AL8</f>
        <v>115644375</v>
      </c>
      <c r="BQ10" s="185">
        <f>'Alt. scenario LCY'!AH8</f>
        <v>29235937.5</v>
      </c>
      <c r="BR10" s="185">
        <f>'Alt. scenario LCY'!AI8</f>
        <v>29019375</v>
      </c>
      <c r="BS10" s="185">
        <f>'Alt. scenario LCY'!AJ8</f>
        <v>28802812.5</v>
      </c>
      <c r="BT10" s="185">
        <f>'Alt. scenario LCY'!AK8</f>
        <v>28586250</v>
      </c>
      <c r="BU10" s="230">
        <f>'Alt. scenario LCY'!AL8</f>
        <v>115644375</v>
      </c>
    </row>
    <row r="11" spans="1:73" ht="17.100000000000001" hidden="1" outlineLevel="2" thickBot="1">
      <c r="A11" s="31"/>
      <c r="C11" s="32" t="s">
        <v>252</v>
      </c>
      <c r="D11" s="185">
        <f>'Key financial and ops fig.s LCY'!D9</f>
        <v>143472.65625000003</v>
      </c>
      <c r="E11" s="185">
        <f>'Key financial and ops fig.s LCY'!E9</f>
        <v>285140.62500000006</v>
      </c>
      <c r="F11" s="185">
        <f>'Key financial and ops fig.s LCY'!F9</f>
        <v>425003.90625000006</v>
      </c>
      <c r="G11" s="185">
        <f>'Key financial and ops fig.s LCY'!G9</f>
        <v>563062.50000000012</v>
      </c>
      <c r="H11" s="213">
        <f>'Key financial and ops fig.s LCY'!H9</f>
        <v>1416679.6875000005</v>
      </c>
      <c r="I11" s="185">
        <f>'Alt. scenario LCY'!D9</f>
        <v>143472.65625000003</v>
      </c>
      <c r="J11" s="185">
        <f>'Alt. scenario LCY'!E9</f>
        <v>285140.62500000006</v>
      </c>
      <c r="K11" s="185">
        <f>'Alt. scenario LCY'!F9</f>
        <v>425003.90625000006</v>
      </c>
      <c r="L11" s="185">
        <f>'Alt. scenario LCY'!G9</f>
        <v>563062.50000000012</v>
      </c>
      <c r="M11" s="230">
        <f>'Alt. scenario LCY'!H9</f>
        <v>1416679.6875000005</v>
      </c>
      <c r="N11" s="185">
        <f>'Key financial and ops fig.s LCY'!I9</f>
        <v>699316.40625000012</v>
      </c>
      <c r="O11" s="185">
        <f>'Key financial and ops fig.s LCY'!J9</f>
        <v>833765.62500000012</v>
      </c>
      <c r="P11" s="185">
        <f>'Key financial and ops fig.s LCY'!K9</f>
        <v>966410.15625000023</v>
      </c>
      <c r="Q11" s="185">
        <f>'Key financial and ops fig.s LCY'!L9</f>
        <v>1097250.0000000002</v>
      </c>
      <c r="R11" s="213">
        <f>'Key financial and ops fig.s LCY'!M9</f>
        <v>3596742.1875000009</v>
      </c>
      <c r="S11" s="185">
        <f>'Alt. scenario LCY'!I9</f>
        <v>699316.40625000012</v>
      </c>
      <c r="T11" s="185">
        <f>'Alt. scenario LCY'!J9</f>
        <v>833765.62500000012</v>
      </c>
      <c r="U11" s="185">
        <f>'Alt. scenario LCY'!K9</f>
        <v>966410.15625000023</v>
      </c>
      <c r="V11" s="185">
        <f>'Alt. scenario LCY'!L9</f>
        <v>1097250.0000000002</v>
      </c>
      <c r="W11" s="230">
        <f>'Alt. scenario LCY'!M9</f>
        <v>3596742.1875000009</v>
      </c>
      <c r="X11" s="185">
        <f>'Key financial and ops fig.s LCY'!N9</f>
        <v>1226285.1562500002</v>
      </c>
      <c r="Y11" s="185">
        <f>'Key financial and ops fig.s LCY'!O9</f>
        <v>1353515.6250000002</v>
      </c>
      <c r="Z11" s="185">
        <f>'Key financial and ops fig.s LCY'!P9</f>
        <v>1478941.4062500002</v>
      </c>
      <c r="AA11" s="185">
        <f>'Key financial and ops fig.s LCY'!Q9</f>
        <v>1602562.5000000002</v>
      </c>
      <c r="AB11" s="213">
        <f>'Key financial and ops fig.s LCY'!R9</f>
        <v>5661304.6875000009</v>
      </c>
      <c r="AC11" s="185">
        <f>'Alt. scenario LCY'!N9</f>
        <v>1226285.1562500002</v>
      </c>
      <c r="AD11" s="185">
        <f>'Alt. scenario LCY'!O9</f>
        <v>1353515.6250000002</v>
      </c>
      <c r="AE11" s="185">
        <f>'Alt. scenario LCY'!P9</f>
        <v>1478941.4062500002</v>
      </c>
      <c r="AF11" s="185">
        <f>'Alt. scenario LCY'!Q9</f>
        <v>1602562.5000000002</v>
      </c>
      <c r="AG11" s="230">
        <f>'Alt. scenario LCY'!R9</f>
        <v>5661304.6875000009</v>
      </c>
      <c r="AH11" s="185">
        <f>'Key financial and ops fig.s LCY'!S9</f>
        <v>1724378.9062500002</v>
      </c>
      <c r="AI11" s="185">
        <f>'Key financial and ops fig.s LCY'!T9</f>
        <v>1844390.6250000005</v>
      </c>
      <c r="AJ11" s="185">
        <f>'Key financial and ops fig.s LCY'!U9</f>
        <v>1962597.6562500005</v>
      </c>
      <c r="AK11" s="185">
        <f>'Key financial and ops fig.s LCY'!V9</f>
        <v>2079000.0000000005</v>
      </c>
      <c r="AL11" s="213">
        <f>'Key financial and ops fig.s LCY'!W9</f>
        <v>7610367.1875000019</v>
      </c>
      <c r="AM11" s="185">
        <f>'Alt. scenario LCY'!S9</f>
        <v>1724378.9062500002</v>
      </c>
      <c r="AN11" s="185">
        <f>'Alt. scenario LCY'!T9</f>
        <v>1844390.6250000005</v>
      </c>
      <c r="AO11" s="185">
        <f>'Alt. scenario LCY'!U9</f>
        <v>1962597.6562500005</v>
      </c>
      <c r="AP11" s="185">
        <f>'Alt. scenario LCY'!V9</f>
        <v>2079000.0000000005</v>
      </c>
      <c r="AQ11" s="230">
        <f>'Alt. scenario LCY'!W9</f>
        <v>7610367.1875000019</v>
      </c>
      <c r="AR11" s="185">
        <f>'Key financial and ops fig.s LCY'!X9</f>
        <v>2193597.6562500005</v>
      </c>
      <c r="AS11" s="185">
        <f>'Key financial and ops fig.s LCY'!Y9</f>
        <v>2306390.6250000005</v>
      </c>
      <c r="AT11" s="185">
        <f>'Key financial and ops fig.s LCY'!Z9</f>
        <v>2417378.9062500005</v>
      </c>
      <c r="AU11" s="185">
        <f>'Key financial and ops fig.s LCY'!AA9</f>
        <v>2526562.5000000005</v>
      </c>
      <c r="AV11" s="213">
        <f>'Key financial and ops fig.s LCY'!AB9</f>
        <v>9443929.6875000019</v>
      </c>
      <c r="AW11" s="185">
        <f>'Alt. scenario LCY'!X9</f>
        <v>2193597.6562500005</v>
      </c>
      <c r="AX11" s="185">
        <f>'Alt. scenario LCY'!Y9</f>
        <v>2306390.6250000005</v>
      </c>
      <c r="AY11" s="185">
        <f>'Alt. scenario LCY'!Z9</f>
        <v>2417378.9062500005</v>
      </c>
      <c r="AZ11" s="185">
        <f>'Alt. scenario LCY'!AA9</f>
        <v>2526562.5000000005</v>
      </c>
      <c r="BA11" s="230">
        <f>'Alt. scenario LCY'!AB9</f>
        <v>9443929.6875000019</v>
      </c>
      <c r="BB11" s="185">
        <f>'Key financial and ops fig.s LCY'!AC9</f>
        <v>2508515.6250000005</v>
      </c>
      <c r="BC11" s="185">
        <f>'Key financial and ops fig.s LCY'!AD9</f>
        <v>2490468.7500000005</v>
      </c>
      <c r="BD11" s="185">
        <f>'Key financial and ops fig.s LCY'!AE9</f>
        <v>2472421.8750000005</v>
      </c>
      <c r="BE11" s="185">
        <f>'Key financial and ops fig.s LCY'!AF9</f>
        <v>2454375.0000000005</v>
      </c>
      <c r="BF11" s="213">
        <f>'Key financial and ops fig.s LCY'!AG9</f>
        <v>9925781.2500000019</v>
      </c>
      <c r="BG11" s="185">
        <f>'Alt. scenario LCY'!AC9</f>
        <v>2508515.6250000005</v>
      </c>
      <c r="BH11" s="185">
        <f>'Alt. scenario LCY'!AD9</f>
        <v>2490468.7500000005</v>
      </c>
      <c r="BI11" s="185">
        <f>'Alt. scenario LCY'!AE9</f>
        <v>2472421.8750000005</v>
      </c>
      <c r="BJ11" s="185">
        <f>'Alt. scenario LCY'!AF9</f>
        <v>2454375.0000000005</v>
      </c>
      <c r="BK11" s="230">
        <f>'Alt. scenario LCY'!AG9</f>
        <v>9925781.2500000019</v>
      </c>
      <c r="BL11" s="185">
        <f>'Key financial and ops fig.s LCY'!AH9</f>
        <v>2436328.1250000005</v>
      </c>
      <c r="BM11" s="185">
        <f>'Key financial and ops fig.s LCY'!AI9</f>
        <v>2418281.2500000005</v>
      </c>
      <c r="BN11" s="185">
        <f>'Key financial and ops fig.s LCY'!AJ9</f>
        <v>2400234.3750000005</v>
      </c>
      <c r="BO11" s="185">
        <f>'Key financial and ops fig.s LCY'!AK9</f>
        <v>2382187.5000000005</v>
      </c>
      <c r="BP11" s="213">
        <f>'Key financial and ops fig.s LCY'!AL9</f>
        <v>9637031.2500000019</v>
      </c>
      <c r="BQ11" s="185">
        <f>'Alt. scenario LCY'!AH9</f>
        <v>2436328.1250000005</v>
      </c>
      <c r="BR11" s="185">
        <f>'Alt. scenario LCY'!AI9</f>
        <v>2418281.2500000005</v>
      </c>
      <c r="BS11" s="185">
        <f>'Alt. scenario LCY'!AJ9</f>
        <v>2400234.3750000005</v>
      </c>
      <c r="BT11" s="185">
        <f>'Alt. scenario LCY'!AK9</f>
        <v>2382187.5000000005</v>
      </c>
      <c r="BU11" s="230">
        <f>'Alt. scenario LCY'!AL9</f>
        <v>9637031.2500000019</v>
      </c>
    </row>
    <row r="12" spans="1:73" ht="17.100000000000001" hidden="1" outlineLevel="2" thickBot="1">
      <c r="A12" s="31"/>
      <c r="C12" s="32" t="s">
        <v>253</v>
      </c>
      <c r="D12" s="185">
        <f>'Key financial and ops fig.s LCY'!D10</f>
        <v>430417.96875</v>
      </c>
      <c r="E12" s="185">
        <f>'Key financial and ops fig.s LCY'!E10</f>
        <v>855421.875</v>
      </c>
      <c r="F12" s="185">
        <f>'Key financial and ops fig.s LCY'!F10</f>
        <v>1275011.71875</v>
      </c>
      <c r="G12" s="185">
        <f>'Key financial and ops fig.s LCY'!G10</f>
        <v>1689187.5</v>
      </c>
      <c r="H12" s="213">
        <f>'Key financial and ops fig.s LCY'!H10</f>
        <v>4250039.0625</v>
      </c>
      <c r="I12" s="185">
        <f>'Alt. scenario LCY'!D10</f>
        <v>430417.96875</v>
      </c>
      <c r="J12" s="185">
        <f>'Alt. scenario LCY'!E10</f>
        <v>855421.875</v>
      </c>
      <c r="K12" s="185">
        <f>'Alt. scenario LCY'!F10</f>
        <v>1275011.71875</v>
      </c>
      <c r="L12" s="185">
        <f>'Alt. scenario LCY'!G10</f>
        <v>1689187.5</v>
      </c>
      <c r="M12" s="230">
        <f>'Alt. scenario LCY'!H10</f>
        <v>4250039.0625</v>
      </c>
      <c r="N12" s="185">
        <f>'Key financial and ops fig.s LCY'!I10</f>
        <v>2097949.21875</v>
      </c>
      <c r="O12" s="185">
        <f>'Key financial and ops fig.s LCY'!J10</f>
        <v>2501296.875</v>
      </c>
      <c r="P12" s="185">
        <f>'Key financial and ops fig.s LCY'!K10</f>
        <v>2899230.46875</v>
      </c>
      <c r="Q12" s="185">
        <f>'Key financial and ops fig.s LCY'!L10</f>
        <v>3291750</v>
      </c>
      <c r="R12" s="213">
        <f>'Key financial and ops fig.s LCY'!M10</f>
        <v>10790226.5625</v>
      </c>
      <c r="S12" s="185">
        <f>'Alt. scenario LCY'!I10</f>
        <v>2097949.21875</v>
      </c>
      <c r="T12" s="185">
        <f>'Alt. scenario LCY'!J10</f>
        <v>2501296.875</v>
      </c>
      <c r="U12" s="185">
        <f>'Alt. scenario LCY'!K10</f>
        <v>2899230.46875</v>
      </c>
      <c r="V12" s="185">
        <f>'Alt. scenario LCY'!L10</f>
        <v>3291750</v>
      </c>
      <c r="W12" s="230">
        <f>'Alt. scenario LCY'!M10</f>
        <v>10790226.5625</v>
      </c>
      <c r="X12" s="185">
        <f>'Key financial and ops fig.s LCY'!N10</f>
        <v>3678855.46875</v>
      </c>
      <c r="Y12" s="185">
        <f>'Key financial and ops fig.s LCY'!O10</f>
        <v>4060546.875</v>
      </c>
      <c r="Z12" s="185">
        <f>'Key financial and ops fig.s LCY'!P10</f>
        <v>4436824.21875</v>
      </c>
      <c r="AA12" s="185">
        <f>'Key financial and ops fig.s LCY'!Q10</f>
        <v>4807687.5</v>
      </c>
      <c r="AB12" s="213">
        <f>'Key financial and ops fig.s LCY'!R10</f>
        <v>16983914.0625</v>
      </c>
      <c r="AC12" s="185">
        <f>'Alt. scenario LCY'!N10</f>
        <v>3678855.46875</v>
      </c>
      <c r="AD12" s="185">
        <f>'Alt. scenario LCY'!O10</f>
        <v>4060546.875</v>
      </c>
      <c r="AE12" s="185">
        <f>'Alt. scenario LCY'!P10</f>
        <v>4436824.21875</v>
      </c>
      <c r="AF12" s="185">
        <f>'Alt. scenario LCY'!Q10</f>
        <v>4807687.5</v>
      </c>
      <c r="AG12" s="230">
        <f>'Alt. scenario LCY'!R10</f>
        <v>16983914.0625</v>
      </c>
      <c r="AH12" s="185">
        <f>'Key financial and ops fig.s LCY'!S10</f>
        <v>5173136.71875</v>
      </c>
      <c r="AI12" s="185">
        <f>'Key financial and ops fig.s LCY'!T10</f>
        <v>5533171.875</v>
      </c>
      <c r="AJ12" s="185">
        <f>'Key financial and ops fig.s LCY'!U10</f>
        <v>5887792.96875</v>
      </c>
      <c r="AK12" s="185">
        <f>'Key financial and ops fig.s LCY'!V10</f>
        <v>6237000</v>
      </c>
      <c r="AL12" s="213">
        <f>'Key financial and ops fig.s LCY'!W10</f>
        <v>22831101.5625</v>
      </c>
      <c r="AM12" s="185">
        <f>'Alt. scenario LCY'!S10</f>
        <v>5173136.71875</v>
      </c>
      <c r="AN12" s="185">
        <f>'Alt. scenario LCY'!T10</f>
        <v>5533171.875</v>
      </c>
      <c r="AO12" s="185">
        <f>'Alt. scenario LCY'!U10</f>
        <v>5887792.96875</v>
      </c>
      <c r="AP12" s="185">
        <f>'Alt. scenario LCY'!V10</f>
        <v>6237000</v>
      </c>
      <c r="AQ12" s="230">
        <f>'Alt. scenario LCY'!W10</f>
        <v>22831101.5625</v>
      </c>
      <c r="AR12" s="185">
        <f>'Key financial and ops fig.s LCY'!X10</f>
        <v>6580792.96875</v>
      </c>
      <c r="AS12" s="185">
        <f>'Key financial and ops fig.s LCY'!Y10</f>
        <v>6919171.875</v>
      </c>
      <c r="AT12" s="185">
        <f>'Key financial and ops fig.s LCY'!Z10</f>
        <v>7252136.71875</v>
      </c>
      <c r="AU12" s="185">
        <f>'Key financial and ops fig.s LCY'!AA10</f>
        <v>7579687.5</v>
      </c>
      <c r="AV12" s="213">
        <f>'Key financial and ops fig.s LCY'!AB10</f>
        <v>28331789.0625</v>
      </c>
      <c r="AW12" s="185">
        <f>'Alt. scenario LCY'!X10</f>
        <v>6580792.96875</v>
      </c>
      <c r="AX12" s="185">
        <f>'Alt. scenario LCY'!Y10</f>
        <v>6919171.875</v>
      </c>
      <c r="AY12" s="185">
        <f>'Alt. scenario LCY'!Z10</f>
        <v>7252136.71875</v>
      </c>
      <c r="AZ12" s="185">
        <f>'Alt. scenario LCY'!AA10</f>
        <v>7579687.5</v>
      </c>
      <c r="BA12" s="230">
        <f>'Alt. scenario LCY'!AB10</f>
        <v>28331789.0625</v>
      </c>
      <c r="BB12" s="185">
        <f>'Key financial and ops fig.s LCY'!AC10</f>
        <v>7525546.875</v>
      </c>
      <c r="BC12" s="185">
        <f>'Key financial and ops fig.s LCY'!AD10</f>
        <v>7471406.25</v>
      </c>
      <c r="BD12" s="185">
        <f>'Key financial and ops fig.s LCY'!AE10</f>
        <v>7417265.625</v>
      </c>
      <c r="BE12" s="185">
        <f>'Key financial and ops fig.s LCY'!AF10</f>
        <v>7363125</v>
      </c>
      <c r="BF12" s="213">
        <f>'Key financial and ops fig.s LCY'!AG10</f>
        <v>29777343.75</v>
      </c>
      <c r="BG12" s="185">
        <f>'Alt. scenario LCY'!AC10</f>
        <v>7525546.875</v>
      </c>
      <c r="BH12" s="185">
        <f>'Alt. scenario LCY'!AD10</f>
        <v>7471406.25</v>
      </c>
      <c r="BI12" s="185">
        <f>'Alt. scenario LCY'!AE10</f>
        <v>7417265.625</v>
      </c>
      <c r="BJ12" s="185">
        <f>'Alt. scenario LCY'!AF10</f>
        <v>7363125</v>
      </c>
      <c r="BK12" s="230">
        <f>'Alt. scenario LCY'!AG10</f>
        <v>29777343.75</v>
      </c>
      <c r="BL12" s="185">
        <f>'Key financial and ops fig.s LCY'!AH10</f>
        <v>7308984.375</v>
      </c>
      <c r="BM12" s="185">
        <f>'Key financial and ops fig.s LCY'!AI10</f>
        <v>7254843.75</v>
      </c>
      <c r="BN12" s="185">
        <f>'Key financial and ops fig.s LCY'!AJ10</f>
        <v>7200703.125</v>
      </c>
      <c r="BO12" s="185">
        <f>'Key financial and ops fig.s LCY'!AK10</f>
        <v>7146562.5</v>
      </c>
      <c r="BP12" s="213">
        <f>'Key financial and ops fig.s LCY'!AL10</f>
        <v>28911093.75</v>
      </c>
      <c r="BQ12" s="185">
        <f>'Alt. scenario LCY'!AH10</f>
        <v>7308984.375</v>
      </c>
      <c r="BR12" s="185">
        <f>'Alt. scenario LCY'!AI10</f>
        <v>7254843.75</v>
      </c>
      <c r="BS12" s="185">
        <f>'Alt. scenario LCY'!AJ10</f>
        <v>7200703.125</v>
      </c>
      <c r="BT12" s="185">
        <f>'Alt. scenario LCY'!AK10</f>
        <v>7146562.5</v>
      </c>
      <c r="BU12" s="230">
        <f>'Alt. scenario LCY'!AL10</f>
        <v>28911093.75</v>
      </c>
    </row>
    <row r="13" spans="1:73" ht="17.100000000000001" hidden="1" outlineLevel="1" thickBot="1">
      <c r="A13" s="31"/>
      <c r="B13" s="34" t="s">
        <v>254</v>
      </c>
      <c r="C13" s="34"/>
      <c r="D13" s="184">
        <f>'Key financial and ops fig.s LCY'!D11</f>
        <v>15916148.4375</v>
      </c>
      <c r="E13" s="184">
        <f>'Key financial and ops fig.s LCY'!E11</f>
        <v>31632093.75</v>
      </c>
      <c r="F13" s="184">
        <f>'Key financial and ops fig.s LCY'!F11</f>
        <v>47147835.937500007</v>
      </c>
      <c r="G13" s="184">
        <f>'Key financial and ops fig.s LCY'!G11</f>
        <v>62463375</v>
      </c>
      <c r="H13" s="214">
        <f>'Key financial and ops fig.s LCY'!H11</f>
        <v>157159453.125</v>
      </c>
      <c r="I13" s="184">
        <f>'Alt. scenario LCY'!D11</f>
        <v>15916148.4375</v>
      </c>
      <c r="J13" s="184">
        <f>'Alt. scenario LCY'!E11</f>
        <v>31632093.75</v>
      </c>
      <c r="K13" s="184">
        <f>'Alt. scenario LCY'!F11</f>
        <v>47147835.937500007</v>
      </c>
      <c r="L13" s="184">
        <f>'Alt. scenario LCY'!G11</f>
        <v>62463375</v>
      </c>
      <c r="M13" s="231">
        <f>'Alt. scenario LCY'!H11</f>
        <v>157159453.125</v>
      </c>
      <c r="N13" s="184">
        <f>'Key financial and ops fig.s LCY'!I11</f>
        <v>77578710.9375</v>
      </c>
      <c r="O13" s="184">
        <f>'Key financial and ops fig.s LCY'!J11</f>
        <v>92493843.750000015</v>
      </c>
      <c r="P13" s="184">
        <f>'Key financial and ops fig.s LCY'!K11</f>
        <v>107208773.43750001</v>
      </c>
      <c r="Q13" s="184">
        <f>'Key financial and ops fig.s LCY'!L11</f>
        <v>121723500</v>
      </c>
      <c r="R13" s="214">
        <f>'Key financial and ops fig.s LCY'!M11</f>
        <v>399004828.125</v>
      </c>
      <c r="S13" s="184">
        <f>'Alt. scenario LCY'!I11</f>
        <v>77578710.9375</v>
      </c>
      <c r="T13" s="184">
        <f>'Alt. scenario LCY'!J11</f>
        <v>92493843.750000015</v>
      </c>
      <c r="U13" s="184">
        <f>'Alt. scenario LCY'!K11</f>
        <v>107208773.43750001</v>
      </c>
      <c r="V13" s="184">
        <f>'Alt. scenario LCY'!L11</f>
        <v>121723500</v>
      </c>
      <c r="W13" s="231">
        <f>'Alt. scenario LCY'!M11</f>
        <v>399004828.125</v>
      </c>
      <c r="X13" s="184">
        <f>'Key financial and ops fig.s LCY'!N11</f>
        <v>136038023.4375</v>
      </c>
      <c r="Y13" s="184">
        <f>'Key financial and ops fig.s LCY'!O11</f>
        <v>150152343.75</v>
      </c>
      <c r="Z13" s="184">
        <f>'Key financial and ops fig.s LCY'!P11</f>
        <v>164066460.93750003</v>
      </c>
      <c r="AA13" s="184">
        <f>'Key financial and ops fig.s LCY'!Q11</f>
        <v>177780375.00000003</v>
      </c>
      <c r="AB13" s="214">
        <f>'Key financial and ops fig.s LCY'!R11</f>
        <v>628037203.125</v>
      </c>
      <c r="AC13" s="184">
        <f>'Alt. scenario LCY'!N11</f>
        <v>136038023.4375</v>
      </c>
      <c r="AD13" s="184">
        <f>'Alt. scenario LCY'!O11</f>
        <v>150152343.75</v>
      </c>
      <c r="AE13" s="184">
        <f>'Alt. scenario LCY'!P11</f>
        <v>164066460.93750003</v>
      </c>
      <c r="AF13" s="184">
        <f>'Alt. scenario LCY'!Q11</f>
        <v>177780375.00000003</v>
      </c>
      <c r="AG13" s="231">
        <f>'Alt. scenario LCY'!R11</f>
        <v>628037203.125</v>
      </c>
      <c r="AH13" s="184">
        <f>'Key financial and ops fig.s LCY'!S11</f>
        <v>191294085.93750003</v>
      </c>
      <c r="AI13" s="184">
        <f>'Key financial and ops fig.s LCY'!T11</f>
        <v>204607593.75000003</v>
      </c>
      <c r="AJ13" s="184">
        <f>'Key financial and ops fig.s LCY'!U11</f>
        <v>217720898.43750003</v>
      </c>
      <c r="AK13" s="184">
        <f>'Key financial and ops fig.s LCY'!V11</f>
        <v>230634000</v>
      </c>
      <c r="AL13" s="214">
        <f>'Key financial and ops fig.s LCY'!W11</f>
        <v>844256578.12500012</v>
      </c>
      <c r="AM13" s="184">
        <f>'Alt. scenario LCY'!S11</f>
        <v>191294085.93750003</v>
      </c>
      <c r="AN13" s="184">
        <f>'Alt. scenario LCY'!T11</f>
        <v>204607593.75000003</v>
      </c>
      <c r="AO13" s="184">
        <f>'Alt. scenario LCY'!U11</f>
        <v>217720898.43750003</v>
      </c>
      <c r="AP13" s="184">
        <f>'Alt. scenario LCY'!V11</f>
        <v>230634000</v>
      </c>
      <c r="AQ13" s="231">
        <f>'Alt. scenario LCY'!W11</f>
        <v>844256578.12500012</v>
      </c>
      <c r="AR13" s="184">
        <f>'Key financial and ops fig.s LCY'!X11</f>
        <v>243346898.4375</v>
      </c>
      <c r="AS13" s="184">
        <f>'Key financial and ops fig.s LCY'!Y11</f>
        <v>255859593.75</v>
      </c>
      <c r="AT13" s="184">
        <f>'Key financial and ops fig.s LCY'!Z11</f>
        <v>268172085.9375</v>
      </c>
      <c r="AU13" s="184">
        <f>'Key financial and ops fig.s LCY'!AA11</f>
        <v>280284375</v>
      </c>
      <c r="AV13" s="214">
        <f>'Key financial and ops fig.s LCY'!AB11</f>
        <v>1047662953.125</v>
      </c>
      <c r="AW13" s="184">
        <f>'Alt. scenario LCY'!X11</f>
        <v>243346898.4375</v>
      </c>
      <c r="AX13" s="184">
        <f>'Alt. scenario LCY'!Y11</f>
        <v>255859593.75</v>
      </c>
      <c r="AY13" s="184">
        <f>'Alt. scenario LCY'!Z11</f>
        <v>268172085.9375</v>
      </c>
      <c r="AZ13" s="184">
        <f>'Alt. scenario LCY'!AA11</f>
        <v>280284375</v>
      </c>
      <c r="BA13" s="231">
        <f>'Alt. scenario LCY'!AB11</f>
        <v>1047662953.125</v>
      </c>
      <c r="BB13" s="184">
        <f>'Key financial and ops fig.s LCY'!AC11</f>
        <v>278282343.75</v>
      </c>
      <c r="BC13" s="184">
        <f>'Key financial and ops fig.s LCY'!AD11</f>
        <v>276280312.5</v>
      </c>
      <c r="BD13" s="184">
        <f>'Key financial and ops fig.s LCY'!AE11</f>
        <v>274278281.25</v>
      </c>
      <c r="BE13" s="184">
        <f>'Key financial and ops fig.s LCY'!AF11</f>
        <v>272276250</v>
      </c>
      <c r="BF13" s="214">
        <f>'Key financial and ops fig.s LCY'!AG11</f>
        <v>1101117187.5</v>
      </c>
      <c r="BG13" s="184">
        <f>'Alt. scenario LCY'!AC11</f>
        <v>278282343.75</v>
      </c>
      <c r="BH13" s="184">
        <f>'Alt. scenario LCY'!AD11</f>
        <v>276280312.5</v>
      </c>
      <c r="BI13" s="184">
        <f>'Alt. scenario LCY'!AE11</f>
        <v>274278281.25</v>
      </c>
      <c r="BJ13" s="184">
        <f>'Alt. scenario LCY'!AF11</f>
        <v>272276250</v>
      </c>
      <c r="BK13" s="231">
        <f>'Alt. scenario LCY'!AG11</f>
        <v>1101117187.5</v>
      </c>
      <c r="BL13" s="184">
        <f>'Key financial and ops fig.s LCY'!AH11</f>
        <v>270274218.75</v>
      </c>
      <c r="BM13" s="184">
        <f>'Key financial and ops fig.s LCY'!AI11</f>
        <v>268272187.5</v>
      </c>
      <c r="BN13" s="184">
        <f>'Key financial and ops fig.s LCY'!AJ11</f>
        <v>266270156.25</v>
      </c>
      <c r="BO13" s="184">
        <f>'Key financial and ops fig.s LCY'!AK11</f>
        <v>264268125</v>
      </c>
      <c r="BP13" s="214">
        <f>'Key financial and ops fig.s LCY'!AL11</f>
        <v>1069084687.5</v>
      </c>
      <c r="BQ13" s="184">
        <f>'Alt. scenario LCY'!AH11</f>
        <v>270274218.75</v>
      </c>
      <c r="BR13" s="184">
        <f>'Alt. scenario LCY'!AI11</f>
        <v>268272187.5</v>
      </c>
      <c r="BS13" s="184">
        <f>'Alt. scenario LCY'!AJ11</f>
        <v>266270156.25</v>
      </c>
      <c r="BT13" s="184">
        <f>'Alt. scenario LCY'!AK11</f>
        <v>264268125</v>
      </c>
      <c r="BU13" s="231">
        <f>'Alt. scenario LCY'!AL11</f>
        <v>1069084687.5</v>
      </c>
    </row>
    <row r="14" spans="1:73" ht="17.100000000000001" collapsed="1" thickBot="1">
      <c r="A14" s="36" t="s">
        <v>255</v>
      </c>
      <c r="B14" s="37"/>
      <c r="C14" s="38"/>
      <c r="D14" s="51">
        <f>'Key financial and ops fig.s LCY'!D12</f>
        <v>15916148.4375</v>
      </c>
      <c r="E14" s="51">
        <f>'Key financial and ops fig.s LCY'!E12</f>
        <v>31632093.75</v>
      </c>
      <c r="F14" s="51">
        <f>'Key financial and ops fig.s LCY'!F12</f>
        <v>47147835.937500007</v>
      </c>
      <c r="G14" s="51">
        <f>'Key financial and ops fig.s LCY'!G12</f>
        <v>62463375</v>
      </c>
      <c r="H14" s="215">
        <f>'Key financial and ops fig.s LCY'!H12</f>
        <v>157159453.125</v>
      </c>
      <c r="I14" s="51">
        <f>'Alt. scenario LCY'!D12</f>
        <v>15916148.4375</v>
      </c>
      <c r="J14" s="51">
        <f>'Alt. scenario LCY'!E12</f>
        <v>31632093.75</v>
      </c>
      <c r="K14" s="51">
        <f>'Alt. scenario LCY'!F12</f>
        <v>47147835.937500007</v>
      </c>
      <c r="L14" s="51">
        <f>'Alt. scenario LCY'!G12</f>
        <v>62463375</v>
      </c>
      <c r="M14" s="232">
        <f>'Alt. scenario LCY'!H12</f>
        <v>157159453.125</v>
      </c>
      <c r="N14" s="51">
        <f>'Key financial and ops fig.s LCY'!I12</f>
        <v>77578710.9375</v>
      </c>
      <c r="O14" s="51">
        <f>'Key financial and ops fig.s LCY'!J12</f>
        <v>92493843.750000015</v>
      </c>
      <c r="P14" s="51">
        <f>'Key financial and ops fig.s LCY'!K12</f>
        <v>107208773.43750001</v>
      </c>
      <c r="Q14" s="51">
        <f>'Key financial and ops fig.s LCY'!L12</f>
        <v>121723500</v>
      </c>
      <c r="R14" s="215">
        <f>'Key financial and ops fig.s LCY'!M12</f>
        <v>399004828.125</v>
      </c>
      <c r="S14" s="51">
        <f>'Alt. scenario LCY'!I12</f>
        <v>77578710.9375</v>
      </c>
      <c r="T14" s="51">
        <f>'Alt. scenario LCY'!J12</f>
        <v>92493843.750000015</v>
      </c>
      <c r="U14" s="51">
        <f>'Alt. scenario LCY'!K12</f>
        <v>107208773.43750001</v>
      </c>
      <c r="V14" s="51">
        <f>'Alt. scenario LCY'!L12</f>
        <v>121723500</v>
      </c>
      <c r="W14" s="232">
        <f>'Alt. scenario LCY'!M12</f>
        <v>399004828.125</v>
      </c>
      <c r="X14" s="51">
        <f>'Key financial and ops fig.s LCY'!N12</f>
        <v>136038023.4375</v>
      </c>
      <c r="Y14" s="51">
        <f>'Key financial and ops fig.s LCY'!O12</f>
        <v>150152343.75</v>
      </c>
      <c r="Z14" s="51">
        <f>'Key financial and ops fig.s LCY'!P12</f>
        <v>164066460.93750003</v>
      </c>
      <c r="AA14" s="51">
        <f>'Key financial and ops fig.s LCY'!Q12</f>
        <v>177780375.00000003</v>
      </c>
      <c r="AB14" s="215">
        <f>'Key financial and ops fig.s LCY'!R12</f>
        <v>628037203.125</v>
      </c>
      <c r="AC14" s="51">
        <f>'Alt. scenario LCY'!N12</f>
        <v>136038023.4375</v>
      </c>
      <c r="AD14" s="51">
        <f>'Alt. scenario LCY'!O12</f>
        <v>150152343.75</v>
      </c>
      <c r="AE14" s="51">
        <f>'Alt. scenario LCY'!P12</f>
        <v>164066460.93750003</v>
      </c>
      <c r="AF14" s="51">
        <f>'Alt. scenario LCY'!Q12</f>
        <v>177780375.00000003</v>
      </c>
      <c r="AG14" s="232">
        <f>'Alt. scenario LCY'!R12</f>
        <v>628037203.125</v>
      </c>
      <c r="AH14" s="51">
        <f>'Key financial and ops fig.s LCY'!S12</f>
        <v>191294085.93750003</v>
      </c>
      <c r="AI14" s="51">
        <f>'Key financial and ops fig.s LCY'!T12</f>
        <v>204607593.75000003</v>
      </c>
      <c r="AJ14" s="51">
        <f>'Key financial and ops fig.s LCY'!U12</f>
        <v>217720898.43750003</v>
      </c>
      <c r="AK14" s="51">
        <f>'Key financial and ops fig.s LCY'!V12</f>
        <v>230634000</v>
      </c>
      <c r="AL14" s="215">
        <f>'Key financial and ops fig.s LCY'!W12</f>
        <v>844256578.12500012</v>
      </c>
      <c r="AM14" s="51">
        <f>'Alt. scenario LCY'!S12</f>
        <v>191294085.93750003</v>
      </c>
      <c r="AN14" s="51">
        <f>'Alt. scenario LCY'!T12</f>
        <v>204607593.75000003</v>
      </c>
      <c r="AO14" s="51">
        <f>'Alt. scenario LCY'!U12</f>
        <v>217720898.43750003</v>
      </c>
      <c r="AP14" s="51">
        <f>'Alt. scenario LCY'!V12</f>
        <v>230634000</v>
      </c>
      <c r="AQ14" s="232">
        <f>'Alt. scenario LCY'!W12</f>
        <v>844256578.12500012</v>
      </c>
      <c r="AR14" s="51">
        <f>'Key financial and ops fig.s LCY'!X12</f>
        <v>243346898.4375</v>
      </c>
      <c r="AS14" s="51">
        <f>'Key financial and ops fig.s LCY'!Y12</f>
        <v>255859593.75</v>
      </c>
      <c r="AT14" s="51">
        <f>'Key financial and ops fig.s LCY'!Z12</f>
        <v>268172085.9375</v>
      </c>
      <c r="AU14" s="51">
        <f>'Key financial and ops fig.s LCY'!AA12</f>
        <v>280284375</v>
      </c>
      <c r="AV14" s="215">
        <f>'Key financial and ops fig.s LCY'!AB12</f>
        <v>1047662953.125</v>
      </c>
      <c r="AW14" s="51">
        <f>'Alt. scenario LCY'!X12</f>
        <v>243346898.4375</v>
      </c>
      <c r="AX14" s="51">
        <f>'Alt. scenario LCY'!Y12</f>
        <v>255859593.75</v>
      </c>
      <c r="AY14" s="51">
        <f>'Alt. scenario LCY'!Z12</f>
        <v>268172085.9375</v>
      </c>
      <c r="AZ14" s="51">
        <f>'Alt. scenario LCY'!AA12</f>
        <v>280284375</v>
      </c>
      <c r="BA14" s="232">
        <f>'Alt. scenario LCY'!AB12</f>
        <v>1047662953.125</v>
      </c>
      <c r="BB14" s="51">
        <f>'Key financial and ops fig.s LCY'!AC12</f>
        <v>278282343.75</v>
      </c>
      <c r="BC14" s="51">
        <f>'Key financial and ops fig.s LCY'!AD12</f>
        <v>276280312.5</v>
      </c>
      <c r="BD14" s="51">
        <f>'Key financial and ops fig.s LCY'!AE12</f>
        <v>274278281.25</v>
      </c>
      <c r="BE14" s="51">
        <f>'Key financial and ops fig.s LCY'!AF12</f>
        <v>272276250</v>
      </c>
      <c r="BF14" s="215">
        <f>'Key financial and ops fig.s LCY'!AG12</f>
        <v>1101117187.5</v>
      </c>
      <c r="BG14" s="51">
        <f>'Alt. scenario LCY'!AC12</f>
        <v>278282343.75</v>
      </c>
      <c r="BH14" s="51">
        <f>'Alt. scenario LCY'!AD12</f>
        <v>276280312.5</v>
      </c>
      <c r="BI14" s="51">
        <f>'Alt. scenario LCY'!AE12</f>
        <v>274278281.25</v>
      </c>
      <c r="BJ14" s="51">
        <f>'Alt. scenario LCY'!AF12</f>
        <v>272276250</v>
      </c>
      <c r="BK14" s="232">
        <f>'Alt. scenario LCY'!AG12</f>
        <v>1101117187.5</v>
      </c>
      <c r="BL14" s="51">
        <f>'Key financial and ops fig.s LCY'!AH12</f>
        <v>270274218.75</v>
      </c>
      <c r="BM14" s="51">
        <f>'Key financial and ops fig.s LCY'!AI12</f>
        <v>268272187.5</v>
      </c>
      <c r="BN14" s="51">
        <f>'Key financial and ops fig.s LCY'!AJ12</f>
        <v>266270156.25</v>
      </c>
      <c r="BO14" s="51">
        <f>'Key financial and ops fig.s LCY'!AK12</f>
        <v>264268125</v>
      </c>
      <c r="BP14" s="215">
        <f>'Key financial and ops fig.s LCY'!AL12</f>
        <v>1069084687.5</v>
      </c>
      <c r="BQ14" s="51">
        <f>'Alt. scenario LCY'!AH12</f>
        <v>270274218.75</v>
      </c>
      <c r="BR14" s="51">
        <f>'Alt. scenario LCY'!AI12</f>
        <v>268272187.5</v>
      </c>
      <c r="BS14" s="51">
        <f>'Alt. scenario LCY'!AJ12</f>
        <v>266270156.25</v>
      </c>
      <c r="BT14" s="51">
        <f>'Alt. scenario LCY'!AK12</f>
        <v>264268125</v>
      </c>
      <c r="BU14" s="232">
        <f>'Alt. scenario LCY'!AL12</f>
        <v>1069084687.5</v>
      </c>
    </row>
    <row r="15" spans="1:73" ht="17.100000000000001" hidden="1" outlineLevel="2" thickBot="1">
      <c r="A15" s="31"/>
      <c r="C15" s="32" t="s">
        <v>256</v>
      </c>
      <c r="D15" s="183">
        <f>'Key financial and ops fig.s LCY'!D13</f>
        <v>1033003.125</v>
      </c>
      <c r="E15" s="183">
        <f>'Key financial and ops fig.s LCY'!E13</f>
        <v>2053012.5</v>
      </c>
      <c r="F15" s="183">
        <f>'Key financial and ops fig.s LCY'!F13</f>
        <v>3060028.125</v>
      </c>
      <c r="G15" s="183">
        <f>'Key financial and ops fig.s LCY'!G13</f>
        <v>4054050</v>
      </c>
      <c r="H15" s="213">
        <f>'Key financial and ops fig.s LCY'!H13</f>
        <v>10200093.75</v>
      </c>
      <c r="I15" s="183">
        <f>'Alt. scenario LCY'!D13</f>
        <v>1033003.125</v>
      </c>
      <c r="J15" s="183">
        <f>'Alt. scenario LCY'!E13</f>
        <v>2053012.5</v>
      </c>
      <c r="K15" s="183">
        <f>'Alt. scenario LCY'!F13</f>
        <v>3060028.125</v>
      </c>
      <c r="L15" s="183">
        <f>'Alt. scenario LCY'!G13</f>
        <v>4054050</v>
      </c>
      <c r="M15" s="230">
        <f>'Alt. scenario LCY'!H13</f>
        <v>10200093.75</v>
      </c>
      <c r="N15" s="183">
        <f>'Key financial and ops fig.s LCY'!I13</f>
        <v>5035078.125</v>
      </c>
      <c r="O15" s="183">
        <f>'Key financial and ops fig.s LCY'!J13</f>
        <v>6003112.5</v>
      </c>
      <c r="P15" s="183">
        <f>'Key financial and ops fig.s LCY'!K13</f>
        <v>6958153.125</v>
      </c>
      <c r="Q15" s="183">
        <f>'Key financial and ops fig.s LCY'!L13</f>
        <v>7900200</v>
      </c>
      <c r="R15" s="213">
        <f>'Key financial and ops fig.s LCY'!M13</f>
        <v>25896543.75</v>
      </c>
      <c r="S15" s="183">
        <f>'Alt. scenario LCY'!I13</f>
        <v>5035078.125</v>
      </c>
      <c r="T15" s="183">
        <f>'Alt. scenario LCY'!J13</f>
        <v>6003112.5</v>
      </c>
      <c r="U15" s="183">
        <f>'Alt. scenario LCY'!K13</f>
        <v>6958153.125</v>
      </c>
      <c r="V15" s="183">
        <f>'Alt. scenario LCY'!L13</f>
        <v>7900200</v>
      </c>
      <c r="W15" s="230">
        <f>'Alt. scenario LCY'!M13</f>
        <v>25896543.75</v>
      </c>
      <c r="X15" s="183">
        <f>'Key financial and ops fig.s LCY'!N13</f>
        <v>8829253.125</v>
      </c>
      <c r="Y15" s="183">
        <f>'Key financial and ops fig.s LCY'!O13</f>
        <v>9745312.5</v>
      </c>
      <c r="Z15" s="183">
        <f>'Key financial and ops fig.s LCY'!P13</f>
        <v>10648378.125</v>
      </c>
      <c r="AA15" s="183">
        <f>'Key financial and ops fig.s LCY'!Q13</f>
        <v>11538450</v>
      </c>
      <c r="AB15" s="213">
        <f>'Key financial and ops fig.s LCY'!R13</f>
        <v>40761393.75</v>
      </c>
      <c r="AC15" s="183">
        <f>'Alt. scenario LCY'!N13</f>
        <v>8829253.125</v>
      </c>
      <c r="AD15" s="183">
        <f>'Alt. scenario LCY'!O13</f>
        <v>9745312.5</v>
      </c>
      <c r="AE15" s="183">
        <f>'Alt. scenario LCY'!P13</f>
        <v>10648378.125</v>
      </c>
      <c r="AF15" s="183">
        <f>'Alt. scenario LCY'!Q13</f>
        <v>11538450</v>
      </c>
      <c r="AG15" s="230">
        <f>'Alt. scenario LCY'!R13</f>
        <v>40761393.75</v>
      </c>
      <c r="AH15" s="183">
        <f>'Key financial and ops fig.s LCY'!S13</f>
        <v>12415528.125</v>
      </c>
      <c r="AI15" s="183">
        <f>'Key financial and ops fig.s LCY'!T13</f>
        <v>13279612.5</v>
      </c>
      <c r="AJ15" s="183">
        <f>'Key financial and ops fig.s LCY'!U13</f>
        <v>14130703.125</v>
      </c>
      <c r="AK15" s="183">
        <f>'Key financial and ops fig.s LCY'!V13</f>
        <v>14968800</v>
      </c>
      <c r="AL15" s="213">
        <f>'Key financial and ops fig.s LCY'!W13</f>
        <v>54794643.75</v>
      </c>
      <c r="AM15" s="183">
        <f>'Alt. scenario LCY'!S13</f>
        <v>12415528.125</v>
      </c>
      <c r="AN15" s="183">
        <f>'Alt. scenario LCY'!T13</f>
        <v>13279612.5</v>
      </c>
      <c r="AO15" s="183">
        <f>'Alt. scenario LCY'!U13</f>
        <v>14130703.125</v>
      </c>
      <c r="AP15" s="183">
        <f>'Alt. scenario LCY'!V13</f>
        <v>14968800</v>
      </c>
      <c r="AQ15" s="230">
        <f>'Alt. scenario LCY'!W13</f>
        <v>54794643.75</v>
      </c>
      <c r="AR15" s="183">
        <f>'Key financial and ops fig.s LCY'!X13</f>
        <v>15793903.125</v>
      </c>
      <c r="AS15" s="183">
        <f>'Key financial and ops fig.s LCY'!Y13</f>
        <v>16606012.5</v>
      </c>
      <c r="AT15" s="183">
        <f>'Key financial and ops fig.s LCY'!Z13</f>
        <v>17405128.125</v>
      </c>
      <c r="AU15" s="183">
        <f>'Key financial and ops fig.s LCY'!AA13</f>
        <v>18191250</v>
      </c>
      <c r="AV15" s="213">
        <f>'Key financial and ops fig.s LCY'!AB13</f>
        <v>67996293.75</v>
      </c>
      <c r="AW15" s="183">
        <f>'Alt. scenario LCY'!X13</f>
        <v>15793903.125</v>
      </c>
      <c r="AX15" s="183">
        <f>'Alt. scenario LCY'!Y13</f>
        <v>16606012.5</v>
      </c>
      <c r="AY15" s="183">
        <f>'Alt. scenario LCY'!Z13</f>
        <v>17405128.125</v>
      </c>
      <c r="AZ15" s="183">
        <f>'Alt. scenario LCY'!AA13</f>
        <v>18191250</v>
      </c>
      <c r="BA15" s="230">
        <f>'Alt. scenario LCY'!AB13</f>
        <v>67996293.75</v>
      </c>
      <c r="BB15" s="183">
        <f>'Key financial and ops fig.s LCY'!AC13</f>
        <v>18061312.5</v>
      </c>
      <c r="BC15" s="183">
        <f>'Key financial and ops fig.s LCY'!AD13</f>
        <v>17931375</v>
      </c>
      <c r="BD15" s="183">
        <f>'Key financial and ops fig.s LCY'!AE13</f>
        <v>17801437.5</v>
      </c>
      <c r="BE15" s="183">
        <f>'Key financial and ops fig.s LCY'!AF13</f>
        <v>17671500</v>
      </c>
      <c r="BF15" s="213">
        <f>'Key financial and ops fig.s LCY'!AG13</f>
        <v>71465625</v>
      </c>
      <c r="BG15" s="183">
        <f>'Alt. scenario LCY'!AC13</f>
        <v>18061312.5</v>
      </c>
      <c r="BH15" s="183">
        <f>'Alt. scenario LCY'!AD13</f>
        <v>17931375</v>
      </c>
      <c r="BI15" s="183">
        <f>'Alt. scenario LCY'!AE13</f>
        <v>17801437.5</v>
      </c>
      <c r="BJ15" s="183">
        <f>'Alt. scenario LCY'!AF13</f>
        <v>17671500</v>
      </c>
      <c r="BK15" s="230">
        <f>'Alt. scenario LCY'!AG13</f>
        <v>71465625</v>
      </c>
      <c r="BL15" s="183">
        <f>'Key financial and ops fig.s LCY'!AH13</f>
        <v>17541562.5</v>
      </c>
      <c r="BM15" s="183">
        <f>'Key financial and ops fig.s LCY'!AI13</f>
        <v>17411625</v>
      </c>
      <c r="BN15" s="183">
        <f>'Key financial and ops fig.s LCY'!AJ13</f>
        <v>17281687.5</v>
      </c>
      <c r="BO15" s="183">
        <f>'Key financial and ops fig.s LCY'!AK13</f>
        <v>17151750</v>
      </c>
      <c r="BP15" s="213">
        <f>'Key financial and ops fig.s LCY'!AL13</f>
        <v>69386625</v>
      </c>
      <c r="BQ15" s="183">
        <f>'Alt. scenario LCY'!AH13</f>
        <v>17541562.5</v>
      </c>
      <c r="BR15" s="183">
        <f>'Alt. scenario LCY'!AI13</f>
        <v>17411625</v>
      </c>
      <c r="BS15" s="183">
        <f>'Alt. scenario LCY'!AJ13</f>
        <v>17281687.5</v>
      </c>
      <c r="BT15" s="183">
        <f>'Alt. scenario LCY'!AK13</f>
        <v>17151750</v>
      </c>
      <c r="BU15" s="230">
        <f>'Alt. scenario LCY'!AL13</f>
        <v>69386625</v>
      </c>
    </row>
    <row r="16" spans="1:73" ht="17.100000000000001" hidden="1" outlineLevel="2" thickBot="1">
      <c r="A16" s="31"/>
      <c r="C16" s="32" t="s">
        <v>257</v>
      </c>
      <c r="D16" s="185">
        <f>'Key financial and ops fig.s LCY'!D14</f>
        <v>2582507.8125</v>
      </c>
      <c r="E16" s="185">
        <f>'Key financial and ops fig.s LCY'!E14</f>
        <v>5132531.25</v>
      </c>
      <c r="F16" s="185">
        <f>'Key financial and ops fig.s LCY'!F14</f>
        <v>7650070.3125</v>
      </c>
      <c r="G16" s="185">
        <f>'Key financial and ops fig.s LCY'!G14</f>
        <v>10135125</v>
      </c>
      <c r="H16" s="213">
        <f>'Key financial and ops fig.s LCY'!H14</f>
        <v>25500234.375</v>
      </c>
      <c r="I16" s="185">
        <f>'Alt. scenario LCY'!D14</f>
        <v>2582507.8125</v>
      </c>
      <c r="J16" s="185">
        <f>'Alt. scenario LCY'!E14</f>
        <v>5132531.25</v>
      </c>
      <c r="K16" s="185">
        <f>'Alt. scenario LCY'!F14</f>
        <v>7650070.3125</v>
      </c>
      <c r="L16" s="185">
        <f>'Alt. scenario LCY'!G14</f>
        <v>10135125</v>
      </c>
      <c r="M16" s="230">
        <f>'Alt. scenario LCY'!H14</f>
        <v>25500234.375</v>
      </c>
      <c r="N16" s="185">
        <f>'Key financial and ops fig.s LCY'!I14</f>
        <v>12587695.3125</v>
      </c>
      <c r="O16" s="185">
        <f>'Key financial and ops fig.s LCY'!J14</f>
        <v>15007781.25</v>
      </c>
      <c r="P16" s="185">
        <f>'Key financial and ops fig.s LCY'!K14</f>
        <v>17395382.8125</v>
      </c>
      <c r="Q16" s="185">
        <f>'Key financial and ops fig.s LCY'!L14</f>
        <v>19750500</v>
      </c>
      <c r="R16" s="213">
        <f>'Key financial and ops fig.s LCY'!M14</f>
        <v>64741359.375</v>
      </c>
      <c r="S16" s="185">
        <f>'Alt. scenario LCY'!I14</f>
        <v>12587695.3125</v>
      </c>
      <c r="T16" s="185">
        <f>'Alt. scenario LCY'!J14</f>
        <v>15007781.25</v>
      </c>
      <c r="U16" s="185">
        <f>'Alt. scenario LCY'!K14</f>
        <v>17395382.8125</v>
      </c>
      <c r="V16" s="185">
        <f>'Alt. scenario LCY'!L14</f>
        <v>19750500</v>
      </c>
      <c r="W16" s="230">
        <f>'Alt. scenario LCY'!M14</f>
        <v>64741359.375</v>
      </c>
      <c r="X16" s="185">
        <f>'Key financial and ops fig.s LCY'!N14</f>
        <v>22073132.8125</v>
      </c>
      <c r="Y16" s="185">
        <f>'Key financial and ops fig.s LCY'!O14</f>
        <v>24363281.25</v>
      </c>
      <c r="Z16" s="185">
        <f>'Key financial and ops fig.s LCY'!P14</f>
        <v>26620945.3125</v>
      </c>
      <c r="AA16" s="185">
        <f>'Key financial and ops fig.s LCY'!Q14</f>
        <v>28846125</v>
      </c>
      <c r="AB16" s="213">
        <f>'Key financial and ops fig.s LCY'!R14</f>
        <v>101903484.375</v>
      </c>
      <c r="AC16" s="185">
        <f>'Alt. scenario LCY'!N14</f>
        <v>22073132.8125</v>
      </c>
      <c r="AD16" s="185">
        <f>'Alt. scenario LCY'!O14</f>
        <v>24363281.25</v>
      </c>
      <c r="AE16" s="185">
        <f>'Alt. scenario LCY'!P14</f>
        <v>26620945.3125</v>
      </c>
      <c r="AF16" s="185">
        <f>'Alt. scenario LCY'!Q14</f>
        <v>28846125</v>
      </c>
      <c r="AG16" s="230">
        <f>'Alt. scenario LCY'!R14</f>
        <v>101903484.375</v>
      </c>
      <c r="AH16" s="185">
        <f>'Key financial and ops fig.s LCY'!S14</f>
        <v>31038820.3125</v>
      </c>
      <c r="AI16" s="185">
        <f>'Key financial and ops fig.s LCY'!T14</f>
        <v>33199031.25</v>
      </c>
      <c r="AJ16" s="185">
        <f>'Key financial and ops fig.s LCY'!U14</f>
        <v>35326757.8125</v>
      </c>
      <c r="AK16" s="185">
        <f>'Key financial and ops fig.s LCY'!V14</f>
        <v>37422000</v>
      </c>
      <c r="AL16" s="213">
        <f>'Key financial and ops fig.s LCY'!W14</f>
        <v>136986609.375</v>
      </c>
      <c r="AM16" s="185">
        <f>'Alt. scenario LCY'!S14</f>
        <v>31038820.3125</v>
      </c>
      <c r="AN16" s="185">
        <f>'Alt. scenario LCY'!T14</f>
        <v>33199031.25</v>
      </c>
      <c r="AO16" s="185">
        <f>'Alt. scenario LCY'!U14</f>
        <v>35326757.8125</v>
      </c>
      <c r="AP16" s="185">
        <f>'Alt. scenario LCY'!V14</f>
        <v>37422000</v>
      </c>
      <c r="AQ16" s="230">
        <f>'Alt. scenario LCY'!W14</f>
        <v>136986609.375</v>
      </c>
      <c r="AR16" s="185">
        <f>'Key financial and ops fig.s LCY'!X14</f>
        <v>39484757.8125</v>
      </c>
      <c r="AS16" s="185">
        <f>'Key financial and ops fig.s LCY'!Y14</f>
        <v>41515031.25</v>
      </c>
      <c r="AT16" s="185">
        <f>'Key financial and ops fig.s LCY'!Z14</f>
        <v>43512820.3125</v>
      </c>
      <c r="AU16" s="185">
        <f>'Key financial and ops fig.s LCY'!AA14</f>
        <v>45478125</v>
      </c>
      <c r="AV16" s="213">
        <f>'Key financial and ops fig.s LCY'!AB14</f>
        <v>169990734.375</v>
      </c>
      <c r="AW16" s="185">
        <f>'Alt. scenario LCY'!X14</f>
        <v>39484757.8125</v>
      </c>
      <c r="AX16" s="185">
        <f>'Alt. scenario LCY'!Y14</f>
        <v>41515031.25</v>
      </c>
      <c r="AY16" s="185">
        <f>'Alt. scenario LCY'!Z14</f>
        <v>43512820.3125</v>
      </c>
      <c r="AZ16" s="185">
        <f>'Alt. scenario LCY'!AA14</f>
        <v>45478125</v>
      </c>
      <c r="BA16" s="230">
        <f>'Alt. scenario LCY'!AB14</f>
        <v>169990734.375</v>
      </c>
      <c r="BB16" s="185">
        <f>'Key financial and ops fig.s LCY'!AC14</f>
        <v>45153281.25</v>
      </c>
      <c r="BC16" s="185">
        <f>'Key financial and ops fig.s LCY'!AD14</f>
        <v>44828437.5</v>
      </c>
      <c r="BD16" s="185">
        <f>'Key financial and ops fig.s LCY'!AE14</f>
        <v>44503593.75</v>
      </c>
      <c r="BE16" s="185">
        <f>'Key financial and ops fig.s LCY'!AF14</f>
        <v>44178750</v>
      </c>
      <c r="BF16" s="213">
        <f>'Key financial and ops fig.s LCY'!AG14</f>
        <v>178664062.5</v>
      </c>
      <c r="BG16" s="185">
        <f>'Alt. scenario LCY'!AC14</f>
        <v>45153281.25</v>
      </c>
      <c r="BH16" s="185">
        <f>'Alt. scenario LCY'!AD14</f>
        <v>44828437.5</v>
      </c>
      <c r="BI16" s="185">
        <f>'Alt. scenario LCY'!AE14</f>
        <v>44503593.75</v>
      </c>
      <c r="BJ16" s="185">
        <f>'Alt. scenario LCY'!AF14</f>
        <v>44178750</v>
      </c>
      <c r="BK16" s="230">
        <f>'Alt. scenario LCY'!AG14</f>
        <v>178664062.5</v>
      </c>
      <c r="BL16" s="185">
        <f>'Key financial and ops fig.s LCY'!AH14</f>
        <v>43853906.25</v>
      </c>
      <c r="BM16" s="185">
        <f>'Key financial and ops fig.s LCY'!AI14</f>
        <v>43529062.5</v>
      </c>
      <c r="BN16" s="185">
        <f>'Key financial and ops fig.s LCY'!AJ14</f>
        <v>43204218.75</v>
      </c>
      <c r="BO16" s="185">
        <f>'Key financial and ops fig.s LCY'!AK14</f>
        <v>42879375</v>
      </c>
      <c r="BP16" s="213">
        <f>'Key financial and ops fig.s LCY'!AL14</f>
        <v>173466562.5</v>
      </c>
      <c r="BQ16" s="185">
        <f>'Alt. scenario LCY'!AH14</f>
        <v>43853906.25</v>
      </c>
      <c r="BR16" s="185">
        <f>'Alt. scenario LCY'!AI14</f>
        <v>43529062.5</v>
      </c>
      <c r="BS16" s="185">
        <f>'Alt. scenario LCY'!AJ14</f>
        <v>43204218.75</v>
      </c>
      <c r="BT16" s="185">
        <f>'Alt. scenario LCY'!AK14</f>
        <v>42879375</v>
      </c>
      <c r="BU16" s="230">
        <f>'Alt. scenario LCY'!AL14</f>
        <v>173466562.5</v>
      </c>
    </row>
    <row r="17" spans="1:73" ht="17.100000000000001" hidden="1" outlineLevel="2" thickBot="1">
      <c r="A17" s="31"/>
      <c r="C17" s="32" t="s">
        <v>258</v>
      </c>
      <c r="D17" s="185">
        <f>'Key financial and ops fig.s LCY'!D15</f>
        <v>5165015.625</v>
      </c>
      <c r="E17" s="185">
        <f>'Key financial and ops fig.s LCY'!E15</f>
        <v>10265062.5</v>
      </c>
      <c r="F17" s="185">
        <f>'Key financial and ops fig.s LCY'!F15</f>
        <v>15300140.625</v>
      </c>
      <c r="G17" s="185">
        <f>'Key financial and ops fig.s LCY'!G15</f>
        <v>20270250</v>
      </c>
      <c r="H17" s="213">
        <f>'Key financial and ops fig.s LCY'!H15</f>
        <v>51000468.75</v>
      </c>
      <c r="I17" s="185">
        <f>'Alt. scenario LCY'!D15</f>
        <v>5165015.625</v>
      </c>
      <c r="J17" s="185">
        <f>'Alt. scenario LCY'!E15</f>
        <v>10265062.5</v>
      </c>
      <c r="K17" s="185">
        <f>'Alt. scenario LCY'!F15</f>
        <v>15300140.625</v>
      </c>
      <c r="L17" s="185">
        <f>'Alt. scenario LCY'!G15</f>
        <v>20270250</v>
      </c>
      <c r="M17" s="230">
        <f>'Alt. scenario LCY'!H15</f>
        <v>51000468.75</v>
      </c>
      <c r="N17" s="185">
        <f>'Key financial and ops fig.s LCY'!I15</f>
        <v>25175390.625</v>
      </c>
      <c r="O17" s="185">
        <f>'Key financial and ops fig.s LCY'!J15</f>
        <v>30015562.5</v>
      </c>
      <c r="P17" s="185">
        <f>'Key financial and ops fig.s LCY'!K15</f>
        <v>34790765.625</v>
      </c>
      <c r="Q17" s="185">
        <f>'Key financial and ops fig.s LCY'!L15</f>
        <v>39501000</v>
      </c>
      <c r="R17" s="213">
        <f>'Key financial and ops fig.s LCY'!M15</f>
        <v>129482718.75</v>
      </c>
      <c r="S17" s="185">
        <f>'Alt. scenario LCY'!I15</f>
        <v>25175390.625</v>
      </c>
      <c r="T17" s="185">
        <f>'Alt. scenario LCY'!J15</f>
        <v>30015562.5</v>
      </c>
      <c r="U17" s="185">
        <f>'Alt. scenario LCY'!K15</f>
        <v>34790765.625</v>
      </c>
      <c r="V17" s="185">
        <f>'Alt. scenario LCY'!L15</f>
        <v>39501000</v>
      </c>
      <c r="W17" s="230">
        <f>'Alt. scenario LCY'!M15</f>
        <v>129482718.75</v>
      </c>
      <c r="X17" s="185">
        <f>'Key financial and ops fig.s LCY'!N15</f>
        <v>44146265.625</v>
      </c>
      <c r="Y17" s="185">
        <f>'Key financial and ops fig.s LCY'!O15</f>
        <v>48726562.5</v>
      </c>
      <c r="Z17" s="185">
        <f>'Key financial and ops fig.s LCY'!P15</f>
        <v>53241890.625</v>
      </c>
      <c r="AA17" s="185">
        <f>'Key financial and ops fig.s LCY'!Q15</f>
        <v>57692250</v>
      </c>
      <c r="AB17" s="213">
        <f>'Key financial and ops fig.s LCY'!R15</f>
        <v>203806968.75</v>
      </c>
      <c r="AC17" s="185">
        <f>'Alt. scenario LCY'!N15</f>
        <v>44146265.625</v>
      </c>
      <c r="AD17" s="185">
        <f>'Alt. scenario LCY'!O15</f>
        <v>48726562.5</v>
      </c>
      <c r="AE17" s="185">
        <f>'Alt. scenario LCY'!P15</f>
        <v>53241890.625</v>
      </c>
      <c r="AF17" s="185">
        <f>'Alt. scenario LCY'!Q15</f>
        <v>57692250</v>
      </c>
      <c r="AG17" s="230">
        <f>'Alt. scenario LCY'!R15</f>
        <v>203806968.75</v>
      </c>
      <c r="AH17" s="185">
        <f>'Key financial and ops fig.s LCY'!S15</f>
        <v>62077640.625</v>
      </c>
      <c r="AI17" s="185">
        <f>'Key financial and ops fig.s LCY'!T15</f>
        <v>66398062.5</v>
      </c>
      <c r="AJ17" s="185">
        <f>'Key financial and ops fig.s LCY'!U15</f>
        <v>70653515.625</v>
      </c>
      <c r="AK17" s="185">
        <f>'Key financial and ops fig.s LCY'!V15</f>
        <v>74844000</v>
      </c>
      <c r="AL17" s="213">
        <f>'Key financial and ops fig.s LCY'!W15</f>
        <v>273973218.75</v>
      </c>
      <c r="AM17" s="185">
        <f>'Alt. scenario LCY'!S15</f>
        <v>62077640.625</v>
      </c>
      <c r="AN17" s="185">
        <f>'Alt. scenario LCY'!T15</f>
        <v>66398062.5</v>
      </c>
      <c r="AO17" s="185">
        <f>'Alt. scenario LCY'!U15</f>
        <v>70653515.625</v>
      </c>
      <c r="AP17" s="185">
        <f>'Alt. scenario LCY'!V15</f>
        <v>74844000</v>
      </c>
      <c r="AQ17" s="230">
        <f>'Alt. scenario LCY'!W15</f>
        <v>273973218.75</v>
      </c>
      <c r="AR17" s="185">
        <f>'Key financial and ops fig.s LCY'!X15</f>
        <v>78969515.625</v>
      </c>
      <c r="AS17" s="185">
        <f>'Key financial and ops fig.s LCY'!Y15</f>
        <v>83030062.5</v>
      </c>
      <c r="AT17" s="185">
        <f>'Key financial and ops fig.s LCY'!Z15</f>
        <v>87025640.625</v>
      </c>
      <c r="AU17" s="185">
        <f>'Key financial and ops fig.s LCY'!AA15</f>
        <v>90956250</v>
      </c>
      <c r="AV17" s="213">
        <f>'Key financial and ops fig.s LCY'!AB15</f>
        <v>339981468.75</v>
      </c>
      <c r="AW17" s="185">
        <f>'Alt. scenario LCY'!X15</f>
        <v>78969515.625</v>
      </c>
      <c r="AX17" s="185">
        <f>'Alt. scenario LCY'!Y15</f>
        <v>83030062.5</v>
      </c>
      <c r="AY17" s="185">
        <f>'Alt. scenario LCY'!Z15</f>
        <v>87025640.625</v>
      </c>
      <c r="AZ17" s="185">
        <f>'Alt. scenario LCY'!AA15</f>
        <v>90956250</v>
      </c>
      <c r="BA17" s="230">
        <f>'Alt. scenario LCY'!AB15</f>
        <v>339981468.75</v>
      </c>
      <c r="BB17" s="185">
        <f>'Key financial and ops fig.s LCY'!AC15</f>
        <v>90306562.5</v>
      </c>
      <c r="BC17" s="185">
        <f>'Key financial and ops fig.s LCY'!AD15</f>
        <v>89656875</v>
      </c>
      <c r="BD17" s="185">
        <f>'Key financial and ops fig.s LCY'!AE15</f>
        <v>89007187.5</v>
      </c>
      <c r="BE17" s="185">
        <f>'Key financial and ops fig.s LCY'!AF15</f>
        <v>88357500</v>
      </c>
      <c r="BF17" s="213">
        <f>'Key financial and ops fig.s LCY'!AG15</f>
        <v>357328125</v>
      </c>
      <c r="BG17" s="185">
        <f>'Alt. scenario LCY'!AC15</f>
        <v>90306562.5</v>
      </c>
      <c r="BH17" s="185">
        <f>'Alt. scenario LCY'!AD15</f>
        <v>89656875</v>
      </c>
      <c r="BI17" s="185">
        <f>'Alt. scenario LCY'!AE15</f>
        <v>89007187.5</v>
      </c>
      <c r="BJ17" s="185">
        <f>'Alt. scenario LCY'!AF15</f>
        <v>88357500</v>
      </c>
      <c r="BK17" s="230">
        <f>'Alt. scenario LCY'!AG15</f>
        <v>357328125</v>
      </c>
      <c r="BL17" s="185">
        <f>'Key financial and ops fig.s LCY'!AH15</f>
        <v>87707812.5</v>
      </c>
      <c r="BM17" s="185">
        <f>'Key financial and ops fig.s LCY'!AI15</f>
        <v>87058125</v>
      </c>
      <c r="BN17" s="185">
        <f>'Key financial and ops fig.s LCY'!AJ15</f>
        <v>86408437.5</v>
      </c>
      <c r="BO17" s="185">
        <f>'Key financial and ops fig.s LCY'!AK15</f>
        <v>85758750</v>
      </c>
      <c r="BP17" s="213">
        <f>'Key financial and ops fig.s LCY'!AL15</f>
        <v>346933125</v>
      </c>
      <c r="BQ17" s="185">
        <f>'Alt. scenario LCY'!AH15</f>
        <v>87707812.5</v>
      </c>
      <c r="BR17" s="185">
        <f>'Alt. scenario LCY'!AI15</f>
        <v>87058125</v>
      </c>
      <c r="BS17" s="185">
        <f>'Alt. scenario LCY'!AJ15</f>
        <v>86408437.5</v>
      </c>
      <c r="BT17" s="185">
        <f>'Alt. scenario LCY'!AK15</f>
        <v>85758750</v>
      </c>
      <c r="BU17" s="230">
        <f>'Alt. scenario LCY'!AL15</f>
        <v>346933125</v>
      </c>
    </row>
    <row r="18" spans="1:73" ht="17.100000000000001" hidden="1" outlineLevel="2" thickBot="1">
      <c r="A18" s="31"/>
      <c r="C18" s="32" t="s">
        <v>259</v>
      </c>
      <c r="D18" s="185">
        <f>'Key financial and ops fig.s LCY'!D16</f>
        <v>25047468.75</v>
      </c>
      <c r="E18" s="185">
        <f>'Key financial and ops fig.s LCY'!E16</f>
        <v>24732406.25</v>
      </c>
      <c r="F18" s="185">
        <f>'Key financial and ops fig.s LCY'!F16</f>
        <v>24417343.75</v>
      </c>
      <c r="G18" s="185">
        <f>'Key financial and ops fig.s LCY'!G16</f>
        <v>24102281.25</v>
      </c>
      <c r="H18" s="213">
        <f>'Key financial and ops fig.s LCY'!H16</f>
        <v>98299500</v>
      </c>
      <c r="I18" s="185">
        <f>'Alt. scenario LCY'!D16</f>
        <v>25047468.75</v>
      </c>
      <c r="J18" s="185">
        <f>'Alt. scenario LCY'!E16</f>
        <v>24732406.25</v>
      </c>
      <c r="K18" s="185">
        <f>'Alt. scenario LCY'!F16</f>
        <v>24417343.75</v>
      </c>
      <c r="L18" s="185">
        <f>'Alt. scenario LCY'!G16</f>
        <v>24102281.25</v>
      </c>
      <c r="M18" s="230">
        <f>'Alt. scenario LCY'!H16</f>
        <v>98299500</v>
      </c>
      <c r="N18" s="185">
        <f>'Key financial and ops fig.s LCY'!I16</f>
        <v>23787218.75</v>
      </c>
      <c r="O18" s="185">
        <f>'Key financial and ops fig.s LCY'!J16</f>
        <v>23472156.25</v>
      </c>
      <c r="P18" s="185">
        <f>'Key financial and ops fig.s LCY'!K16</f>
        <v>23157093.75</v>
      </c>
      <c r="Q18" s="185">
        <f>'Key financial and ops fig.s LCY'!L16</f>
        <v>22842031.25</v>
      </c>
      <c r="R18" s="213">
        <f>'Key financial and ops fig.s LCY'!M16</f>
        <v>93258500</v>
      </c>
      <c r="S18" s="185">
        <f>'Alt. scenario LCY'!I16</f>
        <v>23787218.75</v>
      </c>
      <c r="T18" s="185">
        <f>'Alt. scenario LCY'!J16</f>
        <v>23472156.25</v>
      </c>
      <c r="U18" s="185">
        <f>'Alt. scenario LCY'!K16</f>
        <v>23157093.75</v>
      </c>
      <c r="V18" s="185">
        <f>'Alt. scenario LCY'!L16</f>
        <v>22842031.25</v>
      </c>
      <c r="W18" s="230">
        <f>'Alt. scenario LCY'!M16</f>
        <v>93258500</v>
      </c>
      <c r="X18" s="185">
        <f>'Key financial and ops fig.s LCY'!N16</f>
        <v>22526968.75</v>
      </c>
      <c r="Y18" s="185">
        <f>'Key financial and ops fig.s LCY'!O16</f>
        <v>22211906.25</v>
      </c>
      <c r="Z18" s="185">
        <f>'Key financial and ops fig.s LCY'!P16</f>
        <v>21896843.75</v>
      </c>
      <c r="AA18" s="185">
        <f>'Key financial and ops fig.s LCY'!Q16</f>
        <v>21581781.25</v>
      </c>
      <c r="AB18" s="213">
        <f>'Key financial and ops fig.s LCY'!R16</f>
        <v>88217500</v>
      </c>
      <c r="AC18" s="185">
        <f>'Alt. scenario LCY'!N16</f>
        <v>22526968.75</v>
      </c>
      <c r="AD18" s="185">
        <f>'Alt. scenario LCY'!O16</f>
        <v>22211906.25</v>
      </c>
      <c r="AE18" s="185">
        <f>'Alt. scenario LCY'!P16</f>
        <v>21896843.75</v>
      </c>
      <c r="AF18" s="185">
        <f>'Alt. scenario LCY'!Q16</f>
        <v>21581781.25</v>
      </c>
      <c r="AG18" s="230">
        <f>'Alt. scenario LCY'!R16</f>
        <v>88217500</v>
      </c>
      <c r="AH18" s="185">
        <f>'Key financial and ops fig.s LCY'!S16</f>
        <v>21266718.75</v>
      </c>
      <c r="AI18" s="185">
        <f>'Key financial and ops fig.s LCY'!T16</f>
        <v>20951656.25</v>
      </c>
      <c r="AJ18" s="185">
        <f>'Key financial and ops fig.s LCY'!U16</f>
        <v>20636593.75</v>
      </c>
      <c r="AK18" s="185">
        <f>'Key financial and ops fig.s LCY'!V16</f>
        <v>20321531.25</v>
      </c>
      <c r="AL18" s="213">
        <f>'Key financial and ops fig.s LCY'!W16</f>
        <v>83176500</v>
      </c>
      <c r="AM18" s="185">
        <f>'Alt. scenario LCY'!S16</f>
        <v>21266718.75</v>
      </c>
      <c r="AN18" s="185">
        <f>'Alt. scenario LCY'!T16</f>
        <v>20951656.25</v>
      </c>
      <c r="AO18" s="185">
        <f>'Alt. scenario LCY'!U16</f>
        <v>20636593.75</v>
      </c>
      <c r="AP18" s="185">
        <f>'Alt. scenario LCY'!V16</f>
        <v>20321531.25</v>
      </c>
      <c r="AQ18" s="230">
        <f>'Alt. scenario LCY'!W16</f>
        <v>83176500</v>
      </c>
      <c r="AR18" s="185">
        <f>'Key financial and ops fig.s LCY'!X16</f>
        <v>20006468.75</v>
      </c>
      <c r="AS18" s="185">
        <f>'Key financial and ops fig.s LCY'!Y16</f>
        <v>19691406.25</v>
      </c>
      <c r="AT18" s="185">
        <f>'Key financial and ops fig.s LCY'!Z16</f>
        <v>19376343.75</v>
      </c>
      <c r="AU18" s="185">
        <f>'Key financial and ops fig.s LCY'!AA16</f>
        <v>19061281.25</v>
      </c>
      <c r="AV18" s="213">
        <f>'Key financial and ops fig.s LCY'!AB16</f>
        <v>78135500</v>
      </c>
      <c r="AW18" s="185">
        <f>'Alt. scenario LCY'!X16</f>
        <v>20006468.75</v>
      </c>
      <c r="AX18" s="185">
        <f>'Alt. scenario LCY'!Y16</f>
        <v>19691406.25</v>
      </c>
      <c r="AY18" s="185">
        <f>'Alt. scenario LCY'!Z16</f>
        <v>19376343.75</v>
      </c>
      <c r="AZ18" s="185">
        <f>'Alt. scenario LCY'!AA16</f>
        <v>19061281.25</v>
      </c>
      <c r="BA18" s="230">
        <f>'Alt. scenario LCY'!AB16</f>
        <v>78135500</v>
      </c>
      <c r="BB18" s="185">
        <f>'Key financial and ops fig.s LCY'!AC16</f>
        <v>-3150625</v>
      </c>
      <c r="BC18" s="185">
        <f>'Key financial and ops fig.s LCY'!AD16</f>
        <v>-3150625</v>
      </c>
      <c r="BD18" s="185">
        <f>'Key financial and ops fig.s LCY'!AE16</f>
        <v>-3150625</v>
      </c>
      <c r="BE18" s="185">
        <f>'Key financial and ops fig.s LCY'!AF16</f>
        <v>-3150625</v>
      </c>
      <c r="BF18" s="213">
        <f>'Key financial and ops fig.s LCY'!AG16</f>
        <v>-12602500</v>
      </c>
      <c r="BG18" s="185">
        <f>'Alt. scenario LCY'!AC16</f>
        <v>-3150625</v>
      </c>
      <c r="BH18" s="185">
        <f>'Alt. scenario LCY'!AD16</f>
        <v>-3150625</v>
      </c>
      <c r="BI18" s="185">
        <f>'Alt. scenario LCY'!AE16</f>
        <v>-3150625</v>
      </c>
      <c r="BJ18" s="185">
        <f>'Alt. scenario LCY'!AF16</f>
        <v>-3150625</v>
      </c>
      <c r="BK18" s="230">
        <f>'Alt. scenario LCY'!AG16</f>
        <v>-12602500</v>
      </c>
      <c r="BL18" s="185">
        <f>'Key financial and ops fig.s LCY'!AH16</f>
        <v>-3150625</v>
      </c>
      <c r="BM18" s="185">
        <f>'Key financial and ops fig.s LCY'!AI16</f>
        <v>-3150625</v>
      </c>
      <c r="BN18" s="185">
        <f>'Key financial and ops fig.s LCY'!AJ16</f>
        <v>-3150625</v>
      </c>
      <c r="BO18" s="185">
        <f>'Key financial and ops fig.s LCY'!AK16</f>
        <v>-3150625</v>
      </c>
      <c r="BP18" s="213">
        <f>'Key financial and ops fig.s LCY'!AL16</f>
        <v>-12602500</v>
      </c>
      <c r="BQ18" s="185">
        <f>'Alt. scenario LCY'!AH16</f>
        <v>-3150625</v>
      </c>
      <c r="BR18" s="185">
        <f>'Alt. scenario LCY'!AI16</f>
        <v>-3150625</v>
      </c>
      <c r="BS18" s="185">
        <f>'Alt. scenario LCY'!AJ16</f>
        <v>-3150625</v>
      </c>
      <c r="BT18" s="185">
        <f>'Alt. scenario LCY'!AK16</f>
        <v>-3150625</v>
      </c>
      <c r="BU18" s="230">
        <f>'Alt. scenario LCY'!AL16</f>
        <v>-12602500</v>
      </c>
    </row>
    <row r="19" spans="1:73" ht="17.100000000000001" hidden="1" outlineLevel="1" thickBot="1">
      <c r="A19" s="31"/>
      <c r="B19" s="34" t="s">
        <v>260</v>
      </c>
      <c r="C19" s="34"/>
      <c r="D19" s="184">
        <f>'Key financial and ops fig.s LCY'!D17</f>
        <v>33827995.3125</v>
      </c>
      <c r="E19" s="184">
        <f>'Key financial and ops fig.s LCY'!E17</f>
        <v>42183012.5</v>
      </c>
      <c r="F19" s="184">
        <f>'Key financial and ops fig.s LCY'!F17</f>
        <v>50427582.8125</v>
      </c>
      <c r="G19" s="184">
        <f>'Key financial and ops fig.s LCY'!G17</f>
        <v>58561706.25</v>
      </c>
      <c r="H19" s="214">
        <f>'Key financial and ops fig.s LCY'!H17</f>
        <v>185000296.875</v>
      </c>
      <c r="I19" s="184">
        <f>'Alt. scenario LCY'!D17</f>
        <v>33827995.3125</v>
      </c>
      <c r="J19" s="184">
        <f>'Alt. scenario LCY'!E17</f>
        <v>42183012.5</v>
      </c>
      <c r="K19" s="184">
        <f>'Alt. scenario LCY'!F17</f>
        <v>50427582.8125</v>
      </c>
      <c r="L19" s="184">
        <f>'Alt. scenario LCY'!G17</f>
        <v>58561706.25</v>
      </c>
      <c r="M19" s="231">
        <f>'Alt. scenario LCY'!H17</f>
        <v>185000296.875</v>
      </c>
      <c r="N19" s="184">
        <f>'Key financial and ops fig.s LCY'!I17</f>
        <v>66585382.8125</v>
      </c>
      <c r="O19" s="184">
        <f>'Key financial and ops fig.s LCY'!J17</f>
        <v>74498612.5</v>
      </c>
      <c r="P19" s="184">
        <f>'Key financial and ops fig.s LCY'!K17</f>
        <v>82301395.3125</v>
      </c>
      <c r="Q19" s="184">
        <f>'Key financial and ops fig.s LCY'!L17</f>
        <v>89993731.25</v>
      </c>
      <c r="R19" s="214">
        <f>'Key financial and ops fig.s LCY'!M17</f>
        <v>313379121.875</v>
      </c>
      <c r="S19" s="184">
        <f>'Alt. scenario LCY'!I17</f>
        <v>66585382.8125</v>
      </c>
      <c r="T19" s="184">
        <f>'Alt. scenario LCY'!J17</f>
        <v>74498612.5</v>
      </c>
      <c r="U19" s="184">
        <f>'Alt. scenario LCY'!K17</f>
        <v>82301395.3125</v>
      </c>
      <c r="V19" s="184">
        <f>'Alt. scenario LCY'!L17</f>
        <v>89993731.25</v>
      </c>
      <c r="W19" s="231">
        <f>'Alt. scenario LCY'!M17</f>
        <v>313379121.875</v>
      </c>
      <c r="X19" s="184">
        <f>'Key financial and ops fig.s LCY'!N17</f>
        <v>97575620.3125</v>
      </c>
      <c r="Y19" s="184">
        <f>'Key financial and ops fig.s LCY'!O17</f>
        <v>105047062.5</v>
      </c>
      <c r="Z19" s="184">
        <f>'Key financial and ops fig.s LCY'!P17</f>
        <v>112408057.8125</v>
      </c>
      <c r="AA19" s="184">
        <f>'Key financial and ops fig.s LCY'!Q17</f>
        <v>119658606.25</v>
      </c>
      <c r="AB19" s="214">
        <f>'Key financial and ops fig.s LCY'!R17</f>
        <v>434689346.875</v>
      </c>
      <c r="AC19" s="184">
        <f>'Alt. scenario LCY'!N17</f>
        <v>97575620.3125</v>
      </c>
      <c r="AD19" s="184">
        <f>'Alt. scenario LCY'!O17</f>
        <v>105047062.5</v>
      </c>
      <c r="AE19" s="184">
        <f>'Alt. scenario LCY'!P17</f>
        <v>112408057.8125</v>
      </c>
      <c r="AF19" s="184">
        <f>'Alt. scenario LCY'!Q17</f>
        <v>119658606.25</v>
      </c>
      <c r="AG19" s="231">
        <f>'Alt. scenario LCY'!R17</f>
        <v>434689346.875</v>
      </c>
      <c r="AH19" s="184">
        <f>'Key financial and ops fig.s LCY'!S17</f>
        <v>126798707.8125</v>
      </c>
      <c r="AI19" s="184">
        <f>'Key financial and ops fig.s LCY'!T17</f>
        <v>133828362.5</v>
      </c>
      <c r="AJ19" s="184">
        <f>'Key financial and ops fig.s LCY'!U17</f>
        <v>140747570.3125</v>
      </c>
      <c r="AK19" s="184">
        <f>'Key financial and ops fig.s LCY'!V17</f>
        <v>147556331.25</v>
      </c>
      <c r="AL19" s="214">
        <f>'Key financial and ops fig.s LCY'!W17</f>
        <v>548930971.875</v>
      </c>
      <c r="AM19" s="184">
        <f>'Alt. scenario LCY'!S17</f>
        <v>126798707.8125</v>
      </c>
      <c r="AN19" s="184">
        <f>'Alt. scenario LCY'!T17</f>
        <v>133828362.5</v>
      </c>
      <c r="AO19" s="184">
        <f>'Alt. scenario LCY'!U17</f>
        <v>140747570.3125</v>
      </c>
      <c r="AP19" s="184">
        <f>'Alt. scenario LCY'!V17</f>
        <v>147556331.25</v>
      </c>
      <c r="AQ19" s="231">
        <f>'Alt. scenario LCY'!W17</f>
        <v>548930971.875</v>
      </c>
      <c r="AR19" s="184">
        <f>'Key financial and ops fig.s LCY'!X17</f>
        <v>154254645.3125</v>
      </c>
      <c r="AS19" s="184">
        <f>'Key financial and ops fig.s LCY'!Y17</f>
        <v>160842512.5</v>
      </c>
      <c r="AT19" s="184">
        <f>'Key financial and ops fig.s LCY'!Z17</f>
        <v>167319932.8125</v>
      </c>
      <c r="AU19" s="184">
        <f>'Key financial and ops fig.s LCY'!AA17</f>
        <v>173686906.25</v>
      </c>
      <c r="AV19" s="214">
        <f>'Key financial and ops fig.s LCY'!AB17</f>
        <v>656103996.875</v>
      </c>
      <c r="AW19" s="184">
        <f>'Alt. scenario LCY'!X17</f>
        <v>154254645.3125</v>
      </c>
      <c r="AX19" s="184">
        <f>'Alt. scenario LCY'!Y17</f>
        <v>160842512.5</v>
      </c>
      <c r="AY19" s="184">
        <f>'Alt. scenario LCY'!Z17</f>
        <v>167319932.8125</v>
      </c>
      <c r="AZ19" s="184">
        <f>'Alt. scenario LCY'!AA17</f>
        <v>173686906.25</v>
      </c>
      <c r="BA19" s="231">
        <f>'Alt. scenario LCY'!AB17</f>
        <v>656103996.875</v>
      </c>
      <c r="BB19" s="184">
        <f>'Key financial and ops fig.s LCY'!AC17</f>
        <v>150370531.25</v>
      </c>
      <c r="BC19" s="184">
        <f>'Key financial and ops fig.s LCY'!AD17</f>
        <v>149266062.5</v>
      </c>
      <c r="BD19" s="184">
        <f>'Key financial and ops fig.s LCY'!AE17</f>
        <v>148161593.75</v>
      </c>
      <c r="BE19" s="184">
        <f>'Key financial and ops fig.s LCY'!AF17</f>
        <v>147057125</v>
      </c>
      <c r="BF19" s="214">
        <f>'Key financial and ops fig.s LCY'!AG17</f>
        <v>594855312.5</v>
      </c>
      <c r="BG19" s="184">
        <f>'Alt. scenario LCY'!AC17</f>
        <v>150370531.25</v>
      </c>
      <c r="BH19" s="184">
        <f>'Alt. scenario LCY'!AD17</f>
        <v>149266062.5</v>
      </c>
      <c r="BI19" s="184">
        <f>'Alt. scenario LCY'!AE17</f>
        <v>148161593.75</v>
      </c>
      <c r="BJ19" s="184">
        <f>'Alt. scenario LCY'!AF17</f>
        <v>147057125</v>
      </c>
      <c r="BK19" s="231">
        <f>'Alt. scenario LCY'!AG17</f>
        <v>594855312.5</v>
      </c>
      <c r="BL19" s="184">
        <f>'Key financial and ops fig.s LCY'!AH17</f>
        <v>145952656.25</v>
      </c>
      <c r="BM19" s="184">
        <f>'Key financial and ops fig.s LCY'!AI17</f>
        <v>144848187.5</v>
      </c>
      <c r="BN19" s="184">
        <f>'Key financial and ops fig.s LCY'!AJ17</f>
        <v>143743718.75</v>
      </c>
      <c r="BO19" s="184">
        <f>'Key financial and ops fig.s LCY'!AK17</f>
        <v>142639250</v>
      </c>
      <c r="BP19" s="214">
        <f>'Key financial and ops fig.s LCY'!AL17</f>
        <v>577183812.5</v>
      </c>
      <c r="BQ19" s="184">
        <f>'Alt. scenario LCY'!AH17</f>
        <v>145952656.25</v>
      </c>
      <c r="BR19" s="184">
        <f>'Alt. scenario LCY'!AI17</f>
        <v>144848187.5</v>
      </c>
      <c r="BS19" s="184">
        <f>'Alt. scenario LCY'!AJ17</f>
        <v>143743718.75</v>
      </c>
      <c r="BT19" s="184">
        <f>'Alt. scenario LCY'!AK17</f>
        <v>142639250</v>
      </c>
      <c r="BU19" s="231">
        <f>'Alt. scenario LCY'!AL17</f>
        <v>577183812.5</v>
      </c>
    </row>
    <row r="20" spans="1:73" ht="17.100000000000001" collapsed="1" thickBot="1">
      <c r="A20" s="36" t="s">
        <v>261</v>
      </c>
      <c r="B20" s="37"/>
      <c r="C20" s="38"/>
      <c r="D20" s="51">
        <f>'Key financial and ops fig.s LCY'!D18</f>
        <v>33827995.3125</v>
      </c>
      <c r="E20" s="51">
        <f>'Key financial and ops fig.s LCY'!E18</f>
        <v>42183012.5</v>
      </c>
      <c r="F20" s="51">
        <f>'Key financial and ops fig.s LCY'!F18</f>
        <v>50427582.8125</v>
      </c>
      <c r="G20" s="51">
        <f>'Key financial and ops fig.s LCY'!G18</f>
        <v>58561706.25</v>
      </c>
      <c r="H20" s="215">
        <f>'Key financial and ops fig.s LCY'!H18</f>
        <v>185000296.875</v>
      </c>
      <c r="I20" s="51">
        <f>'Alt. scenario LCY'!D18</f>
        <v>33827995.3125</v>
      </c>
      <c r="J20" s="51">
        <f>'Alt. scenario LCY'!E18</f>
        <v>42183012.5</v>
      </c>
      <c r="K20" s="51">
        <f>'Alt. scenario LCY'!F18</f>
        <v>50427582.8125</v>
      </c>
      <c r="L20" s="51">
        <f>'Alt. scenario LCY'!G18</f>
        <v>58561706.25</v>
      </c>
      <c r="M20" s="232">
        <f>'Alt. scenario LCY'!H18</f>
        <v>185000296.875</v>
      </c>
      <c r="N20" s="51">
        <f>'Key financial and ops fig.s LCY'!I18</f>
        <v>66585382.8125</v>
      </c>
      <c r="O20" s="51">
        <f>'Key financial and ops fig.s LCY'!J18</f>
        <v>74498612.5</v>
      </c>
      <c r="P20" s="51">
        <f>'Key financial and ops fig.s LCY'!K18</f>
        <v>82301395.3125</v>
      </c>
      <c r="Q20" s="51">
        <f>'Key financial and ops fig.s LCY'!L18</f>
        <v>89993731.25</v>
      </c>
      <c r="R20" s="215">
        <f>'Key financial and ops fig.s LCY'!M18</f>
        <v>313379121.875</v>
      </c>
      <c r="S20" s="51">
        <f>'Alt. scenario LCY'!I18</f>
        <v>66585382.8125</v>
      </c>
      <c r="T20" s="51">
        <f>'Alt. scenario LCY'!J18</f>
        <v>74498612.5</v>
      </c>
      <c r="U20" s="51">
        <f>'Alt. scenario LCY'!K18</f>
        <v>82301395.3125</v>
      </c>
      <c r="V20" s="51">
        <f>'Alt. scenario LCY'!L18</f>
        <v>89993731.25</v>
      </c>
      <c r="W20" s="232">
        <f>'Alt. scenario LCY'!M18</f>
        <v>313379121.875</v>
      </c>
      <c r="X20" s="51">
        <f>'Key financial and ops fig.s LCY'!N18</f>
        <v>97575620.3125</v>
      </c>
      <c r="Y20" s="51">
        <f>'Key financial and ops fig.s LCY'!O18</f>
        <v>105047062.5</v>
      </c>
      <c r="Z20" s="51">
        <f>'Key financial and ops fig.s LCY'!P18</f>
        <v>112408057.8125</v>
      </c>
      <c r="AA20" s="51">
        <f>'Key financial and ops fig.s LCY'!Q18</f>
        <v>119658606.25</v>
      </c>
      <c r="AB20" s="215">
        <f>'Key financial and ops fig.s LCY'!R18</f>
        <v>434689346.875</v>
      </c>
      <c r="AC20" s="51">
        <f>'Alt. scenario LCY'!N18</f>
        <v>97575620.3125</v>
      </c>
      <c r="AD20" s="51">
        <f>'Alt. scenario LCY'!O18</f>
        <v>105047062.5</v>
      </c>
      <c r="AE20" s="51">
        <f>'Alt. scenario LCY'!P18</f>
        <v>112408057.8125</v>
      </c>
      <c r="AF20" s="51">
        <f>'Alt. scenario LCY'!Q18</f>
        <v>119658606.25</v>
      </c>
      <c r="AG20" s="232">
        <f>'Alt. scenario LCY'!R18</f>
        <v>434689346.875</v>
      </c>
      <c r="AH20" s="51">
        <f>'Key financial and ops fig.s LCY'!S18</f>
        <v>126798707.8125</v>
      </c>
      <c r="AI20" s="51">
        <f>'Key financial and ops fig.s LCY'!T18</f>
        <v>133828362.5</v>
      </c>
      <c r="AJ20" s="51">
        <f>'Key financial and ops fig.s LCY'!U18</f>
        <v>140747570.3125</v>
      </c>
      <c r="AK20" s="51">
        <f>'Key financial and ops fig.s LCY'!V18</f>
        <v>147556331.25</v>
      </c>
      <c r="AL20" s="215">
        <f>'Key financial and ops fig.s LCY'!W18</f>
        <v>548930971.875</v>
      </c>
      <c r="AM20" s="51">
        <f>'Alt. scenario LCY'!S18</f>
        <v>126798707.8125</v>
      </c>
      <c r="AN20" s="51">
        <f>'Alt. scenario LCY'!T18</f>
        <v>133828362.5</v>
      </c>
      <c r="AO20" s="51">
        <f>'Alt. scenario LCY'!U18</f>
        <v>140747570.3125</v>
      </c>
      <c r="AP20" s="51">
        <f>'Alt. scenario LCY'!V18</f>
        <v>147556331.25</v>
      </c>
      <c r="AQ20" s="232">
        <f>'Alt. scenario LCY'!W18</f>
        <v>548930971.875</v>
      </c>
      <c r="AR20" s="51">
        <f>'Key financial and ops fig.s LCY'!X18</f>
        <v>154254645.3125</v>
      </c>
      <c r="AS20" s="51">
        <f>'Key financial and ops fig.s LCY'!Y18</f>
        <v>160842512.5</v>
      </c>
      <c r="AT20" s="51">
        <f>'Key financial and ops fig.s LCY'!Z18</f>
        <v>167319932.8125</v>
      </c>
      <c r="AU20" s="51">
        <f>'Key financial and ops fig.s LCY'!AA18</f>
        <v>173686906.25</v>
      </c>
      <c r="AV20" s="215">
        <f>'Key financial and ops fig.s LCY'!AB18</f>
        <v>656103996.875</v>
      </c>
      <c r="AW20" s="51">
        <f>'Alt. scenario LCY'!X18</f>
        <v>154254645.3125</v>
      </c>
      <c r="AX20" s="51">
        <f>'Alt. scenario LCY'!Y18</f>
        <v>160842512.5</v>
      </c>
      <c r="AY20" s="51">
        <f>'Alt. scenario LCY'!Z18</f>
        <v>167319932.8125</v>
      </c>
      <c r="AZ20" s="51">
        <f>'Alt. scenario LCY'!AA18</f>
        <v>173686906.25</v>
      </c>
      <c r="BA20" s="232">
        <f>'Alt. scenario LCY'!AB18</f>
        <v>656103996.875</v>
      </c>
      <c r="BB20" s="51">
        <f>'Key financial and ops fig.s LCY'!AC18</f>
        <v>150370531.25</v>
      </c>
      <c r="BC20" s="51">
        <f>'Key financial and ops fig.s LCY'!AD18</f>
        <v>149266062.5</v>
      </c>
      <c r="BD20" s="51">
        <f>'Key financial and ops fig.s LCY'!AE18</f>
        <v>148161593.75</v>
      </c>
      <c r="BE20" s="51">
        <f>'Key financial and ops fig.s LCY'!AF18</f>
        <v>147057125</v>
      </c>
      <c r="BF20" s="215">
        <f>'Key financial and ops fig.s LCY'!AG18</f>
        <v>594855312.5</v>
      </c>
      <c r="BG20" s="51">
        <f>'Alt. scenario LCY'!AC18</f>
        <v>150370531.25</v>
      </c>
      <c r="BH20" s="51">
        <f>'Alt. scenario LCY'!AD18</f>
        <v>149266062.5</v>
      </c>
      <c r="BI20" s="51">
        <f>'Alt. scenario LCY'!AE18</f>
        <v>148161593.75</v>
      </c>
      <c r="BJ20" s="51">
        <f>'Alt. scenario LCY'!AF18</f>
        <v>147057125</v>
      </c>
      <c r="BK20" s="232">
        <f>'Alt. scenario LCY'!AG18</f>
        <v>594855312.5</v>
      </c>
      <c r="BL20" s="51">
        <f>'Key financial and ops fig.s LCY'!AH18</f>
        <v>145952656.25</v>
      </c>
      <c r="BM20" s="51">
        <f>'Key financial and ops fig.s LCY'!AI18</f>
        <v>144848187.5</v>
      </c>
      <c r="BN20" s="51">
        <f>'Key financial and ops fig.s LCY'!AJ18</f>
        <v>143743718.75</v>
      </c>
      <c r="BO20" s="51">
        <f>'Key financial and ops fig.s LCY'!AK18</f>
        <v>142639250</v>
      </c>
      <c r="BP20" s="215">
        <f>'Key financial and ops fig.s LCY'!AL18</f>
        <v>577183812.5</v>
      </c>
      <c r="BQ20" s="51">
        <f>'Alt. scenario LCY'!AH18</f>
        <v>145952656.25</v>
      </c>
      <c r="BR20" s="51">
        <f>'Alt. scenario LCY'!AI18</f>
        <v>144848187.5</v>
      </c>
      <c r="BS20" s="51">
        <f>'Alt. scenario LCY'!AJ18</f>
        <v>143743718.75</v>
      </c>
      <c r="BT20" s="51">
        <f>'Alt. scenario LCY'!AK18</f>
        <v>142639250</v>
      </c>
      <c r="BU20" s="232">
        <f>'Alt. scenario LCY'!AL18</f>
        <v>577183812.5</v>
      </c>
    </row>
    <row r="21" spans="1:73" ht="17.100000000000001" hidden="1" outlineLevel="2" thickBot="1">
      <c r="A21" s="31"/>
      <c r="C21" s="32" t="s">
        <v>262</v>
      </c>
      <c r="D21" s="183">
        <f>'Key financial and ops fig.s LCY'!D19</f>
        <v>5738906.25</v>
      </c>
      <c r="E21" s="183">
        <f>'Key financial and ops fig.s LCY'!E19</f>
        <v>11405625</v>
      </c>
      <c r="F21" s="183">
        <f>'Key financial and ops fig.s LCY'!F19</f>
        <v>17000156.25</v>
      </c>
      <c r="G21" s="183">
        <f>'Key financial and ops fig.s LCY'!G19</f>
        <v>22522500</v>
      </c>
      <c r="H21" s="213">
        <f>'Key financial and ops fig.s LCY'!H19</f>
        <v>56667187.5</v>
      </c>
      <c r="I21" s="183">
        <f>'Alt. scenario LCY'!D19</f>
        <v>5738906.25</v>
      </c>
      <c r="J21" s="183">
        <f>'Alt. scenario LCY'!E19</f>
        <v>11405625</v>
      </c>
      <c r="K21" s="183">
        <f>'Alt. scenario LCY'!F19</f>
        <v>17000156.25</v>
      </c>
      <c r="L21" s="183">
        <f>'Alt. scenario LCY'!G19</f>
        <v>22522500</v>
      </c>
      <c r="M21" s="230">
        <f>'Alt. scenario LCY'!H19</f>
        <v>56667187.5</v>
      </c>
      <c r="N21" s="183">
        <f>'Key financial and ops fig.s LCY'!I19</f>
        <v>27972656.25</v>
      </c>
      <c r="O21" s="183">
        <f>'Key financial and ops fig.s LCY'!J19</f>
        <v>33350625</v>
      </c>
      <c r="P21" s="183">
        <f>'Key financial and ops fig.s LCY'!K19</f>
        <v>38656406.25</v>
      </c>
      <c r="Q21" s="183">
        <f>'Key financial and ops fig.s LCY'!L19</f>
        <v>43890000</v>
      </c>
      <c r="R21" s="213">
        <f>'Key financial and ops fig.s LCY'!M19</f>
        <v>143869687.5</v>
      </c>
      <c r="S21" s="183">
        <f>'Alt. scenario LCY'!I19</f>
        <v>27972656.25</v>
      </c>
      <c r="T21" s="183">
        <f>'Alt. scenario LCY'!J19</f>
        <v>33350625</v>
      </c>
      <c r="U21" s="183">
        <f>'Alt. scenario LCY'!K19</f>
        <v>38656406.25</v>
      </c>
      <c r="V21" s="183">
        <f>'Alt. scenario LCY'!L19</f>
        <v>43890000</v>
      </c>
      <c r="W21" s="230">
        <f>'Alt. scenario LCY'!M19</f>
        <v>143869687.5</v>
      </c>
      <c r="X21" s="183">
        <f>'Key financial and ops fig.s LCY'!N19</f>
        <v>49051406.25</v>
      </c>
      <c r="Y21" s="183">
        <f>'Key financial and ops fig.s LCY'!O19</f>
        <v>54140625</v>
      </c>
      <c r="Z21" s="183">
        <f>'Key financial and ops fig.s LCY'!P19</f>
        <v>59157656.25</v>
      </c>
      <c r="AA21" s="183">
        <f>'Key financial and ops fig.s LCY'!Q19</f>
        <v>64102500</v>
      </c>
      <c r="AB21" s="213">
        <f>'Key financial and ops fig.s LCY'!R19</f>
        <v>226452187.5</v>
      </c>
      <c r="AC21" s="183">
        <f>'Alt. scenario LCY'!N19</f>
        <v>49051406.25</v>
      </c>
      <c r="AD21" s="183">
        <f>'Alt. scenario LCY'!O19</f>
        <v>54140625</v>
      </c>
      <c r="AE21" s="183">
        <f>'Alt. scenario LCY'!P19</f>
        <v>59157656.25</v>
      </c>
      <c r="AF21" s="183">
        <f>'Alt. scenario LCY'!Q19</f>
        <v>64102500</v>
      </c>
      <c r="AG21" s="230">
        <f>'Alt. scenario LCY'!R19</f>
        <v>226452187.5</v>
      </c>
      <c r="AH21" s="183">
        <f>'Key financial and ops fig.s LCY'!S19</f>
        <v>68975156.25</v>
      </c>
      <c r="AI21" s="183">
        <f>'Key financial and ops fig.s LCY'!T19</f>
        <v>73775625</v>
      </c>
      <c r="AJ21" s="183">
        <f>'Key financial and ops fig.s LCY'!U19</f>
        <v>78503906.25</v>
      </c>
      <c r="AK21" s="183">
        <f>'Key financial and ops fig.s LCY'!V19</f>
        <v>83160000</v>
      </c>
      <c r="AL21" s="213">
        <f>'Key financial and ops fig.s LCY'!W19</f>
        <v>304414687.5</v>
      </c>
      <c r="AM21" s="183">
        <f>'Alt. scenario LCY'!S19</f>
        <v>68975156.25</v>
      </c>
      <c r="AN21" s="183">
        <f>'Alt. scenario LCY'!T19</f>
        <v>73775625</v>
      </c>
      <c r="AO21" s="183">
        <f>'Alt. scenario LCY'!U19</f>
        <v>78503906.25</v>
      </c>
      <c r="AP21" s="183">
        <f>'Alt. scenario LCY'!V19</f>
        <v>83160000</v>
      </c>
      <c r="AQ21" s="230">
        <f>'Alt. scenario LCY'!W19</f>
        <v>304414687.5</v>
      </c>
      <c r="AR21" s="183">
        <f>'Key financial and ops fig.s LCY'!X19</f>
        <v>87743906.25</v>
      </c>
      <c r="AS21" s="183">
        <f>'Key financial and ops fig.s LCY'!Y19</f>
        <v>92255625</v>
      </c>
      <c r="AT21" s="183">
        <f>'Key financial and ops fig.s LCY'!Z19</f>
        <v>96695156.25</v>
      </c>
      <c r="AU21" s="183">
        <f>'Key financial and ops fig.s LCY'!AA19</f>
        <v>101062500</v>
      </c>
      <c r="AV21" s="213">
        <f>'Key financial and ops fig.s LCY'!AB19</f>
        <v>377757187.5</v>
      </c>
      <c r="AW21" s="183">
        <f>'Alt. scenario LCY'!X19</f>
        <v>87743906.25</v>
      </c>
      <c r="AX21" s="183">
        <f>'Alt. scenario LCY'!Y19</f>
        <v>92255625</v>
      </c>
      <c r="AY21" s="183">
        <f>'Alt. scenario LCY'!Z19</f>
        <v>96695156.25</v>
      </c>
      <c r="AZ21" s="183">
        <f>'Alt. scenario LCY'!AA19</f>
        <v>101062500</v>
      </c>
      <c r="BA21" s="230">
        <f>'Alt. scenario LCY'!AB19</f>
        <v>377757187.5</v>
      </c>
      <c r="BB21" s="183">
        <f>'Key financial and ops fig.s LCY'!AC19</f>
        <v>100340625</v>
      </c>
      <c r="BC21" s="183">
        <f>'Key financial and ops fig.s LCY'!AD19</f>
        <v>99618750</v>
      </c>
      <c r="BD21" s="183">
        <f>'Key financial and ops fig.s LCY'!AE19</f>
        <v>98896875</v>
      </c>
      <c r="BE21" s="183">
        <f>'Key financial and ops fig.s LCY'!AF19</f>
        <v>98175000</v>
      </c>
      <c r="BF21" s="213">
        <f>'Key financial and ops fig.s LCY'!AG19</f>
        <v>397031250</v>
      </c>
      <c r="BG21" s="183">
        <f>'Alt. scenario LCY'!AC19</f>
        <v>100340625</v>
      </c>
      <c r="BH21" s="183">
        <f>'Alt. scenario LCY'!AD19</f>
        <v>99618750</v>
      </c>
      <c r="BI21" s="183">
        <f>'Alt. scenario LCY'!AE19</f>
        <v>98896875</v>
      </c>
      <c r="BJ21" s="183">
        <f>'Alt. scenario LCY'!AF19</f>
        <v>98175000</v>
      </c>
      <c r="BK21" s="230">
        <f>'Alt. scenario LCY'!AG19</f>
        <v>397031250</v>
      </c>
      <c r="BL21" s="183">
        <f>'Key financial and ops fig.s LCY'!AH19</f>
        <v>97453125</v>
      </c>
      <c r="BM21" s="183">
        <f>'Key financial and ops fig.s LCY'!AI19</f>
        <v>96731250</v>
      </c>
      <c r="BN21" s="183">
        <f>'Key financial and ops fig.s LCY'!AJ19</f>
        <v>96009375</v>
      </c>
      <c r="BO21" s="183">
        <f>'Key financial and ops fig.s LCY'!AK19</f>
        <v>95287500</v>
      </c>
      <c r="BP21" s="213">
        <f>'Key financial and ops fig.s LCY'!AL19</f>
        <v>385481250</v>
      </c>
      <c r="BQ21" s="183">
        <f>'Alt. scenario LCY'!AH19</f>
        <v>97453125</v>
      </c>
      <c r="BR21" s="183">
        <f>'Alt. scenario LCY'!AI19</f>
        <v>96731250</v>
      </c>
      <c r="BS21" s="183">
        <f>'Alt. scenario LCY'!AJ19</f>
        <v>96009375</v>
      </c>
      <c r="BT21" s="183">
        <f>'Alt. scenario LCY'!AK19</f>
        <v>95287500</v>
      </c>
      <c r="BU21" s="230">
        <f>'Alt. scenario LCY'!AL19</f>
        <v>385481250</v>
      </c>
    </row>
    <row r="22" spans="1:73" ht="17.100000000000001" hidden="1" outlineLevel="2" thickBot="1">
      <c r="A22" s="31"/>
      <c r="C22" s="32" t="s">
        <v>263</v>
      </c>
      <c r="D22" s="185">
        <f>'Key financial and ops fig.s LCY'!D20</f>
        <v>2500000</v>
      </c>
      <c r="E22" s="185">
        <f>'Key financial and ops fig.s LCY'!E20</f>
        <v>2500000</v>
      </c>
      <c r="F22" s="185">
        <f>'Key financial and ops fig.s LCY'!F20</f>
        <v>2500000</v>
      </c>
      <c r="G22" s="185">
        <f>'Key financial and ops fig.s LCY'!G20</f>
        <v>2500000</v>
      </c>
      <c r="H22" s="213">
        <f>'Key financial and ops fig.s LCY'!H20</f>
        <v>10000000</v>
      </c>
      <c r="I22" s="185">
        <f>'Alt. scenario LCY'!D20</f>
        <v>2500000</v>
      </c>
      <c r="J22" s="185">
        <f>'Alt. scenario LCY'!E20</f>
        <v>2500000</v>
      </c>
      <c r="K22" s="185">
        <f>'Alt. scenario LCY'!F20</f>
        <v>2500000</v>
      </c>
      <c r="L22" s="185">
        <f>'Alt. scenario LCY'!G20</f>
        <v>2500000</v>
      </c>
      <c r="M22" s="230">
        <f>'Alt. scenario LCY'!H20</f>
        <v>10000000</v>
      </c>
      <c r="N22" s="185">
        <f>'Key financial and ops fig.s LCY'!I20</f>
        <v>2500000</v>
      </c>
      <c r="O22" s="185">
        <f>'Key financial and ops fig.s LCY'!J20</f>
        <v>2500000</v>
      </c>
      <c r="P22" s="185">
        <f>'Key financial and ops fig.s LCY'!K20</f>
        <v>2500000</v>
      </c>
      <c r="Q22" s="185">
        <f>'Key financial and ops fig.s LCY'!L20</f>
        <v>2500000</v>
      </c>
      <c r="R22" s="213">
        <f>'Key financial and ops fig.s LCY'!M20</f>
        <v>10000000</v>
      </c>
      <c r="S22" s="185">
        <f>'Alt. scenario LCY'!I20</f>
        <v>2500000</v>
      </c>
      <c r="T22" s="185">
        <f>'Alt. scenario LCY'!J20</f>
        <v>2500000</v>
      </c>
      <c r="U22" s="185">
        <f>'Alt. scenario LCY'!K20</f>
        <v>2500000</v>
      </c>
      <c r="V22" s="185">
        <f>'Alt. scenario LCY'!L20</f>
        <v>2500000</v>
      </c>
      <c r="W22" s="230">
        <f>'Alt. scenario LCY'!M20</f>
        <v>10000000</v>
      </c>
      <c r="X22" s="185">
        <f>'Key financial and ops fig.s LCY'!N20</f>
        <v>2500000</v>
      </c>
      <c r="Y22" s="185">
        <f>'Key financial and ops fig.s LCY'!O20</f>
        <v>2500000</v>
      </c>
      <c r="Z22" s="185">
        <f>'Key financial and ops fig.s LCY'!P20</f>
        <v>2500000</v>
      </c>
      <c r="AA22" s="185">
        <f>'Key financial and ops fig.s LCY'!Q20</f>
        <v>2500000</v>
      </c>
      <c r="AB22" s="213">
        <f>'Key financial and ops fig.s LCY'!R20</f>
        <v>10000000</v>
      </c>
      <c r="AC22" s="185">
        <f>'Alt. scenario LCY'!N20</f>
        <v>2500000</v>
      </c>
      <c r="AD22" s="185">
        <f>'Alt. scenario LCY'!O20</f>
        <v>2500000</v>
      </c>
      <c r="AE22" s="185">
        <f>'Alt. scenario LCY'!P20</f>
        <v>2500000</v>
      </c>
      <c r="AF22" s="185">
        <f>'Alt. scenario LCY'!Q20</f>
        <v>2500000</v>
      </c>
      <c r="AG22" s="230">
        <f>'Alt. scenario LCY'!R20</f>
        <v>10000000</v>
      </c>
      <c r="AH22" s="185">
        <f>'Key financial and ops fig.s LCY'!S20</f>
        <v>2500000</v>
      </c>
      <c r="AI22" s="185">
        <f>'Key financial and ops fig.s LCY'!T20</f>
        <v>2500000</v>
      </c>
      <c r="AJ22" s="185">
        <f>'Key financial and ops fig.s LCY'!U20</f>
        <v>2500000</v>
      </c>
      <c r="AK22" s="185">
        <f>'Key financial and ops fig.s LCY'!V20</f>
        <v>2500000</v>
      </c>
      <c r="AL22" s="213">
        <f>'Key financial and ops fig.s LCY'!W20</f>
        <v>10000000</v>
      </c>
      <c r="AM22" s="185">
        <f>'Alt. scenario LCY'!S20</f>
        <v>2500000</v>
      </c>
      <c r="AN22" s="185">
        <f>'Alt. scenario LCY'!T20</f>
        <v>2500000</v>
      </c>
      <c r="AO22" s="185">
        <f>'Alt. scenario LCY'!U20</f>
        <v>2500000</v>
      </c>
      <c r="AP22" s="185">
        <f>'Alt. scenario LCY'!V20</f>
        <v>2500000</v>
      </c>
      <c r="AQ22" s="230">
        <f>'Alt. scenario LCY'!W20</f>
        <v>10000000</v>
      </c>
      <c r="AR22" s="185">
        <f>'Key financial and ops fig.s LCY'!X20</f>
        <v>2500000</v>
      </c>
      <c r="AS22" s="185">
        <f>'Key financial and ops fig.s LCY'!Y20</f>
        <v>2500000</v>
      </c>
      <c r="AT22" s="185">
        <f>'Key financial and ops fig.s LCY'!Z20</f>
        <v>2500000</v>
      </c>
      <c r="AU22" s="185">
        <f>'Key financial and ops fig.s LCY'!AA20</f>
        <v>2500000</v>
      </c>
      <c r="AV22" s="213">
        <f>'Key financial and ops fig.s LCY'!AB20</f>
        <v>10000000</v>
      </c>
      <c r="AW22" s="185">
        <f>'Alt. scenario LCY'!X20</f>
        <v>2500000</v>
      </c>
      <c r="AX22" s="185">
        <f>'Alt. scenario LCY'!Y20</f>
        <v>2500000</v>
      </c>
      <c r="AY22" s="185">
        <f>'Alt. scenario LCY'!Z20</f>
        <v>2500000</v>
      </c>
      <c r="AZ22" s="185">
        <f>'Alt. scenario LCY'!AA20</f>
        <v>2500000</v>
      </c>
      <c r="BA22" s="230">
        <f>'Alt. scenario LCY'!AB20</f>
        <v>10000000</v>
      </c>
      <c r="BB22" s="185">
        <f>'Key financial and ops fig.s LCY'!AC20</f>
        <v>2500000</v>
      </c>
      <c r="BC22" s="185">
        <f>'Key financial and ops fig.s LCY'!AD20</f>
        <v>2500000</v>
      </c>
      <c r="BD22" s="185">
        <f>'Key financial and ops fig.s LCY'!AE20</f>
        <v>2500000</v>
      </c>
      <c r="BE22" s="185">
        <f>'Key financial and ops fig.s LCY'!AF20</f>
        <v>2500000</v>
      </c>
      <c r="BF22" s="213">
        <f>'Key financial and ops fig.s LCY'!AG20</f>
        <v>10000000</v>
      </c>
      <c r="BG22" s="185">
        <f>'Alt. scenario LCY'!AC20</f>
        <v>2500000</v>
      </c>
      <c r="BH22" s="185">
        <f>'Alt. scenario LCY'!AD20</f>
        <v>2500000</v>
      </c>
      <c r="BI22" s="185">
        <f>'Alt. scenario LCY'!AE20</f>
        <v>2500000</v>
      </c>
      <c r="BJ22" s="185">
        <f>'Alt. scenario LCY'!AF20</f>
        <v>2500000</v>
      </c>
      <c r="BK22" s="230">
        <f>'Alt. scenario LCY'!AG20</f>
        <v>10000000</v>
      </c>
      <c r="BL22" s="185">
        <f>'Key financial and ops fig.s LCY'!AH20</f>
        <v>2500000</v>
      </c>
      <c r="BM22" s="185">
        <f>'Key financial and ops fig.s LCY'!AI20</f>
        <v>2500000</v>
      </c>
      <c r="BN22" s="185">
        <f>'Key financial and ops fig.s LCY'!AJ20</f>
        <v>2500000</v>
      </c>
      <c r="BO22" s="185">
        <f>'Key financial and ops fig.s LCY'!AK20</f>
        <v>2500000</v>
      </c>
      <c r="BP22" s="213">
        <f>'Key financial and ops fig.s LCY'!AL20</f>
        <v>10000000</v>
      </c>
      <c r="BQ22" s="185">
        <f>'Alt. scenario LCY'!AH20</f>
        <v>2500000</v>
      </c>
      <c r="BR22" s="185">
        <f>'Alt. scenario LCY'!AI20</f>
        <v>2500000</v>
      </c>
      <c r="BS22" s="185">
        <f>'Alt. scenario LCY'!AJ20</f>
        <v>2500000</v>
      </c>
      <c r="BT22" s="185">
        <f>'Alt. scenario LCY'!AK20</f>
        <v>2500000</v>
      </c>
      <c r="BU22" s="230">
        <f>'Alt. scenario LCY'!AL20</f>
        <v>10000000</v>
      </c>
    </row>
    <row r="23" spans="1:73" ht="17.100000000000001" hidden="1" outlineLevel="2" thickBot="1">
      <c r="A23" s="31"/>
      <c r="C23" s="32" t="s">
        <v>264</v>
      </c>
      <c r="D23" s="185">
        <f>'Key financial and ops fig.s LCY'!D21</f>
        <v>-6250000</v>
      </c>
      <c r="E23" s="185">
        <f>'Key financial and ops fig.s LCY'!E21</f>
        <v>-6250000</v>
      </c>
      <c r="F23" s="185">
        <f>'Key financial and ops fig.s LCY'!F21</f>
        <v>-6250000</v>
      </c>
      <c r="G23" s="185">
        <f>'Key financial and ops fig.s LCY'!G21</f>
        <v>-6250000</v>
      </c>
      <c r="H23" s="213">
        <f>'Key financial and ops fig.s LCY'!H21</f>
        <v>-25000000</v>
      </c>
      <c r="I23" s="185">
        <f>'Alt. scenario LCY'!D21</f>
        <v>-6250000</v>
      </c>
      <c r="J23" s="185">
        <f>'Alt. scenario LCY'!E21</f>
        <v>-6250000</v>
      </c>
      <c r="K23" s="185">
        <f>'Alt. scenario LCY'!F21</f>
        <v>-6250000</v>
      </c>
      <c r="L23" s="185">
        <f>'Alt. scenario LCY'!G21</f>
        <v>-6250000</v>
      </c>
      <c r="M23" s="230">
        <f>'Alt. scenario LCY'!H21</f>
        <v>-25000000</v>
      </c>
      <c r="N23" s="185">
        <f>'Key financial and ops fig.s LCY'!I21</f>
        <v>-6250000</v>
      </c>
      <c r="O23" s="185">
        <f>'Key financial and ops fig.s LCY'!J21</f>
        <v>-6250000</v>
      </c>
      <c r="P23" s="185">
        <f>'Key financial and ops fig.s LCY'!K21</f>
        <v>-6250000</v>
      </c>
      <c r="Q23" s="185">
        <f>'Key financial and ops fig.s LCY'!L21</f>
        <v>-6250000</v>
      </c>
      <c r="R23" s="213">
        <f>'Key financial and ops fig.s LCY'!M21</f>
        <v>-25000000</v>
      </c>
      <c r="S23" s="185">
        <f>'Alt. scenario LCY'!I21</f>
        <v>-6250000</v>
      </c>
      <c r="T23" s="185">
        <f>'Alt. scenario LCY'!J21</f>
        <v>-6250000</v>
      </c>
      <c r="U23" s="185">
        <f>'Alt. scenario LCY'!K21</f>
        <v>-6250000</v>
      </c>
      <c r="V23" s="185">
        <f>'Alt. scenario LCY'!L21</f>
        <v>-6250000</v>
      </c>
      <c r="W23" s="230">
        <f>'Alt. scenario LCY'!M21</f>
        <v>-25000000</v>
      </c>
      <c r="X23" s="185">
        <f>'Key financial and ops fig.s LCY'!N21</f>
        <v>-6250000</v>
      </c>
      <c r="Y23" s="185">
        <f>'Key financial and ops fig.s LCY'!O21</f>
        <v>-6250000</v>
      </c>
      <c r="Z23" s="185">
        <f>'Key financial and ops fig.s LCY'!P21</f>
        <v>-6250000</v>
      </c>
      <c r="AA23" s="185">
        <f>'Key financial and ops fig.s LCY'!Q21</f>
        <v>-6250000</v>
      </c>
      <c r="AB23" s="213">
        <f>'Key financial and ops fig.s LCY'!R21</f>
        <v>-25000000</v>
      </c>
      <c r="AC23" s="185">
        <f>'Alt. scenario LCY'!N21</f>
        <v>-6250000</v>
      </c>
      <c r="AD23" s="185">
        <f>'Alt. scenario LCY'!O21</f>
        <v>-6250000</v>
      </c>
      <c r="AE23" s="185">
        <f>'Alt. scenario LCY'!P21</f>
        <v>-6250000</v>
      </c>
      <c r="AF23" s="185">
        <f>'Alt. scenario LCY'!Q21</f>
        <v>-6250000</v>
      </c>
      <c r="AG23" s="230">
        <f>'Alt. scenario LCY'!R21</f>
        <v>-25000000</v>
      </c>
      <c r="AH23" s="185">
        <f>'Key financial and ops fig.s LCY'!S21</f>
        <v>-6250000</v>
      </c>
      <c r="AI23" s="185">
        <f>'Key financial and ops fig.s LCY'!T21</f>
        <v>-6250000</v>
      </c>
      <c r="AJ23" s="185">
        <f>'Key financial and ops fig.s LCY'!U21</f>
        <v>-6250000</v>
      </c>
      <c r="AK23" s="185">
        <f>'Key financial and ops fig.s LCY'!V21</f>
        <v>-6250000</v>
      </c>
      <c r="AL23" s="213">
        <f>'Key financial and ops fig.s LCY'!W21</f>
        <v>-25000000</v>
      </c>
      <c r="AM23" s="185">
        <f>'Alt. scenario LCY'!S21</f>
        <v>-6250000</v>
      </c>
      <c r="AN23" s="185">
        <f>'Alt. scenario LCY'!T21</f>
        <v>-6250000</v>
      </c>
      <c r="AO23" s="185">
        <f>'Alt. scenario LCY'!U21</f>
        <v>-6250000</v>
      </c>
      <c r="AP23" s="185">
        <f>'Alt. scenario LCY'!V21</f>
        <v>-6250000</v>
      </c>
      <c r="AQ23" s="230">
        <f>'Alt. scenario LCY'!W21</f>
        <v>-25000000</v>
      </c>
      <c r="AR23" s="185">
        <f>'Key financial and ops fig.s LCY'!X21</f>
        <v>-6250000</v>
      </c>
      <c r="AS23" s="185">
        <f>'Key financial and ops fig.s LCY'!Y21</f>
        <v>-6250000</v>
      </c>
      <c r="AT23" s="185">
        <f>'Key financial and ops fig.s LCY'!Z21</f>
        <v>-6250000</v>
      </c>
      <c r="AU23" s="185">
        <f>'Key financial and ops fig.s LCY'!AA21</f>
        <v>-6250000</v>
      </c>
      <c r="AV23" s="213">
        <f>'Key financial and ops fig.s LCY'!AB21</f>
        <v>-25000000</v>
      </c>
      <c r="AW23" s="185">
        <f>'Alt. scenario LCY'!X21</f>
        <v>-6250000</v>
      </c>
      <c r="AX23" s="185">
        <f>'Alt. scenario LCY'!Y21</f>
        <v>-6250000</v>
      </c>
      <c r="AY23" s="185">
        <f>'Alt. scenario LCY'!Z21</f>
        <v>-6250000</v>
      </c>
      <c r="AZ23" s="185">
        <f>'Alt. scenario LCY'!AA21</f>
        <v>-6250000</v>
      </c>
      <c r="BA23" s="230">
        <f>'Alt. scenario LCY'!AB21</f>
        <v>-25000000</v>
      </c>
      <c r="BB23" s="185">
        <f>'Key financial and ops fig.s LCY'!AC21</f>
        <v>-6250000</v>
      </c>
      <c r="BC23" s="185">
        <f>'Key financial and ops fig.s LCY'!AD21</f>
        <v>-6250000</v>
      </c>
      <c r="BD23" s="185">
        <f>'Key financial and ops fig.s LCY'!AE21</f>
        <v>-6250000</v>
      </c>
      <c r="BE23" s="185">
        <f>'Key financial and ops fig.s LCY'!AF21</f>
        <v>-6250000</v>
      </c>
      <c r="BF23" s="213">
        <f>'Key financial and ops fig.s LCY'!AG21</f>
        <v>-25000000</v>
      </c>
      <c r="BG23" s="185">
        <f>'Alt. scenario LCY'!AC21</f>
        <v>-6250000</v>
      </c>
      <c r="BH23" s="185">
        <f>'Alt. scenario LCY'!AD21</f>
        <v>-6250000</v>
      </c>
      <c r="BI23" s="185">
        <f>'Alt. scenario LCY'!AE21</f>
        <v>-6250000</v>
      </c>
      <c r="BJ23" s="185">
        <f>'Alt. scenario LCY'!AF21</f>
        <v>-6250000</v>
      </c>
      <c r="BK23" s="230">
        <f>'Alt. scenario LCY'!AG21</f>
        <v>-25000000</v>
      </c>
      <c r="BL23" s="185">
        <f>'Key financial and ops fig.s LCY'!AH21</f>
        <v>-6250000</v>
      </c>
      <c r="BM23" s="185">
        <f>'Key financial and ops fig.s LCY'!AI21</f>
        <v>-6250000</v>
      </c>
      <c r="BN23" s="185">
        <f>'Key financial and ops fig.s LCY'!AJ21</f>
        <v>-6250000</v>
      </c>
      <c r="BO23" s="185">
        <f>'Key financial and ops fig.s LCY'!AK21</f>
        <v>-6250000</v>
      </c>
      <c r="BP23" s="213">
        <f>'Key financial and ops fig.s LCY'!AL21</f>
        <v>-25000000</v>
      </c>
      <c r="BQ23" s="185">
        <f>'Alt. scenario LCY'!AH21</f>
        <v>-6250000</v>
      </c>
      <c r="BR23" s="185">
        <f>'Alt. scenario LCY'!AI21</f>
        <v>-6250000</v>
      </c>
      <c r="BS23" s="185">
        <f>'Alt. scenario LCY'!AJ21</f>
        <v>-6250000</v>
      </c>
      <c r="BT23" s="185">
        <f>'Alt. scenario LCY'!AK21</f>
        <v>-6250000</v>
      </c>
      <c r="BU23" s="230">
        <f>'Alt. scenario LCY'!AL21</f>
        <v>-25000000</v>
      </c>
    </row>
    <row r="24" spans="1:73" ht="17.100000000000001" hidden="1" outlineLevel="2" thickBot="1">
      <c r="A24" s="31"/>
      <c r="C24" s="32" t="s">
        <v>265</v>
      </c>
      <c r="D24" s="185">
        <f>'Key financial and ops fig.s LCY'!D22</f>
        <v>-3750000</v>
      </c>
      <c r="E24" s="185">
        <f>'Key financial and ops fig.s LCY'!E22</f>
        <v>-3750000</v>
      </c>
      <c r="F24" s="185">
        <f>'Key financial and ops fig.s LCY'!F22</f>
        <v>-3750000</v>
      </c>
      <c r="G24" s="185">
        <f>'Key financial and ops fig.s LCY'!G22</f>
        <v>-3750000</v>
      </c>
      <c r="H24" s="213">
        <f>'Key financial and ops fig.s LCY'!H22</f>
        <v>-15000000</v>
      </c>
      <c r="I24" s="185">
        <f>'Alt. scenario LCY'!D22</f>
        <v>-3750000</v>
      </c>
      <c r="J24" s="185">
        <f>'Alt. scenario LCY'!E22</f>
        <v>-3750000</v>
      </c>
      <c r="K24" s="185">
        <f>'Alt. scenario LCY'!F22</f>
        <v>-3750000</v>
      </c>
      <c r="L24" s="185">
        <f>'Alt. scenario LCY'!G22</f>
        <v>-3750000</v>
      </c>
      <c r="M24" s="230">
        <f>'Alt. scenario LCY'!H22</f>
        <v>-15000000</v>
      </c>
      <c r="N24" s="185">
        <f>'Key financial and ops fig.s LCY'!I22</f>
        <v>-3750000</v>
      </c>
      <c r="O24" s="185">
        <f>'Key financial and ops fig.s LCY'!J22</f>
        <v>-3750000</v>
      </c>
      <c r="P24" s="185">
        <f>'Key financial and ops fig.s LCY'!K22</f>
        <v>-3750000</v>
      </c>
      <c r="Q24" s="185">
        <f>'Key financial and ops fig.s LCY'!L22</f>
        <v>-3750000</v>
      </c>
      <c r="R24" s="213">
        <f>'Key financial and ops fig.s LCY'!M22</f>
        <v>-15000000</v>
      </c>
      <c r="S24" s="185">
        <f>'Alt. scenario LCY'!I22</f>
        <v>-3750000</v>
      </c>
      <c r="T24" s="185">
        <f>'Alt. scenario LCY'!J22</f>
        <v>-3750000</v>
      </c>
      <c r="U24" s="185">
        <f>'Alt. scenario LCY'!K22</f>
        <v>-3750000</v>
      </c>
      <c r="V24" s="185">
        <f>'Alt. scenario LCY'!L22</f>
        <v>-3750000</v>
      </c>
      <c r="W24" s="230">
        <f>'Alt. scenario LCY'!M22</f>
        <v>-15000000</v>
      </c>
      <c r="X24" s="185">
        <f>'Key financial and ops fig.s LCY'!N22</f>
        <v>-3750000</v>
      </c>
      <c r="Y24" s="185">
        <f>'Key financial and ops fig.s LCY'!O22</f>
        <v>-3750000</v>
      </c>
      <c r="Z24" s="185">
        <f>'Key financial and ops fig.s LCY'!P22</f>
        <v>-3750000</v>
      </c>
      <c r="AA24" s="185">
        <f>'Key financial and ops fig.s LCY'!Q22</f>
        <v>-3750000</v>
      </c>
      <c r="AB24" s="213">
        <f>'Key financial and ops fig.s LCY'!R22</f>
        <v>-15000000</v>
      </c>
      <c r="AC24" s="185">
        <f>'Alt. scenario LCY'!N22</f>
        <v>-3750000</v>
      </c>
      <c r="AD24" s="185">
        <f>'Alt. scenario LCY'!O22</f>
        <v>-3750000</v>
      </c>
      <c r="AE24" s="185">
        <f>'Alt. scenario LCY'!P22</f>
        <v>-3750000</v>
      </c>
      <c r="AF24" s="185">
        <f>'Alt. scenario LCY'!Q22</f>
        <v>-3750000</v>
      </c>
      <c r="AG24" s="230">
        <f>'Alt. scenario LCY'!R22</f>
        <v>-15000000</v>
      </c>
      <c r="AH24" s="185">
        <f>'Key financial and ops fig.s LCY'!S22</f>
        <v>-3750000</v>
      </c>
      <c r="AI24" s="185">
        <f>'Key financial and ops fig.s LCY'!T22</f>
        <v>-3750000</v>
      </c>
      <c r="AJ24" s="185">
        <f>'Key financial and ops fig.s LCY'!U22</f>
        <v>-3750000</v>
      </c>
      <c r="AK24" s="185">
        <f>'Key financial and ops fig.s LCY'!V22</f>
        <v>-3750000</v>
      </c>
      <c r="AL24" s="213">
        <f>'Key financial and ops fig.s LCY'!W22</f>
        <v>-15000000</v>
      </c>
      <c r="AM24" s="185">
        <f>'Alt. scenario LCY'!S22</f>
        <v>-3750000</v>
      </c>
      <c r="AN24" s="185">
        <f>'Alt. scenario LCY'!T22</f>
        <v>-3750000</v>
      </c>
      <c r="AO24" s="185">
        <f>'Alt. scenario LCY'!U22</f>
        <v>-3750000</v>
      </c>
      <c r="AP24" s="185">
        <f>'Alt. scenario LCY'!V22</f>
        <v>-3750000</v>
      </c>
      <c r="AQ24" s="230">
        <f>'Alt. scenario LCY'!W22</f>
        <v>-15000000</v>
      </c>
      <c r="AR24" s="185">
        <f>'Key financial and ops fig.s LCY'!X22</f>
        <v>-3750000</v>
      </c>
      <c r="AS24" s="185">
        <f>'Key financial and ops fig.s LCY'!Y22</f>
        <v>-3750000</v>
      </c>
      <c r="AT24" s="185">
        <f>'Key financial and ops fig.s LCY'!Z22</f>
        <v>-3750000</v>
      </c>
      <c r="AU24" s="185">
        <f>'Key financial and ops fig.s LCY'!AA22</f>
        <v>-3750000</v>
      </c>
      <c r="AV24" s="213">
        <f>'Key financial and ops fig.s LCY'!AB22</f>
        <v>-15000000</v>
      </c>
      <c r="AW24" s="185">
        <f>'Alt. scenario LCY'!X22</f>
        <v>-3750000</v>
      </c>
      <c r="AX24" s="185">
        <f>'Alt. scenario LCY'!Y22</f>
        <v>-3750000</v>
      </c>
      <c r="AY24" s="185">
        <f>'Alt. scenario LCY'!Z22</f>
        <v>-3750000</v>
      </c>
      <c r="AZ24" s="185">
        <f>'Alt. scenario LCY'!AA22</f>
        <v>-3750000</v>
      </c>
      <c r="BA24" s="230">
        <f>'Alt. scenario LCY'!AB22</f>
        <v>-15000000</v>
      </c>
      <c r="BB24" s="185">
        <f>'Key financial and ops fig.s LCY'!AC22</f>
        <v>-3750000</v>
      </c>
      <c r="BC24" s="185">
        <f>'Key financial and ops fig.s LCY'!AD22</f>
        <v>-3750000</v>
      </c>
      <c r="BD24" s="185">
        <f>'Key financial and ops fig.s LCY'!AE22</f>
        <v>-3750000</v>
      </c>
      <c r="BE24" s="185">
        <f>'Key financial and ops fig.s LCY'!AF22</f>
        <v>-3750000</v>
      </c>
      <c r="BF24" s="213">
        <f>'Key financial and ops fig.s LCY'!AG22</f>
        <v>-15000000</v>
      </c>
      <c r="BG24" s="185">
        <f>'Alt. scenario LCY'!AC22</f>
        <v>-3750000</v>
      </c>
      <c r="BH24" s="185">
        <f>'Alt. scenario LCY'!AD22</f>
        <v>-3750000</v>
      </c>
      <c r="BI24" s="185">
        <f>'Alt. scenario LCY'!AE22</f>
        <v>-3750000</v>
      </c>
      <c r="BJ24" s="185">
        <f>'Alt. scenario LCY'!AF22</f>
        <v>-3750000</v>
      </c>
      <c r="BK24" s="230">
        <f>'Alt. scenario LCY'!AG22</f>
        <v>-15000000</v>
      </c>
      <c r="BL24" s="185">
        <f>'Key financial and ops fig.s LCY'!AH22</f>
        <v>-3750000</v>
      </c>
      <c r="BM24" s="185">
        <f>'Key financial and ops fig.s LCY'!AI22</f>
        <v>-3750000</v>
      </c>
      <c r="BN24" s="185">
        <f>'Key financial and ops fig.s LCY'!AJ22</f>
        <v>-3750000</v>
      </c>
      <c r="BO24" s="185">
        <f>'Key financial and ops fig.s LCY'!AK22</f>
        <v>-3750000</v>
      </c>
      <c r="BP24" s="213">
        <f>'Key financial and ops fig.s LCY'!AL22</f>
        <v>-15000000</v>
      </c>
      <c r="BQ24" s="185">
        <f>'Alt. scenario LCY'!AH22</f>
        <v>-3750000</v>
      </c>
      <c r="BR24" s="185">
        <f>'Alt. scenario LCY'!AI22</f>
        <v>-3750000</v>
      </c>
      <c r="BS24" s="185">
        <f>'Alt. scenario LCY'!AJ22</f>
        <v>-3750000</v>
      </c>
      <c r="BT24" s="185">
        <f>'Alt. scenario LCY'!AK22</f>
        <v>-3750000</v>
      </c>
      <c r="BU24" s="230">
        <f>'Alt. scenario LCY'!AL22</f>
        <v>-15000000</v>
      </c>
    </row>
    <row r="25" spans="1:73" ht="17.100000000000001" hidden="1" outlineLevel="1" thickBot="1">
      <c r="A25" s="31"/>
      <c r="B25" s="34" t="s">
        <v>266</v>
      </c>
      <c r="C25" s="34"/>
      <c r="D25" s="184">
        <f>'Key financial and ops fig.s LCY'!D23</f>
        <v>1988906.25</v>
      </c>
      <c r="E25" s="184">
        <f>'Key financial and ops fig.s LCY'!E23</f>
        <v>7655625</v>
      </c>
      <c r="F25" s="184">
        <f>'Key financial and ops fig.s LCY'!F23</f>
        <v>13250156.25</v>
      </c>
      <c r="G25" s="184">
        <f>'Key financial and ops fig.s LCY'!G23</f>
        <v>18772500</v>
      </c>
      <c r="H25" s="214">
        <f>'Key financial and ops fig.s LCY'!H23</f>
        <v>41667187.5</v>
      </c>
      <c r="I25" s="184">
        <f>'Alt. scenario LCY'!D23</f>
        <v>1988906.25</v>
      </c>
      <c r="J25" s="184">
        <f>'Alt. scenario LCY'!E23</f>
        <v>7655625</v>
      </c>
      <c r="K25" s="184">
        <f>'Alt. scenario LCY'!F23</f>
        <v>13250156.25</v>
      </c>
      <c r="L25" s="184">
        <f>'Alt. scenario LCY'!G23</f>
        <v>18772500</v>
      </c>
      <c r="M25" s="231">
        <f>'Alt. scenario LCY'!H23</f>
        <v>41667187.5</v>
      </c>
      <c r="N25" s="184">
        <f>'Key financial and ops fig.s LCY'!I23</f>
        <v>24222656.25</v>
      </c>
      <c r="O25" s="184">
        <f>'Key financial and ops fig.s LCY'!J23</f>
        <v>29600625</v>
      </c>
      <c r="P25" s="184">
        <f>'Key financial and ops fig.s LCY'!K23</f>
        <v>34906406.25</v>
      </c>
      <c r="Q25" s="184">
        <f>'Key financial and ops fig.s LCY'!L23</f>
        <v>40140000</v>
      </c>
      <c r="R25" s="214">
        <f>'Key financial and ops fig.s LCY'!M23</f>
        <v>128869687.5</v>
      </c>
      <c r="S25" s="184">
        <f>'Alt. scenario LCY'!I23</f>
        <v>24222656.25</v>
      </c>
      <c r="T25" s="184">
        <f>'Alt. scenario LCY'!J23</f>
        <v>29600625</v>
      </c>
      <c r="U25" s="184">
        <f>'Alt. scenario LCY'!K23</f>
        <v>34906406.25</v>
      </c>
      <c r="V25" s="184">
        <f>'Alt. scenario LCY'!L23</f>
        <v>40140000</v>
      </c>
      <c r="W25" s="231">
        <f>'Alt. scenario LCY'!M23</f>
        <v>128869687.5</v>
      </c>
      <c r="X25" s="184">
        <f>'Key financial and ops fig.s LCY'!N23</f>
        <v>45301406.25</v>
      </c>
      <c r="Y25" s="184">
        <f>'Key financial and ops fig.s LCY'!O23</f>
        <v>50390625</v>
      </c>
      <c r="Z25" s="184">
        <f>'Key financial and ops fig.s LCY'!P23</f>
        <v>55407656.25</v>
      </c>
      <c r="AA25" s="184">
        <f>'Key financial and ops fig.s LCY'!Q23</f>
        <v>60352500</v>
      </c>
      <c r="AB25" s="214">
        <f>'Key financial and ops fig.s LCY'!R23</f>
        <v>211452187.5</v>
      </c>
      <c r="AC25" s="184">
        <f>'Alt. scenario LCY'!N23</f>
        <v>45301406.25</v>
      </c>
      <c r="AD25" s="184">
        <f>'Alt. scenario LCY'!O23</f>
        <v>50390625</v>
      </c>
      <c r="AE25" s="184">
        <f>'Alt. scenario LCY'!P23</f>
        <v>55407656.25</v>
      </c>
      <c r="AF25" s="184">
        <f>'Alt. scenario LCY'!Q23</f>
        <v>60352500</v>
      </c>
      <c r="AG25" s="231">
        <f>'Alt. scenario LCY'!R23</f>
        <v>211452187.5</v>
      </c>
      <c r="AH25" s="184">
        <f>'Key financial and ops fig.s LCY'!S23</f>
        <v>65225156.25</v>
      </c>
      <c r="AI25" s="184">
        <f>'Key financial and ops fig.s LCY'!T23</f>
        <v>70025625</v>
      </c>
      <c r="AJ25" s="184">
        <f>'Key financial and ops fig.s LCY'!U23</f>
        <v>74753906.25</v>
      </c>
      <c r="AK25" s="184">
        <f>'Key financial and ops fig.s LCY'!V23</f>
        <v>79410000</v>
      </c>
      <c r="AL25" s="214">
        <f>'Key financial and ops fig.s LCY'!W23</f>
        <v>289414687.5</v>
      </c>
      <c r="AM25" s="184">
        <f>'Alt. scenario LCY'!S23</f>
        <v>65225156.25</v>
      </c>
      <c r="AN25" s="184">
        <f>'Alt. scenario LCY'!T23</f>
        <v>70025625</v>
      </c>
      <c r="AO25" s="184">
        <f>'Alt. scenario LCY'!U23</f>
        <v>74753906.25</v>
      </c>
      <c r="AP25" s="184">
        <f>'Alt. scenario LCY'!V23</f>
        <v>79410000</v>
      </c>
      <c r="AQ25" s="231">
        <f>'Alt. scenario LCY'!W23</f>
        <v>289414687.5</v>
      </c>
      <c r="AR25" s="184">
        <f>'Key financial and ops fig.s LCY'!X23</f>
        <v>83993906.25</v>
      </c>
      <c r="AS25" s="184">
        <f>'Key financial and ops fig.s LCY'!Y23</f>
        <v>88505625</v>
      </c>
      <c r="AT25" s="184">
        <f>'Key financial and ops fig.s LCY'!Z23</f>
        <v>92945156.25</v>
      </c>
      <c r="AU25" s="184">
        <f>'Key financial and ops fig.s LCY'!AA23</f>
        <v>97312500</v>
      </c>
      <c r="AV25" s="214">
        <f>'Key financial and ops fig.s LCY'!AB23</f>
        <v>362757187.5</v>
      </c>
      <c r="AW25" s="184">
        <f>'Alt. scenario LCY'!X23</f>
        <v>83993906.25</v>
      </c>
      <c r="AX25" s="184">
        <f>'Alt. scenario LCY'!Y23</f>
        <v>88505625</v>
      </c>
      <c r="AY25" s="184">
        <f>'Alt. scenario LCY'!Z23</f>
        <v>92945156.25</v>
      </c>
      <c r="AZ25" s="184">
        <f>'Alt. scenario LCY'!AA23</f>
        <v>97312500</v>
      </c>
      <c r="BA25" s="231">
        <f>'Alt. scenario LCY'!AB23</f>
        <v>362757187.5</v>
      </c>
      <c r="BB25" s="184">
        <f>'Key financial and ops fig.s LCY'!AC23</f>
        <v>96590625</v>
      </c>
      <c r="BC25" s="184">
        <f>'Key financial and ops fig.s LCY'!AD23</f>
        <v>95868750</v>
      </c>
      <c r="BD25" s="184">
        <f>'Key financial and ops fig.s LCY'!AE23</f>
        <v>95146875</v>
      </c>
      <c r="BE25" s="184">
        <f>'Key financial and ops fig.s LCY'!AF23</f>
        <v>94425000</v>
      </c>
      <c r="BF25" s="214">
        <f>'Key financial and ops fig.s LCY'!AG23</f>
        <v>382031250</v>
      </c>
      <c r="BG25" s="184">
        <f>'Alt. scenario LCY'!AC23</f>
        <v>96590625</v>
      </c>
      <c r="BH25" s="184">
        <f>'Alt. scenario LCY'!AD23</f>
        <v>95868750</v>
      </c>
      <c r="BI25" s="184">
        <f>'Alt. scenario LCY'!AE23</f>
        <v>95146875</v>
      </c>
      <c r="BJ25" s="184">
        <f>'Alt. scenario LCY'!AF23</f>
        <v>94425000</v>
      </c>
      <c r="BK25" s="231">
        <f>'Alt. scenario LCY'!AG23</f>
        <v>382031250</v>
      </c>
      <c r="BL25" s="184">
        <f>'Key financial and ops fig.s LCY'!AH23</f>
        <v>93703125</v>
      </c>
      <c r="BM25" s="184">
        <f>'Key financial and ops fig.s LCY'!AI23</f>
        <v>92981250</v>
      </c>
      <c r="BN25" s="184">
        <f>'Key financial and ops fig.s LCY'!AJ23</f>
        <v>92259375</v>
      </c>
      <c r="BO25" s="184">
        <f>'Key financial and ops fig.s LCY'!AK23</f>
        <v>91537500</v>
      </c>
      <c r="BP25" s="214">
        <f>'Key financial and ops fig.s LCY'!AL23</f>
        <v>370481250</v>
      </c>
      <c r="BQ25" s="184">
        <f>'Alt. scenario LCY'!AH23</f>
        <v>93703125</v>
      </c>
      <c r="BR25" s="184">
        <f>'Alt. scenario LCY'!AI23</f>
        <v>92981250</v>
      </c>
      <c r="BS25" s="184">
        <f>'Alt. scenario LCY'!AJ23</f>
        <v>92259375</v>
      </c>
      <c r="BT25" s="184">
        <f>'Alt. scenario LCY'!AK23</f>
        <v>91537500</v>
      </c>
      <c r="BU25" s="231">
        <f>'Alt. scenario LCY'!AL23</f>
        <v>370481250</v>
      </c>
    </row>
    <row r="26" spans="1:73" ht="17.100000000000001" collapsed="1" thickBot="1">
      <c r="A26" s="36" t="s">
        <v>267</v>
      </c>
      <c r="B26" s="37"/>
      <c r="C26" s="38"/>
      <c r="D26" s="53">
        <f>'Key financial and ops fig.s LCY'!D24</f>
        <v>1988906.25</v>
      </c>
      <c r="E26" s="53">
        <f>'Key financial and ops fig.s LCY'!E24</f>
        <v>7655625</v>
      </c>
      <c r="F26" s="53">
        <f>'Key financial and ops fig.s LCY'!F24</f>
        <v>13250156.25</v>
      </c>
      <c r="G26" s="53">
        <f>'Key financial and ops fig.s LCY'!G24</f>
        <v>18772500</v>
      </c>
      <c r="H26" s="215">
        <f>'Key financial and ops fig.s LCY'!H24</f>
        <v>41667187.5</v>
      </c>
      <c r="I26" s="53">
        <f>'Alt. scenario LCY'!D24</f>
        <v>1988906.25</v>
      </c>
      <c r="J26" s="53">
        <f>'Alt. scenario LCY'!E24</f>
        <v>7655625</v>
      </c>
      <c r="K26" s="53">
        <f>'Alt. scenario LCY'!F24</f>
        <v>13250156.25</v>
      </c>
      <c r="L26" s="53">
        <f>'Alt. scenario LCY'!G24</f>
        <v>18772500</v>
      </c>
      <c r="M26" s="232">
        <f>'Alt. scenario LCY'!H24</f>
        <v>41667187.5</v>
      </c>
      <c r="N26" s="53">
        <f>'Key financial and ops fig.s LCY'!I24</f>
        <v>24222656.25</v>
      </c>
      <c r="O26" s="53">
        <f>'Key financial and ops fig.s LCY'!J24</f>
        <v>29600625</v>
      </c>
      <c r="P26" s="53">
        <f>'Key financial and ops fig.s LCY'!K24</f>
        <v>34906406.25</v>
      </c>
      <c r="Q26" s="53">
        <f>'Key financial and ops fig.s LCY'!L24</f>
        <v>40140000</v>
      </c>
      <c r="R26" s="215">
        <f>'Key financial and ops fig.s LCY'!M24</f>
        <v>128869687.5</v>
      </c>
      <c r="S26" s="53">
        <f>'Alt. scenario LCY'!I24</f>
        <v>24222656.25</v>
      </c>
      <c r="T26" s="53">
        <f>'Alt. scenario LCY'!J24</f>
        <v>29600625</v>
      </c>
      <c r="U26" s="53">
        <f>'Alt. scenario LCY'!K24</f>
        <v>34906406.25</v>
      </c>
      <c r="V26" s="53">
        <f>'Alt. scenario LCY'!L24</f>
        <v>40140000</v>
      </c>
      <c r="W26" s="232">
        <f>'Alt. scenario LCY'!M24</f>
        <v>128869687.5</v>
      </c>
      <c r="X26" s="53">
        <f>'Key financial and ops fig.s LCY'!N24</f>
        <v>45301406.25</v>
      </c>
      <c r="Y26" s="53">
        <f>'Key financial and ops fig.s LCY'!O24</f>
        <v>50390625</v>
      </c>
      <c r="Z26" s="53">
        <f>'Key financial and ops fig.s LCY'!P24</f>
        <v>55407656.25</v>
      </c>
      <c r="AA26" s="53">
        <f>'Key financial and ops fig.s LCY'!Q24</f>
        <v>60352500</v>
      </c>
      <c r="AB26" s="215">
        <f>'Key financial and ops fig.s LCY'!R24</f>
        <v>211452187.5</v>
      </c>
      <c r="AC26" s="53">
        <f>'Alt. scenario LCY'!N24</f>
        <v>45301406.25</v>
      </c>
      <c r="AD26" s="53">
        <f>'Alt. scenario LCY'!O24</f>
        <v>50390625</v>
      </c>
      <c r="AE26" s="53">
        <f>'Alt. scenario LCY'!P24</f>
        <v>55407656.25</v>
      </c>
      <c r="AF26" s="53">
        <f>'Alt. scenario LCY'!Q24</f>
        <v>60352500</v>
      </c>
      <c r="AG26" s="232">
        <f>'Alt. scenario LCY'!R24</f>
        <v>211452187.5</v>
      </c>
      <c r="AH26" s="53">
        <f>'Key financial and ops fig.s LCY'!S24</f>
        <v>65225156.25</v>
      </c>
      <c r="AI26" s="53">
        <f>'Key financial and ops fig.s LCY'!T24</f>
        <v>70025625</v>
      </c>
      <c r="AJ26" s="53">
        <f>'Key financial and ops fig.s LCY'!U24</f>
        <v>74753906.25</v>
      </c>
      <c r="AK26" s="53">
        <f>'Key financial and ops fig.s LCY'!V24</f>
        <v>79410000</v>
      </c>
      <c r="AL26" s="215">
        <f>'Key financial and ops fig.s LCY'!W24</f>
        <v>289414687.5</v>
      </c>
      <c r="AM26" s="53">
        <f>'Alt. scenario LCY'!S24</f>
        <v>65225156.25</v>
      </c>
      <c r="AN26" s="53">
        <f>'Alt. scenario LCY'!T24</f>
        <v>70025625</v>
      </c>
      <c r="AO26" s="53">
        <f>'Alt. scenario LCY'!U24</f>
        <v>74753906.25</v>
      </c>
      <c r="AP26" s="53">
        <f>'Alt. scenario LCY'!V24</f>
        <v>79410000</v>
      </c>
      <c r="AQ26" s="232">
        <f>'Alt. scenario LCY'!W24</f>
        <v>289414687.5</v>
      </c>
      <c r="AR26" s="53">
        <f>'Key financial and ops fig.s LCY'!X24</f>
        <v>83993906.25</v>
      </c>
      <c r="AS26" s="53">
        <f>'Key financial and ops fig.s LCY'!Y24</f>
        <v>88505625</v>
      </c>
      <c r="AT26" s="53">
        <f>'Key financial and ops fig.s LCY'!Z24</f>
        <v>92945156.25</v>
      </c>
      <c r="AU26" s="53">
        <f>'Key financial and ops fig.s LCY'!AA24</f>
        <v>97312500</v>
      </c>
      <c r="AV26" s="215">
        <f>'Key financial and ops fig.s LCY'!AB24</f>
        <v>362757187.5</v>
      </c>
      <c r="AW26" s="53">
        <f>'Alt. scenario LCY'!X24</f>
        <v>83993906.25</v>
      </c>
      <c r="AX26" s="53">
        <f>'Alt. scenario LCY'!Y24</f>
        <v>88505625</v>
      </c>
      <c r="AY26" s="53">
        <f>'Alt. scenario LCY'!Z24</f>
        <v>92945156.25</v>
      </c>
      <c r="AZ26" s="53">
        <f>'Alt. scenario LCY'!AA24</f>
        <v>97312500</v>
      </c>
      <c r="BA26" s="232">
        <f>'Alt. scenario LCY'!AB24</f>
        <v>362757187.5</v>
      </c>
      <c r="BB26" s="53">
        <f>'Key financial and ops fig.s LCY'!AC24</f>
        <v>96590625</v>
      </c>
      <c r="BC26" s="53">
        <f>'Key financial and ops fig.s LCY'!AD24</f>
        <v>95868750</v>
      </c>
      <c r="BD26" s="53">
        <f>'Key financial and ops fig.s LCY'!AE24</f>
        <v>95146875</v>
      </c>
      <c r="BE26" s="53">
        <f>'Key financial and ops fig.s LCY'!AF24</f>
        <v>94425000</v>
      </c>
      <c r="BF26" s="215">
        <f>'Key financial and ops fig.s LCY'!AG24</f>
        <v>382031250</v>
      </c>
      <c r="BG26" s="53">
        <f>'Alt. scenario LCY'!AC24</f>
        <v>96590625</v>
      </c>
      <c r="BH26" s="53">
        <f>'Alt. scenario LCY'!AD24</f>
        <v>95868750</v>
      </c>
      <c r="BI26" s="53">
        <f>'Alt. scenario LCY'!AE24</f>
        <v>95146875</v>
      </c>
      <c r="BJ26" s="53">
        <f>'Alt. scenario LCY'!AF24</f>
        <v>94425000</v>
      </c>
      <c r="BK26" s="232">
        <f>'Alt. scenario LCY'!AG24</f>
        <v>382031250</v>
      </c>
      <c r="BL26" s="53">
        <f>'Key financial and ops fig.s LCY'!AH24</f>
        <v>93703125</v>
      </c>
      <c r="BM26" s="53">
        <f>'Key financial and ops fig.s LCY'!AI24</f>
        <v>92981250</v>
      </c>
      <c r="BN26" s="53">
        <f>'Key financial and ops fig.s LCY'!AJ24</f>
        <v>92259375</v>
      </c>
      <c r="BO26" s="53">
        <f>'Key financial and ops fig.s LCY'!AK24</f>
        <v>91537500</v>
      </c>
      <c r="BP26" s="215">
        <f>'Key financial and ops fig.s LCY'!AL24</f>
        <v>370481250</v>
      </c>
      <c r="BQ26" s="53">
        <f>'Alt. scenario LCY'!AH24</f>
        <v>93703125</v>
      </c>
      <c r="BR26" s="53">
        <f>'Alt. scenario LCY'!AI24</f>
        <v>92981250</v>
      </c>
      <c r="BS26" s="53">
        <f>'Alt. scenario LCY'!AJ24</f>
        <v>92259375</v>
      </c>
      <c r="BT26" s="53">
        <f>'Alt. scenario LCY'!AK24</f>
        <v>91537500</v>
      </c>
      <c r="BU26" s="232">
        <f>'Alt. scenario LCY'!AL24</f>
        <v>370481250</v>
      </c>
    </row>
    <row r="27" spans="1:73" ht="17.100000000000001" thickBot="1">
      <c r="A27" s="36" t="s">
        <v>268</v>
      </c>
      <c r="B27" s="37"/>
      <c r="C27" s="38"/>
      <c r="D27" s="182">
        <f>'Key financial and ops fig.s LCY'!D25</f>
        <v>51733050</v>
      </c>
      <c r="E27" s="182">
        <f>'Key financial and ops fig.s LCY'!E25</f>
        <v>81470731.25</v>
      </c>
      <c r="F27" s="182">
        <f>'Key financial and ops fig.s LCY'!F25</f>
        <v>110825575</v>
      </c>
      <c r="G27" s="182">
        <f>'Key financial and ops fig.s LCY'!G25</f>
        <v>139797581.25</v>
      </c>
      <c r="H27" s="215">
        <f>'Key financial and ops fig.s LCY'!H25</f>
        <v>383826937.5</v>
      </c>
      <c r="I27" s="182">
        <f>'Alt. scenario LCY'!D25</f>
        <v>51733050</v>
      </c>
      <c r="J27" s="182">
        <f>'Alt. scenario LCY'!E25</f>
        <v>81470731.25</v>
      </c>
      <c r="K27" s="182">
        <f>'Alt. scenario LCY'!F25</f>
        <v>110825575</v>
      </c>
      <c r="L27" s="182">
        <f>'Alt. scenario LCY'!G25</f>
        <v>139797581.25</v>
      </c>
      <c r="M27" s="232">
        <f>'Alt. scenario LCY'!H25</f>
        <v>383826937.5</v>
      </c>
      <c r="N27" s="182">
        <f>'Key financial and ops fig.s LCY'!I25</f>
        <v>168386750</v>
      </c>
      <c r="O27" s="182">
        <f>'Key financial and ops fig.s LCY'!J25</f>
        <v>196593081.25</v>
      </c>
      <c r="P27" s="182">
        <f>'Key financial and ops fig.s LCY'!K25</f>
        <v>224416575</v>
      </c>
      <c r="Q27" s="182">
        <f>'Key financial and ops fig.s LCY'!L25</f>
        <v>251857231.25</v>
      </c>
      <c r="R27" s="215">
        <f>'Key financial and ops fig.s LCY'!M25</f>
        <v>841253637.5</v>
      </c>
      <c r="S27" s="182">
        <f>'Alt. scenario LCY'!I25</f>
        <v>168386750</v>
      </c>
      <c r="T27" s="182">
        <f>'Alt. scenario LCY'!J25</f>
        <v>196593081.25</v>
      </c>
      <c r="U27" s="182">
        <f>'Alt. scenario LCY'!K25</f>
        <v>224416575</v>
      </c>
      <c r="V27" s="182">
        <f>'Alt. scenario LCY'!L25</f>
        <v>251857231.25</v>
      </c>
      <c r="W27" s="232">
        <f>'Alt. scenario LCY'!M25</f>
        <v>841253637.5</v>
      </c>
      <c r="X27" s="182">
        <f>'Key financial and ops fig.s LCY'!N25</f>
        <v>278915050</v>
      </c>
      <c r="Y27" s="182">
        <f>'Key financial and ops fig.s LCY'!O25</f>
        <v>305590031.25</v>
      </c>
      <c r="Z27" s="182">
        <f>'Key financial and ops fig.s LCY'!P25</f>
        <v>331882175</v>
      </c>
      <c r="AA27" s="182">
        <f>'Key financial and ops fig.s LCY'!Q25</f>
        <v>357791481.25</v>
      </c>
      <c r="AB27" s="215">
        <f>'Key financial and ops fig.s LCY'!R25</f>
        <v>1274178737.5</v>
      </c>
      <c r="AC27" s="182">
        <f>'Alt. scenario LCY'!N25</f>
        <v>278915050</v>
      </c>
      <c r="AD27" s="182">
        <f>'Alt. scenario LCY'!O25</f>
        <v>305590031.25</v>
      </c>
      <c r="AE27" s="182">
        <f>'Alt. scenario LCY'!P25</f>
        <v>331882175</v>
      </c>
      <c r="AF27" s="182">
        <f>'Alt. scenario LCY'!Q25</f>
        <v>357791481.25</v>
      </c>
      <c r="AG27" s="232">
        <f>'Alt. scenario LCY'!R25</f>
        <v>1274178737.5</v>
      </c>
      <c r="AH27" s="182">
        <f>'Key financial and ops fig.s LCY'!S25</f>
        <v>383317950</v>
      </c>
      <c r="AI27" s="182">
        <f>'Key financial and ops fig.s LCY'!T25</f>
        <v>408461581.25</v>
      </c>
      <c r="AJ27" s="182">
        <f>'Key financial and ops fig.s LCY'!U25</f>
        <v>433222375</v>
      </c>
      <c r="AK27" s="182">
        <f>'Key financial and ops fig.s LCY'!V25</f>
        <v>457600331.25</v>
      </c>
      <c r="AL27" s="215">
        <f>'Key financial and ops fig.s LCY'!W25</f>
        <v>1682602237.5</v>
      </c>
      <c r="AM27" s="182">
        <f>'Alt. scenario LCY'!S25</f>
        <v>383317950</v>
      </c>
      <c r="AN27" s="182">
        <f>'Alt. scenario LCY'!T25</f>
        <v>408461581.25</v>
      </c>
      <c r="AO27" s="182">
        <f>'Alt. scenario LCY'!U25</f>
        <v>433222375</v>
      </c>
      <c r="AP27" s="182">
        <f>'Alt. scenario LCY'!V25</f>
        <v>457600331.25</v>
      </c>
      <c r="AQ27" s="232">
        <f>'Alt. scenario LCY'!W25</f>
        <v>1682602237.5</v>
      </c>
      <c r="AR27" s="182">
        <f>'Key financial and ops fig.s LCY'!X25</f>
        <v>481595450</v>
      </c>
      <c r="AS27" s="182">
        <f>'Key financial and ops fig.s LCY'!Y25</f>
        <v>505207731.25</v>
      </c>
      <c r="AT27" s="182">
        <f>'Key financial and ops fig.s LCY'!Z25</f>
        <v>528437175</v>
      </c>
      <c r="AU27" s="182">
        <f>'Key financial and ops fig.s LCY'!AA25</f>
        <v>551283781.25</v>
      </c>
      <c r="AV27" s="215">
        <f>'Key financial and ops fig.s LCY'!AB25</f>
        <v>2066524137.5</v>
      </c>
      <c r="AW27" s="182">
        <f>'Alt. scenario LCY'!X25</f>
        <v>481595450</v>
      </c>
      <c r="AX27" s="182">
        <f>'Alt. scenario LCY'!Y25</f>
        <v>505207731.25</v>
      </c>
      <c r="AY27" s="182">
        <f>'Alt. scenario LCY'!Z25</f>
        <v>528437175</v>
      </c>
      <c r="AZ27" s="182">
        <f>'Alt. scenario LCY'!AA25</f>
        <v>551283781.25</v>
      </c>
      <c r="BA27" s="232">
        <f>'Alt. scenario LCY'!AB25</f>
        <v>2066524137.5</v>
      </c>
      <c r="BB27" s="182">
        <f>'Key financial and ops fig.s LCY'!AC25</f>
        <v>525243500</v>
      </c>
      <c r="BC27" s="182">
        <f>'Key financial and ops fig.s LCY'!AD25</f>
        <v>521415125</v>
      </c>
      <c r="BD27" s="182">
        <f>'Key financial and ops fig.s LCY'!AE25</f>
        <v>517586750</v>
      </c>
      <c r="BE27" s="182">
        <f>'Key financial and ops fig.s LCY'!AF25</f>
        <v>513758375</v>
      </c>
      <c r="BF27" s="215">
        <f>'Key financial and ops fig.s LCY'!AG25</f>
        <v>2078003750</v>
      </c>
      <c r="BG27" s="182">
        <f>'Alt. scenario LCY'!AC25</f>
        <v>525243500</v>
      </c>
      <c r="BH27" s="182">
        <f>'Alt. scenario LCY'!AD25</f>
        <v>521415125</v>
      </c>
      <c r="BI27" s="182">
        <f>'Alt. scenario LCY'!AE25</f>
        <v>517586750</v>
      </c>
      <c r="BJ27" s="182">
        <f>'Alt. scenario LCY'!AF25</f>
        <v>513758375</v>
      </c>
      <c r="BK27" s="232">
        <f>'Alt. scenario LCY'!AG25</f>
        <v>2078003750</v>
      </c>
      <c r="BL27" s="182">
        <f>'Key financial and ops fig.s LCY'!AH25</f>
        <v>509930000</v>
      </c>
      <c r="BM27" s="182">
        <f>'Key financial and ops fig.s LCY'!AI25</f>
        <v>506101625</v>
      </c>
      <c r="BN27" s="182">
        <f>'Key financial and ops fig.s LCY'!AJ25</f>
        <v>502273250</v>
      </c>
      <c r="BO27" s="182">
        <f>'Key financial and ops fig.s LCY'!AK25</f>
        <v>498444875</v>
      </c>
      <c r="BP27" s="215">
        <f>'Key financial and ops fig.s LCY'!AL25</f>
        <v>2016749750</v>
      </c>
      <c r="BQ27" s="182">
        <f>'Alt. scenario LCY'!AH25</f>
        <v>509930000</v>
      </c>
      <c r="BR27" s="182">
        <f>'Alt. scenario LCY'!AI25</f>
        <v>506101625</v>
      </c>
      <c r="BS27" s="182">
        <f>'Alt. scenario LCY'!AJ25</f>
        <v>502273250</v>
      </c>
      <c r="BT27" s="182">
        <f>'Alt. scenario LCY'!AK25</f>
        <v>498444875</v>
      </c>
      <c r="BU27" s="232">
        <f>'Alt. scenario LCY'!AL25</f>
        <v>2016749750</v>
      </c>
    </row>
    <row r="28" spans="1:73" ht="17.100000000000001" hidden="1" outlineLevel="2" thickBot="1">
      <c r="A28" s="31"/>
      <c r="C28" s="32" t="s">
        <v>269</v>
      </c>
      <c r="D28" s="183">
        <f>'Key financial and ops fig.s LCY'!D26</f>
        <v>-6261867.1875</v>
      </c>
      <c r="E28" s="183">
        <f>'Key financial and ops fig.s LCY'!E26</f>
        <v>-12444968.75</v>
      </c>
      <c r="F28" s="183">
        <f>'Key financial and ops fig.s LCY'!F26</f>
        <v>-18549304.6875</v>
      </c>
      <c r="G28" s="183">
        <f>'Key financial and ops fig.s LCY'!G26</f>
        <v>-24574875</v>
      </c>
      <c r="H28" s="213">
        <f>'Key financial and ops fig.s LCY'!H26</f>
        <v>-61831015.625</v>
      </c>
      <c r="I28" s="183">
        <f>'Alt. scenario LCY'!D26</f>
        <v>-6261867.1875</v>
      </c>
      <c r="J28" s="183">
        <f>'Alt. scenario LCY'!E26</f>
        <v>-12444968.75</v>
      </c>
      <c r="K28" s="183">
        <f>'Alt. scenario LCY'!F26</f>
        <v>-18549304.6875</v>
      </c>
      <c r="L28" s="183">
        <f>'Alt. scenario LCY'!G26</f>
        <v>-24574875</v>
      </c>
      <c r="M28" s="230">
        <f>'Alt. scenario LCY'!H26</f>
        <v>-61831015.625</v>
      </c>
      <c r="N28" s="183">
        <f>'Key financial and ops fig.s LCY'!I26</f>
        <v>-30521679.6875</v>
      </c>
      <c r="O28" s="183">
        <f>'Key financial and ops fig.s LCY'!J26</f>
        <v>-36389718.75</v>
      </c>
      <c r="P28" s="183">
        <f>'Key financial and ops fig.s LCY'!K26</f>
        <v>-42178992.1875</v>
      </c>
      <c r="Q28" s="183">
        <f>'Key financial and ops fig.s LCY'!L26</f>
        <v>-47889500</v>
      </c>
      <c r="R28" s="213">
        <f>'Key financial and ops fig.s LCY'!M26</f>
        <v>-156979890.625</v>
      </c>
      <c r="S28" s="183">
        <f>'Alt. scenario LCY'!I26</f>
        <v>-30521679.6875</v>
      </c>
      <c r="T28" s="183">
        <f>'Alt. scenario LCY'!J26</f>
        <v>-36389718.75</v>
      </c>
      <c r="U28" s="183">
        <f>'Alt. scenario LCY'!K26</f>
        <v>-42178992.1875</v>
      </c>
      <c r="V28" s="183">
        <f>'Alt. scenario LCY'!L26</f>
        <v>-47889500</v>
      </c>
      <c r="W28" s="230">
        <f>'Alt. scenario LCY'!M26</f>
        <v>-156979890.625</v>
      </c>
      <c r="X28" s="183">
        <f>'Key financial and ops fig.s LCY'!N26</f>
        <v>-53521242.1875</v>
      </c>
      <c r="Y28" s="183">
        <f>'Key financial and ops fig.s LCY'!O26</f>
        <v>-59074218.75</v>
      </c>
      <c r="Z28" s="183">
        <f>'Key financial and ops fig.s LCY'!P26</f>
        <v>-64548429.6875</v>
      </c>
      <c r="AA28" s="183">
        <f>'Key financial and ops fig.s LCY'!Q26</f>
        <v>-69943875</v>
      </c>
      <c r="AB28" s="213">
        <f>'Key financial and ops fig.s LCY'!R26</f>
        <v>-247087765.625</v>
      </c>
      <c r="AC28" s="183">
        <f>'Alt. scenario LCY'!N26</f>
        <v>-53521242.1875</v>
      </c>
      <c r="AD28" s="183">
        <f>'Alt. scenario LCY'!O26</f>
        <v>-59074218.75</v>
      </c>
      <c r="AE28" s="183">
        <f>'Alt. scenario LCY'!P26</f>
        <v>-64548429.6875</v>
      </c>
      <c r="AF28" s="183">
        <f>'Alt. scenario LCY'!Q26</f>
        <v>-69943875</v>
      </c>
      <c r="AG28" s="230">
        <f>'Alt. scenario LCY'!R26</f>
        <v>-247087765.625</v>
      </c>
      <c r="AH28" s="183">
        <f>'Key financial and ops fig.s LCY'!S26</f>
        <v>-75260554.6875</v>
      </c>
      <c r="AI28" s="183">
        <f>'Key financial and ops fig.s LCY'!T26</f>
        <v>-80498468.75</v>
      </c>
      <c r="AJ28" s="183">
        <f>'Key financial and ops fig.s LCY'!U26</f>
        <v>-85657617.1875</v>
      </c>
      <c r="AK28" s="183">
        <f>'Key financial and ops fig.s LCY'!V26</f>
        <v>-90738000</v>
      </c>
      <c r="AL28" s="213">
        <f>'Key financial and ops fig.s LCY'!W26</f>
        <v>-332154640.625</v>
      </c>
      <c r="AM28" s="183">
        <f>'Alt. scenario LCY'!S26</f>
        <v>-75260554.6875</v>
      </c>
      <c r="AN28" s="183">
        <f>'Alt. scenario LCY'!T26</f>
        <v>-80498468.75</v>
      </c>
      <c r="AO28" s="183">
        <f>'Alt. scenario LCY'!U26</f>
        <v>-85657617.1875</v>
      </c>
      <c r="AP28" s="183">
        <f>'Alt. scenario LCY'!V26</f>
        <v>-90738000</v>
      </c>
      <c r="AQ28" s="230">
        <f>'Alt. scenario LCY'!W26</f>
        <v>-332154640.625</v>
      </c>
      <c r="AR28" s="183">
        <f>'Key financial and ops fig.s LCY'!X26</f>
        <v>-95739617.1875</v>
      </c>
      <c r="AS28" s="183">
        <f>'Key financial and ops fig.s LCY'!Y26</f>
        <v>-100662468.75</v>
      </c>
      <c r="AT28" s="183">
        <f>'Key financial and ops fig.s LCY'!Z26</f>
        <v>-105506554.6875</v>
      </c>
      <c r="AU28" s="183">
        <f>'Key financial and ops fig.s LCY'!AA26</f>
        <v>-110271875</v>
      </c>
      <c r="AV28" s="213">
        <f>'Key financial and ops fig.s LCY'!AB26</f>
        <v>-412180515.625</v>
      </c>
      <c r="AW28" s="183">
        <f>'Alt. scenario LCY'!X26</f>
        <v>-95739617.1875</v>
      </c>
      <c r="AX28" s="183">
        <f>'Alt. scenario LCY'!Y26</f>
        <v>-100662468.75</v>
      </c>
      <c r="AY28" s="183">
        <f>'Alt. scenario LCY'!Z26</f>
        <v>-105506554.6875</v>
      </c>
      <c r="AZ28" s="183">
        <f>'Alt. scenario LCY'!AA26</f>
        <v>-110271875</v>
      </c>
      <c r="BA28" s="230">
        <f>'Alt. scenario LCY'!AB26</f>
        <v>-412180515.625</v>
      </c>
      <c r="BB28" s="183">
        <f>'Key financial and ops fig.s LCY'!AC26</f>
        <v>-109484218.75</v>
      </c>
      <c r="BC28" s="183">
        <f>'Key financial and ops fig.s LCY'!AD26</f>
        <v>-108696562.5</v>
      </c>
      <c r="BD28" s="183">
        <f>'Key financial and ops fig.s LCY'!AE26</f>
        <v>-107908906.25</v>
      </c>
      <c r="BE28" s="183">
        <f>'Key financial and ops fig.s LCY'!AF26</f>
        <v>-107121250</v>
      </c>
      <c r="BF28" s="213">
        <f>'Key financial and ops fig.s LCY'!AG26</f>
        <v>-433210937.5</v>
      </c>
      <c r="BG28" s="183">
        <f>'Alt. scenario LCY'!AC26</f>
        <v>-109484218.75</v>
      </c>
      <c r="BH28" s="183">
        <f>'Alt. scenario LCY'!AD26</f>
        <v>-108696562.5</v>
      </c>
      <c r="BI28" s="183">
        <f>'Alt. scenario LCY'!AE26</f>
        <v>-107908906.25</v>
      </c>
      <c r="BJ28" s="183">
        <f>'Alt. scenario LCY'!AF26</f>
        <v>-107121250</v>
      </c>
      <c r="BK28" s="230">
        <f>'Alt. scenario LCY'!AG26</f>
        <v>-433210937.5</v>
      </c>
      <c r="BL28" s="183">
        <f>'Key financial and ops fig.s LCY'!AH26</f>
        <v>-106333593.75</v>
      </c>
      <c r="BM28" s="183">
        <f>'Key financial and ops fig.s LCY'!AI26</f>
        <v>-105545937.5</v>
      </c>
      <c r="BN28" s="183">
        <f>'Key financial and ops fig.s LCY'!AJ26</f>
        <v>-104758281.25</v>
      </c>
      <c r="BO28" s="183">
        <f>'Key financial and ops fig.s LCY'!AK26</f>
        <v>-103970625</v>
      </c>
      <c r="BP28" s="213">
        <f>'Key financial and ops fig.s LCY'!AL26</f>
        <v>-420608437.5</v>
      </c>
      <c r="BQ28" s="183">
        <f>'Alt. scenario LCY'!AH26</f>
        <v>-106333593.75</v>
      </c>
      <c r="BR28" s="183">
        <f>'Alt. scenario LCY'!AI26</f>
        <v>-105545937.5</v>
      </c>
      <c r="BS28" s="183">
        <f>'Alt. scenario LCY'!AJ26</f>
        <v>-104758281.25</v>
      </c>
      <c r="BT28" s="183">
        <f>'Alt. scenario LCY'!AK26</f>
        <v>-103970625</v>
      </c>
      <c r="BU28" s="230">
        <f>'Alt. scenario LCY'!AL26</f>
        <v>-420608437.5</v>
      </c>
    </row>
    <row r="29" spans="1:73" ht="17.100000000000001" hidden="1" outlineLevel="1" thickBot="1">
      <c r="A29" s="31"/>
      <c r="B29" s="34" t="s">
        <v>269</v>
      </c>
      <c r="C29" s="34"/>
      <c r="D29" s="184">
        <f>'Key financial and ops fig.s LCY'!D27</f>
        <v>-6261867.1875</v>
      </c>
      <c r="E29" s="184">
        <f>'Key financial and ops fig.s LCY'!E27</f>
        <v>-12444968.75</v>
      </c>
      <c r="F29" s="184">
        <f>'Key financial and ops fig.s LCY'!F27</f>
        <v>-18549304.6875</v>
      </c>
      <c r="G29" s="184">
        <f>'Key financial and ops fig.s LCY'!G27</f>
        <v>-24574875</v>
      </c>
      <c r="H29" s="214">
        <f>'Key financial and ops fig.s LCY'!H27</f>
        <v>-61831015.625</v>
      </c>
      <c r="I29" s="184">
        <f>'Alt. scenario LCY'!D27</f>
        <v>-6261867.1875</v>
      </c>
      <c r="J29" s="184">
        <f>'Alt. scenario LCY'!E27</f>
        <v>-12444968.75</v>
      </c>
      <c r="K29" s="184">
        <f>'Alt. scenario LCY'!F27</f>
        <v>-18549304.6875</v>
      </c>
      <c r="L29" s="184">
        <f>'Alt. scenario LCY'!G27</f>
        <v>-24574875</v>
      </c>
      <c r="M29" s="231">
        <f>'Alt. scenario LCY'!H27</f>
        <v>-61831015.625</v>
      </c>
      <c r="N29" s="184">
        <f>'Key financial and ops fig.s LCY'!I27</f>
        <v>-30521679.6875</v>
      </c>
      <c r="O29" s="184">
        <f>'Key financial and ops fig.s LCY'!J27</f>
        <v>-36389718.75</v>
      </c>
      <c r="P29" s="184">
        <f>'Key financial and ops fig.s LCY'!K27</f>
        <v>-42178992.1875</v>
      </c>
      <c r="Q29" s="184">
        <f>'Key financial and ops fig.s LCY'!L27</f>
        <v>-47889500</v>
      </c>
      <c r="R29" s="214">
        <f>'Key financial and ops fig.s LCY'!M27</f>
        <v>-156979890.625</v>
      </c>
      <c r="S29" s="184">
        <f>'Alt. scenario LCY'!I27</f>
        <v>-30521679.6875</v>
      </c>
      <c r="T29" s="184">
        <f>'Alt. scenario LCY'!J27</f>
        <v>-36389718.75</v>
      </c>
      <c r="U29" s="184">
        <f>'Alt. scenario LCY'!K27</f>
        <v>-42178992.1875</v>
      </c>
      <c r="V29" s="184">
        <f>'Alt. scenario LCY'!L27</f>
        <v>-47889500</v>
      </c>
      <c r="W29" s="231">
        <f>'Alt. scenario LCY'!M27</f>
        <v>-156979890.625</v>
      </c>
      <c r="X29" s="184">
        <f>'Key financial and ops fig.s LCY'!N27</f>
        <v>-53521242.1875</v>
      </c>
      <c r="Y29" s="184">
        <f>'Key financial and ops fig.s LCY'!O27</f>
        <v>-59074218.75</v>
      </c>
      <c r="Z29" s="184">
        <f>'Key financial and ops fig.s LCY'!P27</f>
        <v>-64548429.6875</v>
      </c>
      <c r="AA29" s="184">
        <f>'Key financial and ops fig.s LCY'!Q27</f>
        <v>-69943875</v>
      </c>
      <c r="AB29" s="214">
        <f>'Key financial and ops fig.s LCY'!R27</f>
        <v>-247087765.625</v>
      </c>
      <c r="AC29" s="184">
        <f>'Alt. scenario LCY'!N27</f>
        <v>-53521242.1875</v>
      </c>
      <c r="AD29" s="184">
        <f>'Alt. scenario LCY'!O27</f>
        <v>-59074218.75</v>
      </c>
      <c r="AE29" s="184">
        <f>'Alt. scenario LCY'!P27</f>
        <v>-64548429.6875</v>
      </c>
      <c r="AF29" s="184">
        <f>'Alt. scenario LCY'!Q27</f>
        <v>-69943875</v>
      </c>
      <c r="AG29" s="231">
        <f>'Alt. scenario LCY'!R27</f>
        <v>-247087765.625</v>
      </c>
      <c r="AH29" s="184">
        <f>'Key financial and ops fig.s LCY'!S27</f>
        <v>-75260554.6875</v>
      </c>
      <c r="AI29" s="184">
        <f>'Key financial and ops fig.s LCY'!T27</f>
        <v>-80498468.75</v>
      </c>
      <c r="AJ29" s="184">
        <f>'Key financial and ops fig.s LCY'!U27</f>
        <v>-85657617.1875</v>
      </c>
      <c r="AK29" s="184">
        <f>'Key financial and ops fig.s LCY'!V27</f>
        <v>-90738000</v>
      </c>
      <c r="AL29" s="214">
        <f>'Key financial and ops fig.s LCY'!W27</f>
        <v>-332154640.625</v>
      </c>
      <c r="AM29" s="184">
        <f>'Alt. scenario LCY'!S27</f>
        <v>-75260554.6875</v>
      </c>
      <c r="AN29" s="184">
        <f>'Alt. scenario LCY'!T27</f>
        <v>-80498468.75</v>
      </c>
      <c r="AO29" s="184">
        <f>'Alt. scenario LCY'!U27</f>
        <v>-85657617.1875</v>
      </c>
      <c r="AP29" s="184">
        <f>'Alt. scenario LCY'!V27</f>
        <v>-90738000</v>
      </c>
      <c r="AQ29" s="231">
        <f>'Alt. scenario LCY'!W27</f>
        <v>-332154640.625</v>
      </c>
      <c r="AR29" s="184">
        <f>'Key financial and ops fig.s LCY'!X27</f>
        <v>-95739617.1875</v>
      </c>
      <c r="AS29" s="184">
        <f>'Key financial and ops fig.s LCY'!Y27</f>
        <v>-100662468.75</v>
      </c>
      <c r="AT29" s="184">
        <f>'Key financial and ops fig.s LCY'!Z27</f>
        <v>-105506554.6875</v>
      </c>
      <c r="AU29" s="184">
        <f>'Key financial and ops fig.s LCY'!AA27</f>
        <v>-110271875</v>
      </c>
      <c r="AV29" s="214">
        <f>'Key financial and ops fig.s LCY'!AB27</f>
        <v>-412180515.625</v>
      </c>
      <c r="AW29" s="184">
        <f>'Alt. scenario LCY'!X27</f>
        <v>-95739617.1875</v>
      </c>
      <c r="AX29" s="184">
        <f>'Alt. scenario LCY'!Y27</f>
        <v>-100662468.75</v>
      </c>
      <c r="AY29" s="184">
        <f>'Alt. scenario LCY'!Z27</f>
        <v>-105506554.6875</v>
      </c>
      <c r="AZ29" s="184">
        <f>'Alt. scenario LCY'!AA27</f>
        <v>-110271875</v>
      </c>
      <c r="BA29" s="231">
        <f>'Alt. scenario LCY'!AB27</f>
        <v>-412180515.625</v>
      </c>
      <c r="BB29" s="184">
        <f>'Key financial and ops fig.s LCY'!AC27</f>
        <v>-109484218.75</v>
      </c>
      <c r="BC29" s="184">
        <f>'Key financial and ops fig.s LCY'!AD27</f>
        <v>-108696562.5</v>
      </c>
      <c r="BD29" s="184">
        <f>'Key financial and ops fig.s LCY'!AE27</f>
        <v>-107908906.25</v>
      </c>
      <c r="BE29" s="184">
        <f>'Key financial and ops fig.s LCY'!AF27</f>
        <v>-107121250</v>
      </c>
      <c r="BF29" s="214">
        <f>'Key financial and ops fig.s LCY'!AG27</f>
        <v>-433210937.5</v>
      </c>
      <c r="BG29" s="184">
        <f>'Alt. scenario LCY'!AC27</f>
        <v>-109484218.75</v>
      </c>
      <c r="BH29" s="184">
        <f>'Alt. scenario LCY'!AD27</f>
        <v>-108696562.5</v>
      </c>
      <c r="BI29" s="184">
        <f>'Alt. scenario LCY'!AE27</f>
        <v>-107908906.25</v>
      </c>
      <c r="BJ29" s="184">
        <f>'Alt. scenario LCY'!AF27</f>
        <v>-107121250</v>
      </c>
      <c r="BK29" s="231">
        <f>'Alt. scenario LCY'!AG27</f>
        <v>-433210937.5</v>
      </c>
      <c r="BL29" s="184">
        <f>'Key financial and ops fig.s LCY'!AH27</f>
        <v>-106333593.75</v>
      </c>
      <c r="BM29" s="184">
        <f>'Key financial and ops fig.s LCY'!AI27</f>
        <v>-105545937.5</v>
      </c>
      <c r="BN29" s="184">
        <f>'Key financial and ops fig.s LCY'!AJ27</f>
        <v>-104758281.25</v>
      </c>
      <c r="BO29" s="184">
        <f>'Key financial and ops fig.s LCY'!AK27</f>
        <v>-103970625</v>
      </c>
      <c r="BP29" s="214">
        <f>'Key financial and ops fig.s LCY'!AL27</f>
        <v>-420608437.5</v>
      </c>
      <c r="BQ29" s="184">
        <f>'Alt. scenario LCY'!AH27</f>
        <v>-106333593.75</v>
      </c>
      <c r="BR29" s="184">
        <f>'Alt. scenario LCY'!AI27</f>
        <v>-105545937.5</v>
      </c>
      <c r="BS29" s="184">
        <f>'Alt. scenario LCY'!AJ27</f>
        <v>-104758281.25</v>
      </c>
      <c r="BT29" s="184">
        <f>'Alt. scenario LCY'!AK27</f>
        <v>-103970625</v>
      </c>
      <c r="BU29" s="231">
        <f>'Alt. scenario LCY'!AL27</f>
        <v>-420608437.5</v>
      </c>
    </row>
    <row r="30" spans="1:73" ht="17.100000000000001" collapsed="1" thickBot="1">
      <c r="A30" s="36" t="s">
        <v>270</v>
      </c>
      <c r="B30" s="37"/>
      <c r="C30" s="38"/>
      <c r="D30" s="51">
        <f>'Key financial and ops fig.s LCY'!D28</f>
        <v>57994917.1875</v>
      </c>
      <c r="E30" s="51">
        <f>'Key financial and ops fig.s LCY'!E28</f>
        <v>93915700</v>
      </c>
      <c r="F30" s="51">
        <f>'Key financial and ops fig.s LCY'!F28</f>
        <v>129374879.6875</v>
      </c>
      <c r="G30" s="51">
        <f>'Key financial and ops fig.s LCY'!G28</f>
        <v>164372456.25</v>
      </c>
      <c r="H30" s="215">
        <f>'Key financial and ops fig.s LCY'!H28</f>
        <v>445657953.125</v>
      </c>
      <c r="I30" s="51">
        <f>'Alt. scenario LCY'!D28</f>
        <v>57994917.1875</v>
      </c>
      <c r="J30" s="51">
        <f>'Alt. scenario LCY'!E28</f>
        <v>93915700</v>
      </c>
      <c r="K30" s="51">
        <f>'Alt. scenario LCY'!F28</f>
        <v>129374879.6875</v>
      </c>
      <c r="L30" s="51">
        <f>'Alt. scenario LCY'!G28</f>
        <v>164372456.25</v>
      </c>
      <c r="M30" s="232">
        <f>'Alt. scenario LCY'!H28</f>
        <v>445657953.125</v>
      </c>
      <c r="N30" s="51">
        <f>'Key financial and ops fig.s LCY'!I28</f>
        <v>198908429.6875</v>
      </c>
      <c r="O30" s="51">
        <f>'Key financial and ops fig.s LCY'!J28</f>
        <v>232982800</v>
      </c>
      <c r="P30" s="51">
        <f>'Key financial and ops fig.s LCY'!K28</f>
        <v>266595567.1875</v>
      </c>
      <c r="Q30" s="51">
        <f>'Key financial and ops fig.s LCY'!L28</f>
        <v>299746731.25</v>
      </c>
      <c r="R30" s="215">
        <f>'Key financial and ops fig.s LCY'!M28</f>
        <v>998233528.125</v>
      </c>
      <c r="S30" s="51">
        <f>'Alt. scenario LCY'!I28</f>
        <v>198908429.6875</v>
      </c>
      <c r="T30" s="51">
        <f>'Alt. scenario LCY'!J28</f>
        <v>232982800</v>
      </c>
      <c r="U30" s="51">
        <f>'Alt. scenario LCY'!K28</f>
        <v>266595567.1875</v>
      </c>
      <c r="V30" s="51">
        <f>'Alt. scenario LCY'!L28</f>
        <v>299746731.25</v>
      </c>
      <c r="W30" s="232">
        <f>'Alt. scenario LCY'!M28</f>
        <v>998233528.125</v>
      </c>
      <c r="X30" s="51">
        <f>'Key financial and ops fig.s LCY'!N28</f>
        <v>332436292.1875</v>
      </c>
      <c r="Y30" s="51">
        <f>'Key financial and ops fig.s LCY'!O28</f>
        <v>364664250</v>
      </c>
      <c r="Z30" s="51">
        <f>'Key financial and ops fig.s LCY'!P28</f>
        <v>396430604.6875</v>
      </c>
      <c r="AA30" s="51">
        <f>'Key financial and ops fig.s LCY'!Q28</f>
        <v>427735356.25</v>
      </c>
      <c r="AB30" s="215">
        <f>'Key financial and ops fig.s LCY'!R28</f>
        <v>1521266503.125</v>
      </c>
      <c r="AC30" s="51">
        <f>'Alt. scenario LCY'!N28</f>
        <v>332436292.1875</v>
      </c>
      <c r="AD30" s="51">
        <f>'Alt. scenario LCY'!O28</f>
        <v>364664250</v>
      </c>
      <c r="AE30" s="51">
        <f>'Alt. scenario LCY'!P28</f>
        <v>396430604.6875</v>
      </c>
      <c r="AF30" s="51">
        <f>'Alt. scenario LCY'!Q28</f>
        <v>427735356.25</v>
      </c>
      <c r="AG30" s="232">
        <f>'Alt. scenario LCY'!R28</f>
        <v>1521266503.125</v>
      </c>
      <c r="AH30" s="51">
        <f>'Key financial and ops fig.s LCY'!S28</f>
        <v>458578504.6875</v>
      </c>
      <c r="AI30" s="51">
        <f>'Key financial and ops fig.s LCY'!T28</f>
        <v>488960050</v>
      </c>
      <c r="AJ30" s="51">
        <f>'Key financial and ops fig.s LCY'!U28</f>
        <v>518879992.1875</v>
      </c>
      <c r="AK30" s="51">
        <f>'Key financial and ops fig.s LCY'!V28</f>
        <v>548338331.25</v>
      </c>
      <c r="AL30" s="215">
        <f>'Key financial and ops fig.s LCY'!W28</f>
        <v>2014756878.125</v>
      </c>
      <c r="AM30" s="51">
        <f>'Alt. scenario LCY'!S28</f>
        <v>458578504.6875</v>
      </c>
      <c r="AN30" s="51">
        <f>'Alt. scenario LCY'!T28</f>
        <v>488960050</v>
      </c>
      <c r="AO30" s="51">
        <f>'Alt. scenario LCY'!U28</f>
        <v>518879992.1875</v>
      </c>
      <c r="AP30" s="51">
        <f>'Alt. scenario LCY'!V28</f>
        <v>548338331.25</v>
      </c>
      <c r="AQ30" s="232">
        <f>'Alt. scenario LCY'!W28</f>
        <v>2014756878.125</v>
      </c>
      <c r="AR30" s="51">
        <f>'Key financial and ops fig.s LCY'!X28</f>
        <v>577335067.1875</v>
      </c>
      <c r="AS30" s="51">
        <f>'Key financial and ops fig.s LCY'!Y28</f>
        <v>605870200</v>
      </c>
      <c r="AT30" s="51">
        <f>'Key financial and ops fig.s LCY'!Z28</f>
        <v>633943729.6875</v>
      </c>
      <c r="AU30" s="51">
        <f>'Key financial and ops fig.s LCY'!AA28</f>
        <v>661555656.25</v>
      </c>
      <c r="AV30" s="215">
        <f>'Key financial and ops fig.s LCY'!AB28</f>
        <v>2478704653.125</v>
      </c>
      <c r="AW30" s="51">
        <f>'Alt. scenario LCY'!X28</f>
        <v>577335067.1875</v>
      </c>
      <c r="AX30" s="51">
        <f>'Alt. scenario LCY'!Y28</f>
        <v>605870200</v>
      </c>
      <c r="AY30" s="51">
        <f>'Alt. scenario LCY'!Z28</f>
        <v>633943729.6875</v>
      </c>
      <c r="AZ30" s="51">
        <f>'Alt. scenario LCY'!AA28</f>
        <v>661555656.25</v>
      </c>
      <c r="BA30" s="232">
        <f>'Alt. scenario LCY'!AB28</f>
        <v>2478704653.125</v>
      </c>
      <c r="BB30" s="51">
        <f>'Key financial and ops fig.s LCY'!AC28</f>
        <v>634727718.75</v>
      </c>
      <c r="BC30" s="51">
        <f>'Key financial and ops fig.s LCY'!AD28</f>
        <v>630111687.5</v>
      </c>
      <c r="BD30" s="51">
        <f>'Key financial and ops fig.s LCY'!AE28</f>
        <v>625495656.25</v>
      </c>
      <c r="BE30" s="51">
        <f>'Key financial and ops fig.s LCY'!AF28</f>
        <v>620879625</v>
      </c>
      <c r="BF30" s="215">
        <f>'Key financial and ops fig.s LCY'!AG28</f>
        <v>2511214687.5</v>
      </c>
      <c r="BG30" s="51">
        <f>'Alt. scenario LCY'!AC28</f>
        <v>634727718.75</v>
      </c>
      <c r="BH30" s="51">
        <f>'Alt. scenario LCY'!AD28</f>
        <v>630111687.5</v>
      </c>
      <c r="BI30" s="51">
        <f>'Alt. scenario LCY'!AE28</f>
        <v>625495656.25</v>
      </c>
      <c r="BJ30" s="51">
        <f>'Alt. scenario LCY'!AF28</f>
        <v>620879625</v>
      </c>
      <c r="BK30" s="232">
        <f>'Alt. scenario LCY'!AG28</f>
        <v>2511214687.5</v>
      </c>
      <c r="BL30" s="51">
        <f>'Key financial and ops fig.s LCY'!AH28</f>
        <v>616263593.75</v>
      </c>
      <c r="BM30" s="51">
        <f>'Key financial and ops fig.s LCY'!AI28</f>
        <v>611647562.5</v>
      </c>
      <c r="BN30" s="51">
        <f>'Key financial and ops fig.s LCY'!AJ28</f>
        <v>607031531.25</v>
      </c>
      <c r="BO30" s="51">
        <f>'Key financial and ops fig.s LCY'!AK28</f>
        <v>602415500</v>
      </c>
      <c r="BP30" s="215">
        <f>'Key financial and ops fig.s LCY'!AL28</f>
        <v>2437358187.5</v>
      </c>
      <c r="BQ30" s="51">
        <f>'Alt. scenario LCY'!AH28</f>
        <v>616263593.75</v>
      </c>
      <c r="BR30" s="51">
        <f>'Alt. scenario LCY'!AI28</f>
        <v>611647562.5</v>
      </c>
      <c r="BS30" s="51">
        <f>'Alt. scenario LCY'!AJ28</f>
        <v>607031531.25</v>
      </c>
      <c r="BT30" s="51">
        <f>'Alt. scenario LCY'!AK28</f>
        <v>602415500</v>
      </c>
      <c r="BU30" s="232">
        <f>'Alt. scenario LCY'!AL28</f>
        <v>2437358187.5</v>
      </c>
    </row>
    <row r="31" spans="1:73" ht="17.100000000000001" hidden="1" outlineLevel="2" thickBot="1">
      <c r="A31" s="31"/>
      <c r="C31" s="32" t="s">
        <v>271</v>
      </c>
      <c r="D31" s="183">
        <f>'Key financial and ops fig.s LCY'!D29</f>
        <v>-2250000</v>
      </c>
      <c r="E31" s="183">
        <f>'Key financial and ops fig.s LCY'!E29</f>
        <v>-4500000</v>
      </c>
      <c r="F31" s="183">
        <f>'Key financial and ops fig.s LCY'!F29</f>
        <v>-6750000</v>
      </c>
      <c r="G31" s="183">
        <f>'Key financial and ops fig.s LCY'!G29</f>
        <v>-8625000</v>
      </c>
      <c r="H31" s="213">
        <f>'Key financial and ops fig.s LCY'!H29</f>
        <v>-22125000</v>
      </c>
      <c r="I31" s="183">
        <f>'Alt. scenario LCY'!D29</f>
        <v>-2250000</v>
      </c>
      <c r="J31" s="183">
        <f>'Alt. scenario LCY'!E29</f>
        <v>-4500000</v>
      </c>
      <c r="K31" s="183">
        <f>'Alt. scenario LCY'!F29</f>
        <v>-6750000</v>
      </c>
      <c r="L31" s="183">
        <f>'Alt. scenario LCY'!G29</f>
        <v>-8625000</v>
      </c>
      <c r="M31" s="230">
        <f>'Alt. scenario LCY'!H29</f>
        <v>-22125000</v>
      </c>
      <c r="N31" s="183">
        <f>'Key financial and ops fig.s LCY'!I29</f>
        <v>-10500000</v>
      </c>
      <c r="O31" s="183">
        <f>'Key financial and ops fig.s LCY'!J29</f>
        <v>-12750000</v>
      </c>
      <c r="P31" s="183">
        <f>'Key financial and ops fig.s LCY'!K29</f>
        <v>-14625000</v>
      </c>
      <c r="Q31" s="183">
        <f>'Key financial and ops fig.s LCY'!L29</f>
        <v>-16500000</v>
      </c>
      <c r="R31" s="213">
        <f>'Key financial and ops fig.s LCY'!M29</f>
        <v>-54375000</v>
      </c>
      <c r="S31" s="183">
        <f>'Alt. scenario LCY'!I29</f>
        <v>-10500000</v>
      </c>
      <c r="T31" s="183">
        <f>'Alt. scenario LCY'!J29</f>
        <v>-12750000</v>
      </c>
      <c r="U31" s="183">
        <f>'Alt. scenario LCY'!K29</f>
        <v>-14625000</v>
      </c>
      <c r="V31" s="183">
        <f>'Alt. scenario LCY'!L29</f>
        <v>-16500000</v>
      </c>
      <c r="W31" s="230">
        <f>'Alt. scenario LCY'!M29</f>
        <v>-54375000</v>
      </c>
      <c r="X31" s="183">
        <f>'Key financial and ops fig.s LCY'!N29</f>
        <v>-18750000</v>
      </c>
      <c r="Y31" s="183">
        <f>'Key financial and ops fig.s LCY'!O29</f>
        <v>-20625000</v>
      </c>
      <c r="Z31" s="183">
        <f>'Key financial and ops fig.s LCY'!P29</f>
        <v>-22500000</v>
      </c>
      <c r="AA31" s="183">
        <f>'Key financial and ops fig.s LCY'!Q29</f>
        <v>-24375000</v>
      </c>
      <c r="AB31" s="213">
        <f>'Key financial and ops fig.s LCY'!R29</f>
        <v>-86250000</v>
      </c>
      <c r="AC31" s="183">
        <f>'Alt. scenario LCY'!N29</f>
        <v>-18750000</v>
      </c>
      <c r="AD31" s="183">
        <f>'Alt. scenario LCY'!O29</f>
        <v>-20625000</v>
      </c>
      <c r="AE31" s="183">
        <f>'Alt. scenario LCY'!P29</f>
        <v>-22500000</v>
      </c>
      <c r="AF31" s="183">
        <f>'Alt. scenario LCY'!Q29</f>
        <v>-24375000</v>
      </c>
      <c r="AG31" s="230">
        <f>'Alt. scenario LCY'!R29</f>
        <v>-86250000</v>
      </c>
      <c r="AH31" s="183">
        <f>'Key financial and ops fig.s LCY'!S29</f>
        <v>-25875000</v>
      </c>
      <c r="AI31" s="183">
        <f>'Key financial and ops fig.s LCY'!T29</f>
        <v>-27750000</v>
      </c>
      <c r="AJ31" s="183">
        <f>'Key financial and ops fig.s LCY'!U29</f>
        <v>-29625000</v>
      </c>
      <c r="AK31" s="183">
        <f>'Key financial and ops fig.s LCY'!V29</f>
        <v>-31500000</v>
      </c>
      <c r="AL31" s="213">
        <f>'Key financial and ops fig.s LCY'!W29</f>
        <v>-114750000</v>
      </c>
      <c r="AM31" s="183">
        <f>'Alt. scenario LCY'!S29</f>
        <v>-25875000</v>
      </c>
      <c r="AN31" s="183">
        <f>'Alt. scenario LCY'!T29</f>
        <v>-27750000</v>
      </c>
      <c r="AO31" s="183">
        <f>'Alt. scenario LCY'!U29</f>
        <v>-29625000</v>
      </c>
      <c r="AP31" s="183">
        <f>'Alt. scenario LCY'!V29</f>
        <v>-31500000</v>
      </c>
      <c r="AQ31" s="230">
        <f>'Alt. scenario LCY'!W29</f>
        <v>-114750000</v>
      </c>
      <c r="AR31" s="183">
        <f>'Key financial and ops fig.s LCY'!X29</f>
        <v>-33000000</v>
      </c>
      <c r="AS31" s="183">
        <f>'Key financial and ops fig.s LCY'!Y29</f>
        <v>-34875000</v>
      </c>
      <c r="AT31" s="183">
        <f>'Key financial and ops fig.s LCY'!Z29</f>
        <v>-36375000</v>
      </c>
      <c r="AU31" s="183">
        <f>'Key financial and ops fig.s LCY'!AA29</f>
        <v>-38250000</v>
      </c>
      <c r="AV31" s="213">
        <f>'Key financial and ops fig.s LCY'!AB29</f>
        <v>-142500000</v>
      </c>
      <c r="AW31" s="183">
        <f>'Alt. scenario LCY'!X29</f>
        <v>-33000000</v>
      </c>
      <c r="AX31" s="183">
        <f>'Alt. scenario LCY'!Y29</f>
        <v>-34875000</v>
      </c>
      <c r="AY31" s="183">
        <f>'Alt. scenario LCY'!Z29</f>
        <v>-36375000</v>
      </c>
      <c r="AZ31" s="183">
        <f>'Alt. scenario LCY'!AA29</f>
        <v>-38250000</v>
      </c>
      <c r="BA31" s="230">
        <f>'Alt. scenario LCY'!AB29</f>
        <v>-142500000</v>
      </c>
      <c r="BB31" s="183">
        <f>'Key financial and ops fig.s LCY'!AC29</f>
        <v>-37875000</v>
      </c>
      <c r="BC31" s="183">
        <f>'Key financial and ops fig.s LCY'!AD29</f>
        <v>-37500000</v>
      </c>
      <c r="BD31" s="183">
        <f>'Key financial and ops fig.s LCY'!AE29</f>
        <v>-37125000</v>
      </c>
      <c r="BE31" s="183">
        <f>'Key financial and ops fig.s LCY'!AF29</f>
        <v>-37125000</v>
      </c>
      <c r="BF31" s="213">
        <f>'Key financial and ops fig.s LCY'!AG29</f>
        <v>-149625000</v>
      </c>
      <c r="BG31" s="183">
        <f>'Alt. scenario LCY'!AC29</f>
        <v>-37875000</v>
      </c>
      <c r="BH31" s="183">
        <f>'Alt. scenario LCY'!AD29</f>
        <v>-37500000</v>
      </c>
      <c r="BI31" s="183">
        <f>'Alt. scenario LCY'!AE29</f>
        <v>-37125000</v>
      </c>
      <c r="BJ31" s="183">
        <f>'Alt. scenario LCY'!AF29</f>
        <v>-37125000</v>
      </c>
      <c r="BK31" s="230">
        <f>'Alt. scenario LCY'!AG29</f>
        <v>-149625000</v>
      </c>
      <c r="BL31" s="105">
        <f>'Key financial and ops fig.s LCY'!AH29</f>
        <v>-36750000</v>
      </c>
      <c r="BM31" s="106">
        <f>'Key financial and ops fig.s LCY'!AI29</f>
        <v>-36375000</v>
      </c>
      <c r="BN31" s="106">
        <f>'Key financial and ops fig.s LCY'!AJ29</f>
        <v>-36375000</v>
      </c>
      <c r="BO31" s="107">
        <f>'Key financial and ops fig.s LCY'!AK29</f>
        <v>-36000000</v>
      </c>
      <c r="BP31" s="213">
        <f>'Key financial and ops fig.s LCY'!AL29</f>
        <v>-145500000</v>
      </c>
      <c r="BQ31" s="183">
        <f>'Alt. scenario LCY'!AH29</f>
        <v>-36750000</v>
      </c>
      <c r="BR31" s="183">
        <f>'Alt. scenario LCY'!AI29</f>
        <v>-36375000</v>
      </c>
      <c r="BS31" s="183">
        <f>'Alt. scenario LCY'!AJ29</f>
        <v>-36375000</v>
      </c>
      <c r="BT31" s="183">
        <f>'Alt. scenario LCY'!AK29</f>
        <v>-36000000</v>
      </c>
      <c r="BU31" s="230">
        <f>'Alt. scenario LCY'!AL29</f>
        <v>-145500000</v>
      </c>
    </row>
    <row r="32" spans="1:73" ht="17.100000000000001" hidden="1" outlineLevel="2" thickBot="1">
      <c r="A32" s="31"/>
      <c r="C32" s="32" t="s">
        <v>272</v>
      </c>
      <c r="D32" s="185">
        <f>'Key financial and ops fig.s LCY'!D30</f>
        <v>-1500000</v>
      </c>
      <c r="E32" s="185">
        <f>'Key financial and ops fig.s LCY'!E30</f>
        <v>-2500000</v>
      </c>
      <c r="F32" s="185">
        <f>'Key financial and ops fig.s LCY'!F30</f>
        <v>-3500000</v>
      </c>
      <c r="G32" s="185">
        <f>'Key financial and ops fig.s LCY'!G30</f>
        <v>-5000000</v>
      </c>
      <c r="H32" s="213">
        <f>'Key financial and ops fig.s LCY'!H30</f>
        <v>-12500000</v>
      </c>
      <c r="I32" s="185">
        <f>'Alt. scenario LCY'!D30</f>
        <v>-1500000</v>
      </c>
      <c r="J32" s="185">
        <f>'Alt. scenario LCY'!E30</f>
        <v>-2500000</v>
      </c>
      <c r="K32" s="185">
        <f>'Alt. scenario LCY'!F30</f>
        <v>-3500000</v>
      </c>
      <c r="L32" s="185">
        <f>'Alt. scenario LCY'!G30</f>
        <v>-5000000</v>
      </c>
      <c r="M32" s="230">
        <f>'Alt. scenario LCY'!H30</f>
        <v>-12500000</v>
      </c>
      <c r="N32" s="185">
        <f>'Key financial and ops fig.s LCY'!I30</f>
        <v>-6000000</v>
      </c>
      <c r="O32" s="185">
        <f>'Key financial and ops fig.s LCY'!J30</f>
        <v>-7000000</v>
      </c>
      <c r="P32" s="185">
        <f>'Key financial and ops fig.s LCY'!K30</f>
        <v>-8000000</v>
      </c>
      <c r="Q32" s="185">
        <f>'Key financial and ops fig.s LCY'!L30</f>
        <v>-9000000</v>
      </c>
      <c r="R32" s="213">
        <f>'Key financial and ops fig.s LCY'!M30</f>
        <v>-30000000</v>
      </c>
      <c r="S32" s="185">
        <f>'Alt. scenario LCY'!I30</f>
        <v>-6000000</v>
      </c>
      <c r="T32" s="185">
        <f>'Alt. scenario LCY'!J30</f>
        <v>-7000000</v>
      </c>
      <c r="U32" s="185">
        <f>'Alt. scenario LCY'!K30</f>
        <v>-8000000</v>
      </c>
      <c r="V32" s="185">
        <f>'Alt. scenario LCY'!L30</f>
        <v>-9000000</v>
      </c>
      <c r="W32" s="230">
        <f>'Alt. scenario LCY'!M30</f>
        <v>-30000000</v>
      </c>
      <c r="X32" s="185">
        <f>'Key financial and ops fig.s LCY'!N30</f>
        <v>-10000000</v>
      </c>
      <c r="Y32" s="185">
        <f>'Key financial and ops fig.s LCY'!O30</f>
        <v>-11000000</v>
      </c>
      <c r="Z32" s="185">
        <f>'Key financial and ops fig.s LCY'!P30</f>
        <v>-12000000</v>
      </c>
      <c r="AA32" s="185">
        <f>'Key financial and ops fig.s LCY'!Q30</f>
        <v>-13000000</v>
      </c>
      <c r="AB32" s="213">
        <f>'Key financial and ops fig.s LCY'!R30</f>
        <v>-46000000</v>
      </c>
      <c r="AC32" s="185">
        <f>'Alt. scenario LCY'!N30</f>
        <v>-10000000</v>
      </c>
      <c r="AD32" s="185">
        <f>'Alt. scenario LCY'!O30</f>
        <v>-11000000</v>
      </c>
      <c r="AE32" s="185">
        <f>'Alt. scenario LCY'!P30</f>
        <v>-12000000</v>
      </c>
      <c r="AF32" s="185">
        <f>'Alt. scenario LCY'!Q30</f>
        <v>-13000000</v>
      </c>
      <c r="AG32" s="230">
        <f>'Alt. scenario LCY'!R30</f>
        <v>-46000000</v>
      </c>
      <c r="AH32" s="185">
        <f>'Key financial and ops fig.s LCY'!S30</f>
        <v>-14000000</v>
      </c>
      <c r="AI32" s="185">
        <f>'Key financial and ops fig.s LCY'!T30</f>
        <v>-15000000</v>
      </c>
      <c r="AJ32" s="185">
        <f>'Key financial and ops fig.s LCY'!U30</f>
        <v>-16000000</v>
      </c>
      <c r="AK32" s="185">
        <f>'Key financial and ops fig.s LCY'!V30</f>
        <v>-17000000</v>
      </c>
      <c r="AL32" s="213">
        <f>'Key financial and ops fig.s LCY'!W30</f>
        <v>-62000000</v>
      </c>
      <c r="AM32" s="185">
        <f>'Alt. scenario LCY'!S30</f>
        <v>-14000000</v>
      </c>
      <c r="AN32" s="185">
        <f>'Alt. scenario LCY'!T30</f>
        <v>-15000000</v>
      </c>
      <c r="AO32" s="185">
        <f>'Alt. scenario LCY'!U30</f>
        <v>-16000000</v>
      </c>
      <c r="AP32" s="185">
        <f>'Alt. scenario LCY'!V30</f>
        <v>-17000000</v>
      </c>
      <c r="AQ32" s="230">
        <f>'Alt. scenario LCY'!W30</f>
        <v>-62000000</v>
      </c>
      <c r="AR32" s="185">
        <f>'Key financial and ops fig.s LCY'!X30</f>
        <v>-18000000</v>
      </c>
      <c r="AS32" s="185">
        <f>'Key financial and ops fig.s LCY'!Y30</f>
        <v>-18500000</v>
      </c>
      <c r="AT32" s="185">
        <f>'Key financial and ops fig.s LCY'!Z30</f>
        <v>-19500000</v>
      </c>
      <c r="AU32" s="185">
        <f>'Key financial and ops fig.s LCY'!AA30</f>
        <v>-20500000</v>
      </c>
      <c r="AV32" s="213">
        <f>'Key financial and ops fig.s LCY'!AB30</f>
        <v>-76500000</v>
      </c>
      <c r="AW32" s="185">
        <f>'Alt. scenario LCY'!X30</f>
        <v>-18000000</v>
      </c>
      <c r="AX32" s="185">
        <f>'Alt. scenario LCY'!Y30</f>
        <v>-18500000</v>
      </c>
      <c r="AY32" s="185">
        <f>'Alt. scenario LCY'!Z30</f>
        <v>-19500000</v>
      </c>
      <c r="AZ32" s="185">
        <f>'Alt. scenario LCY'!AA30</f>
        <v>-20500000</v>
      </c>
      <c r="BA32" s="230">
        <f>'Alt. scenario LCY'!AB30</f>
        <v>-76500000</v>
      </c>
      <c r="BB32" s="185">
        <f>'Key financial and ops fig.s LCY'!AC30</f>
        <v>-20500000</v>
      </c>
      <c r="BC32" s="185">
        <f>'Key financial and ops fig.s LCY'!AD30</f>
        <v>-20000000</v>
      </c>
      <c r="BD32" s="185">
        <f>'Key financial and ops fig.s LCY'!AE30</f>
        <v>-20000000</v>
      </c>
      <c r="BE32" s="185">
        <f>'Key financial and ops fig.s LCY'!AF30</f>
        <v>-20000000</v>
      </c>
      <c r="BF32" s="213">
        <f>'Key financial and ops fig.s LCY'!AG30</f>
        <v>-80500000</v>
      </c>
      <c r="BG32" s="185">
        <f>'Alt. scenario LCY'!AC30</f>
        <v>-20500000</v>
      </c>
      <c r="BH32" s="185">
        <f>'Alt. scenario LCY'!AD30</f>
        <v>-20000000</v>
      </c>
      <c r="BI32" s="185">
        <f>'Alt. scenario LCY'!AE30</f>
        <v>-20000000</v>
      </c>
      <c r="BJ32" s="185">
        <f>'Alt. scenario LCY'!AF30</f>
        <v>-20000000</v>
      </c>
      <c r="BK32" s="230">
        <f>'Alt. scenario LCY'!AG30</f>
        <v>-80500000</v>
      </c>
      <c r="BL32" s="63">
        <f>'Key financial and ops fig.s LCY'!AH30</f>
        <v>-19500000</v>
      </c>
      <c r="BM32" s="64">
        <f>'Key financial and ops fig.s LCY'!AI30</f>
        <v>-19500000</v>
      </c>
      <c r="BN32" s="64">
        <f>'Key financial and ops fig.s LCY'!AJ30</f>
        <v>-19500000</v>
      </c>
      <c r="BO32" s="108">
        <f>'Key financial and ops fig.s LCY'!AK30</f>
        <v>-19500000</v>
      </c>
      <c r="BP32" s="213">
        <f>'Key financial and ops fig.s LCY'!AL30</f>
        <v>-78000000</v>
      </c>
      <c r="BQ32" s="185">
        <f>'Alt. scenario LCY'!AH30</f>
        <v>-19500000</v>
      </c>
      <c r="BR32" s="185">
        <f>'Alt. scenario LCY'!AI30</f>
        <v>-19500000</v>
      </c>
      <c r="BS32" s="185">
        <f>'Alt. scenario LCY'!AJ30</f>
        <v>-19500000</v>
      </c>
      <c r="BT32" s="185">
        <f>'Alt. scenario LCY'!AK30</f>
        <v>-19500000</v>
      </c>
      <c r="BU32" s="230">
        <f>'Alt. scenario LCY'!AL30</f>
        <v>-78000000</v>
      </c>
    </row>
    <row r="33" spans="1:73" ht="17.100000000000001" hidden="1" outlineLevel="2" thickBot="1">
      <c r="A33" s="31"/>
      <c r="C33" s="32" t="s">
        <v>273</v>
      </c>
      <c r="D33" s="185">
        <f>'Key financial and ops fig.s LCY'!D31</f>
        <v>-1000000</v>
      </c>
      <c r="E33" s="185">
        <f>'Key financial and ops fig.s LCY'!E31</f>
        <v>-1500000</v>
      </c>
      <c r="F33" s="185">
        <f>'Key financial and ops fig.s LCY'!F31</f>
        <v>-2000000</v>
      </c>
      <c r="G33" s="185">
        <f>'Key financial and ops fig.s LCY'!G31</f>
        <v>-2500000</v>
      </c>
      <c r="H33" s="213">
        <f>'Key financial and ops fig.s LCY'!H31</f>
        <v>-7000000</v>
      </c>
      <c r="I33" s="185">
        <f>'Alt. scenario LCY'!D31</f>
        <v>-1000000</v>
      </c>
      <c r="J33" s="185">
        <f>'Alt. scenario LCY'!E31</f>
        <v>-1500000</v>
      </c>
      <c r="K33" s="185">
        <f>'Alt. scenario LCY'!F31</f>
        <v>-2000000</v>
      </c>
      <c r="L33" s="185">
        <f>'Alt. scenario LCY'!G31</f>
        <v>-2500000</v>
      </c>
      <c r="M33" s="230">
        <f>'Alt. scenario LCY'!H31</f>
        <v>-7000000</v>
      </c>
      <c r="N33" s="185">
        <f>'Key financial and ops fig.s LCY'!I31</f>
        <v>-3500000</v>
      </c>
      <c r="O33" s="185">
        <f>'Key financial and ops fig.s LCY'!J31</f>
        <v>-4000000</v>
      </c>
      <c r="P33" s="185">
        <f>'Key financial and ops fig.s LCY'!K31</f>
        <v>-4500000</v>
      </c>
      <c r="Q33" s="185">
        <f>'Key financial and ops fig.s LCY'!L31</f>
        <v>-5000000</v>
      </c>
      <c r="R33" s="213">
        <f>'Key financial and ops fig.s LCY'!M31</f>
        <v>-17000000</v>
      </c>
      <c r="S33" s="185">
        <f>'Alt. scenario LCY'!I31</f>
        <v>-3500000</v>
      </c>
      <c r="T33" s="185">
        <f>'Alt. scenario LCY'!J31</f>
        <v>-4000000</v>
      </c>
      <c r="U33" s="185">
        <f>'Alt. scenario LCY'!K31</f>
        <v>-4500000</v>
      </c>
      <c r="V33" s="185">
        <f>'Alt. scenario LCY'!L31</f>
        <v>-5000000</v>
      </c>
      <c r="W33" s="230">
        <f>'Alt. scenario LCY'!M31</f>
        <v>-17000000</v>
      </c>
      <c r="X33" s="185">
        <f>'Key financial and ops fig.s LCY'!N31</f>
        <v>-5500000</v>
      </c>
      <c r="Y33" s="185">
        <f>'Key financial and ops fig.s LCY'!O31</f>
        <v>-6000000</v>
      </c>
      <c r="Z33" s="185">
        <f>'Key financial and ops fig.s LCY'!P31</f>
        <v>-7000000</v>
      </c>
      <c r="AA33" s="185">
        <f>'Key financial and ops fig.s LCY'!Q31</f>
        <v>-7500000</v>
      </c>
      <c r="AB33" s="213">
        <f>'Key financial and ops fig.s LCY'!R31</f>
        <v>-26000000</v>
      </c>
      <c r="AC33" s="185">
        <f>'Alt. scenario LCY'!N31</f>
        <v>-5500000</v>
      </c>
      <c r="AD33" s="185">
        <f>'Alt. scenario LCY'!O31</f>
        <v>-6000000</v>
      </c>
      <c r="AE33" s="185">
        <f>'Alt. scenario LCY'!P31</f>
        <v>-7000000</v>
      </c>
      <c r="AF33" s="185">
        <f>'Alt. scenario LCY'!Q31</f>
        <v>-7500000</v>
      </c>
      <c r="AG33" s="230">
        <f>'Alt. scenario LCY'!R31</f>
        <v>-26000000</v>
      </c>
      <c r="AH33" s="185">
        <f>'Key financial and ops fig.s LCY'!S31</f>
        <v>-8000000</v>
      </c>
      <c r="AI33" s="185">
        <f>'Key financial and ops fig.s LCY'!T31</f>
        <v>-8500000</v>
      </c>
      <c r="AJ33" s="185">
        <f>'Key financial and ops fig.s LCY'!U31</f>
        <v>-9000000</v>
      </c>
      <c r="AK33" s="185">
        <f>'Key financial and ops fig.s LCY'!V31</f>
        <v>-9500000</v>
      </c>
      <c r="AL33" s="213">
        <f>'Key financial and ops fig.s LCY'!W31</f>
        <v>-35000000</v>
      </c>
      <c r="AM33" s="185">
        <f>'Alt. scenario LCY'!S31</f>
        <v>-8000000</v>
      </c>
      <c r="AN33" s="185">
        <f>'Alt. scenario LCY'!T31</f>
        <v>-8500000</v>
      </c>
      <c r="AO33" s="185">
        <f>'Alt. scenario LCY'!U31</f>
        <v>-9000000</v>
      </c>
      <c r="AP33" s="185">
        <f>'Alt. scenario LCY'!V31</f>
        <v>-9500000</v>
      </c>
      <c r="AQ33" s="230">
        <f>'Alt. scenario LCY'!W31</f>
        <v>-35000000</v>
      </c>
      <c r="AR33" s="185">
        <f>'Key financial and ops fig.s LCY'!X31</f>
        <v>-10000000</v>
      </c>
      <c r="AS33" s="185">
        <f>'Key financial and ops fig.s LCY'!Y31</f>
        <v>-10500000</v>
      </c>
      <c r="AT33" s="185">
        <f>'Key financial and ops fig.s LCY'!Z31</f>
        <v>-11000000</v>
      </c>
      <c r="AU33" s="185">
        <f>'Key financial and ops fig.s LCY'!AA31</f>
        <v>-11500000</v>
      </c>
      <c r="AV33" s="213">
        <f>'Key financial and ops fig.s LCY'!AB31</f>
        <v>-43000000</v>
      </c>
      <c r="AW33" s="185">
        <f>'Alt. scenario LCY'!X31</f>
        <v>-10000000</v>
      </c>
      <c r="AX33" s="185">
        <f>'Alt. scenario LCY'!Y31</f>
        <v>-10500000</v>
      </c>
      <c r="AY33" s="185">
        <f>'Alt. scenario LCY'!Z31</f>
        <v>-11000000</v>
      </c>
      <c r="AZ33" s="185">
        <f>'Alt. scenario LCY'!AA31</f>
        <v>-11500000</v>
      </c>
      <c r="BA33" s="230">
        <f>'Alt. scenario LCY'!AB31</f>
        <v>-43000000</v>
      </c>
      <c r="BB33" s="185">
        <f>'Key financial and ops fig.s LCY'!AC31</f>
        <v>-11500000</v>
      </c>
      <c r="BC33" s="185">
        <f>'Key financial and ops fig.s LCY'!AD31</f>
        <v>-11000000</v>
      </c>
      <c r="BD33" s="185">
        <f>'Key financial and ops fig.s LCY'!AE31</f>
        <v>-11000000</v>
      </c>
      <c r="BE33" s="185">
        <f>'Key financial and ops fig.s LCY'!AF31</f>
        <v>-11000000</v>
      </c>
      <c r="BF33" s="213">
        <f>'Key financial and ops fig.s LCY'!AG31</f>
        <v>-44500000</v>
      </c>
      <c r="BG33" s="185">
        <f>'Alt. scenario LCY'!AC31</f>
        <v>-11500000</v>
      </c>
      <c r="BH33" s="185">
        <f>'Alt. scenario LCY'!AD31</f>
        <v>-11000000</v>
      </c>
      <c r="BI33" s="185">
        <f>'Alt. scenario LCY'!AE31</f>
        <v>-11000000</v>
      </c>
      <c r="BJ33" s="185">
        <f>'Alt. scenario LCY'!AF31</f>
        <v>-11000000</v>
      </c>
      <c r="BK33" s="230">
        <f>'Alt. scenario LCY'!AG31</f>
        <v>-44500000</v>
      </c>
      <c r="BL33" s="63">
        <f>'Key financial and ops fig.s LCY'!AH31</f>
        <v>-11000000</v>
      </c>
      <c r="BM33" s="64">
        <f>'Key financial and ops fig.s LCY'!AI31</f>
        <v>-11000000</v>
      </c>
      <c r="BN33" s="64">
        <f>'Key financial and ops fig.s LCY'!AJ31</f>
        <v>-11000000</v>
      </c>
      <c r="BO33" s="108">
        <f>'Key financial and ops fig.s LCY'!AK31</f>
        <v>-10500000</v>
      </c>
      <c r="BP33" s="213">
        <f>'Key financial and ops fig.s LCY'!AL31</f>
        <v>-43500000</v>
      </c>
      <c r="BQ33" s="185">
        <f>'Alt. scenario LCY'!AH31</f>
        <v>-11000000</v>
      </c>
      <c r="BR33" s="185">
        <f>'Alt. scenario LCY'!AI31</f>
        <v>-11000000</v>
      </c>
      <c r="BS33" s="185">
        <f>'Alt. scenario LCY'!AJ31</f>
        <v>-11000000</v>
      </c>
      <c r="BT33" s="185">
        <f>'Alt. scenario LCY'!AK31</f>
        <v>-10500000</v>
      </c>
      <c r="BU33" s="230">
        <f>'Alt. scenario LCY'!AL31</f>
        <v>-43500000</v>
      </c>
    </row>
    <row r="34" spans="1:73" ht="17.100000000000001" hidden="1" outlineLevel="2" thickBot="1">
      <c r="A34" s="31"/>
      <c r="C34" s="32" t="s">
        <v>274</v>
      </c>
      <c r="D34" s="185">
        <f>'Key financial and ops fig.s LCY'!D32</f>
        <v>-3000000</v>
      </c>
      <c r="E34" s="185">
        <f>'Key financial and ops fig.s LCY'!E32</f>
        <v>-5000000</v>
      </c>
      <c r="F34" s="185">
        <f>'Key financial and ops fig.s LCY'!F32</f>
        <v>-7000000</v>
      </c>
      <c r="G34" s="185">
        <f>'Key financial and ops fig.s LCY'!G32</f>
        <v>-10000000</v>
      </c>
      <c r="H34" s="213">
        <f>'Key financial and ops fig.s LCY'!H32</f>
        <v>-25000000</v>
      </c>
      <c r="I34" s="185">
        <f>'Alt. scenario LCY'!D32</f>
        <v>-3000000</v>
      </c>
      <c r="J34" s="185">
        <f>'Alt. scenario LCY'!E32</f>
        <v>-5000000</v>
      </c>
      <c r="K34" s="185">
        <f>'Alt. scenario LCY'!F32</f>
        <v>-7000000</v>
      </c>
      <c r="L34" s="185">
        <f>'Alt. scenario LCY'!G32</f>
        <v>-10000000</v>
      </c>
      <c r="M34" s="230">
        <f>'Alt. scenario LCY'!H32</f>
        <v>-25000000</v>
      </c>
      <c r="N34" s="185">
        <f>'Key financial and ops fig.s LCY'!I32</f>
        <v>-12000000</v>
      </c>
      <c r="O34" s="185">
        <f>'Key financial and ops fig.s LCY'!J32</f>
        <v>-14000000</v>
      </c>
      <c r="P34" s="185">
        <f>'Key financial and ops fig.s LCY'!K32</f>
        <v>-16000000</v>
      </c>
      <c r="Q34" s="185">
        <f>'Key financial and ops fig.s LCY'!L32</f>
        <v>-18000000</v>
      </c>
      <c r="R34" s="213">
        <f>'Key financial and ops fig.s LCY'!M32</f>
        <v>-60000000</v>
      </c>
      <c r="S34" s="185">
        <f>'Alt. scenario LCY'!I32</f>
        <v>-12000000</v>
      </c>
      <c r="T34" s="185">
        <f>'Alt. scenario LCY'!J32</f>
        <v>-14000000</v>
      </c>
      <c r="U34" s="185">
        <f>'Alt. scenario LCY'!K32</f>
        <v>-16000000</v>
      </c>
      <c r="V34" s="185">
        <f>'Alt. scenario LCY'!L32</f>
        <v>-18000000</v>
      </c>
      <c r="W34" s="230">
        <f>'Alt. scenario LCY'!M32</f>
        <v>-60000000</v>
      </c>
      <c r="X34" s="185">
        <f>'Key financial and ops fig.s LCY'!N32</f>
        <v>-20000000</v>
      </c>
      <c r="Y34" s="185">
        <f>'Key financial and ops fig.s LCY'!O32</f>
        <v>-22000000</v>
      </c>
      <c r="Z34" s="185">
        <f>'Key financial and ops fig.s LCY'!P32</f>
        <v>-24000000</v>
      </c>
      <c r="AA34" s="185">
        <f>'Key financial and ops fig.s LCY'!Q32</f>
        <v>-26000000</v>
      </c>
      <c r="AB34" s="213">
        <f>'Key financial and ops fig.s LCY'!R32</f>
        <v>-92000000</v>
      </c>
      <c r="AC34" s="185">
        <f>'Alt. scenario LCY'!N32</f>
        <v>-20000000</v>
      </c>
      <c r="AD34" s="185">
        <f>'Alt. scenario LCY'!O32</f>
        <v>-22000000</v>
      </c>
      <c r="AE34" s="185">
        <f>'Alt. scenario LCY'!P32</f>
        <v>-24000000</v>
      </c>
      <c r="AF34" s="185">
        <f>'Alt. scenario LCY'!Q32</f>
        <v>-26000000</v>
      </c>
      <c r="AG34" s="230">
        <f>'Alt. scenario LCY'!R32</f>
        <v>-92000000</v>
      </c>
      <c r="AH34" s="185">
        <f>'Key financial and ops fig.s LCY'!S32</f>
        <v>-28000000</v>
      </c>
      <c r="AI34" s="185">
        <f>'Key financial and ops fig.s LCY'!T32</f>
        <v>-30000000</v>
      </c>
      <c r="AJ34" s="185">
        <f>'Key financial and ops fig.s LCY'!U32</f>
        <v>-32000000</v>
      </c>
      <c r="AK34" s="185">
        <f>'Key financial and ops fig.s LCY'!V32</f>
        <v>-34000000</v>
      </c>
      <c r="AL34" s="213">
        <f>'Key financial and ops fig.s LCY'!W32</f>
        <v>-124000000</v>
      </c>
      <c r="AM34" s="185">
        <f>'Alt. scenario LCY'!S32</f>
        <v>-28000000</v>
      </c>
      <c r="AN34" s="185">
        <f>'Alt. scenario LCY'!T32</f>
        <v>-30000000</v>
      </c>
      <c r="AO34" s="185">
        <f>'Alt. scenario LCY'!U32</f>
        <v>-32000000</v>
      </c>
      <c r="AP34" s="185">
        <f>'Alt. scenario LCY'!V32</f>
        <v>-34000000</v>
      </c>
      <c r="AQ34" s="230">
        <f>'Alt. scenario LCY'!W32</f>
        <v>-124000000</v>
      </c>
      <c r="AR34" s="185">
        <f>'Key financial and ops fig.s LCY'!X32</f>
        <v>-36000000</v>
      </c>
      <c r="AS34" s="185">
        <f>'Key financial and ops fig.s LCY'!Y32</f>
        <v>-37000000</v>
      </c>
      <c r="AT34" s="185">
        <f>'Key financial and ops fig.s LCY'!Z32</f>
        <v>-39000000</v>
      </c>
      <c r="AU34" s="185">
        <f>'Key financial and ops fig.s LCY'!AA32</f>
        <v>-41000000</v>
      </c>
      <c r="AV34" s="213">
        <f>'Key financial and ops fig.s LCY'!AB32</f>
        <v>-153000000</v>
      </c>
      <c r="AW34" s="185">
        <f>'Alt. scenario LCY'!X32</f>
        <v>-36000000</v>
      </c>
      <c r="AX34" s="185">
        <f>'Alt. scenario LCY'!Y32</f>
        <v>-37000000</v>
      </c>
      <c r="AY34" s="185">
        <f>'Alt. scenario LCY'!Z32</f>
        <v>-39000000</v>
      </c>
      <c r="AZ34" s="185">
        <f>'Alt. scenario LCY'!AA32</f>
        <v>-41000000</v>
      </c>
      <c r="BA34" s="230">
        <f>'Alt. scenario LCY'!AB32</f>
        <v>-153000000</v>
      </c>
      <c r="BB34" s="185">
        <f>'Key financial and ops fig.s LCY'!AC32</f>
        <v>-41000000</v>
      </c>
      <c r="BC34" s="185">
        <f>'Key financial and ops fig.s LCY'!AD32</f>
        <v>-40000000</v>
      </c>
      <c r="BD34" s="185">
        <f>'Key financial and ops fig.s LCY'!AE32</f>
        <v>-40000000</v>
      </c>
      <c r="BE34" s="185">
        <f>'Key financial and ops fig.s LCY'!AF32</f>
        <v>-40000000</v>
      </c>
      <c r="BF34" s="213">
        <f>'Key financial and ops fig.s LCY'!AG32</f>
        <v>-161000000</v>
      </c>
      <c r="BG34" s="185">
        <f>'Alt. scenario LCY'!AC32</f>
        <v>-41000000</v>
      </c>
      <c r="BH34" s="185">
        <f>'Alt. scenario LCY'!AD32</f>
        <v>-40000000</v>
      </c>
      <c r="BI34" s="185">
        <f>'Alt. scenario LCY'!AE32</f>
        <v>-40000000</v>
      </c>
      <c r="BJ34" s="185">
        <f>'Alt. scenario LCY'!AF32</f>
        <v>-40000000</v>
      </c>
      <c r="BK34" s="230">
        <f>'Alt. scenario LCY'!AG32</f>
        <v>-161000000</v>
      </c>
      <c r="BL34" s="63">
        <f>'Key financial and ops fig.s LCY'!AH32</f>
        <v>-39000000</v>
      </c>
      <c r="BM34" s="64">
        <f>'Key financial and ops fig.s LCY'!AI32</f>
        <v>-39000000</v>
      </c>
      <c r="BN34" s="64">
        <f>'Key financial and ops fig.s LCY'!AJ32</f>
        <v>-39000000</v>
      </c>
      <c r="BO34" s="108">
        <f>'Key financial and ops fig.s LCY'!AK32</f>
        <v>-39000000</v>
      </c>
      <c r="BP34" s="213">
        <f>'Key financial and ops fig.s LCY'!AL32</f>
        <v>-156000000</v>
      </c>
      <c r="BQ34" s="185">
        <f>'Alt. scenario LCY'!AH32</f>
        <v>-39000000</v>
      </c>
      <c r="BR34" s="185">
        <f>'Alt. scenario LCY'!AI32</f>
        <v>-39000000</v>
      </c>
      <c r="BS34" s="185">
        <f>'Alt. scenario LCY'!AJ32</f>
        <v>-39000000</v>
      </c>
      <c r="BT34" s="185">
        <f>'Alt. scenario LCY'!AK32</f>
        <v>-39000000</v>
      </c>
      <c r="BU34" s="230">
        <f>'Alt. scenario LCY'!AL32</f>
        <v>-156000000</v>
      </c>
    </row>
    <row r="35" spans="1:73" ht="17.100000000000001" hidden="1" outlineLevel="1" thickBot="1">
      <c r="A35" s="31"/>
      <c r="B35" s="34" t="s">
        <v>166</v>
      </c>
      <c r="C35" s="34"/>
      <c r="D35" s="186">
        <f>'Key financial and ops fig.s LCY'!D33</f>
        <v>-7750000</v>
      </c>
      <c r="E35" s="186">
        <f>'Key financial and ops fig.s LCY'!E33</f>
        <v>-13500000</v>
      </c>
      <c r="F35" s="186">
        <f>'Key financial and ops fig.s LCY'!F33</f>
        <v>-19250000</v>
      </c>
      <c r="G35" s="186">
        <f>'Key financial and ops fig.s LCY'!G33</f>
        <v>-26125000</v>
      </c>
      <c r="H35" s="214">
        <f>'Key financial and ops fig.s LCY'!H33</f>
        <v>-66625000</v>
      </c>
      <c r="I35" s="186">
        <f>'Alt. scenario LCY'!D33</f>
        <v>-7750000</v>
      </c>
      <c r="J35" s="186">
        <f>'Alt. scenario LCY'!E33</f>
        <v>-13500000</v>
      </c>
      <c r="K35" s="186">
        <f>'Alt. scenario LCY'!F33</f>
        <v>-19250000</v>
      </c>
      <c r="L35" s="186">
        <f>'Alt. scenario LCY'!G33</f>
        <v>-26125000</v>
      </c>
      <c r="M35" s="231">
        <f>'Alt. scenario LCY'!H33</f>
        <v>-66625000</v>
      </c>
      <c r="N35" s="186">
        <f>'Key financial and ops fig.s LCY'!I33</f>
        <v>-32000000</v>
      </c>
      <c r="O35" s="186">
        <f>'Key financial and ops fig.s LCY'!J33</f>
        <v>-37750000</v>
      </c>
      <c r="P35" s="186">
        <f>'Key financial and ops fig.s LCY'!K33</f>
        <v>-43125000</v>
      </c>
      <c r="Q35" s="186">
        <f>'Key financial and ops fig.s LCY'!L33</f>
        <v>-48500000</v>
      </c>
      <c r="R35" s="214">
        <f>'Key financial and ops fig.s LCY'!M33</f>
        <v>-161375000</v>
      </c>
      <c r="S35" s="186">
        <f>'Alt. scenario LCY'!I33</f>
        <v>-32000000</v>
      </c>
      <c r="T35" s="186">
        <f>'Alt. scenario LCY'!J33</f>
        <v>-37750000</v>
      </c>
      <c r="U35" s="186">
        <f>'Alt. scenario LCY'!K33</f>
        <v>-43125000</v>
      </c>
      <c r="V35" s="186">
        <f>'Alt. scenario LCY'!L33</f>
        <v>-48500000</v>
      </c>
      <c r="W35" s="231">
        <f>'Alt. scenario LCY'!M33</f>
        <v>-161375000</v>
      </c>
      <c r="X35" s="186">
        <f>'Key financial and ops fig.s LCY'!N33</f>
        <v>-54250000</v>
      </c>
      <c r="Y35" s="186">
        <f>'Key financial and ops fig.s LCY'!O33</f>
        <v>-59625000</v>
      </c>
      <c r="Z35" s="186">
        <f>'Key financial and ops fig.s LCY'!P33</f>
        <v>-65500000</v>
      </c>
      <c r="AA35" s="186">
        <f>'Key financial and ops fig.s LCY'!Q33</f>
        <v>-70875000</v>
      </c>
      <c r="AB35" s="214">
        <f>'Key financial and ops fig.s LCY'!R33</f>
        <v>-250250000</v>
      </c>
      <c r="AC35" s="186">
        <f>'Alt. scenario LCY'!N33</f>
        <v>-54250000</v>
      </c>
      <c r="AD35" s="186">
        <f>'Alt. scenario LCY'!O33</f>
        <v>-59625000</v>
      </c>
      <c r="AE35" s="186">
        <f>'Alt. scenario LCY'!P33</f>
        <v>-65500000</v>
      </c>
      <c r="AF35" s="186">
        <f>'Alt. scenario LCY'!Q33</f>
        <v>-70875000</v>
      </c>
      <c r="AG35" s="231">
        <f>'Alt. scenario LCY'!R33</f>
        <v>-250250000</v>
      </c>
      <c r="AH35" s="186">
        <f>'Key financial and ops fig.s LCY'!S33</f>
        <v>-75875000</v>
      </c>
      <c r="AI35" s="186">
        <f>'Key financial and ops fig.s LCY'!T33</f>
        <v>-81250000</v>
      </c>
      <c r="AJ35" s="186">
        <f>'Key financial and ops fig.s LCY'!U33</f>
        <v>-86625000</v>
      </c>
      <c r="AK35" s="186">
        <f>'Key financial and ops fig.s LCY'!V33</f>
        <v>-92000000</v>
      </c>
      <c r="AL35" s="214">
        <f>'Key financial and ops fig.s LCY'!W33</f>
        <v>-335750000</v>
      </c>
      <c r="AM35" s="186">
        <f>'Alt. scenario LCY'!S33</f>
        <v>-75875000</v>
      </c>
      <c r="AN35" s="186">
        <f>'Alt. scenario LCY'!T33</f>
        <v>-81250000</v>
      </c>
      <c r="AO35" s="186">
        <f>'Alt. scenario LCY'!U33</f>
        <v>-86625000</v>
      </c>
      <c r="AP35" s="186">
        <f>'Alt. scenario LCY'!V33</f>
        <v>-92000000</v>
      </c>
      <c r="AQ35" s="231">
        <f>'Alt. scenario LCY'!W33</f>
        <v>-335750000</v>
      </c>
      <c r="AR35" s="186">
        <f>'Key financial and ops fig.s LCY'!X33</f>
        <v>-97000000</v>
      </c>
      <c r="AS35" s="186">
        <f>'Key financial and ops fig.s LCY'!Y33</f>
        <v>-100875000</v>
      </c>
      <c r="AT35" s="186">
        <f>'Key financial and ops fig.s LCY'!Z33</f>
        <v>-105875000</v>
      </c>
      <c r="AU35" s="186">
        <f>'Key financial and ops fig.s LCY'!AA33</f>
        <v>-111250000</v>
      </c>
      <c r="AV35" s="214">
        <f>'Key financial and ops fig.s LCY'!AB33</f>
        <v>-415000000</v>
      </c>
      <c r="AW35" s="186">
        <f>'Alt. scenario LCY'!X33</f>
        <v>-97000000</v>
      </c>
      <c r="AX35" s="186">
        <f>'Alt. scenario LCY'!Y33</f>
        <v>-100875000</v>
      </c>
      <c r="AY35" s="186">
        <f>'Alt. scenario LCY'!Z33</f>
        <v>-105875000</v>
      </c>
      <c r="AZ35" s="186">
        <f>'Alt. scenario LCY'!AA33</f>
        <v>-111250000</v>
      </c>
      <c r="BA35" s="231">
        <f>'Alt. scenario LCY'!AB33</f>
        <v>-415000000</v>
      </c>
      <c r="BB35" s="186">
        <f>'Key financial and ops fig.s LCY'!AC33</f>
        <v>-110875000</v>
      </c>
      <c r="BC35" s="186">
        <f>'Key financial and ops fig.s LCY'!AD33</f>
        <v>-108500000</v>
      </c>
      <c r="BD35" s="186">
        <f>'Key financial and ops fig.s LCY'!AE33</f>
        <v>-108125000</v>
      </c>
      <c r="BE35" s="186">
        <f>'Key financial and ops fig.s LCY'!AF33</f>
        <v>-108125000</v>
      </c>
      <c r="BF35" s="214">
        <f>'Key financial and ops fig.s LCY'!AG33</f>
        <v>-435625000</v>
      </c>
      <c r="BG35" s="186">
        <f>'Alt. scenario LCY'!AC33</f>
        <v>-110875000</v>
      </c>
      <c r="BH35" s="186">
        <f>'Alt. scenario LCY'!AD33</f>
        <v>-108500000</v>
      </c>
      <c r="BI35" s="186">
        <f>'Alt. scenario LCY'!AE33</f>
        <v>-108125000</v>
      </c>
      <c r="BJ35" s="186">
        <f>'Alt. scenario LCY'!AF33</f>
        <v>-108125000</v>
      </c>
      <c r="BK35" s="231">
        <f>'Alt. scenario LCY'!AG33</f>
        <v>-435625000</v>
      </c>
      <c r="BL35" s="65">
        <f>'Key financial and ops fig.s LCY'!AH33</f>
        <v>-106250000</v>
      </c>
      <c r="BM35" s="66">
        <f>'Key financial and ops fig.s LCY'!AI33</f>
        <v>-105875000</v>
      </c>
      <c r="BN35" s="66">
        <f>'Key financial and ops fig.s LCY'!AJ33</f>
        <v>-105875000</v>
      </c>
      <c r="BO35" s="141">
        <f>'Key financial and ops fig.s LCY'!AK33</f>
        <v>-105000000</v>
      </c>
      <c r="BP35" s="214">
        <f>'Key financial and ops fig.s LCY'!AL33</f>
        <v>-423000000</v>
      </c>
      <c r="BQ35" s="186">
        <f>'Alt. scenario LCY'!AH33</f>
        <v>-106250000</v>
      </c>
      <c r="BR35" s="186">
        <f>'Alt. scenario LCY'!AI33</f>
        <v>-105875000</v>
      </c>
      <c r="BS35" s="186">
        <f>'Alt. scenario LCY'!AJ33</f>
        <v>-105875000</v>
      </c>
      <c r="BT35" s="186">
        <f>'Alt. scenario LCY'!AK33</f>
        <v>-105000000</v>
      </c>
      <c r="BU35" s="231">
        <f>'Alt. scenario LCY'!AL33</f>
        <v>-423000000</v>
      </c>
    </row>
    <row r="36" spans="1:73" ht="17.100000000000001" hidden="1" outlineLevel="2" thickBot="1">
      <c r="A36" s="31"/>
      <c r="C36" s="32" t="s">
        <v>275</v>
      </c>
      <c r="D36" s="185">
        <f>'Key financial and ops fig.s LCY'!D34</f>
        <v>-75000</v>
      </c>
      <c r="E36" s="185">
        <f>'Key financial and ops fig.s LCY'!E34</f>
        <v>-133928.57142857142</v>
      </c>
      <c r="F36" s="185">
        <f>'Key financial and ops fig.s LCY'!F34</f>
        <v>-192857.14285714287</v>
      </c>
      <c r="G36" s="185">
        <f>'Key financial and ops fig.s LCY'!G34</f>
        <v>-257142.85714285713</v>
      </c>
      <c r="H36" s="213">
        <f>'Key financial and ops fig.s LCY'!H34</f>
        <v>-658928.57142857148</v>
      </c>
      <c r="I36" s="185">
        <f>'Alt. scenario LCY'!D34</f>
        <v>-75000</v>
      </c>
      <c r="J36" s="185">
        <f>'Alt. scenario LCY'!E34</f>
        <v>-133928.57142857142</v>
      </c>
      <c r="K36" s="185">
        <f>'Alt. scenario LCY'!F34</f>
        <v>-192857.14285714287</v>
      </c>
      <c r="L36" s="185">
        <f>'Alt. scenario LCY'!G34</f>
        <v>-257142.85714285713</v>
      </c>
      <c r="M36" s="230">
        <f>'Alt. scenario LCY'!H34</f>
        <v>-658928.57142857148</v>
      </c>
      <c r="N36" s="185">
        <f>'Key financial and ops fig.s LCY'!I34</f>
        <v>-316071.42857142858</v>
      </c>
      <c r="O36" s="185">
        <f>'Key financial and ops fig.s LCY'!J34</f>
        <v>-375000</v>
      </c>
      <c r="P36" s="185">
        <f>'Key financial and ops fig.s LCY'!K34</f>
        <v>-428571.42857142858</v>
      </c>
      <c r="Q36" s="185">
        <f>'Key financial and ops fig.s LCY'!L34</f>
        <v>-482142.85714285716</v>
      </c>
      <c r="R36" s="213">
        <f>'Key financial and ops fig.s LCY'!M34</f>
        <v>-1601785.7142857146</v>
      </c>
      <c r="S36" s="185">
        <f>'Alt. scenario LCY'!I34</f>
        <v>-316071.42857142858</v>
      </c>
      <c r="T36" s="185">
        <f>'Alt. scenario LCY'!J34</f>
        <v>-375000</v>
      </c>
      <c r="U36" s="185">
        <f>'Alt. scenario LCY'!K34</f>
        <v>-428571.42857142858</v>
      </c>
      <c r="V36" s="185">
        <f>'Alt. scenario LCY'!L34</f>
        <v>-482142.85714285716</v>
      </c>
      <c r="W36" s="230">
        <f>'Alt. scenario LCY'!M34</f>
        <v>-1601785.7142857146</v>
      </c>
      <c r="X36" s="185">
        <f>'Key financial and ops fig.s LCY'!N34</f>
        <v>-541071.42857142852</v>
      </c>
      <c r="Y36" s="185">
        <f>'Key financial and ops fig.s LCY'!O34</f>
        <v>-594642.85714285716</v>
      </c>
      <c r="Z36" s="185">
        <f>'Key financial and ops fig.s LCY'!P34</f>
        <v>-653571.42857142852</v>
      </c>
      <c r="AA36" s="185">
        <f>'Key financial and ops fig.s LCY'!Q34</f>
        <v>-707142.85714285716</v>
      </c>
      <c r="AB36" s="213">
        <f>'Key financial and ops fig.s LCY'!R34</f>
        <v>-2496428.5714285714</v>
      </c>
      <c r="AC36" s="185">
        <f>'Alt. scenario LCY'!N34</f>
        <v>-541071.42857142852</v>
      </c>
      <c r="AD36" s="185">
        <f>'Alt. scenario LCY'!O34</f>
        <v>-594642.85714285716</v>
      </c>
      <c r="AE36" s="185">
        <f>'Alt. scenario LCY'!P34</f>
        <v>-653571.42857142852</v>
      </c>
      <c r="AF36" s="185">
        <f>'Alt. scenario LCY'!Q34</f>
        <v>-707142.85714285716</v>
      </c>
      <c r="AG36" s="230">
        <f>'Alt. scenario LCY'!R34</f>
        <v>-2496428.5714285714</v>
      </c>
      <c r="AH36" s="185">
        <f>'Key financial and ops fig.s LCY'!S34</f>
        <v>-755357.14285714284</v>
      </c>
      <c r="AI36" s="185">
        <f>'Key financial and ops fig.s LCY'!T34</f>
        <v>-808928.57142857148</v>
      </c>
      <c r="AJ36" s="185">
        <f>'Key financial and ops fig.s LCY'!U34</f>
        <v>-862500</v>
      </c>
      <c r="AK36" s="185">
        <f>'Key financial and ops fig.s LCY'!V34</f>
        <v>-916071.42857142852</v>
      </c>
      <c r="AL36" s="213">
        <f>'Key financial and ops fig.s LCY'!W34</f>
        <v>-3342857.1428571432</v>
      </c>
      <c r="AM36" s="185">
        <f>'Alt. scenario LCY'!S34</f>
        <v>-755357.14285714284</v>
      </c>
      <c r="AN36" s="185">
        <f>'Alt. scenario LCY'!T34</f>
        <v>-808928.57142857148</v>
      </c>
      <c r="AO36" s="185">
        <f>'Alt. scenario LCY'!U34</f>
        <v>-862500</v>
      </c>
      <c r="AP36" s="185">
        <f>'Alt. scenario LCY'!V34</f>
        <v>-916071.42857142852</v>
      </c>
      <c r="AQ36" s="230">
        <f>'Alt. scenario LCY'!W34</f>
        <v>-3342857.1428571432</v>
      </c>
      <c r="AR36" s="185">
        <f>'Key financial and ops fig.s LCY'!X34</f>
        <v>-964285.71428571432</v>
      </c>
      <c r="AS36" s="185">
        <f>'Key financial and ops fig.s LCY'!Y34</f>
        <v>-1007142.8571428572</v>
      </c>
      <c r="AT36" s="185">
        <f>'Key financial and ops fig.s LCY'!Z34</f>
        <v>-1055357.142857143</v>
      </c>
      <c r="AU36" s="185">
        <f>'Key financial and ops fig.s LCY'!AA34</f>
        <v>-1108928.5714285714</v>
      </c>
      <c r="AV36" s="213">
        <f>'Key financial and ops fig.s LCY'!AB34</f>
        <v>-4135714.2857142859</v>
      </c>
      <c r="AW36" s="185">
        <f>'Alt. scenario LCY'!X34</f>
        <v>-964285.71428571432</v>
      </c>
      <c r="AX36" s="185">
        <f>'Alt. scenario LCY'!Y34</f>
        <v>-1007142.8571428572</v>
      </c>
      <c r="AY36" s="185">
        <f>'Alt. scenario LCY'!Z34</f>
        <v>-1055357.142857143</v>
      </c>
      <c r="AZ36" s="185">
        <f>'Alt. scenario LCY'!AA34</f>
        <v>-1108928.5714285714</v>
      </c>
      <c r="BA36" s="230">
        <f>'Alt. scenario LCY'!AB34</f>
        <v>-4135714.2857142859</v>
      </c>
      <c r="BB36" s="185">
        <f>'Key financial and ops fig.s LCY'!AC34</f>
        <v>-1103571.4285714286</v>
      </c>
      <c r="BC36" s="185">
        <f>'Key financial and ops fig.s LCY'!AD34</f>
        <v>-1082142.857142857</v>
      </c>
      <c r="BD36" s="185">
        <f>'Key financial and ops fig.s LCY'!AE34</f>
        <v>-1076785.7142857143</v>
      </c>
      <c r="BE36" s="185">
        <f>'Key financial and ops fig.s LCY'!AF34</f>
        <v>-1076785.7142857143</v>
      </c>
      <c r="BF36" s="213">
        <f>'Key financial and ops fig.s LCY'!AG34</f>
        <v>-4339285.7142857146</v>
      </c>
      <c r="BG36" s="185">
        <f>'Alt. scenario LCY'!AC34</f>
        <v>-1103571.4285714286</v>
      </c>
      <c r="BH36" s="185">
        <f>'Alt. scenario LCY'!AD34</f>
        <v>-1082142.857142857</v>
      </c>
      <c r="BI36" s="185">
        <f>'Alt. scenario LCY'!AE34</f>
        <v>-1076785.7142857143</v>
      </c>
      <c r="BJ36" s="185">
        <f>'Alt. scenario LCY'!AF34</f>
        <v>-1076785.7142857143</v>
      </c>
      <c r="BK36" s="230">
        <f>'Alt. scenario LCY'!AG34</f>
        <v>-4339285.7142857146</v>
      </c>
      <c r="BL36" s="63">
        <f>'Key financial and ops fig.s LCY'!AH34</f>
        <v>-1060714.2857142857</v>
      </c>
      <c r="BM36" s="64">
        <f>'Key financial and ops fig.s LCY'!AI34</f>
        <v>-1055357.142857143</v>
      </c>
      <c r="BN36" s="64">
        <f>'Key financial and ops fig.s LCY'!AJ34</f>
        <v>-1055357.142857143</v>
      </c>
      <c r="BO36" s="108">
        <f>'Key financial and ops fig.s LCY'!AK34</f>
        <v>-1044642.8571428572</v>
      </c>
      <c r="BP36" s="213">
        <f>'Key financial and ops fig.s LCY'!AL34</f>
        <v>-4216071.4285714291</v>
      </c>
      <c r="BQ36" s="185">
        <f>'Alt. scenario LCY'!AH34</f>
        <v>-1060714.2857142857</v>
      </c>
      <c r="BR36" s="185">
        <f>'Alt. scenario LCY'!AI34</f>
        <v>-1055357.142857143</v>
      </c>
      <c r="BS36" s="185">
        <f>'Alt. scenario LCY'!AJ34</f>
        <v>-1055357.142857143</v>
      </c>
      <c r="BT36" s="185">
        <f>'Alt. scenario LCY'!AK34</f>
        <v>-1044642.8571428572</v>
      </c>
      <c r="BU36" s="230">
        <f>'Alt. scenario LCY'!AL34</f>
        <v>-4216071.4285714291</v>
      </c>
    </row>
    <row r="37" spans="1:73" ht="17.100000000000001" hidden="1" outlineLevel="2" thickBot="1">
      <c r="A37" s="31"/>
      <c r="C37" s="32" t="s">
        <v>276</v>
      </c>
      <c r="D37" s="185">
        <f>'Key financial and ops fig.s LCY'!D35</f>
        <v>-714285.71428571432</v>
      </c>
      <c r="E37" s="185">
        <f>'Key financial and ops fig.s LCY'!E35</f>
        <v>-1071428.5714285714</v>
      </c>
      <c r="F37" s="185">
        <f>'Key financial and ops fig.s LCY'!F35</f>
        <v>-1428571.4285714286</v>
      </c>
      <c r="G37" s="185">
        <f>'Key financial and ops fig.s LCY'!G35</f>
        <v>-1785714.2857142857</v>
      </c>
      <c r="H37" s="213">
        <f>'Key financial and ops fig.s LCY'!H35</f>
        <v>-5000000</v>
      </c>
      <c r="I37" s="185">
        <f>'Alt. scenario LCY'!D35</f>
        <v>-714285.71428571432</v>
      </c>
      <c r="J37" s="185">
        <f>'Alt. scenario LCY'!E35</f>
        <v>-1071428.5714285714</v>
      </c>
      <c r="K37" s="185">
        <f>'Alt. scenario LCY'!F35</f>
        <v>-1428571.4285714286</v>
      </c>
      <c r="L37" s="185">
        <f>'Alt. scenario LCY'!G35</f>
        <v>-1785714.2857142857</v>
      </c>
      <c r="M37" s="230">
        <f>'Alt. scenario LCY'!H35</f>
        <v>-5000000</v>
      </c>
      <c r="N37" s="185">
        <f>'Key financial and ops fig.s LCY'!I35</f>
        <v>-2142857.1428571427</v>
      </c>
      <c r="O37" s="185">
        <f>'Key financial and ops fig.s LCY'!J35</f>
        <v>-2500000</v>
      </c>
      <c r="P37" s="185">
        <f>'Key financial and ops fig.s LCY'!K35</f>
        <v>-2857142.8571428573</v>
      </c>
      <c r="Q37" s="185">
        <f>'Key financial and ops fig.s LCY'!L35</f>
        <v>-3214285.7142857141</v>
      </c>
      <c r="R37" s="213">
        <f>'Key financial and ops fig.s LCY'!M35</f>
        <v>-10714285.714285715</v>
      </c>
      <c r="S37" s="185">
        <f>'Alt. scenario LCY'!I35</f>
        <v>-2142857.1428571427</v>
      </c>
      <c r="T37" s="185">
        <f>'Alt. scenario LCY'!J35</f>
        <v>-2500000</v>
      </c>
      <c r="U37" s="185">
        <f>'Alt. scenario LCY'!K35</f>
        <v>-2857142.8571428573</v>
      </c>
      <c r="V37" s="185">
        <f>'Alt. scenario LCY'!L35</f>
        <v>-3214285.7142857141</v>
      </c>
      <c r="W37" s="230">
        <f>'Alt. scenario LCY'!M35</f>
        <v>-10714285.714285715</v>
      </c>
      <c r="X37" s="185">
        <f>'Key financial and ops fig.s LCY'!N35</f>
        <v>-3571428.5714285714</v>
      </c>
      <c r="Y37" s="185">
        <f>'Key financial and ops fig.s LCY'!O35</f>
        <v>-3928571.4285714286</v>
      </c>
      <c r="Z37" s="185">
        <f>'Key financial and ops fig.s LCY'!P35</f>
        <v>-4285714.2857142854</v>
      </c>
      <c r="AA37" s="185">
        <f>'Key financial and ops fig.s LCY'!Q35</f>
        <v>-4642857.1428571427</v>
      </c>
      <c r="AB37" s="213">
        <f>'Key financial and ops fig.s LCY'!R35</f>
        <v>-16428571.428571429</v>
      </c>
      <c r="AC37" s="185">
        <f>'Alt. scenario LCY'!N35</f>
        <v>-3571428.5714285714</v>
      </c>
      <c r="AD37" s="185">
        <f>'Alt. scenario LCY'!O35</f>
        <v>-3928571.4285714286</v>
      </c>
      <c r="AE37" s="185">
        <f>'Alt. scenario LCY'!P35</f>
        <v>-4285714.2857142854</v>
      </c>
      <c r="AF37" s="185">
        <f>'Alt. scenario LCY'!Q35</f>
        <v>-4642857.1428571427</v>
      </c>
      <c r="AG37" s="230">
        <f>'Alt. scenario LCY'!R35</f>
        <v>-16428571.428571429</v>
      </c>
      <c r="AH37" s="185">
        <f>'Key financial and ops fig.s LCY'!S35</f>
        <v>-5000000</v>
      </c>
      <c r="AI37" s="185">
        <f>'Key financial and ops fig.s LCY'!T35</f>
        <v>-5357142.8571428573</v>
      </c>
      <c r="AJ37" s="185">
        <f>'Key financial and ops fig.s LCY'!U35</f>
        <v>-5714285.7142857146</v>
      </c>
      <c r="AK37" s="185">
        <f>'Key financial and ops fig.s LCY'!V35</f>
        <v>-6071428.5714285718</v>
      </c>
      <c r="AL37" s="213">
        <f>'Key financial and ops fig.s LCY'!W35</f>
        <v>-22142857.142857146</v>
      </c>
      <c r="AM37" s="185">
        <f>'Alt. scenario LCY'!S35</f>
        <v>-5000000</v>
      </c>
      <c r="AN37" s="185">
        <f>'Alt. scenario LCY'!T35</f>
        <v>-5357142.8571428573</v>
      </c>
      <c r="AO37" s="185">
        <f>'Alt. scenario LCY'!U35</f>
        <v>-5714285.7142857146</v>
      </c>
      <c r="AP37" s="185">
        <f>'Alt. scenario LCY'!V35</f>
        <v>-6071428.5714285718</v>
      </c>
      <c r="AQ37" s="230">
        <f>'Alt. scenario LCY'!W35</f>
        <v>-22142857.142857146</v>
      </c>
      <c r="AR37" s="185">
        <f>'Key financial and ops fig.s LCY'!X35</f>
        <v>-6428571.4285714282</v>
      </c>
      <c r="AS37" s="185">
        <f>'Key financial and ops fig.s LCY'!Y35</f>
        <v>-6785714.2857142854</v>
      </c>
      <c r="AT37" s="185">
        <f>'Key financial and ops fig.s LCY'!Z35</f>
        <v>-7142857.1428571427</v>
      </c>
      <c r="AU37" s="185">
        <f>'Key financial and ops fig.s LCY'!AA35</f>
        <v>-7500000</v>
      </c>
      <c r="AV37" s="213">
        <f>'Key financial and ops fig.s LCY'!AB35</f>
        <v>-27857142.857142854</v>
      </c>
      <c r="AW37" s="185">
        <f>'Alt. scenario LCY'!X35</f>
        <v>-6428571.4285714282</v>
      </c>
      <c r="AX37" s="185">
        <f>'Alt. scenario LCY'!Y35</f>
        <v>-6785714.2857142854</v>
      </c>
      <c r="AY37" s="185">
        <f>'Alt. scenario LCY'!Z35</f>
        <v>-7142857.1428571427</v>
      </c>
      <c r="AZ37" s="185">
        <f>'Alt. scenario LCY'!AA35</f>
        <v>-7500000</v>
      </c>
      <c r="BA37" s="230">
        <f>'Alt. scenario LCY'!AB35</f>
        <v>-27857142.857142854</v>
      </c>
      <c r="BB37" s="185">
        <f>'Key financial and ops fig.s LCY'!AC35</f>
        <v>-7500000</v>
      </c>
      <c r="BC37" s="185">
        <f>'Key financial and ops fig.s LCY'!AD35</f>
        <v>-7142857.1428571427</v>
      </c>
      <c r="BD37" s="185">
        <f>'Key financial and ops fig.s LCY'!AE35</f>
        <v>-7142857.1428571427</v>
      </c>
      <c r="BE37" s="185">
        <f>'Key financial and ops fig.s LCY'!AF35</f>
        <v>-7142857.1428571427</v>
      </c>
      <c r="BF37" s="213">
        <f>'Key financial and ops fig.s LCY'!AG35</f>
        <v>-28928571.428571425</v>
      </c>
      <c r="BG37" s="185">
        <f>'Alt. scenario LCY'!AC35</f>
        <v>-7500000</v>
      </c>
      <c r="BH37" s="185">
        <f>'Alt. scenario LCY'!AD35</f>
        <v>-7142857.1428571427</v>
      </c>
      <c r="BI37" s="185">
        <f>'Alt. scenario LCY'!AE35</f>
        <v>-7142857.1428571427</v>
      </c>
      <c r="BJ37" s="185">
        <f>'Alt. scenario LCY'!AF35</f>
        <v>-7142857.1428571427</v>
      </c>
      <c r="BK37" s="230">
        <f>'Alt. scenario LCY'!AG35</f>
        <v>-28928571.428571425</v>
      </c>
      <c r="BL37" s="63">
        <f>'Key financial and ops fig.s LCY'!AH35</f>
        <v>-7142857.1428571427</v>
      </c>
      <c r="BM37" s="64">
        <f>'Key financial and ops fig.s LCY'!AI35</f>
        <v>-7142857.1428571427</v>
      </c>
      <c r="BN37" s="64">
        <f>'Key financial and ops fig.s LCY'!AJ35</f>
        <v>-7142857.1428571427</v>
      </c>
      <c r="BO37" s="108">
        <f>'Key financial and ops fig.s LCY'!AK35</f>
        <v>-7142857.1428571427</v>
      </c>
      <c r="BP37" s="213">
        <f>'Key financial and ops fig.s LCY'!AL35</f>
        <v>-28571428.571428571</v>
      </c>
      <c r="BQ37" s="185">
        <f>'Alt. scenario LCY'!AH35</f>
        <v>-7142857.1428571427</v>
      </c>
      <c r="BR37" s="185">
        <f>'Alt. scenario LCY'!AI35</f>
        <v>-7142857.1428571427</v>
      </c>
      <c r="BS37" s="185">
        <f>'Alt. scenario LCY'!AJ35</f>
        <v>-7142857.1428571427</v>
      </c>
      <c r="BT37" s="185">
        <f>'Alt. scenario LCY'!AK35</f>
        <v>-7142857.1428571427</v>
      </c>
      <c r="BU37" s="230">
        <f>'Alt. scenario LCY'!AL35</f>
        <v>-28571428.571428571</v>
      </c>
    </row>
    <row r="38" spans="1:73" ht="17.100000000000001" hidden="1" outlineLevel="2" thickBot="1">
      <c r="A38" s="31"/>
      <c r="C38" s="32" t="s">
        <v>277</v>
      </c>
      <c r="D38" s="185">
        <f>'Key financial and ops fig.s LCY'!D36</f>
        <v>-8928571.4285714291</v>
      </c>
      <c r="E38" s="185">
        <f>'Key financial and ops fig.s LCY'!E36</f>
        <v>-8928571.4285714291</v>
      </c>
      <c r="F38" s="185">
        <f>'Key financial and ops fig.s LCY'!F36</f>
        <v>-8928571.4285714291</v>
      </c>
      <c r="G38" s="185">
        <f>'Key financial and ops fig.s LCY'!G36</f>
        <v>-8928571.4285714291</v>
      </c>
      <c r="H38" s="213">
        <f>'Key financial and ops fig.s LCY'!H36</f>
        <v>-35714285.714285716</v>
      </c>
      <c r="I38" s="185">
        <f>'Alt. scenario LCY'!D36</f>
        <v>-8928571.4285714291</v>
      </c>
      <c r="J38" s="185">
        <f>'Alt. scenario LCY'!E36</f>
        <v>-8928571.4285714291</v>
      </c>
      <c r="K38" s="185">
        <f>'Alt. scenario LCY'!F36</f>
        <v>-8928571.4285714291</v>
      </c>
      <c r="L38" s="185">
        <f>'Alt. scenario LCY'!G36</f>
        <v>-8928571.4285714291</v>
      </c>
      <c r="M38" s="230">
        <f>'Alt. scenario LCY'!H36</f>
        <v>-35714285.714285716</v>
      </c>
      <c r="N38" s="185">
        <f>'Key financial and ops fig.s LCY'!I36</f>
        <v>-8928571.4285714291</v>
      </c>
      <c r="O38" s="185">
        <f>'Key financial and ops fig.s LCY'!J36</f>
        <v>-8928571.4285714291</v>
      </c>
      <c r="P38" s="185">
        <f>'Key financial and ops fig.s LCY'!K36</f>
        <v>-8928571.4285714291</v>
      </c>
      <c r="Q38" s="185">
        <f>'Key financial and ops fig.s LCY'!L36</f>
        <v>-8928571.4285714291</v>
      </c>
      <c r="R38" s="213">
        <f>'Key financial and ops fig.s LCY'!M36</f>
        <v>-35714285.714285716</v>
      </c>
      <c r="S38" s="185">
        <f>'Alt. scenario LCY'!I36</f>
        <v>-8928571.4285714291</v>
      </c>
      <c r="T38" s="185">
        <f>'Alt. scenario LCY'!J36</f>
        <v>-8928571.4285714291</v>
      </c>
      <c r="U38" s="185">
        <f>'Alt. scenario LCY'!K36</f>
        <v>-8928571.4285714291</v>
      </c>
      <c r="V38" s="185">
        <f>'Alt. scenario LCY'!L36</f>
        <v>-8928571.4285714291</v>
      </c>
      <c r="W38" s="230">
        <f>'Alt. scenario LCY'!M36</f>
        <v>-35714285.714285716</v>
      </c>
      <c r="X38" s="185">
        <f>'Key financial and ops fig.s LCY'!N36</f>
        <v>-8928571.4285714291</v>
      </c>
      <c r="Y38" s="185">
        <f>'Key financial and ops fig.s LCY'!O36</f>
        <v>-8928571.4285714291</v>
      </c>
      <c r="Z38" s="185">
        <f>'Key financial and ops fig.s LCY'!P36</f>
        <v>-8928571.4285714291</v>
      </c>
      <c r="AA38" s="185">
        <f>'Key financial and ops fig.s LCY'!Q36</f>
        <v>-8928571.4285714291</v>
      </c>
      <c r="AB38" s="213">
        <f>'Key financial and ops fig.s LCY'!R36</f>
        <v>-35714285.714285716</v>
      </c>
      <c r="AC38" s="185">
        <f>'Alt. scenario LCY'!N36</f>
        <v>-8928571.4285714291</v>
      </c>
      <c r="AD38" s="185">
        <f>'Alt. scenario LCY'!O36</f>
        <v>-8928571.4285714291</v>
      </c>
      <c r="AE38" s="185">
        <f>'Alt. scenario LCY'!P36</f>
        <v>-8928571.4285714291</v>
      </c>
      <c r="AF38" s="185">
        <f>'Alt. scenario LCY'!Q36</f>
        <v>-8928571.4285714291</v>
      </c>
      <c r="AG38" s="230">
        <f>'Alt. scenario LCY'!R36</f>
        <v>-35714285.714285716</v>
      </c>
      <c r="AH38" s="185">
        <f>'Key financial and ops fig.s LCY'!S36</f>
        <v>-8928571.4285714291</v>
      </c>
      <c r="AI38" s="185">
        <f>'Key financial and ops fig.s LCY'!T36</f>
        <v>-8928571.4285714291</v>
      </c>
      <c r="AJ38" s="185">
        <f>'Key financial and ops fig.s LCY'!U36</f>
        <v>-8928571.4285714291</v>
      </c>
      <c r="AK38" s="185">
        <f>'Key financial and ops fig.s LCY'!V36</f>
        <v>-8928571.4285714291</v>
      </c>
      <c r="AL38" s="213">
        <f>'Key financial and ops fig.s LCY'!W36</f>
        <v>-35714285.714285716</v>
      </c>
      <c r="AM38" s="185">
        <f>'Alt. scenario LCY'!S36</f>
        <v>-8928571.4285714291</v>
      </c>
      <c r="AN38" s="185">
        <f>'Alt. scenario LCY'!T36</f>
        <v>-8928571.4285714291</v>
      </c>
      <c r="AO38" s="185">
        <f>'Alt. scenario LCY'!U36</f>
        <v>-8928571.4285714291</v>
      </c>
      <c r="AP38" s="185">
        <f>'Alt. scenario LCY'!V36</f>
        <v>-8928571.4285714291</v>
      </c>
      <c r="AQ38" s="230">
        <f>'Alt. scenario LCY'!W36</f>
        <v>-35714285.714285716</v>
      </c>
      <c r="AR38" s="185">
        <f>'Key financial and ops fig.s LCY'!X36</f>
        <v>-8928571.4285714291</v>
      </c>
      <c r="AS38" s="185">
        <f>'Key financial and ops fig.s LCY'!Y36</f>
        <v>-8928571.4285714291</v>
      </c>
      <c r="AT38" s="185">
        <f>'Key financial and ops fig.s LCY'!Z36</f>
        <v>-8928571.4285714291</v>
      </c>
      <c r="AU38" s="185">
        <f>'Key financial and ops fig.s LCY'!AA36</f>
        <v>-8928571.4285714291</v>
      </c>
      <c r="AV38" s="213">
        <f>'Key financial and ops fig.s LCY'!AB36</f>
        <v>-35714285.714285716</v>
      </c>
      <c r="AW38" s="185">
        <f>'Alt. scenario LCY'!X36</f>
        <v>-8928571.4285714291</v>
      </c>
      <c r="AX38" s="185">
        <f>'Alt. scenario LCY'!Y36</f>
        <v>-8928571.4285714291</v>
      </c>
      <c r="AY38" s="185">
        <f>'Alt. scenario LCY'!Z36</f>
        <v>-8928571.4285714291</v>
      </c>
      <c r="AZ38" s="185">
        <f>'Alt. scenario LCY'!AA36</f>
        <v>-8928571.4285714291</v>
      </c>
      <c r="BA38" s="230">
        <f>'Alt. scenario LCY'!AB36</f>
        <v>-35714285.714285716</v>
      </c>
      <c r="BB38" s="185">
        <f>'Key financial and ops fig.s LCY'!AC36</f>
        <v>-8928571.4285714291</v>
      </c>
      <c r="BC38" s="185">
        <f>'Key financial and ops fig.s LCY'!AD36</f>
        <v>-8928571.4285714291</v>
      </c>
      <c r="BD38" s="185">
        <f>'Key financial and ops fig.s LCY'!AE36</f>
        <v>-8928571.4285714291</v>
      </c>
      <c r="BE38" s="185">
        <f>'Key financial and ops fig.s LCY'!AF36</f>
        <v>-8928571.4285714291</v>
      </c>
      <c r="BF38" s="213">
        <f>'Key financial and ops fig.s LCY'!AG36</f>
        <v>-35714285.714285716</v>
      </c>
      <c r="BG38" s="185">
        <f>'Alt. scenario LCY'!AC36</f>
        <v>-8928571.4285714291</v>
      </c>
      <c r="BH38" s="185">
        <f>'Alt. scenario LCY'!AD36</f>
        <v>-8928571.4285714291</v>
      </c>
      <c r="BI38" s="185">
        <f>'Alt. scenario LCY'!AE36</f>
        <v>-8928571.4285714291</v>
      </c>
      <c r="BJ38" s="185">
        <f>'Alt. scenario LCY'!AF36</f>
        <v>-8928571.4285714291</v>
      </c>
      <c r="BK38" s="230">
        <f>'Alt. scenario LCY'!AG36</f>
        <v>-35714285.714285716</v>
      </c>
      <c r="BL38" s="63">
        <f>'Key financial and ops fig.s LCY'!AH36</f>
        <v>-8928571.4285714291</v>
      </c>
      <c r="BM38" s="64">
        <f>'Key financial and ops fig.s LCY'!AI36</f>
        <v>-8928571.4285714291</v>
      </c>
      <c r="BN38" s="64">
        <f>'Key financial and ops fig.s LCY'!AJ36</f>
        <v>-8928571.4285714291</v>
      </c>
      <c r="BO38" s="108">
        <f>'Key financial and ops fig.s LCY'!AK36</f>
        <v>-8928571.4285714291</v>
      </c>
      <c r="BP38" s="213">
        <f>'Key financial and ops fig.s LCY'!AL36</f>
        <v>-35714285.714285716</v>
      </c>
      <c r="BQ38" s="185">
        <f>'Alt. scenario LCY'!AH36</f>
        <v>-8928571.4285714291</v>
      </c>
      <c r="BR38" s="185">
        <f>'Alt. scenario LCY'!AI36</f>
        <v>-8928571.4285714291</v>
      </c>
      <c r="BS38" s="185">
        <f>'Alt. scenario LCY'!AJ36</f>
        <v>-8928571.4285714291</v>
      </c>
      <c r="BT38" s="185">
        <f>'Alt. scenario LCY'!AK36</f>
        <v>-8928571.4285714291</v>
      </c>
      <c r="BU38" s="230">
        <f>'Alt. scenario LCY'!AL36</f>
        <v>-35714285.714285716</v>
      </c>
    </row>
    <row r="39" spans="1:73" ht="17.100000000000001" hidden="1" outlineLevel="1" thickBot="1">
      <c r="A39" s="31"/>
      <c r="B39" s="34" t="s">
        <v>278</v>
      </c>
      <c r="C39" s="34"/>
      <c r="D39" s="186">
        <f>'Key financial and ops fig.s LCY'!D37</f>
        <v>-9717857.1428571437</v>
      </c>
      <c r="E39" s="186">
        <f>'Key financial and ops fig.s LCY'!E37</f>
        <v>-10133928.571428571</v>
      </c>
      <c r="F39" s="186">
        <f>'Key financial and ops fig.s LCY'!F37</f>
        <v>-10550000</v>
      </c>
      <c r="G39" s="186">
        <f>'Key financial and ops fig.s LCY'!G37</f>
        <v>-10971428.571428571</v>
      </c>
      <c r="H39" s="214">
        <f>'Key financial and ops fig.s LCY'!H37</f>
        <v>-41373214.285714284</v>
      </c>
      <c r="I39" s="186">
        <f>'Alt. scenario LCY'!D37</f>
        <v>-9717857.1428571437</v>
      </c>
      <c r="J39" s="186">
        <f>'Alt. scenario LCY'!E37</f>
        <v>-10133928.571428571</v>
      </c>
      <c r="K39" s="186">
        <f>'Alt. scenario LCY'!F37</f>
        <v>-10550000</v>
      </c>
      <c r="L39" s="186">
        <f>'Alt. scenario LCY'!G37</f>
        <v>-10971428.571428571</v>
      </c>
      <c r="M39" s="231">
        <f>'Alt. scenario LCY'!H37</f>
        <v>-41373214.285714284</v>
      </c>
      <c r="N39" s="186">
        <f>'Key financial and ops fig.s LCY'!I37</f>
        <v>-11387500</v>
      </c>
      <c r="O39" s="186">
        <f>'Key financial and ops fig.s LCY'!J37</f>
        <v>-11803571.428571429</v>
      </c>
      <c r="P39" s="186">
        <f>'Key financial and ops fig.s LCY'!K37</f>
        <v>-12214285.714285715</v>
      </c>
      <c r="Q39" s="186">
        <f>'Key financial and ops fig.s LCY'!L37</f>
        <v>-12625000</v>
      </c>
      <c r="R39" s="214">
        <f>'Key financial and ops fig.s LCY'!M37</f>
        <v>-48030357.142857142</v>
      </c>
      <c r="S39" s="186">
        <f>'Alt. scenario LCY'!I37</f>
        <v>-11387500</v>
      </c>
      <c r="T39" s="186">
        <f>'Alt. scenario LCY'!J37</f>
        <v>-11803571.428571429</v>
      </c>
      <c r="U39" s="186">
        <f>'Alt. scenario LCY'!K37</f>
        <v>-12214285.714285715</v>
      </c>
      <c r="V39" s="186">
        <f>'Alt. scenario LCY'!L37</f>
        <v>-12625000</v>
      </c>
      <c r="W39" s="231">
        <f>'Alt. scenario LCY'!M37</f>
        <v>-48030357.142857142</v>
      </c>
      <c r="X39" s="186">
        <f>'Key financial and ops fig.s LCY'!N37</f>
        <v>-13041071.428571429</v>
      </c>
      <c r="Y39" s="186">
        <f>'Key financial and ops fig.s LCY'!O37</f>
        <v>-13451785.714285715</v>
      </c>
      <c r="Z39" s="186">
        <f>'Key financial and ops fig.s LCY'!P37</f>
        <v>-13867857.142857142</v>
      </c>
      <c r="AA39" s="186">
        <f>'Key financial and ops fig.s LCY'!Q37</f>
        <v>-14278571.428571429</v>
      </c>
      <c r="AB39" s="214">
        <f>'Key financial and ops fig.s LCY'!R37</f>
        <v>-54639285.714285716</v>
      </c>
      <c r="AC39" s="186">
        <f>'Alt. scenario LCY'!N37</f>
        <v>-13041071.428571429</v>
      </c>
      <c r="AD39" s="186">
        <f>'Alt. scenario LCY'!O37</f>
        <v>-13451785.714285715</v>
      </c>
      <c r="AE39" s="186">
        <f>'Alt. scenario LCY'!P37</f>
        <v>-13867857.142857142</v>
      </c>
      <c r="AF39" s="186">
        <f>'Alt. scenario LCY'!Q37</f>
        <v>-14278571.428571429</v>
      </c>
      <c r="AG39" s="231">
        <f>'Alt. scenario LCY'!R37</f>
        <v>-54639285.714285716</v>
      </c>
      <c r="AH39" s="186">
        <f>'Key financial and ops fig.s LCY'!S37</f>
        <v>-14683928.571428571</v>
      </c>
      <c r="AI39" s="186">
        <f>'Key financial and ops fig.s LCY'!T37</f>
        <v>-15094642.857142858</v>
      </c>
      <c r="AJ39" s="186">
        <f>'Key financial and ops fig.s LCY'!U37</f>
        <v>-15505357.142857144</v>
      </c>
      <c r="AK39" s="186">
        <f>'Key financial and ops fig.s LCY'!V37</f>
        <v>-15916071.428571429</v>
      </c>
      <c r="AL39" s="214">
        <f>'Key financial and ops fig.s LCY'!W37</f>
        <v>-61200000</v>
      </c>
      <c r="AM39" s="186">
        <f>'Alt. scenario LCY'!S37</f>
        <v>-14683928.571428571</v>
      </c>
      <c r="AN39" s="186">
        <f>'Alt. scenario LCY'!T37</f>
        <v>-15094642.857142858</v>
      </c>
      <c r="AO39" s="186">
        <f>'Alt. scenario LCY'!U37</f>
        <v>-15505357.142857144</v>
      </c>
      <c r="AP39" s="186">
        <f>'Alt. scenario LCY'!V37</f>
        <v>-15916071.428571429</v>
      </c>
      <c r="AQ39" s="231">
        <f>'Alt. scenario LCY'!W37</f>
        <v>-61200000</v>
      </c>
      <c r="AR39" s="186">
        <f>'Key financial and ops fig.s LCY'!X37</f>
        <v>-16321428.571428571</v>
      </c>
      <c r="AS39" s="186">
        <f>'Key financial and ops fig.s LCY'!Y37</f>
        <v>-16721428.571428571</v>
      </c>
      <c r="AT39" s="186">
        <f>'Key financial and ops fig.s LCY'!Z37</f>
        <v>-17126785.714285716</v>
      </c>
      <c r="AU39" s="186">
        <f>'Key financial and ops fig.s LCY'!AA37</f>
        <v>-17537500</v>
      </c>
      <c r="AV39" s="214">
        <f>'Key financial and ops fig.s LCY'!AB37</f>
        <v>-67707142.857142866</v>
      </c>
      <c r="AW39" s="186">
        <f>'Alt. scenario LCY'!X37</f>
        <v>-16321428.571428571</v>
      </c>
      <c r="AX39" s="186">
        <f>'Alt. scenario LCY'!Y37</f>
        <v>-16721428.571428571</v>
      </c>
      <c r="AY39" s="186">
        <f>'Alt. scenario LCY'!Z37</f>
        <v>-17126785.714285716</v>
      </c>
      <c r="AZ39" s="186">
        <f>'Alt. scenario LCY'!AA37</f>
        <v>-17537500</v>
      </c>
      <c r="BA39" s="231">
        <f>'Alt. scenario LCY'!AB37</f>
        <v>-67707142.857142866</v>
      </c>
      <c r="BB39" s="186">
        <f>'Key financial and ops fig.s LCY'!AC37</f>
        <v>-17532142.857142858</v>
      </c>
      <c r="BC39" s="186">
        <f>'Key financial and ops fig.s LCY'!AD37</f>
        <v>-17153571.428571429</v>
      </c>
      <c r="BD39" s="186">
        <f>'Key financial and ops fig.s LCY'!AE37</f>
        <v>-17148214.285714287</v>
      </c>
      <c r="BE39" s="186">
        <f>'Key financial and ops fig.s LCY'!AF37</f>
        <v>-17148214.285714287</v>
      </c>
      <c r="BF39" s="214">
        <f>'Key financial and ops fig.s LCY'!AG37</f>
        <v>-68982142.857142851</v>
      </c>
      <c r="BG39" s="186">
        <f>'Alt. scenario LCY'!AC37</f>
        <v>-17532142.857142858</v>
      </c>
      <c r="BH39" s="186">
        <f>'Alt. scenario LCY'!AD37</f>
        <v>-17153571.428571429</v>
      </c>
      <c r="BI39" s="186">
        <f>'Alt. scenario LCY'!AE37</f>
        <v>-17148214.285714287</v>
      </c>
      <c r="BJ39" s="186">
        <f>'Alt. scenario LCY'!AF37</f>
        <v>-17148214.285714287</v>
      </c>
      <c r="BK39" s="231">
        <f>'Alt. scenario LCY'!AG37</f>
        <v>-68982142.857142851</v>
      </c>
      <c r="BL39" s="65">
        <f>'Key financial and ops fig.s LCY'!AH37</f>
        <v>-17132142.857142858</v>
      </c>
      <c r="BM39" s="66">
        <f>'Key financial and ops fig.s LCY'!AI37</f>
        <v>-17126785.714285716</v>
      </c>
      <c r="BN39" s="66">
        <f>'Key financial and ops fig.s LCY'!AJ37</f>
        <v>-17126785.714285716</v>
      </c>
      <c r="BO39" s="141">
        <f>'Key financial and ops fig.s LCY'!AK37</f>
        <v>-17116071.428571429</v>
      </c>
      <c r="BP39" s="214">
        <f>'Key financial and ops fig.s LCY'!AL37</f>
        <v>-68501785.714285716</v>
      </c>
      <c r="BQ39" s="186">
        <f>'Alt. scenario LCY'!AH37</f>
        <v>-17132142.857142858</v>
      </c>
      <c r="BR39" s="186">
        <f>'Alt. scenario LCY'!AI37</f>
        <v>-17126785.714285716</v>
      </c>
      <c r="BS39" s="186">
        <f>'Alt. scenario LCY'!AJ37</f>
        <v>-17126785.714285716</v>
      </c>
      <c r="BT39" s="186">
        <f>'Alt. scenario LCY'!AK37</f>
        <v>-17116071.428571429</v>
      </c>
      <c r="BU39" s="231">
        <f>'Alt. scenario LCY'!AL37</f>
        <v>-68501785.714285716</v>
      </c>
    </row>
    <row r="40" spans="1:73" ht="17.100000000000001" hidden="1" outlineLevel="2" thickBot="1">
      <c r="A40" s="31"/>
      <c r="C40" s="32" t="s">
        <v>279</v>
      </c>
      <c r="D40" s="185">
        <f>'Key financial and ops fig.s LCY'!D38</f>
        <v>-2500000</v>
      </c>
      <c r="E40" s="185">
        <f>'Key financial and ops fig.s LCY'!E38</f>
        <v>-3750000</v>
      </c>
      <c r="F40" s="185">
        <f>'Key financial and ops fig.s LCY'!F38</f>
        <v>-5000000</v>
      </c>
      <c r="G40" s="185">
        <f>'Key financial and ops fig.s LCY'!G38</f>
        <v>-6250000</v>
      </c>
      <c r="H40" s="213">
        <f>'Key financial and ops fig.s LCY'!H38</f>
        <v>-17500000</v>
      </c>
      <c r="I40" s="185">
        <f>'Alt. scenario LCY'!D38</f>
        <v>-2500000</v>
      </c>
      <c r="J40" s="185">
        <f>'Alt. scenario LCY'!E38</f>
        <v>-3750000</v>
      </c>
      <c r="K40" s="185">
        <f>'Alt. scenario LCY'!F38</f>
        <v>-5000000</v>
      </c>
      <c r="L40" s="185">
        <f>'Alt. scenario LCY'!G38</f>
        <v>-6250000</v>
      </c>
      <c r="M40" s="230">
        <f>'Alt. scenario LCY'!H38</f>
        <v>-17500000</v>
      </c>
      <c r="N40" s="185">
        <f>'Key financial and ops fig.s LCY'!I38</f>
        <v>-7500000</v>
      </c>
      <c r="O40" s="185">
        <f>'Key financial and ops fig.s LCY'!J38</f>
        <v>-8750000</v>
      </c>
      <c r="P40" s="185">
        <f>'Key financial and ops fig.s LCY'!K38</f>
        <v>-10000000</v>
      </c>
      <c r="Q40" s="185">
        <f>'Key financial and ops fig.s LCY'!L38</f>
        <v>-11250000</v>
      </c>
      <c r="R40" s="213">
        <f>'Key financial and ops fig.s LCY'!M38</f>
        <v>-37500000</v>
      </c>
      <c r="S40" s="185">
        <f>'Alt. scenario LCY'!I38</f>
        <v>-7500000</v>
      </c>
      <c r="T40" s="185">
        <f>'Alt. scenario LCY'!J38</f>
        <v>-8750000</v>
      </c>
      <c r="U40" s="185">
        <f>'Alt. scenario LCY'!K38</f>
        <v>-10000000</v>
      </c>
      <c r="V40" s="185">
        <f>'Alt. scenario LCY'!L38</f>
        <v>-11250000</v>
      </c>
      <c r="W40" s="230">
        <f>'Alt. scenario LCY'!M38</f>
        <v>-37500000</v>
      </c>
      <c r="X40" s="185">
        <f>'Key financial and ops fig.s LCY'!N38</f>
        <v>-12500000</v>
      </c>
      <c r="Y40" s="185">
        <f>'Key financial and ops fig.s LCY'!O38</f>
        <v>-13750000</v>
      </c>
      <c r="Z40" s="185">
        <f>'Key financial and ops fig.s LCY'!P38</f>
        <v>-15000000</v>
      </c>
      <c r="AA40" s="185">
        <f>'Key financial and ops fig.s LCY'!Q38</f>
        <v>-16250000</v>
      </c>
      <c r="AB40" s="213">
        <f>'Key financial and ops fig.s LCY'!R38</f>
        <v>-57500000</v>
      </c>
      <c r="AC40" s="185">
        <f>'Alt. scenario LCY'!N38</f>
        <v>-12500000</v>
      </c>
      <c r="AD40" s="185">
        <f>'Alt. scenario LCY'!O38</f>
        <v>-13750000</v>
      </c>
      <c r="AE40" s="185">
        <f>'Alt. scenario LCY'!P38</f>
        <v>-15000000</v>
      </c>
      <c r="AF40" s="185">
        <f>'Alt. scenario LCY'!Q38</f>
        <v>-16250000</v>
      </c>
      <c r="AG40" s="230">
        <f>'Alt. scenario LCY'!R38</f>
        <v>-57500000</v>
      </c>
      <c r="AH40" s="185">
        <f>'Key financial and ops fig.s LCY'!S38</f>
        <v>-17500000</v>
      </c>
      <c r="AI40" s="185">
        <f>'Key financial and ops fig.s LCY'!T38</f>
        <v>-18750000</v>
      </c>
      <c r="AJ40" s="185">
        <f>'Key financial and ops fig.s LCY'!U38</f>
        <v>-20000000</v>
      </c>
      <c r="AK40" s="185">
        <f>'Key financial and ops fig.s LCY'!V38</f>
        <v>-21250000</v>
      </c>
      <c r="AL40" s="213">
        <f>'Key financial and ops fig.s LCY'!W38</f>
        <v>-77500000</v>
      </c>
      <c r="AM40" s="185">
        <f>'Alt. scenario LCY'!S38</f>
        <v>-17500000</v>
      </c>
      <c r="AN40" s="185">
        <f>'Alt. scenario LCY'!T38</f>
        <v>-18750000</v>
      </c>
      <c r="AO40" s="185">
        <f>'Alt. scenario LCY'!U38</f>
        <v>-20000000</v>
      </c>
      <c r="AP40" s="185">
        <f>'Alt. scenario LCY'!V38</f>
        <v>-21250000</v>
      </c>
      <c r="AQ40" s="230">
        <f>'Alt. scenario LCY'!W38</f>
        <v>-77500000</v>
      </c>
      <c r="AR40" s="185">
        <f>'Key financial and ops fig.s LCY'!X38</f>
        <v>-22500000</v>
      </c>
      <c r="AS40" s="185">
        <f>'Key financial and ops fig.s LCY'!Y38</f>
        <v>-23750000</v>
      </c>
      <c r="AT40" s="185">
        <f>'Key financial and ops fig.s LCY'!Z38</f>
        <v>-25000000</v>
      </c>
      <c r="AU40" s="185">
        <f>'Key financial and ops fig.s LCY'!AA38</f>
        <v>-26250000</v>
      </c>
      <c r="AV40" s="213">
        <f>'Key financial and ops fig.s LCY'!AB38</f>
        <v>-97500000</v>
      </c>
      <c r="AW40" s="185">
        <f>'Alt. scenario LCY'!X38</f>
        <v>-22500000</v>
      </c>
      <c r="AX40" s="185">
        <f>'Alt. scenario LCY'!Y38</f>
        <v>-23750000</v>
      </c>
      <c r="AY40" s="185">
        <f>'Alt. scenario LCY'!Z38</f>
        <v>-25000000</v>
      </c>
      <c r="AZ40" s="185">
        <f>'Alt. scenario LCY'!AA38</f>
        <v>-26250000</v>
      </c>
      <c r="BA40" s="230">
        <f>'Alt. scenario LCY'!AB38</f>
        <v>-97500000</v>
      </c>
      <c r="BB40" s="185">
        <f>'Key financial and ops fig.s LCY'!AC38</f>
        <v>-26250000</v>
      </c>
      <c r="BC40" s="185">
        <f>'Key financial and ops fig.s LCY'!AD38</f>
        <v>-25000000</v>
      </c>
      <c r="BD40" s="185">
        <f>'Key financial and ops fig.s LCY'!AE38</f>
        <v>-25000000</v>
      </c>
      <c r="BE40" s="185">
        <f>'Key financial and ops fig.s LCY'!AF38</f>
        <v>-25000000</v>
      </c>
      <c r="BF40" s="213">
        <f>'Key financial and ops fig.s LCY'!AG38</f>
        <v>-101250000</v>
      </c>
      <c r="BG40" s="185">
        <f>'Alt. scenario LCY'!AC38</f>
        <v>-26250000</v>
      </c>
      <c r="BH40" s="185">
        <f>'Alt. scenario LCY'!AD38</f>
        <v>-25000000</v>
      </c>
      <c r="BI40" s="185">
        <f>'Alt. scenario LCY'!AE38</f>
        <v>-25000000</v>
      </c>
      <c r="BJ40" s="185">
        <f>'Alt. scenario LCY'!AF38</f>
        <v>-25000000</v>
      </c>
      <c r="BK40" s="230">
        <f>'Alt. scenario LCY'!AG38</f>
        <v>-101250000</v>
      </c>
      <c r="BL40" s="63">
        <f>'Key financial and ops fig.s LCY'!AH38</f>
        <v>-25000000</v>
      </c>
      <c r="BM40" s="64">
        <f>'Key financial and ops fig.s LCY'!AI38</f>
        <v>-25000000</v>
      </c>
      <c r="BN40" s="64">
        <f>'Key financial and ops fig.s LCY'!AJ38</f>
        <v>-25000000</v>
      </c>
      <c r="BO40" s="108">
        <f>'Key financial and ops fig.s LCY'!AK38</f>
        <v>-25000000</v>
      </c>
      <c r="BP40" s="213">
        <f>'Key financial and ops fig.s LCY'!AL38</f>
        <v>-100000000</v>
      </c>
      <c r="BQ40" s="185">
        <f>'Alt. scenario LCY'!AH38</f>
        <v>-25000000</v>
      </c>
      <c r="BR40" s="185">
        <f>'Alt. scenario LCY'!AI38</f>
        <v>-25000000</v>
      </c>
      <c r="BS40" s="185">
        <f>'Alt. scenario LCY'!AJ38</f>
        <v>-25000000</v>
      </c>
      <c r="BT40" s="185">
        <f>'Alt. scenario LCY'!AK38</f>
        <v>-25000000</v>
      </c>
      <c r="BU40" s="230">
        <f>'Alt. scenario LCY'!AL38</f>
        <v>-100000000</v>
      </c>
    </row>
    <row r="41" spans="1:73" ht="17.100000000000001" hidden="1" outlineLevel="2" thickBot="1">
      <c r="A41" s="31"/>
      <c r="C41" s="32" t="s">
        <v>280</v>
      </c>
      <c r="D41" s="185">
        <f>'Key financial and ops fig.s LCY'!D39</f>
        <v>-250000</v>
      </c>
      <c r="E41" s="185">
        <f>'Key financial and ops fig.s LCY'!E39</f>
        <v>-375000</v>
      </c>
      <c r="F41" s="185">
        <f>'Key financial and ops fig.s LCY'!F39</f>
        <v>-500000</v>
      </c>
      <c r="G41" s="185">
        <f>'Key financial and ops fig.s LCY'!G39</f>
        <v>-625000</v>
      </c>
      <c r="H41" s="213">
        <f>'Key financial and ops fig.s LCY'!H39</f>
        <v>-1750000</v>
      </c>
      <c r="I41" s="185">
        <f>'Alt. scenario LCY'!D39</f>
        <v>-250000</v>
      </c>
      <c r="J41" s="185">
        <f>'Alt. scenario LCY'!E39</f>
        <v>-375000</v>
      </c>
      <c r="K41" s="185">
        <f>'Alt. scenario LCY'!F39</f>
        <v>-500000</v>
      </c>
      <c r="L41" s="185">
        <f>'Alt. scenario LCY'!G39</f>
        <v>-625000</v>
      </c>
      <c r="M41" s="230">
        <f>'Alt. scenario LCY'!H39</f>
        <v>-1750000</v>
      </c>
      <c r="N41" s="185">
        <f>'Key financial and ops fig.s LCY'!I39</f>
        <v>-750000</v>
      </c>
      <c r="O41" s="185">
        <f>'Key financial and ops fig.s LCY'!J39</f>
        <v>-875000</v>
      </c>
      <c r="P41" s="185">
        <f>'Key financial and ops fig.s LCY'!K39</f>
        <v>-1000000</v>
      </c>
      <c r="Q41" s="185">
        <f>'Key financial and ops fig.s LCY'!L39</f>
        <v>-1125000</v>
      </c>
      <c r="R41" s="213">
        <f>'Key financial and ops fig.s LCY'!M39</f>
        <v>-3750000</v>
      </c>
      <c r="S41" s="185">
        <f>'Alt. scenario LCY'!I39</f>
        <v>-750000</v>
      </c>
      <c r="T41" s="185">
        <f>'Alt. scenario LCY'!J39</f>
        <v>-875000</v>
      </c>
      <c r="U41" s="185">
        <f>'Alt. scenario LCY'!K39</f>
        <v>-1000000</v>
      </c>
      <c r="V41" s="185">
        <f>'Alt. scenario LCY'!L39</f>
        <v>-1125000</v>
      </c>
      <c r="W41" s="230">
        <f>'Alt. scenario LCY'!M39</f>
        <v>-3750000</v>
      </c>
      <c r="X41" s="185">
        <f>'Key financial and ops fig.s LCY'!N39</f>
        <v>-1250000</v>
      </c>
      <c r="Y41" s="185">
        <f>'Key financial and ops fig.s LCY'!O39</f>
        <v>-1375000</v>
      </c>
      <c r="Z41" s="185">
        <f>'Key financial and ops fig.s LCY'!P39</f>
        <v>-1500000</v>
      </c>
      <c r="AA41" s="185">
        <f>'Key financial and ops fig.s LCY'!Q39</f>
        <v>-1625000</v>
      </c>
      <c r="AB41" s="213">
        <f>'Key financial and ops fig.s LCY'!R39</f>
        <v>-5750000</v>
      </c>
      <c r="AC41" s="185">
        <f>'Alt. scenario LCY'!N39</f>
        <v>-1250000</v>
      </c>
      <c r="AD41" s="185">
        <f>'Alt. scenario LCY'!O39</f>
        <v>-1375000</v>
      </c>
      <c r="AE41" s="185">
        <f>'Alt. scenario LCY'!P39</f>
        <v>-1500000</v>
      </c>
      <c r="AF41" s="185">
        <f>'Alt. scenario LCY'!Q39</f>
        <v>-1625000</v>
      </c>
      <c r="AG41" s="230">
        <f>'Alt. scenario LCY'!R39</f>
        <v>-5750000</v>
      </c>
      <c r="AH41" s="185">
        <f>'Key financial and ops fig.s LCY'!S39</f>
        <v>-1750000</v>
      </c>
      <c r="AI41" s="185">
        <f>'Key financial and ops fig.s LCY'!T39</f>
        <v>-1875000</v>
      </c>
      <c r="AJ41" s="185">
        <f>'Key financial and ops fig.s LCY'!U39</f>
        <v>-2000000</v>
      </c>
      <c r="AK41" s="185">
        <f>'Key financial and ops fig.s LCY'!V39</f>
        <v>-2125000</v>
      </c>
      <c r="AL41" s="213">
        <f>'Key financial and ops fig.s LCY'!W39</f>
        <v>-7750000</v>
      </c>
      <c r="AM41" s="185">
        <f>'Alt. scenario LCY'!S39</f>
        <v>-1750000</v>
      </c>
      <c r="AN41" s="185">
        <f>'Alt. scenario LCY'!T39</f>
        <v>-1875000</v>
      </c>
      <c r="AO41" s="185">
        <f>'Alt. scenario LCY'!U39</f>
        <v>-2000000</v>
      </c>
      <c r="AP41" s="185">
        <f>'Alt. scenario LCY'!V39</f>
        <v>-2125000</v>
      </c>
      <c r="AQ41" s="230">
        <f>'Alt. scenario LCY'!W39</f>
        <v>-7750000</v>
      </c>
      <c r="AR41" s="185">
        <f>'Key financial and ops fig.s LCY'!X39</f>
        <v>-2250000</v>
      </c>
      <c r="AS41" s="185">
        <f>'Key financial and ops fig.s LCY'!Y39</f>
        <v>-2375000</v>
      </c>
      <c r="AT41" s="185">
        <f>'Key financial and ops fig.s LCY'!Z39</f>
        <v>-2500000</v>
      </c>
      <c r="AU41" s="185">
        <f>'Key financial and ops fig.s LCY'!AA39</f>
        <v>-2625000</v>
      </c>
      <c r="AV41" s="213">
        <f>'Key financial and ops fig.s LCY'!AB39</f>
        <v>-9750000</v>
      </c>
      <c r="AW41" s="185">
        <f>'Alt. scenario LCY'!X39</f>
        <v>-2250000</v>
      </c>
      <c r="AX41" s="185">
        <f>'Alt. scenario LCY'!Y39</f>
        <v>-2375000</v>
      </c>
      <c r="AY41" s="185">
        <f>'Alt. scenario LCY'!Z39</f>
        <v>-2500000</v>
      </c>
      <c r="AZ41" s="185">
        <f>'Alt. scenario LCY'!AA39</f>
        <v>-2625000</v>
      </c>
      <c r="BA41" s="230">
        <f>'Alt. scenario LCY'!AB39</f>
        <v>-9750000</v>
      </c>
      <c r="BB41" s="185">
        <f>'Key financial and ops fig.s LCY'!AC39</f>
        <v>-2625000</v>
      </c>
      <c r="BC41" s="185">
        <f>'Key financial and ops fig.s LCY'!AD39</f>
        <v>-2500000</v>
      </c>
      <c r="BD41" s="185">
        <f>'Key financial and ops fig.s LCY'!AE39</f>
        <v>-2500000</v>
      </c>
      <c r="BE41" s="185">
        <f>'Key financial and ops fig.s LCY'!AF39</f>
        <v>-2500000</v>
      </c>
      <c r="BF41" s="213">
        <f>'Key financial and ops fig.s LCY'!AG39</f>
        <v>-10125000</v>
      </c>
      <c r="BG41" s="185">
        <f>'Alt. scenario LCY'!AC39</f>
        <v>-2625000</v>
      </c>
      <c r="BH41" s="185">
        <f>'Alt. scenario LCY'!AD39</f>
        <v>-2500000</v>
      </c>
      <c r="BI41" s="185">
        <f>'Alt. scenario LCY'!AE39</f>
        <v>-2500000</v>
      </c>
      <c r="BJ41" s="185">
        <f>'Alt. scenario LCY'!AF39</f>
        <v>-2500000</v>
      </c>
      <c r="BK41" s="230">
        <f>'Alt. scenario LCY'!AG39</f>
        <v>-10125000</v>
      </c>
      <c r="BL41" s="63">
        <f>'Key financial and ops fig.s LCY'!AH39</f>
        <v>-2500000</v>
      </c>
      <c r="BM41" s="64">
        <f>'Key financial and ops fig.s LCY'!AI39</f>
        <v>-2500000</v>
      </c>
      <c r="BN41" s="64">
        <f>'Key financial and ops fig.s LCY'!AJ39</f>
        <v>-2500000</v>
      </c>
      <c r="BO41" s="108">
        <f>'Key financial and ops fig.s LCY'!AK39</f>
        <v>-2500000</v>
      </c>
      <c r="BP41" s="213">
        <f>'Key financial and ops fig.s LCY'!AL39</f>
        <v>-10000000</v>
      </c>
      <c r="BQ41" s="185">
        <f>'Alt. scenario LCY'!AH39</f>
        <v>-2500000</v>
      </c>
      <c r="BR41" s="185">
        <f>'Alt. scenario LCY'!AI39</f>
        <v>-2500000</v>
      </c>
      <c r="BS41" s="185">
        <f>'Alt. scenario LCY'!AJ39</f>
        <v>-2500000</v>
      </c>
      <c r="BT41" s="185">
        <f>'Alt. scenario LCY'!AK39</f>
        <v>-2500000</v>
      </c>
      <c r="BU41" s="230">
        <f>'Alt. scenario LCY'!AL39</f>
        <v>-10000000</v>
      </c>
    </row>
    <row r="42" spans="1:73" ht="17.100000000000001" hidden="1" outlineLevel="2" thickBot="1">
      <c r="A42" s="31"/>
      <c r="C42" s="32" t="s">
        <v>281</v>
      </c>
      <c r="D42" s="185">
        <f>'Key financial and ops fig.s LCY'!D40</f>
        <v>-103950000</v>
      </c>
      <c r="E42" s="185">
        <f>'Key financial and ops fig.s LCY'!E40</f>
        <v>-82970000</v>
      </c>
      <c r="F42" s="185">
        <f>'Key financial and ops fig.s LCY'!F40</f>
        <v>-67955000</v>
      </c>
      <c r="G42" s="185">
        <f>'Key financial and ops fig.s LCY'!G40</f>
        <v>-52940000</v>
      </c>
      <c r="H42" s="213">
        <f>'Key financial and ops fig.s LCY'!H40</f>
        <v>-307815000</v>
      </c>
      <c r="I42" s="185">
        <f>'Alt. scenario LCY'!D40</f>
        <v>-103950000</v>
      </c>
      <c r="J42" s="185">
        <f>'Alt. scenario LCY'!E40</f>
        <v>-82970000</v>
      </c>
      <c r="K42" s="185">
        <f>'Alt. scenario LCY'!F40</f>
        <v>-67955000</v>
      </c>
      <c r="L42" s="185">
        <f>'Alt. scenario LCY'!G40</f>
        <v>-52940000</v>
      </c>
      <c r="M42" s="230">
        <f>'Alt. scenario LCY'!H40</f>
        <v>-307815000</v>
      </c>
      <c r="N42" s="185">
        <f>'Key financial and ops fig.s LCY'!I40</f>
        <v>-37925000</v>
      </c>
      <c r="O42" s="185">
        <f>'Key financial and ops fig.s LCY'!J40</f>
        <v>-22910000.000000004</v>
      </c>
      <c r="P42" s="185">
        <f>'Key financial and ops fig.s LCY'!K40</f>
        <v>-7895000.0000000047</v>
      </c>
      <c r="Q42" s="185">
        <f>'Key financial and ops fig.s LCY'!L40</f>
        <v>0</v>
      </c>
      <c r="R42" s="213">
        <f>'Key financial and ops fig.s LCY'!M40</f>
        <v>-68730000</v>
      </c>
      <c r="S42" s="185">
        <f>'Alt. scenario LCY'!I40</f>
        <v>-37925000</v>
      </c>
      <c r="T42" s="185">
        <f>'Alt. scenario LCY'!J40</f>
        <v>-22910000.000000004</v>
      </c>
      <c r="U42" s="185">
        <f>'Alt. scenario LCY'!K40</f>
        <v>-7895000.0000000047</v>
      </c>
      <c r="V42" s="185">
        <f>'Alt. scenario LCY'!L40</f>
        <v>0</v>
      </c>
      <c r="W42" s="230">
        <f>'Alt. scenario LCY'!M40</f>
        <v>-68730000</v>
      </c>
      <c r="X42" s="185">
        <f>'Key financial and ops fig.s LCY'!N40</f>
        <v>0</v>
      </c>
      <c r="Y42" s="185">
        <f>'Key financial and ops fig.s LCY'!O40</f>
        <v>0</v>
      </c>
      <c r="Z42" s="185">
        <f>'Key financial and ops fig.s LCY'!P40</f>
        <v>0</v>
      </c>
      <c r="AA42" s="185">
        <f>'Key financial and ops fig.s LCY'!Q40</f>
        <v>0</v>
      </c>
      <c r="AB42" s="213">
        <f>'Key financial and ops fig.s LCY'!R40</f>
        <v>0</v>
      </c>
      <c r="AC42" s="185">
        <f>'Alt. scenario LCY'!N40</f>
        <v>0</v>
      </c>
      <c r="AD42" s="185">
        <f>'Alt. scenario LCY'!O40</f>
        <v>0</v>
      </c>
      <c r="AE42" s="185">
        <f>'Alt. scenario LCY'!P40</f>
        <v>0</v>
      </c>
      <c r="AF42" s="185">
        <f>'Alt. scenario LCY'!Q40</f>
        <v>0</v>
      </c>
      <c r="AG42" s="230">
        <f>'Alt. scenario LCY'!R40</f>
        <v>0</v>
      </c>
      <c r="AH42" s="185">
        <f>'Key financial and ops fig.s LCY'!S40</f>
        <v>0</v>
      </c>
      <c r="AI42" s="185">
        <f>'Key financial and ops fig.s LCY'!T40</f>
        <v>0</v>
      </c>
      <c r="AJ42" s="185">
        <f>'Key financial and ops fig.s LCY'!U40</f>
        <v>0</v>
      </c>
      <c r="AK42" s="185">
        <f>'Key financial and ops fig.s LCY'!V40</f>
        <v>0</v>
      </c>
      <c r="AL42" s="213">
        <f>'Key financial and ops fig.s LCY'!W40</f>
        <v>0</v>
      </c>
      <c r="AM42" s="185">
        <f>'Alt. scenario LCY'!S40</f>
        <v>0</v>
      </c>
      <c r="AN42" s="185">
        <f>'Alt. scenario LCY'!T40</f>
        <v>0</v>
      </c>
      <c r="AO42" s="185">
        <f>'Alt. scenario LCY'!U40</f>
        <v>0</v>
      </c>
      <c r="AP42" s="185">
        <f>'Alt. scenario LCY'!V40</f>
        <v>0</v>
      </c>
      <c r="AQ42" s="230">
        <f>'Alt. scenario LCY'!W40</f>
        <v>0</v>
      </c>
      <c r="AR42" s="185">
        <f>'Key financial and ops fig.s LCY'!X40</f>
        <v>0</v>
      </c>
      <c r="AS42" s="185">
        <f>'Key financial and ops fig.s LCY'!Y40</f>
        <v>0</v>
      </c>
      <c r="AT42" s="185">
        <f>'Key financial and ops fig.s LCY'!Z40</f>
        <v>0</v>
      </c>
      <c r="AU42" s="185">
        <f>'Key financial and ops fig.s LCY'!AA40</f>
        <v>0</v>
      </c>
      <c r="AV42" s="213">
        <f>'Key financial and ops fig.s LCY'!AB40</f>
        <v>0</v>
      </c>
      <c r="AW42" s="185">
        <f>'Alt. scenario LCY'!X40</f>
        <v>0</v>
      </c>
      <c r="AX42" s="185">
        <f>'Alt. scenario LCY'!Y40</f>
        <v>0</v>
      </c>
      <c r="AY42" s="185">
        <f>'Alt. scenario LCY'!Z40</f>
        <v>0</v>
      </c>
      <c r="AZ42" s="185">
        <f>'Alt. scenario LCY'!AA40</f>
        <v>0</v>
      </c>
      <c r="BA42" s="230">
        <f>'Alt. scenario LCY'!AB40</f>
        <v>0</v>
      </c>
      <c r="BB42" s="185">
        <f>'Key financial and ops fig.s LCY'!AC40</f>
        <v>0</v>
      </c>
      <c r="BC42" s="185">
        <f>'Key financial and ops fig.s LCY'!AD40</f>
        <v>0</v>
      </c>
      <c r="BD42" s="185">
        <f>'Key financial and ops fig.s LCY'!AE40</f>
        <v>0</v>
      </c>
      <c r="BE42" s="185">
        <f>'Key financial and ops fig.s LCY'!AF40</f>
        <v>0</v>
      </c>
      <c r="BF42" s="213">
        <f>'Key financial and ops fig.s LCY'!AG40</f>
        <v>0</v>
      </c>
      <c r="BG42" s="185">
        <f>'Alt. scenario LCY'!AC40</f>
        <v>0</v>
      </c>
      <c r="BH42" s="185">
        <f>'Alt. scenario LCY'!AD40</f>
        <v>0</v>
      </c>
      <c r="BI42" s="185">
        <f>'Alt. scenario LCY'!AE40</f>
        <v>0</v>
      </c>
      <c r="BJ42" s="185">
        <f>'Alt. scenario LCY'!AF40</f>
        <v>0</v>
      </c>
      <c r="BK42" s="230">
        <f>'Alt. scenario LCY'!AG40</f>
        <v>0</v>
      </c>
      <c r="BL42" s="63">
        <f>'Key financial and ops fig.s LCY'!AH40</f>
        <v>0</v>
      </c>
      <c r="BM42" s="64">
        <f>'Key financial and ops fig.s LCY'!AI40</f>
        <v>0</v>
      </c>
      <c r="BN42" s="64">
        <f>'Key financial and ops fig.s LCY'!AJ40</f>
        <v>0</v>
      </c>
      <c r="BO42" s="108">
        <f>'Key financial and ops fig.s LCY'!AK40</f>
        <v>0</v>
      </c>
      <c r="BP42" s="213">
        <f>'Key financial and ops fig.s LCY'!AL40</f>
        <v>0</v>
      </c>
      <c r="BQ42" s="185">
        <f>'Alt. scenario LCY'!AH40</f>
        <v>0</v>
      </c>
      <c r="BR42" s="185">
        <f>'Alt. scenario LCY'!AI40</f>
        <v>0</v>
      </c>
      <c r="BS42" s="185">
        <f>'Alt. scenario LCY'!AJ40</f>
        <v>0</v>
      </c>
      <c r="BT42" s="185">
        <f>'Alt. scenario LCY'!AK40</f>
        <v>0</v>
      </c>
      <c r="BU42" s="230">
        <f>'Alt. scenario LCY'!AL40</f>
        <v>0</v>
      </c>
    </row>
    <row r="43" spans="1:73" ht="17.100000000000001" hidden="1" outlineLevel="2" thickBot="1">
      <c r="A43" s="31"/>
      <c r="C43" s="32" t="s">
        <v>282</v>
      </c>
      <c r="D43" s="185">
        <f>'Key financial and ops fig.s LCY'!D41</f>
        <v>-4620000</v>
      </c>
      <c r="E43" s="185">
        <f>'Key financial and ops fig.s LCY'!E41</f>
        <v>-6200000</v>
      </c>
      <c r="F43" s="185">
        <f>'Key financial and ops fig.s LCY'!F41</f>
        <v>-6200000</v>
      </c>
      <c r="G43" s="185">
        <f>'Key financial and ops fig.s LCY'!G41</f>
        <v>-6200000</v>
      </c>
      <c r="H43" s="213">
        <f>'Key financial and ops fig.s LCY'!H41</f>
        <v>-23220000</v>
      </c>
      <c r="I43" s="185">
        <f>'Alt. scenario LCY'!D41</f>
        <v>-4620000</v>
      </c>
      <c r="J43" s="185">
        <f>'Alt. scenario LCY'!E41</f>
        <v>-6200000</v>
      </c>
      <c r="K43" s="185">
        <f>'Alt. scenario LCY'!F41</f>
        <v>-6200000</v>
      </c>
      <c r="L43" s="185">
        <f>'Alt. scenario LCY'!G41</f>
        <v>-6200000</v>
      </c>
      <c r="M43" s="230">
        <f>'Alt. scenario LCY'!H41</f>
        <v>-23220000</v>
      </c>
      <c r="N43" s="185">
        <f>'Key financial and ops fig.s LCY'!I41</f>
        <v>-6200000</v>
      </c>
      <c r="O43" s="185">
        <f>'Key financial and ops fig.s LCY'!J41</f>
        <v>-6200000</v>
      </c>
      <c r="P43" s="185">
        <f>'Key financial and ops fig.s LCY'!K41</f>
        <v>-6200000</v>
      </c>
      <c r="Q43" s="185">
        <f>'Key financial and ops fig.s LCY'!L41</f>
        <v>-6200000</v>
      </c>
      <c r="R43" s="213">
        <f>'Key financial and ops fig.s LCY'!M41</f>
        <v>-24800000</v>
      </c>
      <c r="S43" s="185">
        <f>'Alt. scenario LCY'!I41</f>
        <v>-6200000</v>
      </c>
      <c r="T43" s="185">
        <f>'Alt. scenario LCY'!J41</f>
        <v>-6200000</v>
      </c>
      <c r="U43" s="185">
        <f>'Alt. scenario LCY'!K41</f>
        <v>-6200000</v>
      </c>
      <c r="V43" s="185">
        <f>'Alt. scenario LCY'!L41</f>
        <v>-6200000</v>
      </c>
      <c r="W43" s="230">
        <f>'Alt. scenario LCY'!M41</f>
        <v>-24800000</v>
      </c>
      <c r="X43" s="185">
        <f>'Key financial and ops fig.s LCY'!N41</f>
        <v>-6200000</v>
      </c>
      <c r="Y43" s="185">
        <f>'Key financial and ops fig.s LCY'!O41</f>
        <v>-6200000</v>
      </c>
      <c r="Z43" s="185">
        <f>'Key financial and ops fig.s LCY'!P41</f>
        <v>-6200000</v>
      </c>
      <c r="AA43" s="185">
        <f>'Key financial and ops fig.s LCY'!Q41</f>
        <v>-6200000</v>
      </c>
      <c r="AB43" s="213">
        <f>'Key financial and ops fig.s LCY'!R41</f>
        <v>-24800000</v>
      </c>
      <c r="AC43" s="185">
        <f>'Alt. scenario LCY'!N41</f>
        <v>-6200000</v>
      </c>
      <c r="AD43" s="185">
        <f>'Alt. scenario LCY'!O41</f>
        <v>-6200000</v>
      </c>
      <c r="AE43" s="185">
        <f>'Alt. scenario LCY'!P41</f>
        <v>-6200000</v>
      </c>
      <c r="AF43" s="185">
        <f>'Alt. scenario LCY'!Q41</f>
        <v>-6200000</v>
      </c>
      <c r="AG43" s="230">
        <f>'Alt. scenario LCY'!R41</f>
        <v>-24800000</v>
      </c>
      <c r="AH43" s="185">
        <f>'Key financial and ops fig.s LCY'!S41</f>
        <v>-6200000</v>
      </c>
      <c r="AI43" s="185">
        <f>'Key financial and ops fig.s LCY'!T41</f>
        <v>-6200000</v>
      </c>
      <c r="AJ43" s="185">
        <f>'Key financial and ops fig.s LCY'!U41</f>
        <v>-6200000</v>
      </c>
      <c r="AK43" s="185">
        <f>'Key financial and ops fig.s LCY'!V41</f>
        <v>-6200000</v>
      </c>
      <c r="AL43" s="213">
        <f>'Key financial and ops fig.s LCY'!W41</f>
        <v>-24800000</v>
      </c>
      <c r="AM43" s="185">
        <f>'Alt. scenario LCY'!S41</f>
        <v>-6200000</v>
      </c>
      <c r="AN43" s="185">
        <f>'Alt. scenario LCY'!T41</f>
        <v>-6200000</v>
      </c>
      <c r="AO43" s="185">
        <f>'Alt. scenario LCY'!U41</f>
        <v>-6200000</v>
      </c>
      <c r="AP43" s="185">
        <f>'Alt. scenario LCY'!V41</f>
        <v>-6200000</v>
      </c>
      <c r="AQ43" s="230">
        <f>'Alt. scenario LCY'!W41</f>
        <v>-24800000</v>
      </c>
      <c r="AR43" s="185">
        <f>'Key financial and ops fig.s LCY'!X41</f>
        <v>-6200000</v>
      </c>
      <c r="AS43" s="185">
        <f>'Key financial and ops fig.s LCY'!Y41</f>
        <v>-6200000</v>
      </c>
      <c r="AT43" s="185">
        <f>'Key financial and ops fig.s LCY'!Z41</f>
        <v>-6200000</v>
      </c>
      <c r="AU43" s="185">
        <f>'Key financial and ops fig.s LCY'!AA41</f>
        <v>-6200000</v>
      </c>
      <c r="AV43" s="213">
        <f>'Key financial and ops fig.s LCY'!AB41</f>
        <v>-24800000</v>
      </c>
      <c r="AW43" s="185">
        <f>'Alt. scenario LCY'!X41</f>
        <v>-6200000</v>
      </c>
      <c r="AX43" s="185">
        <f>'Alt. scenario LCY'!Y41</f>
        <v>-6200000</v>
      </c>
      <c r="AY43" s="185">
        <f>'Alt. scenario LCY'!Z41</f>
        <v>-6200000</v>
      </c>
      <c r="AZ43" s="185">
        <f>'Alt. scenario LCY'!AA41</f>
        <v>-6200000</v>
      </c>
      <c r="BA43" s="230">
        <f>'Alt. scenario LCY'!AB41</f>
        <v>-24800000</v>
      </c>
      <c r="BB43" s="185">
        <f>'Key financial and ops fig.s LCY'!AC41</f>
        <v>0</v>
      </c>
      <c r="BC43" s="185">
        <f>'Key financial and ops fig.s LCY'!AD41</f>
        <v>0</v>
      </c>
      <c r="BD43" s="185">
        <f>'Key financial and ops fig.s LCY'!AE41</f>
        <v>0</v>
      </c>
      <c r="BE43" s="185">
        <f>'Key financial and ops fig.s LCY'!AF41</f>
        <v>0</v>
      </c>
      <c r="BF43" s="213">
        <f>'Key financial and ops fig.s LCY'!AG41</f>
        <v>0</v>
      </c>
      <c r="BG43" s="185">
        <f>'Alt. scenario LCY'!AC41</f>
        <v>0</v>
      </c>
      <c r="BH43" s="185">
        <f>'Alt. scenario LCY'!AD41</f>
        <v>0</v>
      </c>
      <c r="BI43" s="185">
        <f>'Alt. scenario LCY'!AE41</f>
        <v>0</v>
      </c>
      <c r="BJ43" s="185">
        <f>'Alt. scenario LCY'!AF41</f>
        <v>0</v>
      </c>
      <c r="BK43" s="230">
        <f>'Alt. scenario LCY'!AG41</f>
        <v>0</v>
      </c>
      <c r="BL43" s="63">
        <f>'Key financial and ops fig.s LCY'!AH41</f>
        <v>0</v>
      </c>
      <c r="BM43" s="64">
        <f>'Key financial and ops fig.s LCY'!AI41</f>
        <v>0</v>
      </c>
      <c r="BN43" s="64">
        <f>'Key financial and ops fig.s LCY'!AJ41</f>
        <v>0</v>
      </c>
      <c r="BO43" s="108">
        <f>'Key financial and ops fig.s LCY'!AK41</f>
        <v>0</v>
      </c>
      <c r="BP43" s="213">
        <f>'Key financial and ops fig.s LCY'!AL41</f>
        <v>0</v>
      </c>
      <c r="BQ43" s="185">
        <f>'Alt. scenario LCY'!AH41</f>
        <v>0</v>
      </c>
      <c r="BR43" s="185">
        <f>'Alt. scenario LCY'!AI41</f>
        <v>0</v>
      </c>
      <c r="BS43" s="185">
        <f>'Alt. scenario LCY'!AJ41</f>
        <v>0</v>
      </c>
      <c r="BT43" s="185">
        <f>'Alt. scenario LCY'!AK41</f>
        <v>0</v>
      </c>
      <c r="BU43" s="230">
        <f>'Alt. scenario LCY'!AL41</f>
        <v>0</v>
      </c>
    </row>
    <row r="44" spans="1:73" ht="17.100000000000001" hidden="1" outlineLevel="2" thickBot="1">
      <c r="A44" s="31"/>
      <c r="C44" s="32" t="s">
        <v>283</v>
      </c>
      <c r="D44" s="185">
        <f>'Key financial and ops fig.s LCY'!D42</f>
        <v>-1147781.25</v>
      </c>
      <c r="E44" s="185">
        <f>'Key financial and ops fig.s LCY'!E42</f>
        <v>-2281125</v>
      </c>
      <c r="F44" s="185">
        <f>'Key financial and ops fig.s LCY'!F42</f>
        <v>-3400031.25</v>
      </c>
      <c r="G44" s="185">
        <f>'Key financial and ops fig.s LCY'!G42</f>
        <v>-4504500</v>
      </c>
      <c r="H44" s="213">
        <f>'Key financial and ops fig.s LCY'!H42</f>
        <v>-11333437.5</v>
      </c>
      <c r="I44" s="185">
        <f>'Alt. scenario LCY'!D42</f>
        <v>-1147781.25</v>
      </c>
      <c r="J44" s="185">
        <f>'Alt. scenario LCY'!E42</f>
        <v>-2281125</v>
      </c>
      <c r="K44" s="185">
        <f>'Alt. scenario LCY'!F42</f>
        <v>-3400031.25</v>
      </c>
      <c r="L44" s="185">
        <f>'Alt. scenario LCY'!G42</f>
        <v>-4504500</v>
      </c>
      <c r="M44" s="230">
        <f>'Alt. scenario LCY'!H42</f>
        <v>-11333437.5</v>
      </c>
      <c r="N44" s="185">
        <f>'Key financial and ops fig.s LCY'!I42</f>
        <v>-5594531.25</v>
      </c>
      <c r="O44" s="185">
        <f>'Key financial and ops fig.s LCY'!J42</f>
        <v>-6670125</v>
      </c>
      <c r="P44" s="185">
        <f>'Key financial and ops fig.s LCY'!K42</f>
        <v>-7731281.2500000009</v>
      </c>
      <c r="Q44" s="185">
        <f>'Key financial and ops fig.s LCY'!L42</f>
        <v>-8778000</v>
      </c>
      <c r="R44" s="213">
        <f>'Key financial and ops fig.s LCY'!M42</f>
        <v>-28773937.5</v>
      </c>
      <c r="S44" s="185">
        <f>'Alt. scenario LCY'!I42</f>
        <v>-5594531.25</v>
      </c>
      <c r="T44" s="185">
        <f>'Alt. scenario LCY'!J42</f>
        <v>-6670125</v>
      </c>
      <c r="U44" s="185">
        <f>'Alt. scenario LCY'!K42</f>
        <v>-7731281.2500000009</v>
      </c>
      <c r="V44" s="185">
        <f>'Alt. scenario LCY'!L42</f>
        <v>-8778000</v>
      </c>
      <c r="W44" s="230">
        <f>'Alt. scenario LCY'!M42</f>
        <v>-28773937.5</v>
      </c>
      <c r="X44" s="185">
        <f>'Key financial and ops fig.s LCY'!N42</f>
        <v>-9810281.25</v>
      </c>
      <c r="Y44" s="185">
        <f>'Key financial and ops fig.s LCY'!O42</f>
        <v>-10828125</v>
      </c>
      <c r="Z44" s="185">
        <f>'Key financial and ops fig.s LCY'!P42</f>
        <v>-11831531.25</v>
      </c>
      <c r="AA44" s="185">
        <f>'Key financial and ops fig.s LCY'!Q42</f>
        <v>-12820500.000000002</v>
      </c>
      <c r="AB44" s="213">
        <f>'Key financial and ops fig.s LCY'!R42</f>
        <v>-45290437.5</v>
      </c>
      <c r="AC44" s="185">
        <f>'Alt. scenario LCY'!N42</f>
        <v>-9810281.25</v>
      </c>
      <c r="AD44" s="185">
        <f>'Alt. scenario LCY'!O42</f>
        <v>-10828125</v>
      </c>
      <c r="AE44" s="185">
        <f>'Alt. scenario LCY'!P42</f>
        <v>-11831531.25</v>
      </c>
      <c r="AF44" s="185">
        <f>'Alt. scenario LCY'!Q42</f>
        <v>-12820500.000000002</v>
      </c>
      <c r="AG44" s="230">
        <f>'Alt. scenario LCY'!R42</f>
        <v>-45290437.5</v>
      </c>
      <c r="AH44" s="185">
        <f>'Key financial and ops fig.s LCY'!S42</f>
        <v>-13795031.25</v>
      </c>
      <c r="AI44" s="185">
        <f>'Key financial and ops fig.s LCY'!T42</f>
        <v>-14755125.000000002</v>
      </c>
      <c r="AJ44" s="185">
        <f>'Key financial and ops fig.s LCY'!U42</f>
        <v>-15700781.25</v>
      </c>
      <c r="AK44" s="185">
        <f>'Key financial and ops fig.s LCY'!V42</f>
        <v>-16632000</v>
      </c>
      <c r="AL44" s="213">
        <f>'Key financial and ops fig.s LCY'!W42</f>
        <v>-60882937.5</v>
      </c>
      <c r="AM44" s="185">
        <f>'Alt. scenario LCY'!S42</f>
        <v>-13795031.25</v>
      </c>
      <c r="AN44" s="185">
        <f>'Alt. scenario LCY'!T42</f>
        <v>-14755125.000000002</v>
      </c>
      <c r="AO44" s="185">
        <f>'Alt. scenario LCY'!U42</f>
        <v>-15700781.25</v>
      </c>
      <c r="AP44" s="185">
        <f>'Alt. scenario LCY'!V42</f>
        <v>-16632000</v>
      </c>
      <c r="AQ44" s="230">
        <f>'Alt. scenario LCY'!W42</f>
        <v>-60882937.5</v>
      </c>
      <c r="AR44" s="185">
        <f>'Key financial and ops fig.s LCY'!X42</f>
        <v>-17548781.25</v>
      </c>
      <c r="AS44" s="185">
        <f>'Key financial and ops fig.s LCY'!Y42</f>
        <v>-18451125</v>
      </c>
      <c r="AT44" s="185">
        <f>'Key financial and ops fig.s LCY'!Z42</f>
        <v>-19339031.25</v>
      </c>
      <c r="AU44" s="185">
        <f>'Key financial and ops fig.s LCY'!AA42</f>
        <v>-20212500</v>
      </c>
      <c r="AV44" s="213">
        <f>'Key financial and ops fig.s LCY'!AB42</f>
        <v>-75551437.5</v>
      </c>
      <c r="AW44" s="185">
        <f>'Alt. scenario LCY'!X42</f>
        <v>-17548781.25</v>
      </c>
      <c r="AX44" s="185">
        <f>'Alt. scenario LCY'!Y42</f>
        <v>-18451125</v>
      </c>
      <c r="AY44" s="185">
        <f>'Alt. scenario LCY'!Z42</f>
        <v>-19339031.25</v>
      </c>
      <c r="AZ44" s="185">
        <f>'Alt. scenario LCY'!AA42</f>
        <v>-20212500</v>
      </c>
      <c r="BA44" s="230">
        <f>'Alt. scenario LCY'!AB42</f>
        <v>-75551437.5</v>
      </c>
      <c r="BB44" s="185">
        <f>'Key financial and ops fig.s LCY'!AC42</f>
        <v>-20068125</v>
      </c>
      <c r="BC44" s="185">
        <f>'Key financial and ops fig.s LCY'!AD42</f>
        <v>-19923750</v>
      </c>
      <c r="BD44" s="185">
        <f>'Key financial and ops fig.s LCY'!AE42</f>
        <v>-19779375</v>
      </c>
      <c r="BE44" s="185">
        <f>'Key financial and ops fig.s LCY'!AF42</f>
        <v>-19635000</v>
      </c>
      <c r="BF44" s="213">
        <f>'Key financial and ops fig.s LCY'!AG42</f>
        <v>-79406250</v>
      </c>
      <c r="BG44" s="185">
        <f>'Alt. scenario LCY'!AC42</f>
        <v>-20068125</v>
      </c>
      <c r="BH44" s="185">
        <f>'Alt. scenario LCY'!AD42</f>
        <v>-19923750</v>
      </c>
      <c r="BI44" s="185">
        <f>'Alt. scenario LCY'!AE42</f>
        <v>-19779375</v>
      </c>
      <c r="BJ44" s="185">
        <f>'Alt. scenario LCY'!AF42</f>
        <v>-19635000</v>
      </c>
      <c r="BK44" s="230">
        <f>'Alt. scenario LCY'!AG42</f>
        <v>-79406250</v>
      </c>
      <c r="BL44" s="63">
        <f>'Key financial and ops fig.s LCY'!AH42</f>
        <v>-19490625</v>
      </c>
      <c r="BM44" s="64">
        <f>'Key financial and ops fig.s LCY'!AI42</f>
        <v>-19346250</v>
      </c>
      <c r="BN44" s="64">
        <f>'Key financial and ops fig.s LCY'!AJ42</f>
        <v>-19201875</v>
      </c>
      <c r="BO44" s="108">
        <f>'Key financial and ops fig.s LCY'!AK42</f>
        <v>-19057500</v>
      </c>
      <c r="BP44" s="213">
        <f>'Key financial and ops fig.s LCY'!AL42</f>
        <v>-77096250</v>
      </c>
      <c r="BQ44" s="185">
        <f>'Alt. scenario LCY'!AH42</f>
        <v>-19490625</v>
      </c>
      <c r="BR44" s="185">
        <f>'Alt. scenario LCY'!AI42</f>
        <v>-19346250</v>
      </c>
      <c r="BS44" s="185">
        <f>'Alt. scenario LCY'!AJ42</f>
        <v>-19201875</v>
      </c>
      <c r="BT44" s="185">
        <f>'Alt. scenario LCY'!AK42</f>
        <v>-19057500</v>
      </c>
      <c r="BU44" s="230">
        <f>'Alt. scenario LCY'!AL42</f>
        <v>-77096250</v>
      </c>
    </row>
    <row r="45" spans="1:73" ht="17.100000000000001" hidden="1" outlineLevel="2" thickBot="1">
      <c r="A45" s="31"/>
      <c r="C45" s="32" t="s">
        <v>284</v>
      </c>
      <c r="D45" s="185">
        <f>'Key financial and ops fig.s LCY'!D43</f>
        <v>-12500000</v>
      </c>
      <c r="E45" s="185">
        <f>'Key financial and ops fig.s LCY'!E43</f>
        <v>-12500000</v>
      </c>
      <c r="F45" s="185">
        <f>'Key financial and ops fig.s LCY'!F43</f>
        <v>-12500000</v>
      </c>
      <c r="G45" s="185">
        <f>'Key financial and ops fig.s LCY'!G43</f>
        <v>-12500000</v>
      </c>
      <c r="H45" s="213">
        <f>'Key financial and ops fig.s LCY'!H43</f>
        <v>-50000000</v>
      </c>
      <c r="I45" s="185">
        <f>'Alt. scenario LCY'!D43</f>
        <v>-12500000</v>
      </c>
      <c r="J45" s="185">
        <f>'Alt. scenario LCY'!E43</f>
        <v>-12500000</v>
      </c>
      <c r="K45" s="185">
        <f>'Alt. scenario LCY'!F43</f>
        <v>-12500000</v>
      </c>
      <c r="L45" s="185">
        <f>'Alt. scenario LCY'!G43</f>
        <v>-12500000</v>
      </c>
      <c r="M45" s="230">
        <f>'Alt. scenario LCY'!H43</f>
        <v>-50000000</v>
      </c>
      <c r="N45" s="185">
        <f>'Key financial and ops fig.s LCY'!I43</f>
        <v>-12500000</v>
      </c>
      <c r="O45" s="185">
        <f>'Key financial and ops fig.s LCY'!J43</f>
        <v>-12500000</v>
      </c>
      <c r="P45" s="185">
        <f>'Key financial and ops fig.s LCY'!K43</f>
        <v>-12500000</v>
      </c>
      <c r="Q45" s="185">
        <f>'Key financial and ops fig.s LCY'!L43</f>
        <v>-12500000</v>
      </c>
      <c r="R45" s="213">
        <f>'Key financial and ops fig.s LCY'!M43</f>
        <v>-50000000</v>
      </c>
      <c r="S45" s="185">
        <f>'Alt. scenario LCY'!I43</f>
        <v>-12500000</v>
      </c>
      <c r="T45" s="185">
        <f>'Alt. scenario LCY'!J43</f>
        <v>-12500000</v>
      </c>
      <c r="U45" s="185">
        <f>'Alt. scenario LCY'!K43</f>
        <v>-12500000</v>
      </c>
      <c r="V45" s="185">
        <f>'Alt. scenario LCY'!L43</f>
        <v>-12500000</v>
      </c>
      <c r="W45" s="230">
        <f>'Alt. scenario LCY'!M43</f>
        <v>-50000000</v>
      </c>
      <c r="X45" s="185">
        <f>'Key financial and ops fig.s LCY'!N43</f>
        <v>-12500000</v>
      </c>
      <c r="Y45" s="185">
        <f>'Key financial and ops fig.s LCY'!O43</f>
        <v>-12500000</v>
      </c>
      <c r="Z45" s="185">
        <f>'Key financial and ops fig.s LCY'!P43</f>
        <v>-12500000</v>
      </c>
      <c r="AA45" s="185">
        <f>'Key financial and ops fig.s LCY'!Q43</f>
        <v>-12500000</v>
      </c>
      <c r="AB45" s="213">
        <f>'Key financial and ops fig.s LCY'!R43</f>
        <v>-50000000</v>
      </c>
      <c r="AC45" s="185">
        <f>'Alt. scenario LCY'!N43</f>
        <v>-12500000</v>
      </c>
      <c r="AD45" s="185">
        <f>'Alt. scenario LCY'!O43</f>
        <v>-12500000</v>
      </c>
      <c r="AE45" s="185">
        <f>'Alt. scenario LCY'!P43</f>
        <v>-12500000</v>
      </c>
      <c r="AF45" s="185">
        <f>'Alt. scenario LCY'!Q43</f>
        <v>-12500000</v>
      </c>
      <c r="AG45" s="230">
        <f>'Alt. scenario LCY'!R43</f>
        <v>-50000000</v>
      </c>
      <c r="AH45" s="185">
        <f>'Key financial and ops fig.s LCY'!S43</f>
        <v>-12500000</v>
      </c>
      <c r="AI45" s="185">
        <f>'Key financial and ops fig.s LCY'!T43</f>
        <v>-12500000</v>
      </c>
      <c r="AJ45" s="185">
        <f>'Key financial and ops fig.s LCY'!U43</f>
        <v>-12500000</v>
      </c>
      <c r="AK45" s="185">
        <f>'Key financial and ops fig.s LCY'!V43</f>
        <v>-12500000</v>
      </c>
      <c r="AL45" s="213">
        <f>'Key financial and ops fig.s LCY'!W43</f>
        <v>-50000000</v>
      </c>
      <c r="AM45" s="185">
        <f>'Alt. scenario LCY'!S43</f>
        <v>-12500000</v>
      </c>
      <c r="AN45" s="185">
        <f>'Alt. scenario LCY'!T43</f>
        <v>-12500000</v>
      </c>
      <c r="AO45" s="185">
        <f>'Alt. scenario LCY'!U43</f>
        <v>-12500000</v>
      </c>
      <c r="AP45" s="185">
        <f>'Alt. scenario LCY'!V43</f>
        <v>-12500000</v>
      </c>
      <c r="AQ45" s="230">
        <f>'Alt. scenario LCY'!W43</f>
        <v>-50000000</v>
      </c>
      <c r="AR45" s="185">
        <f>'Key financial and ops fig.s LCY'!X43</f>
        <v>-12500000</v>
      </c>
      <c r="AS45" s="185">
        <f>'Key financial and ops fig.s LCY'!Y43</f>
        <v>-12500000</v>
      </c>
      <c r="AT45" s="185">
        <f>'Key financial and ops fig.s LCY'!Z43</f>
        <v>-12500000</v>
      </c>
      <c r="AU45" s="185">
        <f>'Key financial and ops fig.s LCY'!AA43</f>
        <v>-12500000</v>
      </c>
      <c r="AV45" s="213">
        <f>'Key financial and ops fig.s LCY'!AB43</f>
        <v>-50000000</v>
      </c>
      <c r="AW45" s="185">
        <f>'Alt. scenario LCY'!X43</f>
        <v>-12500000</v>
      </c>
      <c r="AX45" s="185">
        <f>'Alt. scenario LCY'!Y43</f>
        <v>-12500000</v>
      </c>
      <c r="AY45" s="185">
        <f>'Alt. scenario LCY'!Z43</f>
        <v>-12500000</v>
      </c>
      <c r="AZ45" s="185">
        <f>'Alt. scenario LCY'!AA43</f>
        <v>-12500000</v>
      </c>
      <c r="BA45" s="230">
        <f>'Alt. scenario LCY'!AB43</f>
        <v>-50000000</v>
      </c>
      <c r="BB45" s="185">
        <f>'Key financial and ops fig.s LCY'!AC43</f>
        <v>-12500000</v>
      </c>
      <c r="BC45" s="185">
        <f>'Key financial and ops fig.s LCY'!AD43</f>
        <v>-12500000</v>
      </c>
      <c r="BD45" s="185">
        <f>'Key financial and ops fig.s LCY'!AE43</f>
        <v>-12500000</v>
      </c>
      <c r="BE45" s="185">
        <f>'Key financial and ops fig.s LCY'!AF43</f>
        <v>-12500000</v>
      </c>
      <c r="BF45" s="213">
        <f>'Key financial and ops fig.s LCY'!AG43</f>
        <v>-50000000</v>
      </c>
      <c r="BG45" s="185">
        <f>'Alt. scenario LCY'!AC43</f>
        <v>-12500000</v>
      </c>
      <c r="BH45" s="185">
        <f>'Alt. scenario LCY'!AD43</f>
        <v>-12500000</v>
      </c>
      <c r="BI45" s="185">
        <f>'Alt. scenario LCY'!AE43</f>
        <v>-12500000</v>
      </c>
      <c r="BJ45" s="185">
        <f>'Alt. scenario LCY'!AF43</f>
        <v>-12500000</v>
      </c>
      <c r="BK45" s="230">
        <f>'Alt. scenario LCY'!AG43</f>
        <v>-50000000</v>
      </c>
      <c r="BL45" s="63">
        <f>'Key financial and ops fig.s LCY'!AH43</f>
        <v>-12500000</v>
      </c>
      <c r="BM45" s="64">
        <f>'Key financial and ops fig.s LCY'!AI43</f>
        <v>-12500000</v>
      </c>
      <c r="BN45" s="64">
        <f>'Key financial and ops fig.s LCY'!AJ43</f>
        <v>-12500000</v>
      </c>
      <c r="BO45" s="108">
        <f>'Key financial and ops fig.s LCY'!AK43</f>
        <v>-12500000</v>
      </c>
      <c r="BP45" s="213">
        <f>'Key financial and ops fig.s LCY'!AL43</f>
        <v>-50000000</v>
      </c>
      <c r="BQ45" s="185">
        <f>'Alt. scenario LCY'!AH43</f>
        <v>-12500000</v>
      </c>
      <c r="BR45" s="185">
        <f>'Alt. scenario LCY'!AI43</f>
        <v>-12500000</v>
      </c>
      <c r="BS45" s="185">
        <f>'Alt. scenario LCY'!AJ43</f>
        <v>-12500000</v>
      </c>
      <c r="BT45" s="185">
        <f>'Alt. scenario LCY'!AK43</f>
        <v>-12500000</v>
      </c>
      <c r="BU45" s="230">
        <f>'Alt. scenario LCY'!AL43</f>
        <v>-50000000</v>
      </c>
    </row>
    <row r="46" spans="1:73" ht="17.100000000000001" hidden="1" outlineLevel="1" thickBot="1">
      <c r="A46" s="31"/>
      <c r="B46" s="34" t="s">
        <v>285</v>
      </c>
      <c r="D46" s="184">
        <f>'Key financial and ops fig.s LCY'!D44</f>
        <v>-124967781.25</v>
      </c>
      <c r="E46" s="184">
        <f>'Key financial and ops fig.s LCY'!E44</f>
        <v>-108076125</v>
      </c>
      <c r="F46" s="184">
        <f>'Key financial and ops fig.s LCY'!F44</f>
        <v>-95555031.25</v>
      </c>
      <c r="G46" s="184">
        <f>'Key financial and ops fig.s LCY'!G44</f>
        <v>-83019500</v>
      </c>
      <c r="H46" s="214">
        <f>'Key financial and ops fig.s LCY'!H44</f>
        <v>-411618437.5</v>
      </c>
      <c r="I46" s="184">
        <f>'Alt. scenario LCY'!D44</f>
        <v>-124967781.25</v>
      </c>
      <c r="J46" s="184">
        <f>'Alt. scenario LCY'!E44</f>
        <v>-108076125</v>
      </c>
      <c r="K46" s="184">
        <f>'Alt. scenario LCY'!F44</f>
        <v>-95555031.25</v>
      </c>
      <c r="L46" s="184">
        <f>'Alt. scenario LCY'!G44</f>
        <v>-83019500</v>
      </c>
      <c r="M46" s="231">
        <f>'Alt. scenario LCY'!H44</f>
        <v>-411618437.5</v>
      </c>
      <c r="N46" s="184">
        <f>'Key financial and ops fig.s LCY'!I44</f>
        <v>-70469531.25</v>
      </c>
      <c r="O46" s="184">
        <f>'Key financial and ops fig.s LCY'!J44</f>
        <v>-57905125</v>
      </c>
      <c r="P46" s="184">
        <f>'Key financial and ops fig.s LCY'!K44</f>
        <v>-45326281.25</v>
      </c>
      <c r="Q46" s="184">
        <f>'Key financial and ops fig.s LCY'!L44</f>
        <v>-39853000</v>
      </c>
      <c r="R46" s="214">
        <f>'Key financial and ops fig.s LCY'!M44</f>
        <v>-213553937.5</v>
      </c>
      <c r="S46" s="184">
        <f>'Alt. scenario LCY'!I44</f>
        <v>-70469531.25</v>
      </c>
      <c r="T46" s="184">
        <f>'Alt. scenario LCY'!J44</f>
        <v>-57905125</v>
      </c>
      <c r="U46" s="184">
        <f>'Alt. scenario LCY'!K44</f>
        <v>-45326281.25</v>
      </c>
      <c r="V46" s="184">
        <f>'Alt. scenario LCY'!L44</f>
        <v>-39853000</v>
      </c>
      <c r="W46" s="231">
        <f>'Alt. scenario LCY'!M44</f>
        <v>-213553937.5</v>
      </c>
      <c r="X46" s="184">
        <f>'Key financial and ops fig.s LCY'!N44</f>
        <v>-42260281.25</v>
      </c>
      <c r="Y46" s="184">
        <f>'Key financial and ops fig.s LCY'!O44</f>
        <v>-44653125</v>
      </c>
      <c r="Z46" s="184">
        <f>'Key financial and ops fig.s LCY'!P44</f>
        <v>-47031531.25</v>
      </c>
      <c r="AA46" s="184">
        <f>'Key financial and ops fig.s LCY'!Q44</f>
        <v>-49395500</v>
      </c>
      <c r="AB46" s="214">
        <f>'Key financial and ops fig.s LCY'!R44</f>
        <v>-183340437.5</v>
      </c>
      <c r="AC46" s="184">
        <f>'Alt. scenario LCY'!N44</f>
        <v>-42260281.25</v>
      </c>
      <c r="AD46" s="184">
        <f>'Alt. scenario LCY'!O44</f>
        <v>-44653125</v>
      </c>
      <c r="AE46" s="184">
        <f>'Alt. scenario LCY'!P44</f>
        <v>-47031531.25</v>
      </c>
      <c r="AF46" s="184">
        <f>'Alt. scenario LCY'!Q44</f>
        <v>-49395500</v>
      </c>
      <c r="AG46" s="231">
        <f>'Alt. scenario LCY'!R44</f>
        <v>-183340437.5</v>
      </c>
      <c r="AH46" s="184">
        <f>'Key financial and ops fig.s LCY'!S44</f>
        <v>-51745031.25</v>
      </c>
      <c r="AI46" s="184">
        <f>'Key financial and ops fig.s LCY'!T44</f>
        <v>-54080125</v>
      </c>
      <c r="AJ46" s="184">
        <f>'Key financial and ops fig.s LCY'!U44</f>
        <v>-56400781.25</v>
      </c>
      <c r="AK46" s="184">
        <f>'Key financial and ops fig.s LCY'!V44</f>
        <v>-58707000</v>
      </c>
      <c r="AL46" s="214">
        <f>'Key financial and ops fig.s LCY'!W44</f>
        <v>-220932937.5</v>
      </c>
      <c r="AM46" s="184">
        <f>'Alt. scenario LCY'!S44</f>
        <v>-51745031.25</v>
      </c>
      <c r="AN46" s="184">
        <f>'Alt. scenario LCY'!T44</f>
        <v>-54080125</v>
      </c>
      <c r="AO46" s="184">
        <f>'Alt. scenario LCY'!U44</f>
        <v>-56400781.25</v>
      </c>
      <c r="AP46" s="184">
        <f>'Alt. scenario LCY'!V44</f>
        <v>-58707000</v>
      </c>
      <c r="AQ46" s="231">
        <f>'Alt. scenario LCY'!W44</f>
        <v>-220932937.5</v>
      </c>
      <c r="AR46" s="184">
        <f>'Key financial and ops fig.s LCY'!X44</f>
        <v>-60998781.25</v>
      </c>
      <c r="AS46" s="184">
        <f>'Key financial and ops fig.s LCY'!Y44</f>
        <v>-63276125</v>
      </c>
      <c r="AT46" s="184">
        <f>'Key financial and ops fig.s LCY'!Z44</f>
        <v>-65539031.25</v>
      </c>
      <c r="AU46" s="184">
        <f>'Key financial and ops fig.s LCY'!AA44</f>
        <v>-67787500</v>
      </c>
      <c r="AV46" s="214">
        <f>'Key financial and ops fig.s LCY'!AB44</f>
        <v>-257601437.5</v>
      </c>
      <c r="AW46" s="184">
        <f>'Alt. scenario LCY'!X44</f>
        <v>-60998781.25</v>
      </c>
      <c r="AX46" s="184">
        <f>'Alt. scenario LCY'!Y44</f>
        <v>-63276125</v>
      </c>
      <c r="AY46" s="184">
        <f>'Alt. scenario LCY'!Z44</f>
        <v>-65539031.25</v>
      </c>
      <c r="AZ46" s="184">
        <f>'Alt. scenario LCY'!AA44</f>
        <v>-67787500</v>
      </c>
      <c r="BA46" s="231">
        <f>'Alt. scenario LCY'!AB44</f>
        <v>-257601437.5</v>
      </c>
      <c r="BB46" s="184">
        <f>'Key financial and ops fig.s LCY'!AC44</f>
        <v>-61443125</v>
      </c>
      <c r="BC46" s="184">
        <f>'Key financial and ops fig.s LCY'!AD44</f>
        <v>-59923750</v>
      </c>
      <c r="BD46" s="184">
        <f>'Key financial and ops fig.s LCY'!AE44</f>
        <v>-59779375</v>
      </c>
      <c r="BE46" s="184">
        <f>'Key financial and ops fig.s LCY'!AF44</f>
        <v>-59635000</v>
      </c>
      <c r="BF46" s="214">
        <f>'Key financial and ops fig.s LCY'!AG44</f>
        <v>-240781250</v>
      </c>
      <c r="BG46" s="184">
        <f>'Alt. scenario LCY'!AC44</f>
        <v>-61443125</v>
      </c>
      <c r="BH46" s="184">
        <f>'Alt. scenario LCY'!AD44</f>
        <v>-59923750</v>
      </c>
      <c r="BI46" s="184">
        <f>'Alt. scenario LCY'!AE44</f>
        <v>-59779375</v>
      </c>
      <c r="BJ46" s="184">
        <f>'Alt. scenario LCY'!AF44</f>
        <v>-59635000</v>
      </c>
      <c r="BK46" s="231">
        <f>'Alt. scenario LCY'!AG44</f>
        <v>-240781250</v>
      </c>
      <c r="BL46" s="142">
        <f>'Key financial and ops fig.s LCY'!AH44</f>
        <v>-59490625</v>
      </c>
      <c r="BM46" s="143">
        <f>'Key financial and ops fig.s LCY'!AI44</f>
        <v>-59346250</v>
      </c>
      <c r="BN46" s="143">
        <f>'Key financial and ops fig.s LCY'!AJ44</f>
        <v>-59201875</v>
      </c>
      <c r="BO46" s="144">
        <f>'Key financial and ops fig.s LCY'!AK44</f>
        <v>-59057500</v>
      </c>
      <c r="BP46" s="214">
        <f>'Key financial and ops fig.s LCY'!AL44</f>
        <v>-237096250</v>
      </c>
      <c r="BQ46" s="184">
        <f>'Alt. scenario LCY'!AH44</f>
        <v>-59490625</v>
      </c>
      <c r="BR46" s="184">
        <f>'Alt. scenario LCY'!AI44</f>
        <v>-59346250</v>
      </c>
      <c r="BS46" s="184">
        <f>'Alt. scenario LCY'!AJ44</f>
        <v>-59201875</v>
      </c>
      <c r="BT46" s="184">
        <f>'Alt. scenario LCY'!AK44</f>
        <v>-59057500</v>
      </c>
      <c r="BU46" s="231">
        <f>'Alt. scenario LCY'!AL44</f>
        <v>-237096250</v>
      </c>
    </row>
    <row r="47" spans="1:73" ht="17.100000000000001" collapsed="1" thickBot="1">
      <c r="A47" s="36" t="s">
        <v>286</v>
      </c>
      <c r="B47" s="37"/>
      <c r="C47" s="38"/>
      <c r="D47" s="53">
        <f>'Key financial and ops fig.s LCY'!D45</f>
        <v>-84440721.205357134</v>
      </c>
      <c r="E47" s="53">
        <f>'Key financial and ops fig.s LCY'!E45</f>
        <v>-37794353.571428567</v>
      </c>
      <c r="F47" s="53">
        <f>'Key financial and ops fig.s LCY'!F45</f>
        <v>4019848.4375</v>
      </c>
      <c r="G47" s="53">
        <f>'Key financial and ops fig.s LCY'!G45</f>
        <v>44256527.678571433</v>
      </c>
      <c r="H47" s="215">
        <f>'Key financial and ops fig.s LCY'!H45</f>
        <v>-73958698.660714269</v>
      </c>
      <c r="I47" s="53">
        <f>'Alt. scenario LCY'!D45</f>
        <v>-84440721.205357134</v>
      </c>
      <c r="J47" s="53">
        <f>'Alt. scenario LCY'!E45</f>
        <v>-37794353.571428567</v>
      </c>
      <c r="K47" s="53">
        <f>'Alt. scenario LCY'!F45</f>
        <v>4019848.4375</v>
      </c>
      <c r="L47" s="53">
        <f>'Alt. scenario LCY'!G45</f>
        <v>44256527.678571433</v>
      </c>
      <c r="M47" s="232">
        <f>'Alt. scenario LCY'!H45</f>
        <v>-73958698.660714269</v>
      </c>
      <c r="N47" s="53">
        <f>'Key financial and ops fig.s LCY'!I45</f>
        <v>85051398.4375</v>
      </c>
      <c r="O47" s="53">
        <f>'Key financial and ops fig.s LCY'!J45</f>
        <v>125524103.57142857</v>
      </c>
      <c r="P47" s="53">
        <f>'Key financial and ops fig.s LCY'!K45</f>
        <v>165930000.2232143</v>
      </c>
      <c r="Q47" s="53">
        <f>'Key financial and ops fig.s LCY'!L45</f>
        <v>198768731.25</v>
      </c>
      <c r="R47" s="215">
        <f>'Key financial and ops fig.s LCY'!M45</f>
        <v>575274233.48214293</v>
      </c>
      <c r="S47" s="53">
        <f>'Alt. scenario LCY'!I45</f>
        <v>85051398.4375</v>
      </c>
      <c r="T47" s="53">
        <f>'Alt. scenario LCY'!J45</f>
        <v>125524103.57142857</v>
      </c>
      <c r="U47" s="53">
        <f>'Alt. scenario LCY'!K45</f>
        <v>165930000.2232143</v>
      </c>
      <c r="V47" s="53">
        <f>'Alt. scenario LCY'!L45</f>
        <v>198768731.25</v>
      </c>
      <c r="W47" s="232">
        <f>'Alt. scenario LCY'!M45</f>
        <v>575274233.48214293</v>
      </c>
      <c r="X47" s="53">
        <f>'Key financial and ops fig.s LCY'!N45</f>
        <v>222884939.50892857</v>
      </c>
      <c r="Y47" s="53">
        <f>'Key financial and ops fig.s LCY'!O45</f>
        <v>246934339.28571427</v>
      </c>
      <c r="Z47" s="53">
        <f>'Key financial and ops fig.s LCY'!P45</f>
        <v>270031216.29464287</v>
      </c>
      <c r="AA47" s="53">
        <f>'Key financial and ops fig.s LCY'!Q45</f>
        <v>293186284.8214286</v>
      </c>
      <c r="AB47" s="215">
        <f>'Key financial and ops fig.s LCY'!R45</f>
        <v>1033036779.9107141</v>
      </c>
      <c r="AC47" s="53">
        <f>'Alt. scenario LCY'!N45</f>
        <v>222884939.50892857</v>
      </c>
      <c r="AD47" s="53">
        <f>'Alt. scenario LCY'!O45</f>
        <v>246934339.28571427</v>
      </c>
      <c r="AE47" s="53">
        <f>'Alt. scenario LCY'!P45</f>
        <v>270031216.29464287</v>
      </c>
      <c r="AF47" s="53">
        <f>'Alt. scenario LCY'!Q45</f>
        <v>293186284.8214286</v>
      </c>
      <c r="AG47" s="232">
        <f>'Alt. scenario LCY'!R45</f>
        <v>1033036779.9107141</v>
      </c>
      <c r="AH47" s="53">
        <f>'Key financial and ops fig.s LCY'!S45</f>
        <v>316274544.8660714</v>
      </c>
      <c r="AI47" s="53">
        <f>'Key financial and ops fig.s LCY'!T45</f>
        <v>338535282.14285713</v>
      </c>
      <c r="AJ47" s="53">
        <f>'Key financial and ops fig.s LCY'!U45</f>
        <v>360348853.79464287</v>
      </c>
      <c r="AK47" s="53">
        <f>'Key financial and ops fig.s LCY'!V45</f>
        <v>381715259.8214286</v>
      </c>
      <c r="AL47" s="215">
        <f>'Key financial and ops fig.s LCY'!W45</f>
        <v>1396873940.625</v>
      </c>
      <c r="AM47" s="53">
        <f>'Alt. scenario LCY'!S45</f>
        <v>316274544.8660714</v>
      </c>
      <c r="AN47" s="53">
        <f>'Alt. scenario LCY'!T45</f>
        <v>338535282.14285713</v>
      </c>
      <c r="AO47" s="53">
        <f>'Alt. scenario LCY'!U45</f>
        <v>360348853.79464287</v>
      </c>
      <c r="AP47" s="53">
        <f>'Alt. scenario LCY'!V45</f>
        <v>381715259.8214286</v>
      </c>
      <c r="AQ47" s="232">
        <f>'Alt. scenario LCY'!W45</f>
        <v>1396873940.625</v>
      </c>
      <c r="AR47" s="53">
        <f>'Key financial and ops fig.s LCY'!X45</f>
        <v>403014857.3660714</v>
      </c>
      <c r="AS47" s="53">
        <f>'Key financial and ops fig.s LCY'!Y45</f>
        <v>424997646.4285714</v>
      </c>
      <c r="AT47" s="53">
        <f>'Key financial and ops fig.s LCY'!Z45</f>
        <v>445402912.72321427</v>
      </c>
      <c r="AU47" s="53">
        <f>'Key financial and ops fig.s LCY'!AA45</f>
        <v>464980656.25</v>
      </c>
      <c r="AV47" s="215">
        <f>'Key financial and ops fig.s LCY'!AB45</f>
        <v>1738396072.7678571</v>
      </c>
      <c r="AW47" s="53">
        <f>'Alt. scenario LCY'!X45</f>
        <v>403014857.3660714</v>
      </c>
      <c r="AX47" s="53">
        <f>'Alt. scenario LCY'!Y45</f>
        <v>424997646.4285714</v>
      </c>
      <c r="AY47" s="53">
        <f>'Alt. scenario LCY'!Z45</f>
        <v>445402912.72321427</v>
      </c>
      <c r="AZ47" s="53">
        <f>'Alt. scenario LCY'!AA45</f>
        <v>464980656.25</v>
      </c>
      <c r="BA47" s="232">
        <f>'Alt. scenario LCY'!AB45</f>
        <v>1738396072.7678571</v>
      </c>
      <c r="BB47" s="53">
        <f>'Key financial and ops fig.s LCY'!AC45</f>
        <v>444877450.89285713</v>
      </c>
      <c r="BC47" s="53">
        <f>'Key financial and ops fig.s LCY'!AD45</f>
        <v>444534366.0714286</v>
      </c>
      <c r="BD47" s="53">
        <f>'Key financial and ops fig.s LCY'!AE45</f>
        <v>440443066.96428573</v>
      </c>
      <c r="BE47" s="53">
        <f>'Key financial and ops fig.s LCY'!AF45</f>
        <v>435971410.71428573</v>
      </c>
      <c r="BF47" s="215">
        <f>'Key financial and ops fig.s LCY'!AG45</f>
        <v>1765826294.6428571</v>
      </c>
      <c r="BG47" s="53">
        <f>'Alt. scenario LCY'!AC45</f>
        <v>444877450.89285713</v>
      </c>
      <c r="BH47" s="53">
        <f>'Alt. scenario LCY'!AD45</f>
        <v>444534366.0714286</v>
      </c>
      <c r="BI47" s="53">
        <f>'Alt. scenario LCY'!AE45</f>
        <v>440443066.96428573</v>
      </c>
      <c r="BJ47" s="53">
        <f>'Alt. scenario LCY'!AF45</f>
        <v>435971410.71428573</v>
      </c>
      <c r="BK47" s="232">
        <f>'Alt. scenario LCY'!AG45</f>
        <v>1765826294.6428571</v>
      </c>
      <c r="BL47" s="52">
        <f>'Key financial and ops fig.s LCY'!AH45</f>
        <v>433390825.89285713</v>
      </c>
      <c r="BM47" s="52">
        <f>'Key financial and ops fig.s LCY'!AI45</f>
        <v>429299526.78571427</v>
      </c>
      <c r="BN47" s="52">
        <f>'Key financial and ops fig.s LCY'!AJ45</f>
        <v>424827870.53571427</v>
      </c>
      <c r="BO47" s="52">
        <f>'Key financial and ops fig.s LCY'!AK45</f>
        <v>421241928.5714286</v>
      </c>
      <c r="BP47" s="215">
        <f>'Key financial and ops fig.s LCY'!AL45</f>
        <v>1708760151.7857144</v>
      </c>
      <c r="BQ47" s="53">
        <f>'Alt. scenario LCY'!AH45</f>
        <v>433390825.89285713</v>
      </c>
      <c r="BR47" s="53">
        <f>'Alt. scenario LCY'!AI45</f>
        <v>429299526.78571427</v>
      </c>
      <c r="BS47" s="53">
        <f>'Alt. scenario LCY'!AJ45</f>
        <v>424827870.53571427</v>
      </c>
      <c r="BT47" s="53">
        <f>'Alt. scenario LCY'!AK45</f>
        <v>421241928.5714286</v>
      </c>
      <c r="BU47" s="232">
        <f>'Alt. scenario LCY'!AL45</f>
        <v>1708760151.7857144</v>
      </c>
    </row>
    <row r="48" spans="1:73" ht="15.95" hidden="1" outlineLevel="2">
      <c r="A48" s="31"/>
      <c r="C48" s="33" t="s">
        <v>287</v>
      </c>
      <c r="D48" s="46"/>
      <c r="E48" s="47"/>
      <c r="F48" s="47"/>
      <c r="G48" s="47"/>
      <c r="H48" s="216"/>
      <c r="I48" s="46"/>
      <c r="J48" s="47"/>
      <c r="K48" s="47"/>
      <c r="L48" s="47"/>
      <c r="M48" s="233"/>
      <c r="N48" s="46"/>
      <c r="O48" s="47"/>
      <c r="P48" s="47"/>
      <c r="Q48" s="47"/>
      <c r="R48" s="216"/>
      <c r="S48" s="46"/>
      <c r="T48" s="47"/>
      <c r="U48" s="47"/>
      <c r="V48" s="47"/>
      <c r="W48" s="233"/>
      <c r="X48" s="46"/>
      <c r="Y48" s="47"/>
      <c r="Z48" s="47"/>
      <c r="AA48" s="47"/>
      <c r="AB48" s="216"/>
      <c r="AC48" s="46"/>
      <c r="AD48" s="47"/>
      <c r="AE48" s="47"/>
      <c r="AF48" s="47"/>
      <c r="AG48" s="233"/>
      <c r="AH48" s="46"/>
      <c r="AI48" s="47"/>
      <c r="AJ48" s="47"/>
      <c r="AK48" s="47"/>
      <c r="AL48" s="216"/>
      <c r="AM48" s="46"/>
      <c r="AN48" s="47"/>
      <c r="AO48" s="47"/>
      <c r="AP48" s="47"/>
      <c r="AQ48" s="233"/>
      <c r="AR48" s="46"/>
      <c r="AS48" s="47"/>
      <c r="AT48" s="47"/>
      <c r="AU48" s="47"/>
      <c r="AV48" s="216"/>
      <c r="AW48" s="46"/>
      <c r="AX48" s="47"/>
      <c r="AY48" s="47"/>
      <c r="AZ48" s="47"/>
      <c r="BA48" s="233"/>
      <c r="BB48" s="46"/>
      <c r="BC48" s="47"/>
      <c r="BD48" s="47"/>
      <c r="BE48" s="47"/>
      <c r="BF48" s="216"/>
      <c r="BG48" s="46"/>
      <c r="BH48" s="47"/>
      <c r="BI48" s="47"/>
      <c r="BJ48" s="47"/>
      <c r="BK48" s="233"/>
      <c r="BL48" s="46"/>
      <c r="BM48" s="47"/>
      <c r="BN48" s="47"/>
      <c r="BO48" s="47"/>
      <c r="BP48" s="216"/>
      <c r="BQ48" s="46"/>
      <c r="BR48" s="47"/>
      <c r="BS48" s="47"/>
      <c r="BT48" s="47"/>
      <c r="BU48" s="233"/>
    </row>
    <row r="49" spans="1:73" ht="15.95" hidden="1" outlineLevel="1">
      <c r="A49" s="31"/>
      <c r="B49" s="34" t="s">
        <v>287</v>
      </c>
      <c r="C49" s="35"/>
      <c r="D49" s="49"/>
      <c r="E49" s="50"/>
      <c r="F49" s="50"/>
      <c r="G49" s="50"/>
      <c r="H49" s="217">
        <f>'Key financial and ops fig.s LCY'!H47</f>
        <v>0</v>
      </c>
      <c r="I49" s="49"/>
      <c r="J49" s="50"/>
      <c r="K49" s="50"/>
      <c r="L49" s="50"/>
      <c r="M49" s="234">
        <f>'Alt. scenario LCY'!H47</f>
        <v>0</v>
      </c>
      <c r="N49" s="49"/>
      <c r="O49" s="50"/>
      <c r="P49" s="50"/>
      <c r="Q49" s="50"/>
      <c r="R49" s="217">
        <f>'Key financial and ops fig.s LCY'!M47</f>
        <v>-57527423.348214298</v>
      </c>
      <c r="S49" s="49"/>
      <c r="T49" s="50"/>
      <c r="U49" s="50"/>
      <c r="V49" s="50"/>
      <c r="W49" s="234">
        <f>'Alt. scenario LCY'!M47</f>
        <v>-57527423.348214298</v>
      </c>
      <c r="X49" s="49"/>
      <c r="Y49" s="50"/>
      <c r="Z49" s="50"/>
      <c r="AA49" s="50"/>
      <c r="AB49" s="217">
        <f>'Key financial and ops fig.s LCY'!R47</f>
        <v>-103303677.99107142</v>
      </c>
      <c r="AC49" s="49"/>
      <c r="AD49" s="50"/>
      <c r="AE49" s="50"/>
      <c r="AF49" s="50"/>
      <c r="AG49" s="234">
        <f>'Alt. scenario LCY'!R47</f>
        <v>-103303677.99107142</v>
      </c>
      <c r="AH49" s="49"/>
      <c r="AI49" s="50"/>
      <c r="AJ49" s="50"/>
      <c r="AK49" s="50"/>
      <c r="AL49" s="217">
        <f>'Key financial and ops fig.s LCY'!W47</f>
        <v>-139687394.0625</v>
      </c>
      <c r="AM49" s="49"/>
      <c r="AN49" s="50"/>
      <c r="AO49" s="50"/>
      <c r="AP49" s="50"/>
      <c r="AQ49" s="234">
        <f>'Alt. scenario LCY'!W47</f>
        <v>-139687394.0625</v>
      </c>
      <c r="AR49" s="49"/>
      <c r="AS49" s="50"/>
      <c r="AT49" s="50"/>
      <c r="AU49" s="50"/>
      <c r="AV49" s="217">
        <f>'Key financial and ops fig.s LCY'!AB47</f>
        <v>-173839607.27678573</v>
      </c>
      <c r="AW49" s="49"/>
      <c r="AX49" s="50"/>
      <c r="AY49" s="50"/>
      <c r="AZ49" s="50"/>
      <c r="BA49" s="234">
        <f>'Alt. scenario LCY'!AB47</f>
        <v>-173839607.27678573</v>
      </c>
      <c r="BB49" s="49"/>
      <c r="BC49" s="50"/>
      <c r="BD49" s="50"/>
      <c r="BE49" s="50"/>
      <c r="BF49" s="217">
        <f>'Key financial and ops fig.s LCY'!AG47</f>
        <v>-176582629.46428573</v>
      </c>
      <c r="BG49" s="49">
        <f>'Alt. scenario LCY'!AC47</f>
        <v>0</v>
      </c>
      <c r="BH49" s="50">
        <f>'Alt. scenario LCY'!AD47</f>
        <v>0</v>
      </c>
      <c r="BI49" s="50">
        <f>'Alt. scenario LCY'!AE47</f>
        <v>0</v>
      </c>
      <c r="BJ49" s="50">
        <f>'Alt. scenario LCY'!AF47</f>
        <v>0</v>
      </c>
      <c r="BK49" s="234">
        <f>'Alt. scenario LCY'!AG47</f>
        <v>-176582629.46428573</v>
      </c>
      <c r="BL49" s="49">
        <f>'Key financial and ops fig.s LCY'!AH47</f>
        <v>0</v>
      </c>
      <c r="BM49" s="50">
        <f>'Key financial and ops fig.s LCY'!AI47</f>
        <v>0</v>
      </c>
      <c r="BN49" s="50">
        <f>'Key financial and ops fig.s LCY'!AJ47</f>
        <v>0</v>
      </c>
      <c r="BO49" s="50">
        <f>'Key financial and ops fig.s LCY'!AK47</f>
        <v>0</v>
      </c>
      <c r="BP49" s="217">
        <f>'Key financial and ops fig.s LCY'!AL47</f>
        <v>-170876015.17857146</v>
      </c>
      <c r="BQ49" s="49"/>
      <c r="BR49" s="50"/>
      <c r="BS49" s="50"/>
      <c r="BT49" s="50"/>
      <c r="BU49" s="234">
        <f>'Alt. scenario LCY'!AL47</f>
        <v>-170876015.17857146</v>
      </c>
    </row>
    <row r="50" spans="1:73" ht="17.100000000000001" collapsed="1" thickBot="1">
      <c r="A50" s="39" t="s">
        <v>288</v>
      </c>
      <c r="B50" s="40"/>
      <c r="C50" s="41"/>
      <c r="D50" s="52"/>
      <c r="E50" s="45"/>
      <c r="F50" s="45"/>
      <c r="G50" s="45"/>
      <c r="H50" s="218">
        <f>'Key financial and ops fig.s LCY'!H48</f>
        <v>-73958698.660714269</v>
      </c>
      <c r="I50" s="52"/>
      <c r="J50" s="45"/>
      <c r="K50" s="45"/>
      <c r="L50" s="45"/>
      <c r="M50" s="235">
        <f>'Alt. scenario LCY'!H48</f>
        <v>-73958698.660714269</v>
      </c>
      <c r="N50" s="52"/>
      <c r="O50" s="45"/>
      <c r="P50" s="45"/>
      <c r="Q50" s="45"/>
      <c r="R50" s="218">
        <f>'Key financial and ops fig.s LCY'!M48</f>
        <v>517746810.13392866</v>
      </c>
      <c r="S50" s="52"/>
      <c r="T50" s="45"/>
      <c r="U50" s="45"/>
      <c r="V50" s="45"/>
      <c r="W50" s="235">
        <f>'Alt. scenario LCY'!M48</f>
        <v>517746810.13392866</v>
      </c>
      <c r="X50" s="52"/>
      <c r="Y50" s="45"/>
      <c r="Z50" s="45"/>
      <c r="AA50" s="45"/>
      <c r="AB50" s="218">
        <f>'Key financial and ops fig.s LCY'!R48</f>
        <v>929733101.91964269</v>
      </c>
      <c r="AC50" s="52"/>
      <c r="AD50" s="45"/>
      <c r="AE50" s="45"/>
      <c r="AF50" s="45"/>
      <c r="AG50" s="235">
        <f>'Alt. scenario LCY'!R48</f>
        <v>929733101.91964269</v>
      </c>
      <c r="AH50" s="52"/>
      <c r="AI50" s="45"/>
      <c r="AJ50" s="45"/>
      <c r="AK50" s="45"/>
      <c r="AL50" s="218">
        <f>'Key financial and ops fig.s LCY'!W48</f>
        <v>1257186546.5625</v>
      </c>
      <c r="AM50" s="52"/>
      <c r="AN50" s="45"/>
      <c r="AO50" s="45"/>
      <c r="AP50" s="45"/>
      <c r="AQ50" s="235">
        <f>'Alt. scenario LCY'!W48</f>
        <v>1257186546.5625</v>
      </c>
      <c r="AR50" s="52"/>
      <c r="AS50" s="45"/>
      <c r="AT50" s="45"/>
      <c r="AU50" s="45"/>
      <c r="AV50" s="218">
        <f>'Key financial and ops fig.s LCY'!AB48</f>
        <v>1564556465.4910712</v>
      </c>
      <c r="AW50" s="52"/>
      <c r="AX50" s="45"/>
      <c r="AY50" s="45"/>
      <c r="AZ50" s="45"/>
      <c r="BA50" s="235">
        <f>'Alt. scenario LCY'!AB48</f>
        <v>1564556465.4910712</v>
      </c>
      <c r="BB50" s="52"/>
      <c r="BC50" s="45"/>
      <c r="BD50" s="45"/>
      <c r="BE50" s="45"/>
      <c r="BF50" s="218">
        <f>'Key financial and ops fig.s LCY'!AG48</f>
        <v>1589243665.1785712</v>
      </c>
      <c r="BG50" s="52">
        <f>'Alt. scenario LCY'!AC48</f>
        <v>0</v>
      </c>
      <c r="BH50" s="45">
        <f>'Alt. scenario LCY'!AD48</f>
        <v>0</v>
      </c>
      <c r="BI50" s="45">
        <f>'Alt. scenario LCY'!AE48</f>
        <v>0</v>
      </c>
      <c r="BJ50" s="45">
        <f>'Alt. scenario LCY'!AF48</f>
        <v>0</v>
      </c>
      <c r="BK50" s="235">
        <f>'Alt. scenario LCY'!AG48</f>
        <v>1589243665.1785712</v>
      </c>
      <c r="BL50" s="52">
        <f>'Key financial and ops fig.s LCY'!AH48</f>
        <v>0</v>
      </c>
      <c r="BM50" s="45">
        <f>'Key financial and ops fig.s LCY'!AI48</f>
        <v>0</v>
      </c>
      <c r="BN50" s="45">
        <f>'Key financial and ops fig.s LCY'!AJ48</f>
        <v>0</v>
      </c>
      <c r="BO50" s="45">
        <f>'Key financial and ops fig.s LCY'!AK48</f>
        <v>0</v>
      </c>
      <c r="BP50" s="218">
        <f>'Key financial and ops fig.s LCY'!AL48</f>
        <v>1537884136.6071429</v>
      </c>
      <c r="BQ50" s="52"/>
      <c r="BR50" s="45"/>
      <c r="BS50" s="45"/>
      <c r="BT50" s="45"/>
      <c r="BU50" s="235">
        <f>'Alt. scenario LCY'!AL48</f>
        <v>1537884136.6071429</v>
      </c>
    </row>
    <row r="51" spans="1:73" ht="18.95">
      <c r="A51" s="42" t="s">
        <v>289</v>
      </c>
      <c r="B51" s="42"/>
      <c r="C51" s="42"/>
      <c r="D51" s="54"/>
      <c r="E51" s="54"/>
      <c r="F51" s="54"/>
      <c r="G51" s="54"/>
      <c r="H51" s="219">
        <f>'Key financial and ops fig.s LCY'!H49</f>
        <v>-73958698.660714269</v>
      </c>
      <c r="I51" s="54"/>
      <c r="J51" s="54"/>
      <c r="K51" s="54"/>
      <c r="L51" s="54"/>
      <c r="M51" s="236">
        <f>'Alt. scenario LCY'!H49</f>
        <v>-73958698.660714269</v>
      </c>
      <c r="N51" s="54"/>
      <c r="O51" s="54"/>
      <c r="P51" s="54"/>
      <c r="Q51" s="54"/>
      <c r="R51" s="219">
        <f>'Key financial and ops fig.s LCY'!M49</f>
        <v>443788111.47321439</v>
      </c>
      <c r="S51" s="54"/>
      <c r="T51" s="54"/>
      <c r="U51" s="54"/>
      <c r="V51" s="54"/>
      <c r="W51" s="236">
        <f>'Alt. scenario LCY'!M49</f>
        <v>443788111.47321439</v>
      </c>
      <c r="X51" s="54"/>
      <c r="Y51" s="54"/>
      <c r="Z51" s="54"/>
      <c r="AA51" s="54"/>
      <c r="AB51" s="219">
        <f>'Key financial and ops fig.s LCY'!R49</f>
        <v>1373521213.3928571</v>
      </c>
      <c r="AC51" s="54"/>
      <c r="AD51" s="54"/>
      <c r="AE51" s="54"/>
      <c r="AF51" s="54"/>
      <c r="AG51" s="236">
        <f>'Alt. scenario LCY'!R49</f>
        <v>1373521213.3928571</v>
      </c>
      <c r="AH51" s="54"/>
      <c r="AI51" s="54"/>
      <c r="AJ51" s="54"/>
      <c r="AK51" s="54"/>
      <c r="AL51" s="219">
        <f>'Key financial and ops fig.s LCY'!W49</f>
        <v>2630707759.9553571</v>
      </c>
      <c r="AM51" s="54"/>
      <c r="AN51" s="54"/>
      <c r="AO51" s="54"/>
      <c r="AP51" s="54"/>
      <c r="AQ51" s="236">
        <f>'Alt. scenario LCY'!W49</f>
        <v>2630707759.9553571</v>
      </c>
      <c r="AR51" s="54"/>
      <c r="AS51" s="54"/>
      <c r="AT51" s="54"/>
      <c r="AU51" s="54"/>
      <c r="AV51" s="219">
        <f>'Key financial and ops fig.s LCY'!AB49</f>
        <v>4195264225.4464283</v>
      </c>
      <c r="AW51" s="54"/>
      <c r="AX51" s="54"/>
      <c r="AY51" s="54"/>
      <c r="AZ51" s="54"/>
      <c r="BA51" s="236">
        <f>'Alt. scenario LCY'!AB49</f>
        <v>4195264225.4464283</v>
      </c>
      <c r="BB51" s="54"/>
      <c r="BC51" s="54"/>
      <c r="BD51" s="54"/>
      <c r="BE51" s="54"/>
      <c r="BF51" s="219">
        <f>'Key financial and ops fig.s LCY'!AG49</f>
        <v>5784507890.625</v>
      </c>
      <c r="BG51" s="54">
        <f>'Alt. scenario LCY'!AC49</f>
        <v>0</v>
      </c>
      <c r="BH51" s="54">
        <f>'Alt. scenario LCY'!AD49</f>
        <v>0</v>
      </c>
      <c r="BI51" s="54">
        <f>'Alt. scenario LCY'!AE49</f>
        <v>0</v>
      </c>
      <c r="BJ51" s="54">
        <f>'Alt. scenario LCY'!AF49</f>
        <v>0</v>
      </c>
      <c r="BK51" s="236">
        <f>'Alt. scenario LCY'!AG49</f>
        <v>5784507890.625</v>
      </c>
      <c r="BL51" s="54">
        <f>'Key financial and ops fig.s LCY'!AH49</f>
        <v>0</v>
      </c>
      <c r="BM51" s="54">
        <f>'Key financial and ops fig.s LCY'!AI49</f>
        <v>0</v>
      </c>
      <c r="BN51" s="54">
        <f>'Key financial and ops fig.s LCY'!AJ49</f>
        <v>0</v>
      </c>
      <c r="BO51" s="54">
        <f>'Key financial and ops fig.s LCY'!AK49</f>
        <v>0</v>
      </c>
      <c r="BP51" s="219">
        <f>'Key financial and ops fig.s LCY'!AL49</f>
        <v>7322392027.2321434</v>
      </c>
      <c r="BQ51" s="54"/>
      <c r="BR51" s="54"/>
      <c r="BS51" s="54"/>
      <c r="BT51" s="54"/>
      <c r="BU51" s="236">
        <f>'Alt. scenario LCY'!AL49</f>
        <v>7322392027.2321434</v>
      </c>
    </row>
    <row r="52" spans="1:73" ht="17.100000000000001" thickBot="1">
      <c r="A52" s="56"/>
      <c r="C52" s="56"/>
      <c r="D52" s="67"/>
      <c r="E52" s="67"/>
      <c r="F52" s="67"/>
      <c r="G52" s="67"/>
      <c r="H52" s="220"/>
      <c r="I52" s="67"/>
      <c r="J52" s="67"/>
      <c r="K52" s="67"/>
      <c r="L52" s="67"/>
      <c r="M52" s="237"/>
      <c r="N52" s="67"/>
      <c r="O52" s="67"/>
      <c r="P52" s="67"/>
      <c r="Q52" s="67"/>
      <c r="R52" s="220"/>
      <c r="S52" s="67"/>
      <c r="T52" s="67"/>
      <c r="U52" s="67"/>
      <c r="V52" s="67"/>
      <c r="W52" s="237"/>
      <c r="X52" s="67"/>
      <c r="Y52" s="67"/>
      <c r="Z52" s="67"/>
      <c r="AA52" s="67"/>
      <c r="AB52" s="220"/>
      <c r="AC52" s="67"/>
      <c r="AD52" s="67"/>
      <c r="AE52" s="67"/>
      <c r="AF52" s="67"/>
      <c r="AG52" s="237"/>
      <c r="AH52" s="67"/>
      <c r="AI52" s="67"/>
      <c r="AJ52" s="67"/>
      <c r="AK52" s="67"/>
      <c r="AL52" s="220"/>
      <c r="AM52" s="67"/>
      <c r="AN52" s="67"/>
      <c r="AO52" s="67"/>
      <c r="AP52" s="67"/>
      <c r="AQ52" s="237"/>
      <c r="AR52" s="67"/>
      <c r="AS52" s="67"/>
      <c r="AT52" s="67"/>
      <c r="AU52" s="67"/>
      <c r="AV52" s="220"/>
      <c r="AW52" s="67"/>
      <c r="AX52" s="67"/>
      <c r="AY52" s="67"/>
      <c r="AZ52" s="67"/>
      <c r="BA52" s="237"/>
      <c r="BB52" s="67"/>
      <c r="BC52" s="67"/>
      <c r="BD52" s="67"/>
      <c r="BE52" s="67"/>
      <c r="BF52" s="220"/>
      <c r="BG52" s="67"/>
      <c r="BH52" s="67"/>
      <c r="BI52" s="67"/>
      <c r="BJ52" s="67"/>
      <c r="BK52" s="237"/>
      <c r="BL52" s="67"/>
      <c r="BM52" s="67"/>
      <c r="BN52" s="67"/>
      <c r="BO52" s="67"/>
      <c r="BP52" s="220"/>
      <c r="BQ52" s="67"/>
      <c r="BR52" s="67"/>
      <c r="BS52" s="67"/>
      <c r="BT52" s="67"/>
      <c r="BU52" s="237"/>
    </row>
    <row r="53" spans="1:73" ht="35.1" thickBot="1">
      <c r="A53" s="28" t="s">
        <v>290</v>
      </c>
      <c r="B53" s="28"/>
      <c r="C53" s="28"/>
      <c r="D53" s="206" t="str">
        <f>D7</f>
        <v>Q1 Y1</v>
      </c>
      <c r="E53" s="207" t="str">
        <f t="shared" ref="E53:BP53" si="25">E7</f>
        <v>Q2 Y1</v>
      </c>
      <c r="F53" s="207" t="str">
        <f t="shared" si="25"/>
        <v>Q3 Y1</v>
      </c>
      <c r="G53" s="207" t="str">
        <f t="shared" si="25"/>
        <v>Q4 Y1</v>
      </c>
      <c r="H53" s="212" t="str">
        <f t="shared" si="25"/>
        <v>Y1</v>
      </c>
      <c r="I53" s="206" t="str">
        <f t="shared" si="25"/>
        <v>Alternative scenario for Q1 Y1</v>
      </c>
      <c r="J53" s="207" t="str">
        <f t="shared" si="25"/>
        <v>Alternative scenario for Q2 Y1</v>
      </c>
      <c r="K53" s="207" t="str">
        <f t="shared" si="25"/>
        <v>Alternative scenario for Q3 Y1</v>
      </c>
      <c r="L53" s="207" t="str">
        <f t="shared" si="25"/>
        <v>Alternative scenario for Q4 Y1</v>
      </c>
      <c r="M53" s="238" t="str">
        <f t="shared" si="25"/>
        <v>Alternative scenario for Y1</v>
      </c>
      <c r="N53" s="206" t="str">
        <f t="shared" si="25"/>
        <v>Q1 Y2</v>
      </c>
      <c r="O53" s="207" t="str">
        <f t="shared" si="25"/>
        <v>Q2 Y2</v>
      </c>
      <c r="P53" s="207" t="str">
        <f t="shared" si="25"/>
        <v>Q3 Y2</v>
      </c>
      <c r="Q53" s="207" t="str">
        <f t="shared" si="25"/>
        <v>Q4 Y2</v>
      </c>
      <c r="R53" s="212" t="str">
        <f t="shared" si="25"/>
        <v>Y2</v>
      </c>
      <c r="S53" s="206" t="str">
        <f t="shared" si="25"/>
        <v>Alternative scenario for Q1 Y2</v>
      </c>
      <c r="T53" s="207" t="str">
        <f t="shared" si="25"/>
        <v>Alternative scenario for Q2 Y2</v>
      </c>
      <c r="U53" s="207" t="str">
        <f t="shared" si="25"/>
        <v>Alternative scenario for Q3 Y2</v>
      </c>
      <c r="V53" s="207" t="str">
        <f t="shared" si="25"/>
        <v>Alternative scenario for Q4 Y2</v>
      </c>
      <c r="W53" s="238" t="str">
        <f t="shared" si="25"/>
        <v>Alternative scenario for Y2</v>
      </c>
      <c r="X53" s="206" t="str">
        <f t="shared" si="25"/>
        <v>Q1 Y3</v>
      </c>
      <c r="Y53" s="207" t="str">
        <f t="shared" si="25"/>
        <v>Q2 Y3</v>
      </c>
      <c r="Z53" s="207" t="str">
        <f t="shared" si="25"/>
        <v>Q3 Y3</v>
      </c>
      <c r="AA53" s="207" t="str">
        <f t="shared" si="25"/>
        <v>Q4 Y3</v>
      </c>
      <c r="AB53" s="212" t="str">
        <f t="shared" si="25"/>
        <v>Y3</v>
      </c>
      <c r="AC53" s="206" t="str">
        <f t="shared" si="25"/>
        <v>Alternative scenario for Q1 Y3</v>
      </c>
      <c r="AD53" s="207" t="str">
        <f t="shared" si="25"/>
        <v>Alternative scenario for Q2 Y3</v>
      </c>
      <c r="AE53" s="207" t="str">
        <f t="shared" si="25"/>
        <v>Alternative scenario for Q3 Y3</v>
      </c>
      <c r="AF53" s="207" t="str">
        <f t="shared" si="25"/>
        <v>Alternative scenario for Q4 Y3</v>
      </c>
      <c r="AG53" s="238" t="str">
        <f t="shared" si="25"/>
        <v>Alternative scenario for Y3</v>
      </c>
      <c r="AH53" s="206" t="str">
        <f t="shared" si="25"/>
        <v>Q1 Y4</v>
      </c>
      <c r="AI53" s="207" t="str">
        <f t="shared" si="25"/>
        <v>Q2 Y4</v>
      </c>
      <c r="AJ53" s="207" t="str">
        <f t="shared" si="25"/>
        <v>Q3 Y4</v>
      </c>
      <c r="AK53" s="207" t="str">
        <f t="shared" si="25"/>
        <v>Q4 Y4</v>
      </c>
      <c r="AL53" s="212" t="str">
        <f t="shared" si="25"/>
        <v>Y4</v>
      </c>
      <c r="AM53" s="206" t="str">
        <f t="shared" si="25"/>
        <v>Alternative scenario for Q1 Y4</v>
      </c>
      <c r="AN53" s="207" t="str">
        <f t="shared" si="25"/>
        <v>Alternative scenario for Q2 Y4</v>
      </c>
      <c r="AO53" s="207" t="str">
        <f t="shared" si="25"/>
        <v>Alternative scenario for Q3 Y4</v>
      </c>
      <c r="AP53" s="207" t="str">
        <f t="shared" si="25"/>
        <v>Alternative scenario for Q4 Y4</v>
      </c>
      <c r="AQ53" s="238" t="str">
        <f t="shared" si="25"/>
        <v>Alternative scenario for Y4</v>
      </c>
      <c r="AR53" s="206" t="str">
        <f t="shared" si="25"/>
        <v>Q1 Y5</v>
      </c>
      <c r="AS53" s="207" t="str">
        <f t="shared" si="25"/>
        <v>Q2 Y5</v>
      </c>
      <c r="AT53" s="207" t="str">
        <f t="shared" si="25"/>
        <v>Q3 Y5</v>
      </c>
      <c r="AU53" s="207" t="str">
        <f t="shared" si="25"/>
        <v>Q4 Y5</v>
      </c>
      <c r="AV53" s="212" t="str">
        <f t="shared" si="25"/>
        <v>Y5</v>
      </c>
      <c r="AW53" s="206" t="str">
        <f t="shared" si="25"/>
        <v>Alternative scenario for Q1 Y5</v>
      </c>
      <c r="AX53" s="207" t="str">
        <f t="shared" si="25"/>
        <v>Alternative scenario for Q2 Y5</v>
      </c>
      <c r="AY53" s="207" t="str">
        <f t="shared" si="25"/>
        <v>Alternative scenario for Q3 Y5</v>
      </c>
      <c r="AZ53" s="207" t="str">
        <f t="shared" si="25"/>
        <v>Alternative scenario for Q4 Y5</v>
      </c>
      <c r="BA53" s="238" t="str">
        <f t="shared" si="25"/>
        <v>Alternative scenario for Y5</v>
      </c>
      <c r="BB53" s="206" t="str">
        <f t="shared" si="25"/>
        <v>Q1 Y6</v>
      </c>
      <c r="BC53" s="207" t="str">
        <f t="shared" si="25"/>
        <v>Q2 Y6</v>
      </c>
      <c r="BD53" s="207" t="str">
        <f t="shared" si="25"/>
        <v>Q3 Y6</v>
      </c>
      <c r="BE53" s="207" t="str">
        <f t="shared" si="25"/>
        <v>Q4 Y6</v>
      </c>
      <c r="BF53" s="212" t="str">
        <f t="shared" si="25"/>
        <v>Y6</v>
      </c>
      <c r="BG53" s="206" t="str">
        <f t="shared" si="25"/>
        <v>Alternative scenario for Q1 Y6</v>
      </c>
      <c r="BH53" s="207" t="str">
        <f t="shared" si="25"/>
        <v>Alternative scenario for Q2 Y6</v>
      </c>
      <c r="BI53" s="207" t="str">
        <f t="shared" si="25"/>
        <v>Alternative scenario for Q3 Y6</v>
      </c>
      <c r="BJ53" s="207" t="str">
        <f t="shared" si="25"/>
        <v>Alternative scenario for Q4 Y6</v>
      </c>
      <c r="BK53" s="238" t="str">
        <f t="shared" si="25"/>
        <v>Alternative scenario for Y6</v>
      </c>
      <c r="BL53" s="206" t="str">
        <f t="shared" si="25"/>
        <v>Q1 Y7</v>
      </c>
      <c r="BM53" s="207" t="str">
        <f t="shared" si="25"/>
        <v>Q2 Y7</v>
      </c>
      <c r="BN53" s="207" t="str">
        <f t="shared" si="25"/>
        <v>Q3 Y7</v>
      </c>
      <c r="BO53" s="207" t="str">
        <f t="shared" si="25"/>
        <v>Q4 Y7</v>
      </c>
      <c r="BP53" s="212" t="str">
        <f t="shared" si="25"/>
        <v>Y7</v>
      </c>
      <c r="BQ53" s="206" t="str">
        <f t="shared" ref="BQ53:BU53" si="26">BQ7</f>
        <v>Alternative scenario for Q1 Y7</v>
      </c>
      <c r="BR53" s="207" t="str">
        <f t="shared" si="26"/>
        <v>Alternative scenario for Q2 Y7</v>
      </c>
      <c r="BS53" s="207" t="str">
        <f t="shared" si="26"/>
        <v>Alternative scenario for Q3 Y7</v>
      </c>
      <c r="BT53" s="207" t="str">
        <f t="shared" si="26"/>
        <v>Alternative scenario for Q4 Y7</v>
      </c>
      <c r="BU53" s="238" t="str">
        <f t="shared" si="26"/>
        <v>Alternative scenario for Y7</v>
      </c>
    </row>
    <row r="54" spans="1:73" ht="15.95">
      <c r="A54" s="36"/>
      <c r="B54" s="34" t="s">
        <v>255</v>
      </c>
      <c r="C54" s="56"/>
      <c r="D54" s="105">
        <f>'Key financial and ops fig.s LCY'!D52</f>
        <v>15916148.4375</v>
      </c>
      <c r="E54" s="106">
        <f>'Key financial and ops fig.s LCY'!E52</f>
        <v>31632093.75</v>
      </c>
      <c r="F54" s="106">
        <f>'Key financial and ops fig.s LCY'!F52</f>
        <v>47147835.937500007</v>
      </c>
      <c r="G54" s="107">
        <f>'Key financial and ops fig.s LCY'!G52</f>
        <v>62463375</v>
      </c>
      <c r="H54" s="221">
        <f>'Key financial and ops fig.s LCY'!H52</f>
        <v>157159453.125</v>
      </c>
      <c r="I54" s="105">
        <f>'Alt. scenario LCY'!D52</f>
        <v>15916148.4375</v>
      </c>
      <c r="J54" s="106">
        <f>'Alt. scenario LCY'!E52</f>
        <v>31632093.75</v>
      </c>
      <c r="K54" s="106">
        <f>'Alt. scenario LCY'!F52</f>
        <v>47147835.937500007</v>
      </c>
      <c r="L54" s="107">
        <f>'Alt. scenario LCY'!G52</f>
        <v>62463375</v>
      </c>
      <c r="M54" s="239">
        <f>'Alt. scenario LCY'!H52</f>
        <v>157159453.125</v>
      </c>
      <c r="N54" s="105">
        <f>'Key financial and ops fig.s LCY'!I52</f>
        <v>77578710.9375</v>
      </c>
      <c r="O54" s="106">
        <f>'Key financial and ops fig.s LCY'!J52</f>
        <v>92493843.750000015</v>
      </c>
      <c r="P54" s="106">
        <f>'Key financial and ops fig.s LCY'!K52</f>
        <v>107208773.43750001</v>
      </c>
      <c r="Q54" s="107">
        <f>'Key financial and ops fig.s LCY'!L52</f>
        <v>121723500</v>
      </c>
      <c r="R54" s="221">
        <f>'Key financial and ops fig.s LCY'!M52</f>
        <v>399004828.125</v>
      </c>
      <c r="S54" s="105">
        <f>'Alt. scenario LCY'!I52</f>
        <v>77578710.9375</v>
      </c>
      <c r="T54" s="106">
        <f>'Alt. scenario LCY'!J52</f>
        <v>92493843.750000015</v>
      </c>
      <c r="U54" s="106">
        <f>'Alt. scenario LCY'!K52</f>
        <v>107208773.43750001</v>
      </c>
      <c r="V54" s="107">
        <f>'Alt. scenario LCY'!L52</f>
        <v>121723500</v>
      </c>
      <c r="W54" s="239">
        <f>'Alt. scenario LCY'!M52</f>
        <v>399004828.125</v>
      </c>
      <c r="X54" s="105">
        <f>'Key financial and ops fig.s LCY'!N52</f>
        <v>136038023.4375</v>
      </c>
      <c r="Y54" s="106">
        <f>'Key financial and ops fig.s LCY'!O52</f>
        <v>150152343.75</v>
      </c>
      <c r="Z54" s="106">
        <f>'Key financial and ops fig.s LCY'!P52</f>
        <v>164066460.93750003</v>
      </c>
      <c r="AA54" s="107">
        <f>'Key financial and ops fig.s LCY'!Q52</f>
        <v>177780375.00000003</v>
      </c>
      <c r="AB54" s="221">
        <f>'Key financial and ops fig.s LCY'!R52</f>
        <v>628037203.125</v>
      </c>
      <c r="AC54" s="105">
        <f>'Alt. scenario LCY'!N52</f>
        <v>136038023.4375</v>
      </c>
      <c r="AD54" s="106">
        <f>'Alt. scenario LCY'!O52</f>
        <v>150152343.75</v>
      </c>
      <c r="AE54" s="106">
        <f>'Alt. scenario LCY'!P52</f>
        <v>164066460.93750003</v>
      </c>
      <c r="AF54" s="107">
        <f>'Alt. scenario LCY'!Q52</f>
        <v>177780375.00000003</v>
      </c>
      <c r="AG54" s="239">
        <f>'Alt. scenario LCY'!R52</f>
        <v>628037203.125</v>
      </c>
      <c r="AH54" s="105">
        <f>'Key financial and ops fig.s LCY'!S52</f>
        <v>191294085.93750003</v>
      </c>
      <c r="AI54" s="106">
        <f>'Key financial and ops fig.s LCY'!T52</f>
        <v>204607593.75000003</v>
      </c>
      <c r="AJ54" s="106">
        <f>'Key financial and ops fig.s LCY'!U52</f>
        <v>217720898.43750003</v>
      </c>
      <c r="AK54" s="107">
        <f>'Key financial and ops fig.s LCY'!V52</f>
        <v>230634000</v>
      </c>
      <c r="AL54" s="221">
        <f>'Key financial and ops fig.s LCY'!W52</f>
        <v>844256578.12500012</v>
      </c>
      <c r="AM54" s="105">
        <f>'Alt. scenario LCY'!S52</f>
        <v>191294085.93750003</v>
      </c>
      <c r="AN54" s="106">
        <f>'Alt. scenario LCY'!T52</f>
        <v>204607593.75000003</v>
      </c>
      <c r="AO54" s="106">
        <f>'Alt. scenario LCY'!U52</f>
        <v>217720898.43750003</v>
      </c>
      <c r="AP54" s="107">
        <f>'Alt. scenario LCY'!V52</f>
        <v>230634000</v>
      </c>
      <c r="AQ54" s="239">
        <f>'Alt. scenario LCY'!W52</f>
        <v>844256578.12500012</v>
      </c>
      <c r="AR54" s="105">
        <f>'Key financial and ops fig.s LCY'!X52</f>
        <v>243346898.4375</v>
      </c>
      <c r="AS54" s="106">
        <f>'Key financial and ops fig.s LCY'!Y52</f>
        <v>255859593.75</v>
      </c>
      <c r="AT54" s="106">
        <f>'Key financial and ops fig.s LCY'!Z52</f>
        <v>268172085.9375</v>
      </c>
      <c r="AU54" s="107">
        <f>'Key financial and ops fig.s LCY'!AA52</f>
        <v>280284375</v>
      </c>
      <c r="AV54" s="221">
        <f>'Key financial and ops fig.s LCY'!AB52</f>
        <v>1047662953.125</v>
      </c>
      <c r="AW54" s="105">
        <f>'Alt. scenario LCY'!X52</f>
        <v>243346898.4375</v>
      </c>
      <c r="AX54" s="106">
        <f>'Alt. scenario LCY'!Y52</f>
        <v>255859593.75</v>
      </c>
      <c r="AY54" s="106">
        <f>'Alt. scenario LCY'!Z52</f>
        <v>268172085.9375</v>
      </c>
      <c r="AZ54" s="107">
        <f>'Alt. scenario LCY'!AA52</f>
        <v>280284375</v>
      </c>
      <c r="BA54" s="239">
        <f>'Alt. scenario LCY'!AB52</f>
        <v>1047662953.125</v>
      </c>
      <c r="BB54" s="105">
        <f>'Key financial and ops fig.s LCY'!AC52</f>
        <v>278282343.75</v>
      </c>
      <c r="BC54" s="106">
        <f>'Key financial and ops fig.s LCY'!AD52</f>
        <v>276280312.5</v>
      </c>
      <c r="BD54" s="106">
        <f>'Key financial and ops fig.s LCY'!AE52</f>
        <v>274278281.25</v>
      </c>
      <c r="BE54" s="107">
        <f>'Key financial and ops fig.s LCY'!AF52</f>
        <v>272276250</v>
      </c>
      <c r="BF54" s="221">
        <f>'Key financial and ops fig.s LCY'!AG52</f>
        <v>1101117187.5</v>
      </c>
      <c r="BG54" s="105">
        <f>'Alt. scenario LCY'!AC52</f>
        <v>278282343.75</v>
      </c>
      <c r="BH54" s="106">
        <f>'Alt. scenario LCY'!AD52</f>
        <v>276280312.5</v>
      </c>
      <c r="BI54" s="106">
        <f>'Alt. scenario LCY'!AE52</f>
        <v>274278281.25</v>
      </c>
      <c r="BJ54" s="107">
        <f>'Alt. scenario LCY'!AF52</f>
        <v>272276250</v>
      </c>
      <c r="BK54" s="239">
        <f>'Alt. scenario LCY'!AG52</f>
        <v>1101117187.5</v>
      </c>
      <c r="BL54" s="105">
        <f>'Key financial and ops fig.s LCY'!AH52</f>
        <v>270274218.75</v>
      </c>
      <c r="BM54" s="106">
        <f>'Key financial and ops fig.s LCY'!AI52</f>
        <v>268272187.5</v>
      </c>
      <c r="BN54" s="106">
        <f>'Key financial and ops fig.s LCY'!AJ52</f>
        <v>266270156.25</v>
      </c>
      <c r="BO54" s="107">
        <f>'Key financial and ops fig.s LCY'!AK52</f>
        <v>264268125</v>
      </c>
      <c r="BP54" s="221">
        <f>'Key financial and ops fig.s LCY'!AL52</f>
        <v>1069084687.5</v>
      </c>
      <c r="BQ54" s="105">
        <f>'Alt. scenario LCY'!AH52</f>
        <v>270274218.75</v>
      </c>
      <c r="BR54" s="106">
        <f>'Alt. scenario LCY'!AI52</f>
        <v>268272187.5</v>
      </c>
      <c r="BS54" s="106">
        <f>'Alt. scenario LCY'!AJ52</f>
        <v>266270156.25</v>
      </c>
      <c r="BT54" s="107">
        <f>'Alt. scenario LCY'!AK52</f>
        <v>264268125</v>
      </c>
      <c r="BU54" s="239">
        <f>'Alt. scenario LCY'!AL52</f>
        <v>1069084687.5</v>
      </c>
    </row>
    <row r="55" spans="1:73" ht="15.95">
      <c r="A55" s="36"/>
      <c r="B55" s="34" t="s">
        <v>261</v>
      </c>
      <c r="C55" s="56"/>
      <c r="D55" s="63">
        <f>'Key financial and ops fig.s LCY'!D53</f>
        <v>33827995.3125</v>
      </c>
      <c r="E55" s="64">
        <f>'Key financial and ops fig.s LCY'!E53</f>
        <v>42183012.5</v>
      </c>
      <c r="F55" s="64">
        <f>'Key financial and ops fig.s LCY'!F53</f>
        <v>50427582.8125</v>
      </c>
      <c r="G55" s="108">
        <f>'Key financial and ops fig.s LCY'!G53</f>
        <v>58561706.25</v>
      </c>
      <c r="H55" s="221">
        <f>'Key financial and ops fig.s LCY'!H53</f>
        <v>185000296.875</v>
      </c>
      <c r="I55" s="63">
        <f>'Alt. scenario LCY'!D53</f>
        <v>33827995.3125</v>
      </c>
      <c r="J55" s="64">
        <f>'Alt. scenario LCY'!E53</f>
        <v>42183012.5</v>
      </c>
      <c r="K55" s="64">
        <f>'Alt. scenario LCY'!F53</f>
        <v>50427582.8125</v>
      </c>
      <c r="L55" s="108">
        <f>'Alt. scenario LCY'!G53</f>
        <v>58561706.25</v>
      </c>
      <c r="M55" s="239">
        <f>'Alt. scenario LCY'!H53</f>
        <v>185000296.875</v>
      </c>
      <c r="N55" s="63">
        <f>'Key financial and ops fig.s LCY'!I53</f>
        <v>66585382.8125</v>
      </c>
      <c r="O55" s="64">
        <f>'Key financial and ops fig.s LCY'!J53</f>
        <v>74498612.5</v>
      </c>
      <c r="P55" s="64">
        <f>'Key financial and ops fig.s LCY'!K53</f>
        <v>82301395.3125</v>
      </c>
      <c r="Q55" s="108">
        <f>'Key financial and ops fig.s LCY'!L53</f>
        <v>89993731.25</v>
      </c>
      <c r="R55" s="221">
        <f>'Key financial and ops fig.s LCY'!M53</f>
        <v>313379121.875</v>
      </c>
      <c r="S55" s="63">
        <f>'Alt. scenario LCY'!I53</f>
        <v>66585382.8125</v>
      </c>
      <c r="T55" s="64">
        <f>'Alt. scenario LCY'!J53</f>
        <v>74498612.5</v>
      </c>
      <c r="U55" s="64">
        <f>'Alt. scenario LCY'!K53</f>
        <v>82301395.3125</v>
      </c>
      <c r="V55" s="108">
        <f>'Alt. scenario LCY'!L53</f>
        <v>89993731.25</v>
      </c>
      <c r="W55" s="239">
        <f>'Alt. scenario LCY'!M53</f>
        <v>313379121.875</v>
      </c>
      <c r="X55" s="63">
        <f>'Key financial and ops fig.s LCY'!N53</f>
        <v>97575620.3125</v>
      </c>
      <c r="Y55" s="64">
        <f>'Key financial and ops fig.s LCY'!O53</f>
        <v>105047062.5</v>
      </c>
      <c r="Z55" s="64">
        <f>'Key financial and ops fig.s LCY'!P53</f>
        <v>112408057.8125</v>
      </c>
      <c r="AA55" s="108">
        <f>'Key financial and ops fig.s LCY'!Q53</f>
        <v>119658606.25</v>
      </c>
      <c r="AB55" s="221">
        <f>'Key financial and ops fig.s LCY'!R53</f>
        <v>434689346.875</v>
      </c>
      <c r="AC55" s="63">
        <f>'Alt. scenario LCY'!N53</f>
        <v>97575620.3125</v>
      </c>
      <c r="AD55" s="64">
        <f>'Alt. scenario LCY'!O53</f>
        <v>105047062.5</v>
      </c>
      <c r="AE55" s="64">
        <f>'Alt. scenario LCY'!P53</f>
        <v>112408057.8125</v>
      </c>
      <c r="AF55" s="108">
        <f>'Alt. scenario LCY'!Q53</f>
        <v>119658606.25</v>
      </c>
      <c r="AG55" s="239">
        <f>'Alt. scenario LCY'!R53</f>
        <v>434689346.875</v>
      </c>
      <c r="AH55" s="63">
        <f>'Key financial and ops fig.s LCY'!S53</f>
        <v>126798707.8125</v>
      </c>
      <c r="AI55" s="64">
        <f>'Key financial and ops fig.s LCY'!T53</f>
        <v>133828362.5</v>
      </c>
      <c r="AJ55" s="64">
        <f>'Key financial and ops fig.s LCY'!U53</f>
        <v>140747570.3125</v>
      </c>
      <c r="AK55" s="108">
        <f>'Key financial and ops fig.s LCY'!V53</f>
        <v>147556331.25</v>
      </c>
      <c r="AL55" s="221">
        <f>'Key financial and ops fig.s LCY'!W53</f>
        <v>548930971.875</v>
      </c>
      <c r="AM55" s="63">
        <f>'Alt. scenario LCY'!S53</f>
        <v>126798707.8125</v>
      </c>
      <c r="AN55" s="64">
        <f>'Alt. scenario LCY'!T53</f>
        <v>133828362.5</v>
      </c>
      <c r="AO55" s="64">
        <f>'Alt. scenario LCY'!U53</f>
        <v>140747570.3125</v>
      </c>
      <c r="AP55" s="108">
        <f>'Alt. scenario LCY'!V53</f>
        <v>147556331.25</v>
      </c>
      <c r="AQ55" s="239">
        <f>'Alt. scenario LCY'!W53</f>
        <v>548930971.875</v>
      </c>
      <c r="AR55" s="63">
        <f>'Key financial and ops fig.s LCY'!X53</f>
        <v>154254645.3125</v>
      </c>
      <c r="AS55" s="64">
        <f>'Key financial and ops fig.s LCY'!Y53</f>
        <v>160842512.5</v>
      </c>
      <c r="AT55" s="64">
        <f>'Key financial and ops fig.s LCY'!Z53</f>
        <v>167319932.8125</v>
      </c>
      <c r="AU55" s="108">
        <f>'Key financial and ops fig.s LCY'!AA53</f>
        <v>173686906.25</v>
      </c>
      <c r="AV55" s="221">
        <f>'Key financial and ops fig.s LCY'!AB53</f>
        <v>656103996.875</v>
      </c>
      <c r="AW55" s="63">
        <f>'Alt. scenario LCY'!X53</f>
        <v>154254645.3125</v>
      </c>
      <c r="AX55" s="64">
        <f>'Alt. scenario LCY'!Y53</f>
        <v>160842512.5</v>
      </c>
      <c r="AY55" s="64">
        <f>'Alt. scenario LCY'!Z53</f>
        <v>167319932.8125</v>
      </c>
      <c r="AZ55" s="108">
        <f>'Alt. scenario LCY'!AA53</f>
        <v>173686906.25</v>
      </c>
      <c r="BA55" s="239">
        <f>'Alt. scenario LCY'!AB53</f>
        <v>656103996.875</v>
      </c>
      <c r="BB55" s="63">
        <f>'Key financial and ops fig.s LCY'!AC53</f>
        <v>150370531.25</v>
      </c>
      <c r="BC55" s="64">
        <f>'Key financial and ops fig.s LCY'!AD53</f>
        <v>149266062.5</v>
      </c>
      <c r="BD55" s="64">
        <f>'Key financial and ops fig.s LCY'!AE53</f>
        <v>148161593.75</v>
      </c>
      <c r="BE55" s="108">
        <f>'Key financial and ops fig.s LCY'!AF53</f>
        <v>147057125</v>
      </c>
      <c r="BF55" s="221">
        <f>'Key financial and ops fig.s LCY'!AG53</f>
        <v>594855312.5</v>
      </c>
      <c r="BG55" s="63">
        <f>'Alt. scenario LCY'!AC53</f>
        <v>150370531.25</v>
      </c>
      <c r="BH55" s="64">
        <f>'Alt. scenario LCY'!AD53</f>
        <v>149266062.5</v>
      </c>
      <c r="BI55" s="64">
        <f>'Alt. scenario LCY'!AE53</f>
        <v>148161593.75</v>
      </c>
      <c r="BJ55" s="108">
        <f>'Alt. scenario LCY'!AF53</f>
        <v>147057125</v>
      </c>
      <c r="BK55" s="239">
        <f>'Alt. scenario LCY'!AG53</f>
        <v>594855312.5</v>
      </c>
      <c r="BL55" s="63">
        <f>'Key financial and ops fig.s LCY'!AH53</f>
        <v>145952656.25</v>
      </c>
      <c r="BM55" s="64">
        <f>'Key financial and ops fig.s LCY'!AI53</f>
        <v>144848187.5</v>
      </c>
      <c r="BN55" s="64">
        <f>'Key financial and ops fig.s LCY'!AJ53</f>
        <v>143743718.75</v>
      </c>
      <c r="BO55" s="108">
        <f>'Key financial and ops fig.s LCY'!AK53</f>
        <v>142639250</v>
      </c>
      <c r="BP55" s="221">
        <f>'Key financial and ops fig.s LCY'!AL53</f>
        <v>577183812.5</v>
      </c>
      <c r="BQ55" s="63">
        <f>'Alt. scenario LCY'!AH53</f>
        <v>145952656.25</v>
      </c>
      <c r="BR55" s="64">
        <f>'Alt. scenario LCY'!AI53</f>
        <v>144848187.5</v>
      </c>
      <c r="BS55" s="64">
        <f>'Alt. scenario LCY'!AJ53</f>
        <v>143743718.75</v>
      </c>
      <c r="BT55" s="108">
        <f>'Alt. scenario LCY'!AK53</f>
        <v>142639250</v>
      </c>
      <c r="BU55" s="239">
        <f>'Alt. scenario LCY'!AL53</f>
        <v>577183812.5</v>
      </c>
    </row>
    <row r="56" spans="1:73" ht="15.95">
      <c r="A56" s="36"/>
      <c r="B56" s="34" t="s">
        <v>291</v>
      </c>
      <c r="C56" s="56"/>
      <c r="D56" s="63">
        <f>'Key financial and ops fig.s LCY'!D54</f>
        <v>1988906.25</v>
      </c>
      <c r="E56" s="64">
        <f>'Key financial and ops fig.s LCY'!E54</f>
        <v>7655625</v>
      </c>
      <c r="F56" s="64">
        <f>'Key financial and ops fig.s LCY'!F54</f>
        <v>13250156.25</v>
      </c>
      <c r="G56" s="108">
        <f>'Key financial and ops fig.s LCY'!G54</f>
        <v>18772500</v>
      </c>
      <c r="H56" s="221">
        <f>'Key financial and ops fig.s LCY'!H54</f>
        <v>41667187.5</v>
      </c>
      <c r="I56" s="63">
        <f>'Alt. scenario LCY'!D54</f>
        <v>1988906.25</v>
      </c>
      <c r="J56" s="64">
        <f>'Alt. scenario LCY'!E54</f>
        <v>7655625</v>
      </c>
      <c r="K56" s="64">
        <f>'Alt. scenario LCY'!F54</f>
        <v>13250156.25</v>
      </c>
      <c r="L56" s="108">
        <f>'Alt. scenario LCY'!G54</f>
        <v>18772500</v>
      </c>
      <c r="M56" s="239">
        <f>'Alt. scenario LCY'!H54</f>
        <v>41667187.5</v>
      </c>
      <c r="N56" s="63">
        <f>'Key financial and ops fig.s LCY'!I54</f>
        <v>24222656.25</v>
      </c>
      <c r="O56" s="64">
        <f>'Key financial and ops fig.s LCY'!J54</f>
        <v>29600625</v>
      </c>
      <c r="P56" s="64">
        <f>'Key financial and ops fig.s LCY'!K54</f>
        <v>34906406.25</v>
      </c>
      <c r="Q56" s="108">
        <f>'Key financial and ops fig.s LCY'!L54</f>
        <v>40140000</v>
      </c>
      <c r="R56" s="221">
        <f>'Key financial and ops fig.s LCY'!M54</f>
        <v>128869687.5</v>
      </c>
      <c r="S56" s="63">
        <f>'Alt. scenario LCY'!I54</f>
        <v>24222656.25</v>
      </c>
      <c r="T56" s="64">
        <f>'Alt. scenario LCY'!J54</f>
        <v>29600625</v>
      </c>
      <c r="U56" s="64">
        <f>'Alt. scenario LCY'!K54</f>
        <v>34906406.25</v>
      </c>
      <c r="V56" s="108">
        <f>'Alt. scenario LCY'!L54</f>
        <v>40140000</v>
      </c>
      <c r="W56" s="239">
        <f>'Alt. scenario LCY'!M54</f>
        <v>128869687.5</v>
      </c>
      <c r="X56" s="63">
        <f>'Key financial and ops fig.s LCY'!N54</f>
        <v>45301406.25</v>
      </c>
      <c r="Y56" s="64">
        <f>'Key financial and ops fig.s LCY'!O54</f>
        <v>50390625</v>
      </c>
      <c r="Z56" s="64">
        <f>'Key financial and ops fig.s LCY'!P54</f>
        <v>55407656.25</v>
      </c>
      <c r="AA56" s="108">
        <f>'Key financial and ops fig.s LCY'!Q54</f>
        <v>60352500</v>
      </c>
      <c r="AB56" s="221">
        <f>'Key financial and ops fig.s LCY'!R54</f>
        <v>211452187.5</v>
      </c>
      <c r="AC56" s="63">
        <f>'Alt. scenario LCY'!N54</f>
        <v>45301406.25</v>
      </c>
      <c r="AD56" s="64">
        <f>'Alt. scenario LCY'!O54</f>
        <v>50390625</v>
      </c>
      <c r="AE56" s="64">
        <f>'Alt. scenario LCY'!P54</f>
        <v>55407656.25</v>
      </c>
      <c r="AF56" s="108">
        <f>'Alt. scenario LCY'!Q54</f>
        <v>60352500</v>
      </c>
      <c r="AG56" s="239">
        <f>'Alt. scenario LCY'!R54</f>
        <v>211452187.5</v>
      </c>
      <c r="AH56" s="63">
        <f>'Key financial and ops fig.s LCY'!S54</f>
        <v>65225156.25</v>
      </c>
      <c r="AI56" s="64">
        <f>'Key financial and ops fig.s LCY'!T54</f>
        <v>70025625</v>
      </c>
      <c r="AJ56" s="64">
        <f>'Key financial and ops fig.s LCY'!U54</f>
        <v>74753906.25</v>
      </c>
      <c r="AK56" s="108">
        <f>'Key financial and ops fig.s LCY'!V54</f>
        <v>79410000</v>
      </c>
      <c r="AL56" s="221">
        <f>'Key financial and ops fig.s LCY'!W54</f>
        <v>289414687.5</v>
      </c>
      <c r="AM56" s="63">
        <f>'Alt. scenario LCY'!S54</f>
        <v>65225156.25</v>
      </c>
      <c r="AN56" s="64">
        <f>'Alt. scenario LCY'!T54</f>
        <v>70025625</v>
      </c>
      <c r="AO56" s="64">
        <f>'Alt. scenario LCY'!U54</f>
        <v>74753906.25</v>
      </c>
      <c r="AP56" s="108">
        <f>'Alt. scenario LCY'!V54</f>
        <v>79410000</v>
      </c>
      <c r="AQ56" s="239">
        <f>'Alt. scenario LCY'!W54</f>
        <v>289414687.5</v>
      </c>
      <c r="AR56" s="63">
        <f>'Key financial and ops fig.s LCY'!X54</f>
        <v>83993906.25</v>
      </c>
      <c r="AS56" s="64">
        <f>'Key financial and ops fig.s LCY'!Y54</f>
        <v>88505625</v>
      </c>
      <c r="AT56" s="64">
        <f>'Key financial and ops fig.s LCY'!Z54</f>
        <v>92945156.25</v>
      </c>
      <c r="AU56" s="108">
        <f>'Key financial and ops fig.s LCY'!AA54</f>
        <v>97312500</v>
      </c>
      <c r="AV56" s="221">
        <f>'Key financial and ops fig.s LCY'!AB54</f>
        <v>362757187.5</v>
      </c>
      <c r="AW56" s="63">
        <f>'Alt. scenario LCY'!X54</f>
        <v>83993906.25</v>
      </c>
      <c r="AX56" s="64">
        <f>'Alt. scenario LCY'!Y54</f>
        <v>88505625</v>
      </c>
      <c r="AY56" s="64">
        <f>'Alt. scenario LCY'!Z54</f>
        <v>92945156.25</v>
      </c>
      <c r="AZ56" s="108">
        <f>'Alt. scenario LCY'!AA54</f>
        <v>97312500</v>
      </c>
      <c r="BA56" s="239">
        <f>'Alt. scenario LCY'!AB54</f>
        <v>362757187.5</v>
      </c>
      <c r="BB56" s="63">
        <f>'Key financial and ops fig.s LCY'!AC54</f>
        <v>96590625</v>
      </c>
      <c r="BC56" s="64">
        <f>'Key financial and ops fig.s LCY'!AD54</f>
        <v>95868750</v>
      </c>
      <c r="BD56" s="64">
        <f>'Key financial and ops fig.s LCY'!AE54</f>
        <v>95146875</v>
      </c>
      <c r="BE56" s="108">
        <f>'Key financial and ops fig.s LCY'!AF54</f>
        <v>94425000</v>
      </c>
      <c r="BF56" s="221">
        <f>'Key financial and ops fig.s LCY'!AG54</f>
        <v>382031250</v>
      </c>
      <c r="BG56" s="63">
        <f>'Alt. scenario LCY'!AC54</f>
        <v>96590625</v>
      </c>
      <c r="BH56" s="64">
        <f>'Alt. scenario LCY'!AD54</f>
        <v>95868750</v>
      </c>
      <c r="BI56" s="64">
        <f>'Alt. scenario LCY'!AE54</f>
        <v>95146875</v>
      </c>
      <c r="BJ56" s="108">
        <f>'Alt. scenario LCY'!AF54</f>
        <v>94425000</v>
      </c>
      <c r="BK56" s="239">
        <f>'Alt. scenario LCY'!AG54</f>
        <v>382031250</v>
      </c>
      <c r="BL56" s="63">
        <f>'Key financial and ops fig.s LCY'!AH54</f>
        <v>93703125</v>
      </c>
      <c r="BM56" s="64">
        <f>'Key financial and ops fig.s LCY'!AI54</f>
        <v>92981250</v>
      </c>
      <c r="BN56" s="64">
        <f>'Key financial and ops fig.s LCY'!AJ54</f>
        <v>92259375</v>
      </c>
      <c r="BO56" s="108">
        <f>'Key financial and ops fig.s LCY'!AK54</f>
        <v>91537500</v>
      </c>
      <c r="BP56" s="221">
        <f>'Key financial and ops fig.s LCY'!AL54</f>
        <v>370481250</v>
      </c>
      <c r="BQ56" s="63">
        <f>'Alt. scenario LCY'!AH54</f>
        <v>93703125</v>
      </c>
      <c r="BR56" s="64">
        <f>'Alt. scenario LCY'!AI54</f>
        <v>92981250</v>
      </c>
      <c r="BS56" s="64">
        <f>'Alt. scenario LCY'!AJ54</f>
        <v>92259375</v>
      </c>
      <c r="BT56" s="108">
        <f>'Alt. scenario LCY'!AK54</f>
        <v>91537500</v>
      </c>
      <c r="BU56" s="239">
        <f>'Alt. scenario LCY'!AL54</f>
        <v>370481250</v>
      </c>
    </row>
    <row r="57" spans="1:73" ht="15.95">
      <c r="A57" s="36"/>
      <c r="B57" s="34" t="s">
        <v>292</v>
      </c>
      <c r="C57" s="56"/>
      <c r="D57" s="63">
        <f>'Key financial and ops fig.s LCY'!D55</f>
        <v>-6261867.1875</v>
      </c>
      <c r="E57" s="64">
        <f>'Key financial and ops fig.s LCY'!E55</f>
        <v>-12444968.75</v>
      </c>
      <c r="F57" s="64">
        <f>'Key financial and ops fig.s LCY'!F55</f>
        <v>-18549304.6875</v>
      </c>
      <c r="G57" s="108">
        <f>'Key financial and ops fig.s LCY'!G55</f>
        <v>-24574875</v>
      </c>
      <c r="H57" s="221">
        <f>'Key financial and ops fig.s LCY'!H55</f>
        <v>-61831015.625</v>
      </c>
      <c r="I57" s="63">
        <f>'Alt. scenario LCY'!D55</f>
        <v>-6261867.1875</v>
      </c>
      <c r="J57" s="64">
        <f>'Alt. scenario LCY'!E55</f>
        <v>-12444968.75</v>
      </c>
      <c r="K57" s="64">
        <f>'Alt. scenario LCY'!F55</f>
        <v>-18549304.6875</v>
      </c>
      <c r="L57" s="108">
        <f>'Alt. scenario LCY'!G55</f>
        <v>-24574875</v>
      </c>
      <c r="M57" s="239">
        <f>'Alt. scenario LCY'!H55</f>
        <v>-61831015.625</v>
      </c>
      <c r="N57" s="63">
        <f>'Key financial and ops fig.s LCY'!I55</f>
        <v>-30521679.6875</v>
      </c>
      <c r="O57" s="64">
        <f>'Key financial and ops fig.s LCY'!J55</f>
        <v>-36389718.75</v>
      </c>
      <c r="P57" s="64">
        <f>'Key financial and ops fig.s LCY'!K55</f>
        <v>-42178992.1875</v>
      </c>
      <c r="Q57" s="108">
        <f>'Key financial and ops fig.s LCY'!L55</f>
        <v>-47889500</v>
      </c>
      <c r="R57" s="221">
        <f>'Key financial and ops fig.s LCY'!M55</f>
        <v>-156979890.625</v>
      </c>
      <c r="S57" s="63">
        <f>'Alt. scenario LCY'!I55</f>
        <v>-30521679.6875</v>
      </c>
      <c r="T57" s="64">
        <f>'Alt. scenario LCY'!J55</f>
        <v>-36389718.75</v>
      </c>
      <c r="U57" s="64">
        <f>'Alt. scenario LCY'!K55</f>
        <v>-42178992.1875</v>
      </c>
      <c r="V57" s="108">
        <f>'Alt. scenario LCY'!L55</f>
        <v>-47889500</v>
      </c>
      <c r="W57" s="239">
        <f>'Alt. scenario LCY'!M55</f>
        <v>-156979890.625</v>
      </c>
      <c r="X57" s="63">
        <f>'Key financial and ops fig.s LCY'!N55</f>
        <v>-53521242.1875</v>
      </c>
      <c r="Y57" s="64">
        <f>'Key financial and ops fig.s LCY'!O55</f>
        <v>-59074218.75</v>
      </c>
      <c r="Z57" s="64">
        <f>'Key financial and ops fig.s LCY'!P55</f>
        <v>-64548429.6875</v>
      </c>
      <c r="AA57" s="108">
        <f>'Key financial and ops fig.s LCY'!Q55</f>
        <v>-69943875</v>
      </c>
      <c r="AB57" s="221">
        <f>'Key financial and ops fig.s LCY'!R55</f>
        <v>-247087765.625</v>
      </c>
      <c r="AC57" s="63">
        <f>'Alt. scenario LCY'!N55</f>
        <v>-53521242.1875</v>
      </c>
      <c r="AD57" s="64">
        <f>'Alt. scenario LCY'!O55</f>
        <v>-59074218.75</v>
      </c>
      <c r="AE57" s="64">
        <f>'Alt. scenario LCY'!P55</f>
        <v>-64548429.6875</v>
      </c>
      <c r="AF57" s="108">
        <f>'Alt. scenario LCY'!Q55</f>
        <v>-69943875</v>
      </c>
      <c r="AG57" s="239">
        <f>'Alt. scenario LCY'!R55</f>
        <v>-247087765.625</v>
      </c>
      <c r="AH57" s="63">
        <f>'Key financial and ops fig.s LCY'!S55</f>
        <v>-75260554.6875</v>
      </c>
      <c r="AI57" s="64">
        <f>'Key financial and ops fig.s LCY'!T55</f>
        <v>-80498468.75</v>
      </c>
      <c r="AJ57" s="64">
        <f>'Key financial and ops fig.s LCY'!U55</f>
        <v>-85657617.1875</v>
      </c>
      <c r="AK57" s="108">
        <f>'Key financial and ops fig.s LCY'!V55</f>
        <v>-90738000</v>
      </c>
      <c r="AL57" s="221">
        <f>'Key financial and ops fig.s LCY'!W55</f>
        <v>-332154640.625</v>
      </c>
      <c r="AM57" s="63">
        <f>'Alt. scenario LCY'!S55</f>
        <v>-75260554.6875</v>
      </c>
      <c r="AN57" s="64">
        <f>'Alt. scenario LCY'!T55</f>
        <v>-80498468.75</v>
      </c>
      <c r="AO57" s="64">
        <f>'Alt. scenario LCY'!U55</f>
        <v>-85657617.1875</v>
      </c>
      <c r="AP57" s="108">
        <f>'Alt. scenario LCY'!V55</f>
        <v>-90738000</v>
      </c>
      <c r="AQ57" s="239">
        <f>'Alt. scenario LCY'!W55</f>
        <v>-332154640.625</v>
      </c>
      <c r="AR57" s="63">
        <f>'Key financial and ops fig.s LCY'!X55</f>
        <v>-95739617.1875</v>
      </c>
      <c r="AS57" s="64">
        <f>'Key financial and ops fig.s LCY'!Y55</f>
        <v>-100662468.75</v>
      </c>
      <c r="AT57" s="64">
        <f>'Key financial and ops fig.s LCY'!Z55</f>
        <v>-105506554.6875</v>
      </c>
      <c r="AU57" s="108">
        <f>'Key financial and ops fig.s LCY'!AA55</f>
        <v>-110271875</v>
      </c>
      <c r="AV57" s="221">
        <f>'Key financial and ops fig.s LCY'!AB55</f>
        <v>-412180515.625</v>
      </c>
      <c r="AW57" s="63">
        <f>'Alt. scenario LCY'!X55</f>
        <v>-95739617.1875</v>
      </c>
      <c r="AX57" s="64">
        <f>'Alt. scenario LCY'!Y55</f>
        <v>-100662468.75</v>
      </c>
      <c r="AY57" s="64">
        <f>'Alt. scenario LCY'!Z55</f>
        <v>-105506554.6875</v>
      </c>
      <c r="AZ57" s="108">
        <f>'Alt. scenario LCY'!AA55</f>
        <v>-110271875</v>
      </c>
      <c r="BA57" s="239">
        <f>'Alt. scenario LCY'!AB55</f>
        <v>-412180515.625</v>
      </c>
      <c r="BB57" s="63">
        <f>'Key financial and ops fig.s LCY'!AC55</f>
        <v>-109484218.75</v>
      </c>
      <c r="BC57" s="64">
        <f>'Key financial and ops fig.s LCY'!AD55</f>
        <v>-108696562.5</v>
      </c>
      <c r="BD57" s="64">
        <f>'Key financial and ops fig.s LCY'!AE55</f>
        <v>-107908906.25</v>
      </c>
      <c r="BE57" s="108">
        <f>'Key financial and ops fig.s LCY'!AF55</f>
        <v>-107121250</v>
      </c>
      <c r="BF57" s="221">
        <f>'Key financial and ops fig.s LCY'!AG55</f>
        <v>-433210937.5</v>
      </c>
      <c r="BG57" s="63">
        <f>'Alt. scenario LCY'!AC55</f>
        <v>-109484218.75</v>
      </c>
      <c r="BH57" s="64">
        <f>'Alt. scenario LCY'!AD55</f>
        <v>-108696562.5</v>
      </c>
      <c r="BI57" s="64">
        <f>'Alt. scenario LCY'!AE55</f>
        <v>-107908906.25</v>
      </c>
      <c r="BJ57" s="108">
        <f>'Alt. scenario LCY'!AF55</f>
        <v>-107121250</v>
      </c>
      <c r="BK57" s="239">
        <f>'Alt. scenario LCY'!AG55</f>
        <v>-433210937.5</v>
      </c>
      <c r="BL57" s="63">
        <f>'Key financial and ops fig.s LCY'!AH55</f>
        <v>-106333593.75</v>
      </c>
      <c r="BM57" s="64">
        <f>'Key financial and ops fig.s LCY'!AI55</f>
        <v>-105545937.5</v>
      </c>
      <c r="BN57" s="64">
        <f>'Key financial and ops fig.s LCY'!AJ55</f>
        <v>-104758281.25</v>
      </c>
      <c r="BO57" s="108">
        <f>'Key financial and ops fig.s LCY'!AK55</f>
        <v>-103970625</v>
      </c>
      <c r="BP57" s="221">
        <f>'Key financial and ops fig.s LCY'!AL55</f>
        <v>-420608437.5</v>
      </c>
      <c r="BQ57" s="63">
        <f>'Alt. scenario LCY'!AH55</f>
        <v>-106333593.75</v>
      </c>
      <c r="BR57" s="64">
        <f>'Alt. scenario LCY'!AI55</f>
        <v>-105545937.5</v>
      </c>
      <c r="BS57" s="64">
        <f>'Alt. scenario LCY'!AJ55</f>
        <v>-104758281.25</v>
      </c>
      <c r="BT57" s="108">
        <f>'Alt. scenario LCY'!AK55</f>
        <v>-103970625</v>
      </c>
      <c r="BU57" s="239">
        <f>'Alt. scenario LCY'!AL55</f>
        <v>-420608437.5</v>
      </c>
    </row>
    <row r="58" spans="1:73" ht="15.95">
      <c r="A58" s="36"/>
      <c r="B58" s="34" t="s">
        <v>293</v>
      </c>
      <c r="C58" s="56"/>
      <c r="D58" s="63">
        <f>'Key financial and ops fig.s LCY'!D56</f>
        <v>-7750000</v>
      </c>
      <c r="E58" s="64">
        <f>'Key financial and ops fig.s LCY'!E56</f>
        <v>-13500000</v>
      </c>
      <c r="F58" s="64">
        <f>'Key financial and ops fig.s LCY'!F56</f>
        <v>-19250000</v>
      </c>
      <c r="G58" s="108">
        <f>'Key financial and ops fig.s LCY'!G56</f>
        <v>-26125000</v>
      </c>
      <c r="H58" s="221">
        <f>'Key financial and ops fig.s LCY'!H56</f>
        <v>-66625000</v>
      </c>
      <c r="I58" s="63">
        <f>'Alt. scenario LCY'!D56</f>
        <v>-7750000</v>
      </c>
      <c r="J58" s="64">
        <f>'Alt. scenario LCY'!E56</f>
        <v>-13500000</v>
      </c>
      <c r="K58" s="64">
        <f>'Alt. scenario LCY'!F56</f>
        <v>-19250000</v>
      </c>
      <c r="L58" s="108">
        <f>'Alt. scenario LCY'!G56</f>
        <v>-26125000</v>
      </c>
      <c r="M58" s="239">
        <f>'Alt. scenario LCY'!H56</f>
        <v>-66625000</v>
      </c>
      <c r="N58" s="63">
        <f>'Key financial and ops fig.s LCY'!I56</f>
        <v>-32000000</v>
      </c>
      <c r="O58" s="64">
        <f>'Key financial and ops fig.s LCY'!J56</f>
        <v>-37750000</v>
      </c>
      <c r="P58" s="64">
        <f>'Key financial and ops fig.s LCY'!K56</f>
        <v>-43125000</v>
      </c>
      <c r="Q58" s="108">
        <f>'Key financial and ops fig.s LCY'!L56</f>
        <v>-48500000</v>
      </c>
      <c r="R58" s="221">
        <f>'Key financial and ops fig.s LCY'!M56</f>
        <v>-161375000</v>
      </c>
      <c r="S58" s="63">
        <f>'Alt. scenario LCY'!I56</f>
        <v>-32000000</v>
      </c>
      <c r="T58" s="64">
        <f>'Alt. scenario LCY'!J56</f>
        <v>-37750000</v>
      </c>
      <c r="U58" s="64">
        <f>'Alt. scenario LCY'!K56</f>
        <v>-43125000</v>
      </c>
      <c r="V58" s="108">
        <f>'Alt. scenario LCY'!L56</f>
        <v>-48500000</v>
      </c>
      <c r="W58" s="239">
        <f>'Alt. scenario LCY'!M56</f>
        <v>-161375000</v>
      </c>
      <c r="X58" s="63">
        <f>'Key financial and ops fig.s LCY'!N56</f>
        <v>-54250000</v>
      </c>
      <c r="Y58" s="64">
        <f>'Key financial and ops fig.s LCY'!O56</f>
        <v>-59625000</v>
      </c>
      <c r="Z58" s="64">
        <f>'Key financial and ops fig.s LCY'!P56</f>
        <v>-65500000</v>
      </c>
      <c r="AA58" s="108">
        <f>'Key financial and ops fig.s LCY'!Q56</f>
        <v>-70875000</v>
      </c>
      <c r="AB58" s="221">
        <f>'Key financial and ops fig.s LCY'!R56</f>
        <v>-250250000</v>
      </c>
      <c r="AC58" s="63">
        <f>'Alt. scenario LCY'!N56</f>
        <v>-54250000</v>
      </c>
      <c r="AD58" s="64">
        <f>'Alt. scenario LCY'!O56</f>
        <v>-59625000</v>
      </c>
      <c r="AE58" s="64">
        <f>'Alt. scenario LCY'!P56</f>
        <v>-65500000</v>
      </c>
      <c r="AF58" s="108">
        <f>'Alt. scenario LCY'!Q56</f>
        <v>-70875000</v>
      </c>
      <c r="AG58" s="239">
        <f>'Alt. scenario LCY'!R56</f>
        <v>-250250000</v>
      </c>
      <c r="AH58" s="63">
        <f>'Key financial and ops fig.s LCY'!S56</f>
        <v>-75875000</v>
      </c>
      <c r="AI58" s="64">
        <f>'Key financial and ops fig.s LCY'!T56</f>
        <v>-81250000</v>
      </c>
      <c r="AJ58" s="64">
        <f>'Key financial and ops fig.s LCY'!U56</f>
        <v>-86625000</v>
      </c>
      <c r="AK58" s="108">
        <f>'Key financial and ops fig.s LCY'!V56</f>
        <v>-92000000</v>
      </c>
      <c r="AL58" s="221">
        <f>'Key financial and ops fig.s LCY'!W56</f>
        <v>-335750000</v>
      </c>
      <c r="AM58" s="63">
        <f>'Alt. scenario LCY'!S56</f>
        <v>-75875000</v>
      </c>
      <c r="AN58" s="64">
        <f>'Alt. scenario LCY'!T56</f>
        <v>-81250000</v>
      </c>
      <c r="AO58" s="64">
        <f>'Alt. scenario LCY'!U56</f>
        <v>-86625000</v>
      </c>
      <c r="AP58" s="108">
        <f>'Alt. scenario LCY'!V56</f>
        <v>-92000000</v>
      </c>
      <c r="AQ58" s="239">
        <f>'Alt. scenario LCY'!W56</f>
        <v>-335750000</v>
      </c>
      <c r="AR58" s="63">
        <f>'Key financial and ops fig.s LCY'!X56</f>
        <v>-97000000</v>
      </c>
      <c r="AS58" s="64">
        <f>'Key financial and ops fig.s LCY'!Y56</f>
        <v>-100875000</v>
      </c>
      <c r="AT58" s="64">
        <f>'Key financial and ops fig.s LCY'!Z56</f>
        <v>-105875000</v>
      </c>
      <c r="AU58" s="108">
        <f>'Key financial and ops fig.s LCY'!AA56</f>
        <v>-111250000</v>
      </c>
      <c r="AV58" s="221">
        <f>'Key financial and ops fig.s LCY'!AB56</f>
        <v>-415000000</v>
      </c>
      <c r="AW58" s="63">
        <f>'Alt. scenario LCY'!X56</f>
        <v>-97000000</v>
      </c>
      <c r="AX58" s="64">
        <f>'Alt. scenario LCY'!Y56</f>
        <v>-100875000</v>
      </c>
      <c r="AY58" s="64">
        <f>'Alt. scenario LCY'!Z56</f>
        <v>-105875000</v>
      </c>
      <c r="AZ58" s="108">
        <f>'Alt. scenario LCY'!AA56</f>
        <v>-111250000</v>
      </c>
      <c r="BA58" s="239">
        <f>'Alt. scenario LCY'!AB56</f>
        <v>-415000000</v>
      </c>
      <c r="BB58" s="63">
        <f>'Key financial and ops fig.s LCY'!AC56</f>
        <v>-110875000</v>
      </c>
      <c r="BC58" s="64">
        <f>'Key financial and ops fig.s LCY'!AD56</f>
        <v>-108500000</v>
      </c>
      <c r="BD58" s="64">
        <f>'Key financial and ops fig.s LCY'!AE56</f>
        <v>-108125000</v>
      </c>
      <c r="BE58" s="108">
        <f>'Key financial and ops fig.s LCY'!AF56</f>
        <v>-108125000</v>
      </c>
      <c r="BF58" s="221">
        <f>'Key financial and ops fig.s LCY'!AG56</f>
        <v>-435625000</v>
      </c>
      <c r="BG58" s="63">
        <f>'Alt. scenario LCY'!AC56</f>
        <v>-110875000</v>
      </c>
      <c r="BH58" s="64">
        <f>'Alt. scenario LCY'!AD56</f>
        <v>-108500000</v>
      </c>
      <c r="BI58" s="64">
        <f>'Alt. scenario LCY'!AE56</f>
        <v>-108125000</v>
      </c>
      <c r="BJ58" s="108">
        <f>'Alt. scenario LCY'!AF56</f>
        <v>-108125000</v>
      </c>
      <c r="BK58" s="239">
        <f>'Alt. scenario LCY'!AG56</f>
        <v>-435625000</v>
      </c>
      <c r="BL58" s="63">
        <f>'Key financial and ops fig.s LCY'!AH56</f>
        <v>-106250000</v>
      </c>
      <c r="BM58" s="64">
        <f>'Key financial and ops fig.s LCY'!AI56</f>
        <v>-105875000</v>
      </c>
      <c r="BN58" s="64">
        <f>'Key financial and ops fig.s LCY'!AJ56</f>
        <v>-105875000</v>
      </c>
      <c r="BO58" s="108">
        <f>'Key financial and ops fig.s LCY'!AK56</f>
        <v>-105000000</v>
      </c>
      <c r="BP58" s="221">
        <f>'Key financial and ops fig.s LCY'!AL56</f>
        <v>-423000000</v>
      </c>
      <c r="BQ58" s="63">
        <f>'Alt. scenario LCY'!AH56</f>
        <v>-106250000</v>
      </c>
      <c r="BR58" s="64">
        <f>'Alt. scenario LCY'!AI56</f>
        <v>-105875000</v>
      </c>
      <c r="BS58" s="64">
        <f>'Alt. scenario LCY'!AJ56</f>
        <v>-105875000</v>
      </c>
      <c r="BT58" s="108">
        <f>'Alt. scenario LCY'!AK56</f>
        <v>-105000000</v>
      </c>
      <c r="BU58" s="239">
        <f>'Alt. scenario LCY'!AL56</f>
        <v>-423000000</v>
      </c>
    </row>
    <row r="59" spans="1:73" ht="15.95">
      <c r="A59" s="36"/>
      <c r="B59" s="34" t="s">
        <v>294</v>
      </c>
      <c r="C59" s="56"/>
      <c r="D59" s="63">
        <f>'Key financial and ops fig.s LCY'!D57</f>
        <v>-124967781.25</v>
      </c>
      <c r="E59" s="64">
        <f>'Key financial and ops fig.s LCY'!E57</f>
        <v>-108076125</v>
      </c>
      <c r="F59" s="64">
        <f>'Key financial and ops fig.s LCY'!F57</f>
        <v>-95555031.25</v>
      </c>
      <c r="G59" s="108">
        <f>'Key financial and ops fig.s LCY'!G57</f>
        <v>-83019500</v>
      </c>
      <c r="H59" s="221">
        <f>'Key financial and ops fig.s LCY'!H57</f>
        <v>-411618437.5</v>
      </c>
      <c r="I59" s="63">
        <f>'Alt. scenario LCY'!D57</f>
        <v>-124967781.25</v>
      </c>
      <c r="J59" s="64">
        <f>'Alt. scenario LCY'!E57</f>
        <v>-108076125</v>
      </c>
      <c r="K59" s="64">
        <f>'Alt. scenario LCY'!F57</f>
        <v>-95555031.25</v>
      </c>
      <c r="L59" s="108">
        <f>'Alt. scenario LCY'!G57</f>
        <v>-83019500</v>
      </c>
      <c r="M59" s="239">
        <f>'Alt. scenario LCY'!H57</f>
        <v>-411618437.5</v>
      </c>
      <c r="N59" s="63">
        <f>'Key financial and ops fig.s LCY'!I57</f>
        <v>-70469531.25</v>
      </c>
      <c r="O59" s="64">
        <f>'Key financial and ops fig.s LCY'!J57</f>
        <v>-57905125</v>
      </c>
      <c r="P59" s="64">
        <f>'Key financial and ops fig.s LCY'!K57</f>
        <v>-45326281.25</v>
      </c>
      <c r="Q59" s="108">
        <f>'Key financial and ops fig.s LCY'!L57</f>
        <v>-39853000</v>
      </c>
      <c r="R59" s="221">
        <f>'Key financial and ops fig.s LCY'!M57</f>
        <v>-213553937.5</v>
      </c>
      <c r="S59" s="63">
        <f>'Alt. scenario LCY'!I57</f>
        <v>-70469531.25</v>
      </c>
      <c r="T59" s="64">
        <f>'Alt. scenario LCY'!J57</f>
        <v>-57905125</v>
      </c>
      <c r="U59" s="64">
        <f>'Alt. scenario LCY'!K57</f>
        <v>-45326281.25</v>
      </c>
      <c r="V59" s="108">
        <f>'Alt. scenario LCY'!L57</f>
        <v>-39853000</v>
      </c>
      <c r="W59" s="239">
        <f>'Alt. scenario LCY'!M57</f>
        <v>-213553937.5</v>
      </c>
      <c r="X59" s="63">
        <f>'Key financial and ops fig.s LCY'!N57</f>
        <v>-42260281.25</v>
      </c>
      <c r="Y59" s="64">
        <f>'Key financial and ops fig.s LCY'!O57</f>
        <v>-44653125</v>
      </c>
      <c r="Z59" s="64">
        <f>'Key financial and ops fig.s LCY'!P57</f>
        <v>-47031531.25</v>
      </c>
      <c r="AA59" s="108">
        <f>'Key financial and ops fig.s LCY'!Q57</f>
        <v>-49395500</v>
      </c>
      <c r="AB59" s="221">
        <f>'Key financial and ops fig.s LCY'!R57</f>
        <v>-183340437.5</v>
      </c>
      <c r="AC59" s="63">
        <f>'Alt. scenario LCY'!N57</f>
        <v>-42260281.25</v>
      </c>
      <c r="AD59" s="64">
        <f>'Alt. scenario LCY'!O57</f>
        <v>-44653125</v>
      </c>
      <c r="AE59" s="64">
        <f>'Alt. scenario LCY'!P57</f>
        <v>-47031531.25</v>
      </c>
      <c r="AF59" s="108">
        <f>'Alt. scenario LCY'!Q57</f>
        <v>-49395500</v>
      </c>
      <c r="AG59" s="239">
        <f>'Alt. scenario LCY'!R57</f>
        <v>-183340437.5</v>
      </c>
      <c r="AH59" s="63">
        <f>'Key financial and ops fig.s LCY'!S57</f>
        <v>-51745031.25</v>
      </c>
      <c r="AI59" s="64">
        <f>'Key financial and ops fig.s LCY'!T57</f>
        <v>-54080125</v>
      </c>
      <c r="AJ59" s="64">
        <f>'Key financial and ops fig.s LCY'!U57</f>
        <v>-56400781.25</v>
      </c>
      <c r="AK59" s="108">
        <f>'Key financial and ops fig.s LCY'!V57</f>
        <v>-58707000</v>
      </c>
      <c r="AL59" s="221">
        <f>'Key financial and ops fig.s LCY'!W57</f>
        <v>-220932937.5</v>
      </c>
      <c r="AM59" s="63">
        <f>'Alt. scenario LCY'!S57</f>
        <v>-51745031.25</v>
      </c>
      <c r="AN59" s="64">
        <f>'Alt. scenario LCY'!T57</f>
        <v>-54080125</v>
      </c>
      <c r="AO59" s="64">
        <f>'Alt. scenario LCY'!U57</f>
        <v>-56400781.25</v>
      </c>
      <c r="AP59" s="108">
        <f>'Alt. scenario LCY'!V57</f>
        <v>-58707000</v>
      </c>
      <c r="AQ59" s="239">
        <f>'Alt. scenario LCY'!W57</f>
        <v>-220932937.5</v>
      </c>
      <c r="AR59" s="63">
        <f>'Key financial and ops fig.s LCY'!X57</f>
        <v>-60998781.25</v>
      </c>
      <c r="AS59" s="64">
        <f>'Key financial and ops fig.s LCY'!Y57</f>
        <v>-63276125</v>
      </c>
      <c r="AT59" s="64">
        <f>'Key financial and ops fig.s LCY'!Z57</f>
        <v>-65539031.25</v>
      </c>
      <c r="AU59" s="108">
        <f>'Key financial and ops fig.s LCY'!AA57</f>
        <v>-67787500</v>
      </c>
      <c r="AV59" s="221">
        <f>'Key financial and ops fig.s LCY'!AB57</f>
        <v>-257601437.5</v>
      </c>
      <c r="AW59" s="63">
        <f>'Alt. scenario LCY'!X57</f>
        <v>-60998781.25</v>
      </c>
      <c r="AX59" s="64">
        <f>'Alt. scenario LCY'!Y57</f>
        <v>-63276125</v>
      </c>
      <c r="AY59" s="64">
        <f>'Alt. scenario LCY'!Z57</f>
        <v>-65539031.25</v>
      </c>
      <c r="AZ59" s="108">
        <f>'Alt. scenario LCY'!AA57</f>
        <v>-67787500</v>
      </c>
      <c r="BA59" s="239">
        <f>'Alt. scenario LCY'!AB57</f>
        <v>-257601437.5</v>
      </c>
      <c r="BB59" s="63">
        <f>'Key financial and ops fig.s LCY'!AC57</f>
        <v>-61443125</v>
      </c>
      <c r="BC59" s="64">
        <f>'Key financial and ops fig.s LCY'!AD57</f>
        <v>-59923750</v>
      </c>
      <c r="BD59" s="64">
        <f>'Key financial and ops fig.s LCY'!AE57</f>
        <v>-59779375</v>
      </c>
      <c r="BE59" s="108">
        <f>'Key financial and ops fig.s LCY'!AF57</f>
        <v>-59635000</v>
      </c>
      <c r="BF59" s="221">
        <f>'Key financial and ops fig.s LCY'!AG57</f>
        <v>-240781250</v>
      </c>
      <c r="BG59" s="63">
        <f>'Alt. scenario LCY'!AC57</f>
        <v>-61443125</v>
      </c>
      <c r="BH59" s="64">
        <f>'Alt. scenario LCY'!AD57</f>
        <v>-59923750</v>
      </c>
      <c r="BI59" s="64">
        <f>'Alt. scenario LCY'!AE57</f>
        <v>-59779375</v>
      </c>
      <c r="BJ59" s="108">
        <f>'Alt. scenario LCY'!AF57</f>
        <v>-59635000</v>
      </c>
      <c r="BK59" s="239">
        <f>'Alt. scenario LCY'!AG57</f>
        <v>-240781250</v>
      </c>
      <c r="BL59" s="63">
        <f>'Key financial and ops fig.s LCY'!AH57</f>
        <v>-59490625</v>
      </c>
      <c r="BM59" s="64">
        <f>'Key financial and ops fig.s LCY'!AI57</f>
        <v>-59346250</v>
      </c>
      <c r="BN59" s="64">
        <f>'Key financial and ops fig.s LCY'!AJ57</f>
        <v>-59201875</v>
      </c>
      <c r="BO59" s="108">
        <f>'Key financial and ops fig.s LCY'!AK57</f>
        <v>-59057500</v>
      </c>
      <c r="BP59" s="221">
        <f>'Key financial and ops fig.s LCY'!AL57</f>
        <v>-237096250</v>
      </c>
      <c r="BQ59" s="63">
        <f>'Alt. scenario LCY'!AH57</f>
        <v>-59490625</v>
      </c>
      <c r="BR59" s="64">
        <f>'Alt. scenario LCY'!AI57</f>
        <v>-59346250</v>
      </c>
      <c r="BS59" s="64">
        <f>'Alt. scenario LCY'!AJ57</f>
        <v>-59201875</v>
      </c>
      <c r="BT59" s="108">
        <f>'Alt. scenario LCY'!AK57</f>
        <v>-59057500</v>
      </c>
      <c r="BU59" s="239">
        <f>'Alt. scenario LCY'!AL57</f>
        <v>-237096250</v>
      </c>
    </row>
    <row r="60" spans="1:73" ht="15.95">
      <c r="A60" s="36"/>
      <c r="B60" s="34" t="s">
        <v>295</v>
      </c>
      <c r="C60" s="56"/>
      <c r="D60" s="63">
        <f>'Key financial and ops fig.s LCY'!D58</f>
        <v>-272100000</v>
      </c>
      <c r="E60" s="64">
        <f>'Key financial and ops fig.s LCY'!E58</f>
        <v>-11650000</v>
      </c>
      <c r="F60" s="64">
        <f>'Key financial and ops fig.s LCY'!F58</f>
        <v>-11650000</v>
      </c>
      <c r="G60" s="108">
        <f>'Key financial and ops fig.s LCY'!G58</f>
        <v>-11800000</v>
      </c>
      <c r="H60" s="221">
        <f>'Key financial and ops fig.s LCY'!H58</f>
        <v>-307200000</v>
      </c>
      <c r="I60" s="63">
        <f>'Alt. scenario LCY'!D58</f>
        <v>-272100000</v>
      </c>
      <c r="J60" s="64">
        <f>'Alt. scenario LCY'!E58</f>
        <v>-11650000</v>
      </c>
      <c r="K60" s="64">
        <f>'Alt. scenario LCY'!F58</f>
        <v>-11650000</v>
      </c>
      <c r="L60" s="108">
        <f>'Alt. scenario LCY'!G58</f>
        <v>-11800000</v>
      </c>
      <c r="M60" s="239">
        <f>'Alt. scenario LCY'!H58</f>
        <v>-307200000</v>
      </c>
      <c r="N60" s="63">
        <f>'Key financial and ops fig.s LCY'!I58</f>
        <v>-11650000</v>
      </c>
      <c r="O60" s="64">
        <f>'Key financial and ops fig.s LCY'!J58</f>
        <v>-11650000</v>
      </c>
      <c r="P60" s="64">
        <f>'Key financial and ops fig.s LCY'!K58</f>
        <v>-11500000</v>
      </c>
      <c r="Q60" s="108">
        <f>'Key financial and ops fig.s LCY'!L58</f>
        <v>-11500000</v>
      </c>
      <c r="R60" s="221">
        <f>'Key financial and ops fig.s LCY'!M58</f>
        <v>-46300000</v>
      </c>
      <c r="S60" s="63">
        <f>'Alt. scenario LCY'!I58</f>
        <v>-11650000</v>
      </c>
      <c r="T60" s="64">
        <f>'Alt. scenario LCY'!J58</f>
        <v>-11650000</v>
      </c>
      <c r="U60" s="64">
        <f>'Alt. scenario LCY'!K58</f>
        <v>-11500000</v>
      </c>
      <c r="V60" s="108">
        <f>'Alt. scenario LCY'!L58</f>
        <v>-11500000</v>
      </c>
      <c r="W60" s="239">
        <f>'Alt. scenario LCY'!M58</f>
        <v>-46300000</v>
      </c>
      <c r="X60" s="63">
        <f>'Key financial and ops fig.s LCY'!N58</f>
        <v>-11650000</v>
      </c>
      <c r="Y60" s="64">
        <f>'Key financial and ops fig.s LCY'!O58</f>
        <v>-11500000</v>
      </c>
      <c r="Z60" s="64">
        <f>'Key financial and ops fig.s LCY'!P58</f>
        <v>-11650000</v>
      </c>
      <c r="AA60" s="108">
        <f>'Key financial and ops fig.s LCY'!Q58</f>
        <v>-11500000</v>
      </c>
      <c r="AB60" s="221">
        <f>'Key financial and ops fig.s LCY'!R58</f>
        <v>-46300000</v>
      </c>
      <c r="AC60" s="63">
        <f>'Alt. scenario LCY'!N58</f>
        <v>-11650000</v>
      </c>
      <c r="AD60" s="64">
        <f>'Alt. scenario LCY'!O58</f>
        <v>-11500000</v>
      </c>
      <c r="AE60" s="64">
        <f>'Alt. scenario LCY'!P58</f>
        <v>-11650000</v>
      </c>
      <c r="AF60" s="108">
        <f>'Alt. scenario LCY'!Q58</f>
        <v>-11500000</v>
      </c>
      <c r="AG60" s="239">
        <f>'Alt. scenario LCY'!R58</f>
        <v>-46300000</v>
      </c>
      <c r="AH60" s="63">
        <f>'Key financial and ops fig.s LCY'!S58</f>
        <v>-11350000</v>
      </c>
      <c r="AI60" s="64">
        <f>'Key financial and ops fig.s LCY'!T58</f>
        <v>-11500000</v>
      </c>
      <c r="AJ60" s="64">
        <f>'Key financial and ops fig.s LCY'!U58</f>
        <v>-11500000</v>
      </c>
      <c r="AK60" s="108">
        <f>'Key financial and ops fig.s LCY'!V58</f>
        <v>-11500000</v>
      </c>
      <c r="AL60" s="221">
        <f>'Key financial and ops fig.s LCY'!W58</f>
        <v>-45850000</v>
      </c>
      <c r="AM60" s="63">
        <f>'Alt. scenario LCY'!S58</f>
        <v>-11350000</v>
      </c>
      <c r="AN60" s="64">
        <f>'Alt. scenario LCY'!T58</f>
        <v>-11500000</v>
      </c>
      <c r="AO60" s="64">
        <f>'Alt. scenario LCY'!U58</f>
        <v>-11500000</v>
      </c>
      <c r="AP60" s="108">
        <f>'Alt. scenario LCY'!V58</f>
        <v>-11500000</v>
      </c>
      <c r="AQ60" s="239">
        <f>'Alt. scenario LCY'!W58</f>
        <v>-45850000</v>
      </c>
      <c r="AR60" s="63">
        <f>'Key financial and ops fig.s LCY'!X58</f>
        <v>-11350000</v>
      </c>
      <c r="AS60" s="64">
        <f>'Key financial and ops fig.s LCY'!Y58</f>
        <v>-11200000</v>
      </c>
      <c r="AT60" s="64">
        <f>'Key financial and ops fig.s LCY'!Z58</f>
        <v>-11350000</v>
      </c>
      <c r="AU60" s="108">
        <f>'Key financial and ops fig.s LCY'!AA58</f>
        <v>-11500000</v>
      </c>
      <c r="AV60" s="221">
        <f>'Key financial and ops fig.s LCY'!AB58</f>
        <v>-45400000</v>
      </c>
      <c r="AW60" s="63">
        <f>'Alt. scenario LCY'!X58</f>
        <v>-11350000</v>
      </c>
      <c r="AX60" s="64">
        <f>'Alt. scenario LCY'!Y58</f>
        <v>-11200000</v>
      </c>
      <c r="AY60" s="64">
        <f>'Alt. scenario LCY'!Z58</f>
        <v>-11350000</v>
      </c>
      <c r="AZ60" s="108">
        <f>'Alt. scenario LCY'!AA58</f>
        <v>-11500000</v>
      </c>
      <c r="BA60" s="239">
        <f>'Alt. scenario LCY'!AB58</f>
        <v>-45400000</v>
      </c>
      <c r="BB60" s="63">
        <f>'Key financial and ops fig.s LCY'!AC58</f>
        <v>150000</v>
      </c>
      <c r="BC60" s="64">
        <f>'Key financial and ops fig.s LCY'!AD58</f>
        <v>10600000</v>
      </c>
      <c r="BD60" s="64">
        <f>'Key financial and ops fig.s LCY'!AE58</f>
        <v>150000</v>
      </c>
      <c r="BE60" s="108">
        <f>'Key financial and ops fig.s LCY'!AF58</f>
        <v>0</v>
      </c>
      <c r="BF60" s="221">
        <f>'Key financial and ops fig.s LCY'!AG58</f>
        <v>10900000</v>
      </c>
      <c r="BG60" s="63">
        <f>'Alt. scenario LCY'!AC58</f>
        <v>150000</v>
      </c>
      <c r="BH60" s="64">
        <f>'Alt. scenario LCY'!AD58</f>
        <v>10600000</v>
      </c>
      <c r="BI60" s="64">
        <f>'Alt. scenario LCY'!AE58</f>
        <v>150000</v>
      </c>
      <c r="BJ60" s="108">
        <f>'Alt. scenario LCY'!AF58</f>
        <v>0</v>
      </c>
      <c r="BK60" s="239">
        <f>'Alt. scenario LCY'!AG58</f>
        <v>10900000</v>
      </c>
      <c r="BL60" s="63">
        <f>'Key financial and ops fig.s LCY'!AH58</f>
        <v>450000</v>
      </c>
      <c r="BM60" s="64">
        <f>'Key financial and ops fig.s LCY'!AI58</f>
        <v>150000</v>
      </c>
      <c r="BN60" s="64">
        <f>'Key financial and ops fig.s LCY'!AJ58</f>
        <v>0</v>
      </c>
      <c r="BO60" s="108">
        <f>'Key financial and ops fig.s LCY'!AK58</f>
        <v>300000</v>
      </c>
      <c r="BP60" s="221">
        <f>'Key financial and ops fig.s LCY'!AL58</f>
        <v>900000</v>
      </c>
      <c r="BQ60" s="63">
        <f>'Alt. scenario LCY'!AH58</f>
        <v>450000</v>
      </c>
      <c r="BR60" s="64">
        <f>'Alt. scenario LCY'!AI58</f>
        <v>150000</v>
      </c>
      <c r="BS60" s="64">
        <f>'Alt. scenario LCY'!AJ58</f>
        <v>0</v>
      </c>
      <c r="BT60" s="108">
        <f>'Alt. scenario LCY'!AK58</f>
        <v>300000</v>
      </c>
      <c r="BU60" s="239">
        <f>'Alt. scenario LCY'!AL58</f>
        <v>900000</v>
      </c>
    </row>
    <row r="61" spans="1:73" ht="15.95">
      <c r="A61" s="36"/>
      <c r="B61" s="34" t="s">
        <v>296</v>
      </c>
      <c r="C61" s="56"/>
      <c r="D61" s="63">
        <f>'Key financial and ops fig.s LCY'!D59</f>
        <v>0</v>
      </c>
      <c r="E61" s="64">
        <f>'Key financial and ops fig.s LCY'!E59</f>
        <v>0</v>
      </c>
      <c r="F61" s="64">
        <f>'Key financial and ops fig.s LCY'!F59</f>
        <v>0</v>
      </c>
      <c r="G61" s="108">
        <f>'Key financial and ops fig.s LCY'!G59</f>
        <v>0</v>
      </c>
      <c r="H61" s="221">
        <f>'Key financial and ops fig.s LCY'!H59</f>
        <v>0</v>
      </c>
      <c r="I61" s="63">
        <f>'Alt. scenario LCY'!D59</f>
        <v>0</v>
      </c>
      <c r="J61" s="64">
        <f>'Alt. scenario LCY'!E59</f>
        <v>0</v>
      </c>
      <c r="K61" s="64">
        <f>'Alt. scenario LCY'!F59</f>
        <v>0</v>
      </c>
      <c r="L61" s="108">
        <f>'Alt. scenario LCY'!G59</f>
        <v>0</v>
      </c>
      <c r="M61" s="239">
        <f>'Alt. scenario LCY'!H59</f>
        <v>0</v>
      </c>
      <c r="N61" s="63">
        <f>'Key financial and ops fig.s LCY'!I59</f>
        <v>0</v>
      </c>
      <c r="O61" s="64">
        <f>'Key financial and ops fig.s LCY'!J59</f>
        <v>0</v>
      </c>
      <c r="P61" s="64">
        <f>'Key financial and ops fig.s LCY'!K59</f>
        <v>0</v>
      </c>
      <c r="Q61" s="108">
        <f>'Key financial and ops fig.s LCY'!L59</f>
        <v>0</v>
      </c>
      <c r="R61" s="221">
        <f>'Key financial and ops fig.s LCY'!M59</f>
        <v>0</v>
      </c>
      <c r="S61" s="63">
        <f>'Alt. scenario LCY'!I59</f>
        <v>0</v>
      </c>
      <c r="T61" s="64">
        <f>'Alt. scenario LCY'!J59</f>
        <v>0</v>
      </c>
      <c r="U61" s="64">
        <f>'Alt. scenario LCY'!K59</f>
        <v>0</v>
      </c>
      <c r="V61" s="108">
        <f>'Alt. scenario LCY'!L59</f>
        <v>0</v>
      </c>
      <c r="W61" s="239">
        <f>'Alt. scenario LCY'!M59</f>
        <v>0</v>
      </c>
      <c r="X61" s="63">
        <f>'Key financial and ops fig.s LCY'!N59</f>
        <v>57527423.348214298</v>
      </c>
      <c r="Y61" s="64">
        <f>'Key financial and ops fig.s LCY'!O59</f>
        <v>0</v>
      </c>
      <c r="Z61" s="64">
        <f>'Key financial and ops fig.s LCY'!P59</f>
        <v>0</v>
      </c>
      <c r="AA61" s="108">
        <f>'Key financial and ops fig.s LCY'!Q59</f>
        <v>0</v>
      </c>
      <c r="AB61" s="221">
        <f>'Key financial and ops fig.s LCY'!R59</f>
        <v>57527423.348214298</v>
      </c>
      <c r="AC61" s="63">
        <f>'Alt. scenario LCY'!N59</f>
        <v>57527423.348214298</v>
      </c>
      <c r="AD61" s="64">
        <f>'Alt. scenario LCY'!O59</f>
        <v>0</v>
      </c>
      <c r="AE61" s="64">
        <f>'Alt. scenario LCY'!P59</f>
        <v>0</v>
      </c>
      <c r="AF61" s="108">
        <f>'Alt. scenario LCY'!Q59</f>
        <v>0</v>
      </c>
      <c r="AG61" s="239">
        <f>'Alt. scenario LCY'!R59</f>
        <v>57527423.348214298</v>
      </c>
      <c r="AH61" s="63">
        <f>'Key financial and ops fig.s LCY'!S59</f>
        <v>103303677.99107142</v>
      </c>
      <c r="AI61" s="64">
        <f>'Key financial and ops fig.s LCY'!T59</f>
        <v>0</v>
      </c>
      <c r="AJ61" s="64">
        <f>'Key financial and ops fig.s LCY'!U59</f>
        <v>0</v>
      </c>
      <c r="AK61" s="108">
        <f>'Key financial and ops fig.s LCY'!V59</f>
        <v>0</v>
      </c>
      <c r="AL61" s="221">
        <f>'Key financial and ops fig.s LCY'!W59</f>
        <v>103303677.99107142</v>
      </c>
      <c r="AM61" s="63">
        <f>'Alt. scenario LCY'!S59</f>
        <v>103303677.99107142</v>
      </c>
      <c r="AN61" s="64">
        <f>'Alt. scenario LCY'!T59</f>
        <v>0</v>
      </c>
      <c r="AO61" s="64">
        <f>'Alt. scenario LCY'!U59</f>
        <v>0</v>
      </c>
      <c r="AP61" s="108">
        <f>'Alt. scenario LCY'!V59</f>
        <v>0</v>
      </c>
      <c r="AQ61" s="239">
        <f>'Alt. scenario LCY'!W59</f>
        <v>103303677.99107142</v>
      </c>
      <c r="AR61" s="63">
        <f>'Key financial and ops fig.s LCY'!X59</f>
        <v>139687394.0625</v>
      </c>
      <c r="AS61" s="64">
        <f>'Key financial and ops fig.s LCY'!Y59</f>
        <v>0</v>
      </c>
      <c r="AT61" s="64">
        <f>'Key financial and ops fig.s LCY'!Z59</f>
        <v>0</v>
      </c>
      <c r="AU61" s="108">
        <f>'Key financial and ops fig.s LCY'!AA59</f>
        <v>0</v>
      </c>
      <c r="AV61" s="221">
        <f>'Key financial and ops fig.s LCY'!AB59</f>
        <v>139687394.0625</v>
      </c>
      <c r="AW61" s="63">
        <f>'Alt. scenario LCY'!X59</f>
        <v>139687394.0625</v>
      </c>
      <c r="AX61" s="64">
        <f>'Alt. scenario LCY'!Y59</f>
        <v>0</v>
      </c>
      <c r="AY61" s="64">
        <f>'Alt. scenario LCY'!Z59</f>
        <v>0</v>
      </c>
      <c r="AZ61" s="108">
        <f>'Alt. scenario LCY'!AA59</f>
        <v>0</v>
      </c>
      <c r="BA61" s="239">
        <f>'Alt. scenario LCY'!AB59</f>
        <v>139687394.0625</v>
      </c>
      <c r="BB61" s="63">
        <f>'Key financial and ops fig.s LCY'!AC59</f>
        <v>173839607.27678573</v>
      </c>
      <c r="BC61" s="64">
        <f>'Key financial and ops fig.s LCY'!AD59</f>
        <v>0</v>
      </c>
      <c r="BD61" s="64">
        <f>'Key financial and ops fig.s LCY'!AE59</f>
        <v>0</v>
      </c>
      <c r="BE61" s="108">
        <f>'Key financial and ops fig.s LCY'!AF59</f>
        <v>0</v>
      </c>
      <c r="BF61" s="221">
        <f>'Key financial and ops fig.s LCY'!AG59</f>
        <v>173839607.27678573</v>
      </c>
      <c r="BG61" s="63">
        <f>'Alt. scenario LCY'!AC59</f>
        <v>173839607.27678573</v>
      </c>
      <c r="BH61" s="64">
        <f>'Alt. scenario LCY'!AD59</f>
        <v>0</v>
      </c>
      <c r="BI61" s="64">
        <f>'Alt. scenario LCY'!AE59</f>
        <v>0</v>
      </c>
      <c r="BJ61" s="108">
        <f>'Alt. scenario LCY'!AF59</f>
        <v>0</v>
      </c>
      <c r="BK61" s="239">
        <f>'Alt. scenario LCY'!AG59</f>
        <v>173839607.27678573</v>
      </c>
      <c r="BL61" s="63">
        <f>'Key financial and ops fig.s LCY'!AH59</f>
        <v>176582629.46428573</v>
      </c>
      <c r="BM61" s="64">
        <f>'Key financial and ops fig.s LCY'!AI59</f>
        <v>0</v>
      </c>
      <c r="BN61" s="64">
        <f>'Key financial and ops fig.s LCY'!AJ59</f>
        <v>0</v>
      </c>
      <c r="BO61" s="108">
        <f>'Key financial and ops fig.s LCY'!AK59</f>
        <v>0</v>
      </c>
      <c r="BP61" s="221">
        <f>'Key financial and ops fig.s LCY'!AL59</f>
        <v>176582629.46428573</v>
      </c>
      <c r="BQ61" s="63">
        <f>'Alt. scenario LCY'!AH59</f>
        <v>176582629.46428573</v>
      </c>
      <c r="BR61" s="64">
        <f>'Alt. scenario LCY'!AI59</f>
        <v>0</v>
      </c>
      <c r="BS61" s="64">
        <f>'Alt. scenario LCY'!AJ59</f>
        <v>0</v>
      </c>
      <c r="BT61" s="108">
        <f>'Alt. scenario LCY'!AK59</f>
        <v>0</v>
      </c>
      <c r="BU61" s="239">
        <f>'Alt. scenario LCY'!AL59</f>
        <v>176582629.46428573</v>
      </c>
    </row>
    <row r="62" spans="1:73" ht="17.100000000000001" thickBot="1">
      <c r="A62" s="102" t="s">
        <v>297</v>
      </c>
      <c r="B62" s="34"/>
      <c r="C62" s="56"/>
      <c r="D62" s="142">
        <f>'Key financial and ops fig.s LCY'!D60</f>
        <v>-359346598.4375</v>
      </c>
      <c r="E62" s="143">
        <f>'Key financial and ops fig.s LCY'!E60</f>
        <v>-64200362.5</v>
      </c>
      <c r="F62" s="143">
        <f>'Key financial and ops fig.s LCY'!F60</f>
        <v>-34178760.9375</v>
      </c>
      <c r="G62" s="144">
        <f>'Key financial and ops fig.s LCY'!G60</f>
        <v>-5721793.75</v>
      </c>
      <c r="H62" s="222">
        <f>'Key financial and ops fig.s LCY'!H60</f>
        <v>-463447515.625</v>
      </c>
      <c r="I62" s="142">
        <f>'Alt. scenario LCY'!D60</f>
        <v>-359346598.4375</v>
      </c>
      <c r="J62" s="143">
        <f>'Alt. scenario LCY'!E60</f>
        <v>-64200362.5</v>
      </c>
      <c r="K62" s="143">
        <f>'Alt. scenario LCY'!F60</f>
        <v>-34178760.9375</v>
      </c>
      <c r="L62" s="144">
        <f>'Alt. scenario LCY'!G60</f>
        <v>-5721793.75</v>
      </c>
      <c r="M62" s="240">
        <f>'Alt. scenario LCY'!H60</f>
        <v>-463447515.625</v>
      </c>
      <c r="N62" s="142">
        <f>'Key financial and ops fig.s LCY'!I60</f>
        <v>23745539.0625</v>
      </c>
      <c r="O62" s="143">
        <f>'Key financial and ops fig.s LCY'!J60</f>
        <v>52898237.5</v>
      </c>
      <c r="P62" s="143">
        <f>'Key financial and ops fig.s LCY'!K60</f>
        <v>82286301.5625</v>
      </c>
      <c r="Q62" s="144">
        <f>'Key financial and ops fig.s LCY'!L60</f>
        <v>104114731.25</v>
      </c>
      <c r="R62" s="222">
        <f>'Key financial and ops fig.s LCY'!M60</f>
        <v>263044809.375</v>
      </c>
      <c r="S62" s="142">
        <f>'Alt. scenario LCY'!I60</f>
        <v>23745539.0625</v>
      </c>
      <c r="T62" s="143">
        <f>'Alt. scenario LCY'!J60</f>
        <v>52898237.5</v>
      </c>
      <c r="U62" s="143">
        <f>'Alt. scenario LCY'!K60</f>
        <v>82286301.5625</v>
      </c>
      <c r="V62" s="144">
        <f>'Alt. scenario LCY'!L60</f>
        <v>104114731.25</v>
      </c>
      <c r="W62" s="240">
        <f>'Alt. scenario LCY'!M60</f>
        <v>263044809.375</v>
      </c>
      <c r="X62" s="142">
        <f>'Key financial and ops fig.s LCY'!N60</f>
        <v>174760949.9107143</v>
      </c>
      <c r="Y62" s="143">
        <f>'Key financial and ops fig.s LCY'!O60</f>
        <v>130737687.5</v>
      </c>
      <c r="Z62" s="143">
        <f>'Key financial and ops fig.s LCY'!P60</f>
        <v>143152214.0625</v>
      </c>
      <c r="AA62" s="144">
        <f>'Key financial and ops fig.s LCY'!Q60</f>
        <v>156077106.25</v>
      </c>
      <c r="AB62" s="222">
        <f>'Key financial and ops fig.s LCY'!R60</f>
        <v>604727957.72321427</v>
      </c>
      <c r="AC62" s="142">
        <f>'Alt. scenario LCY'!N60</f>
        <v>174760949.9107143</v>
      </c>
      <c r="AD62" s="143">
        <f>'Alt. scenario LCY'!O60</f>
        <v>130737687.5</v>
      </c>
      <c r="AE62" s="143">
        <f>'Alt. scenario LCY'!P60</f>
        <v>143152214.0625</v>
      </c>
      <c r="AF62" s="144">
        <f>'Alt. scenario LCY'!Q60</f>
        <v>156077106.25</v>
      </c>
      <c r="AG62" s="240">
        <f>'Alt. scenario LCY'!R60</f>
        <v>604727957.72321427</v>
      </c>
      <c r="AH62" s="142">
        <f>'Key financial and ops fig.s LCY'!S60</f>
        <v>272391042.0535714</v>
      </c>
      <c r="AI62" s="143">
        <f>'Key financial and ops fig.s LCY'!T60</f>
        <v>181132987.5</v>
      </c>
      <c r="AJ62" s="143">
        <f>'Key financial and ops fig.s LCY'!U60</f>
        <v>193038976.5625</v>
      </c>
      <c r="AK62" s="144">
        <f>'Key financial and ops fig.s LCY'!V60</f>
        <v>204655331.25</v>
      </c>
      <c r="AL62" s="222">
        <f>'Key financial and ops fig.s LCY'!W60</f>
        <v>851218337.36607146</v>
      </c>
      <c r="AM62" s="142">
        <f>'Alt. scenario LCY'!S60</f>
        <v>272391042.0535714</v>
      </c>
      <c r="AN62" s="143">
        <f>'Alt. scenario LCY'!T60</f>
        <v>181132987.5</v>
      </c>
      <c r="AO62" s="143">
        <f>'Alt. scenario LCY'!U60</f>
        <v>193038976.5625</v>
      </c>
      <c r="AP62" s="144">
        <f>'Alt. scenario LCY'!V60</f>
        <v>204655331.25</v>
      </c>
      <c r="AQ62" s="240">
        <f>'Alt. scenario LCY'!W60</f>
        <v>851218337.36607146</v>
      </c>
      <c r="AR62" s="142">
        <f>'Key financial and ops fig.s LCY'!X60</f>
        <v>356194445.625</v>
      </c>
      <c r="AS62" s="143">
        <f>'Key financial and ops fig.s LCY'!Y60</f>
        <v>229194137.5</v>
      </c>
      <c r="AT62" s="143">
        <f>'Key financial and ops fig.s LCY'!Z60</f>
        <v>240166589.0625</v>
      </c>
      <c r="AU62" s="144">
        <f>'Key financial and ops fig.s LCY'!AA60</f>
        <v>250474406.25</v>
      </c>
      <c r="AV62" s="222">
        <f>'Key financial and ops fig.s LCY'!AB60</f>
        <v>1076029578.4375</v>
      </c>
      <c r="AW62" s="142">
        <f>'Alt. scenario LCY'!X60</f>
        <v>356194445.625</v>
      </c>
      <c r="AX62" s="143">
        <f>'Alt. scenario LCY'!Y60</f>
        <v>229194137.5</v>
      </c>
      <c r="AY62" s="143">
        <f>'Alt. scenario LCY'!Z60</f>
        <v>240166589.0625</v>
      </c>
      <c r="AZ62" s="144">
        <f>'Alt. scenario LCY'!AA60</f>
        <v>250474406.25</v>
      </c>
      <c r="BA62" s="240">
        <f>'Alt. scenario LCY'!AB60</f>
        <v>1076029578.4375</v>
      </c>
      <c r="BB62" s="142">
        <f>'Key financial and ops fig.s LCY'!AC60</f>
        <v>417430763.52678573</v>
      </c>
      <c r="BC62" s="143">
        <f>'Key financial and ops fig.s LCY'!AD60</f>
        <v>254894812.5</v>
      </c>
      <c r="BD62" s="143">
        <f>'Key financial and ops fig.s LCY'!AE60</f>
        <v>241923468.75</v>
      </c>
      <c r="BE62" s="144">
        <f>'Key financial and ops fig.s LCY'!AF60</f>
        <v>238877125</v>
      </c>
      <c r="BF62" s="222">
        <f>'Key financial and ops fig.s LCY'!AG60</f>
        <v>1153126169.7767859</v>
      </c>
      <c r="BG62" s="142">
        <f>'Alt. scenario LCY'!AC60</f>
        <v>417430763.52678573</v>
      </c>
      <c r="BH62" s="143">
        <f>'Alt. scenario LCY'!AD60</f>
        <v>254894812.5</v>
      </c>
      <c r="BI62" s="143">
        <f>'Alt. scenario LCY'!AE60</f>
        <v>241923468.75</v>
      </c>
      <c r="BJ62" s="144">
        <f>'Alt. scenario LCY'!AF60</f>
        <v>238877125</v>
      </c>
      <c r="BK62" s="240">
        <f>'Alt. scenario LCY'!AG60</f>
        <v>1153126169.7767859</v>
      </c>
      <c r="BL62" s="142">
        <f>'Key financial and ops fig.s LCY'!AH60</f>
        <v>414888410.71428573</v>
      </c>
      <c r="BM62" s="143">
        <f>'Key financial and ops fig.s LCY'!AI60</f>
        <v>235484437.5</v>
      </c>
      <c r="BN62" s="143">
        <f>'Key financial and ops fig.s LCY'!AJ60</f>
        <v>232438093.75</v>
      </c>
      <c r="BO62" s="144">
        <f>'Key financial and ops fig.s LCY'!AK60</f>
        <v>230716750</v>
      </c>
      <c r="BP62" s="222">
        <f>'Key financial and ops fig.s LCY'!AL60</f>
        <v>1113527691.9642859</v>
      </c>
      <c r="BQ62" s="142">
        <f>'Alt. scenario LCY'!AH60</f>
        <v>414888410.71428573</v>
      </c>
      <c r="BR62" s="143">
        <f>'Alt. scenario LCY'!AI60</f>
        <v>235484437.5</v>
      </c>
      <c r="BS62" s="143">
        <f>'Alt. scenario LCY'!AJ60</f>
        <v>232438093.75</v>
      </c>
      <c r="BT62" s="144">
        <f>'Alt. scenario LCY'!AK60</f>
        <v>230716750</v>
      </c>
      <c r="BU62" s="240">
        <f>'Alt. scenario LCY'!AL60</f>
        <v>1113527691.9642859</v>
      </c>
    </row>
    <row r="63" spans="1:73" s="109" customFormat="1" ht="20.100000000000001" thickBot="1">
      <c r="A63" s="197" t="s">
        <v>298</v>
      </c>
      <c r="B63" s="198"/>
      <c r="C63" s="199"/>
      <c r="D63" s="145">
        <f>'Key financial and ops fig.s LCY'!D61</f>
        <v>-359346598.4375</v>
      </c>
      <c r="E63" s="146">
        <f>'Key financial and ops fig.s LCY'!E61</f>
        <v>-423546960.9375</v>
      </c>
      <c r="F63" s="146">
        <f>'Key financial and ops fig.s LCY'!F61</f>
        <v>-457725721.875</v>
      </c>
      <c r="G63" s="147">
        <f>'Key financial and ops fig.s LCY'!G61</f>
        <v>-463447515.625</v>
      </c>
      <c r="H63" s="223">
        <f>'Key financial and ops fig.s LCY'!H61</f>
        <v>-463447515.625</v>
      </c>
      <c r="I63" s="145">
        <f>'Alt. scenario LCY'!D61</f>
        <v>-359346598.4375</v>
      </c>
      <c r="J63" s="146">
        <f>'Alt. scenario LCY'!E61</f>
        <v>-423546960.9375</v>
      </c>
      <c r="K63" s="146">
        <f>'Alt. scenario LCY'!F61</f>
        <v>-457725721.875</v>
      </c>
      <c r="L63" s="147">
        <f>'Alt. scenario LCY'!G61</f>
        <v>-463447515.625</v>
      </c>
      <c r="M63" s="241">
        <f>'Alt. scenario LCY'!H61</f>
        <v>-463447515.625</v>
      </c>
      <c r="N63" s="194">
        <f>'Key financial and ops fig.s LCY'!I61</f>
        <v>-439701976.5625</v>
      </c>
      <c r="O63" s="195">
        <f>'Key financial and ops fig.s LCY'!J61</f>
        <v>-386803739.0625</v>
      </c>
      <c r="P63" s="195">
        <f>'Key financial and ops fig.s LCY'!K61</f>
        <v>-304517437.5</v>
      </c>
      <c r="Q63" s="196">
        <f>'Key financial and ops fig.s LCY'!L61</f>
        <v>-200402706.25</v>
      </c>
      <c r="R63" s="223">
        <f>'Key financial and ops fig.s LCY'!M61</f>
        <v>-200402706.25</v>
      </c>
      <c r="S63" s="145">
        <f>'Alt. scenario LCY'!I61</f>
        <v>-439701976.5625</v>
      </c>
      <c r="T63" s="146">
        <f>'Alt. scenario LCY'!J61</f>
        <v>-386803739.0625</v>
      </c>
      <c r="U63" s="146">
        <f>'Alt. scenario LCY'!K61</f>
        <v>-304517437.5</v>
      </c>
      <c r="V63" s="147">
        <f>'Alt. scenario LCY'!L61</f>
        <v>-200402706.25</v>
      </c>
      <c r="W63" s="241">
        <f>'Alt. scenario LCY'!M61</f>
        <v>-200402706.25</v>
      </c>
      <c r="X63" s="194">
        <f>'Key financial and ops fig.s LCY'!N61</f>
        <v>-25641756.339285702</v>
      </c>
      <c r="Y63" s="195">
        <f>'Key financial and ops fig.s LCY'!O61</f>
        <v>105095931.1607143</v>
      </c>
      <c r="Z63" s="195">
        <f>'Key financial and ops fig.s LCY'!P61</f>
        <v>248248145.2232143</v>
      </c>
      <c r="AA63" s="196">
        <f>'Key financial and ops fig.s LCY'!Q61</f>
        <v>404325251.47321427</v>
      </c>
      <c r="AB63" s="223">
        <f>'Key financial and ops fig.s LCY'!R61</f>
        <v>404325251.47321427</v>
      </c>
      <c r="AC63" s="145">
        <f>'Alt. scenario LCY'!N61</f>
        <v>-25641756.339285702</v>
      </c>
      <c r="AD63" s="146">
        <f>'Alt. scenario LCY'!O61</f>
        <v>105095931.1607143</v>
      </c>
      <c r="AE63" s="146">
        <f>'Alt. scenario LCY'!P61</f>
        <v>248248145.2232143</v>
      </c>
      <c r="AF63" s="147">
        <f>'Alt. scenario LCY'!Q61</f>
        <v>404325251.47321427</v>
      </c>
      <c r="AG63" s="241">
        <f>'Alt. scenario LCY'!R61</f>
        <v>404325251.47321427</v>
      </c>
      <c r="AH63" s="194">
        <f>'Key financial and ops fig.s LCY'!S61</f>
        <v>676716293.52678561</v>
      </c>
      <c r="AI63" s="195">
        <f>'Key financial and ops fig.s LCY'!T61</f>
        <v>857849281.02678561</v>
      </c>
      <c r="AJ63" s="195">
        <f>'Key financial and ops fig.s LCY'!U61</f>
        <v>1050888257.5892856</v>
      </c>
      <c r="AK63" s="196">
        <f>'Key financial and ops fig.s LCY'!V61</f>
        <v>1255543588.8392856</v>
      </c>
      <c r="AL63" s="223">
        <f>'Key financial and ops fig.s LCY'!W61</f>
        <v>1255543588.8392856</v>
      </c>
      <c r="AM63" s="145">
        <f>'Alt. scenario LCY'!S61</f>
        <v>676716293.52678561</v>
      </c>
      <c r="AN63" s="146">
        <f>'Alt. scenario LCY'!T61</f>
        <v>857849281.02678561</v>
      </c>
      <c r="AO63" s="146">
        <f>'Alt. scenario LCY'!U61</f>
        <v>1050888257.5892856</v>
      </c>
      <c r="AP63" s="147">
        <f>'Alt. scenario LCY'!V61</f>
        <v>1255543588.8392856</v>
      </c>
      <c r="AQ63" s="241">
        <f>'Alt. scenario LCY'!W61</f>
        <v>1255543588.8392856</v>
      </c>
      <c r="AR63" s="194">
        <f>'Key financial and ops fig.s LCY'!X61</f>
        <v>1611738034.4642856</v>
      </c>
      <c r="AS63" s="195">
        <f>'Key financial and ops fig.s LCY'!Y61</f>
        <v>1840932171.9642856</v>
      </c>
      <c r="AT63" s="195">
        <f>'Key financial and ops fig.s LCY'!Z61</f>
        <v>2081098761.0267856</v>
      </c>
      <c r="AU63" s="196">
        <f>'Key financial and ops fig.s LCY'!AA61</f>
        <v>2331573167.2767859</v>
      </c>
      <c r="AV63" s="223">
        <f>'Key financial and ops fig.s LCY'!AB61</f>
        <v>2331573167.2767859</v>
      </c>
      <c r="AW63" s="145">
        <f>'Alt. scenario LCY'!X61</f>
        <v>1611738034.4642856</v>
      </c>
      <c r="AX63" s="146">
        <f>'Alt. scenario LCY'!Y61</f>
        <v>1840932171.9642856</v>
      </c>
      <c r="AY63" s="146">
        <f>'Alt. scenario LCY'!Z61</f>
        <v>2081098761.0267856</v>
      </c>
      <c r="AZ63" s="147">
        <f>'Alt. scenario LCY'!AA61</f>
        <v>2331573167.2767859</v>
      </c>
      <c r="BA63" s="241">
        <f>'Alt. scenario LCY'!AB61</f>
        <v>2331573167.2767859</v>
      </c>
      <c r="BB63" s="194">
        <f>'Key financial and ops fig.s LCY'!AC61</f>
        <v>2749003930.8035717</v>
      </c>
      <c r="BC63" s="195">
        <f>'Key financial and ops fig.s LCY'!AD61</f>
        <v>3003898743.3035717</v>
      </c>
      <c r="BD63" s="195">
        <f>'Key financial and ops fig.s LCY'!AE61</f>
        <v>3245822212.0535717</v>
      </c>
      <c r="BE63" s="196">
        <f>'Key financial and ops fig.s LCY'!AF61</f>
        <v>3484699337.0535717</v>
      </c>
      <c r="BF63" s="223">
        <f>'Key financial and ops fig.s LCY'!AG61</f>
        <v>3484699337.0535717</v>
      </c>
      <c r="BG63" s="145">
        <f>'Alt. scenario LCY'!AC61</f>
        <v>2749003930.8035717</v>
      </c>
      <c r="BH63" s="146">
        <f>'Alt. scenario LCY'!AD61</f>
        <v>3003898743.3035717</v>
      </c>
      <c r="BI63" s="146">
        <f>'Alt. scenario LCY'!AE61</f>
        <v>3245822212.0535717</v>
      </c>
      <c r="BJ63" s="147">
        <f>'Alt. scenario LCY'!AF61</f>
        <v>3484699337.0535717</v>
      </c>
      <c r="BK63" s="241">
        <f>'Alt. scenario LCY'!AG61</f>
        <v>3484699337.0535717</v>
      </c>
      <c r="BL63" s="194">
        <f>'Key financial and ops fig.s LCY'!AH61</f>
        <v>3899587747.7678576</v>
      </c>
      <c r="BM63" s="195">
        <f>'Key financial and ops fig.s LCY'!AI61</f>
        <v>4135072185.2678576</v>
      </c>
      <c r="BN63" s="195">
        <f>'Key financial and ops fig.s LCY'!AJ61</f>
        <v>4367510279.0178576</v>
      </c>
      <c r="BO63" s="196">
        <f>'Key financial and ops fig.s LCY'!AK61</f>
        <v>4598227029.0178576</v>
      </c>
      <c r="BP63" s="223">
        <f>'Key financial and ops fig.s LCY'!AL61</f>
        <v>4598227029.0178576</v>
      </c>
      <c r="BQ63" s="145">
        <f>'Alt. scenario LCY'!AH61</f>
        <v>3899587747.7678576</v>
      </c>
      <c r="BR63" s="146">
        <f>'Alt. scenario LCY'!AI61</f>
        <v>4135072185.2678576</v>
      </c>
      <c r="BS63" s="146">
        <f>'Alt. scenario LCY'!AJ61</f>
        <v>4367510279.0178576</v>
      </c>
      <c r="BT63" s="147">
        <f>'Alt. scenario LCY'!AK61</f>
        <v>4598227029.0178576</v>
      </c>
      <c r="BU63" s="241">
        <f>'Alt. scenario LCY'!AL61</f>
        <v>4598227029.0178576</v>
      </c>
    </row>
    <row r="64" spans="1:73" ht="15.95" thickBot="1">
      <c r="H64" s="224"/>
      <c r="M64" s="242"/>
      <c r="R64" s="224"/>
      <c r="W64" s="242"/>
      <c r="AB64" s="224"/>
      <c r="AG64" s="242"/>
      <c r="AL64" s="224"/>
      <c r="AQ64" s="242"/>
      <c r="AV64" s="224"/>
      <c r="BA64" s="242"/>
      <c r="BF64" s="224"/>
      <c r="BK64" s="242"/>
      <c r="BP64" s="224"/>
      <c r="BU64" s="242"/>
    </row>
    <row r="65" spans="1:73" ht="35.1" thickBot="1">
      <c r="A65" s="28" t="s">
        <v>299</v>
      </c>
      <c r="B65" s="28"/>
      <c r="C65" s="28"/>
      <c r="D65" s="208" t="str">
        <f>D53</f>
        <v>Q1 Y1</v>
      </c>
      <c r="E65" s="209" t="str">
        <f t="shared" ref="E65:BP65" si="27">E53</f>
        <v>Q2 Y1</v>
      </c>
      <c r="F65" s="209" t="str">
        <f t="shared" si="27"/>
        <v>Q3 Y1</v>
      </c>
      <c r="G65" s="209" t="str">
        <f t="shared" si="27"/>
        <v>Q4 Y1</v>
      </c>
      <c r="H65" s="212" t="str">
        <f t="shared" si="27"/>
        <v>Y1</v>
      </c>
      <c r="I65" s="208" t="str">
        <f t="shared" si="27"/>
        <v>Alternative scenario for Q1 Y1</v>
      </c>
      <c r="J65" s="209" t="str">
        <f t="shared" si="27"/>
        <v>Alternative scenario for Q2 Y1</v>
      </c>
      <c r="K65" s="209" t="str">
        <f t="shared" si="27"/>
        <v>Alternative scenario for Q3 Y1</v>
      </c>
      <c r="L65" s="209" t="str">
        <f t="shared" si="27"/>
        <v>Alternative scenario for Q4 Y1</v>
      </c>
      <c r="M65" s="238" t="str">
        <f t="shared" si="27"/>
        <v>Alternative scenario for Y1</v>
      </c>
      <c r="N65" s="208" t="str">
        <f t="shared" si="27"/>
        <v>Q1 Y2</v>
      </c>
      <c r="O65" s="209" t="str">
        <f t="shared" si="27"/>
        <v>Q2 Y2</v>
      </c>
      <c r="P65" s="209" t="str">
        <f t="shared" si="27"/>
        <v>Q3 Y2</v>
      </c>
      <c r="Q65" s="209" t="str">
        <f t="shared" si="27"/>
        <v>Q4 Y2</v>
      </c>
      <c r="R65" s="212" t="str">
        <f t="shared" si="27"/>
        <v>Y2</v>
      </c>
      <c r="S65" s="208" t="str">
        <f t="shared" si="27"/>
        <v>Alternative scenario for Q1 Y2</v>
      </c>
      <c r="T65" s="209" t="str">
        <f t="shared" si="27"/>
        <v>Alternative scenario for Q2 Y2</v>
      </c>
      <c r="U65" s="209" t="str">
        <f t="shared" si="27"/>
        <v>Alternative scenario for Q3 Y2</v>
      </c>
      <c r="V65" s="209" t="str">
        <f t="shared" si="27"/>
        <v>Alternative scenario for Q4 Y2</v>
      </c>
      <c r="W65" s="238" t="str">
        <f t="shared" si="27"/>
        <v>Alternative scenario for Y2</v>
      </c>
      <c r="X65" s="208" t="str">
        <f t="shared" si="27"/>
        <v>Q1 Y3</v>
      </c>
      <c r="Y65" s="209" t="str">
        <f t="shared" si="27"/>
        <v>Q2 Y3</v>
      </c>
      <c r="Z65" s="209" t="str">
        <f t="shared" si="27"/>
        <v>Q3 Y3</v>
      </c>
      <c r="AA65" s="209" t="str">
        <f t="shared" si="27"/>
        <v>Q4 Y3</v>
      </c>
      <c r="AB65" s="212" t="str">
        <f t="shared" si="27"/>
        <v>Y3</v>
      </c>
      <c r="AC65" s="208" t="str">
        <f t="shared" si="27"/>
        <v>Alternative scenario for Q1 Y3</v>
      </c>
      <c r="AD65" s="209" t="str">
        <f t="shared" si="27"/>
        <v>Alternative scenario for Q2 Y3</v>
      </c>
      <c r="AE65" s="209" t="str">
        <f t="shared" si="27"/>
        <v>Alternative scenario for Q3 Y3</v>
      </c>
      <c r="AF65" s="209" t="str">
        <f t="shared" si="27"/>
        <v>Alternative scenario for Q4 Y3</v>
      </c>
      <c r="AG65" s="238" t="str">
        <f t="shared" si="27"/>
        <v>Alternative scenario for Y3</v>
      </c>
      <c r="AH65" s="208" t="str">
        <f t="shared" si="27"/>
        <v>Q1 Y4</v>
      </c>
      <c r="AI65" s="209" t="str">
        <f t="shared" si="27"/>
        <v>Q2 Y4</v>
      </c>
      <c r="AJ65" s="209" t="str">
        <f t="shared" si="27"/>
        <v>Q3 Y4</v>
      </c>
      <c r="AK65" s="209" t="str">
        <f t="shared" si="27"/>
        <v>Q4 Y4</v>
      </c>
      <c r="AL65" s="212" t="str">
        <f t="shared" si="27"/>
        <v>Y4</v>
      </c>
      <c r="AM65" s="208" t="str">
        <f t="shared" si="27"/>
        <v>Alternative scenario for Q1 Y4</v>
      </c>
      <c r="AN65" s="209" t="str">
        <f t="shared" si="27"/>
        <v>Alternative scenario for Q2 Y4</v>
      </c>
      <c r="AO65" s="209" t="str">
        <f t="shared" si="27"/>
        <v>Alternative scenario for Q3 Y4</v>
      </c>
      <c r="AP65" s="209" t="str">
        <f t="shared" si="27"/>
        <v>Alternative scenario for Q4 Y4</v>
      </c>
      <c r="AQ65" s="238" t="str">
        <f t="shared" si="27"/>
        <v>Alternative scenario for Y4</v>
      </c>
      <c r="AR65" s="208" t="str">
        <f t="shared" si="27"/>
        <v>Q1 Y5</v>
      </c>
      <c r="AS65" s="209" t="str">
        <f t="shared" si="27"/>
        <v>Q2 Y5</v>
      </c>
      <c r="AT65" s="209" t="str">
        <f t="shared" si="27"/>
        <v>Q3 Y5</v>
      </c>
      <c r="AU65" s="209" t="str">
        <f t="shared" si="27"/>
        <v>Q4 Y5</v>
      </c>
      <c r="AV65" s="212" t="str">
        <f t="shared" si="27"/>
        <v>Y5</v>
      </c>
      <c r="AW65" s="208" t="str">
        <f t="shared" si="27"/>
        <v>Alternative scenario for Q1 Y5</v>
      </c>
      <c r="AX65" s="209" t="str">
        <f t="shared" si="27"/>
        <v>Alternative scenario for Q2 Y5</v>
      </c>
      <c r="AY65" s="209" t="str">
        <f t="shared" si="27"/>
        <v>Alternative scenario for Q3 Y5</v>
      </c>
      <c r="AZ65" s="209" t="str">
        <f t="shared" si="27"/>
        <v>Alternative scenario for Q4 Y5</v>
      </c>
      <c r="BA65" s="238" t="str">
        <f t="shared" si="27"/>
        <v>Alternative scenario for Y5</v>
      </c>
      <c r="BB65" s="208" t="str">
        <f t="shared" si="27"/>
        <v>Q1 Y6</v>
      </c>
      <c r="BC65" s="209" t="str">
        <f t="shared" si="27"/>
        <v>Q2 Y6</v>
      </c>
      <c r="BD65" s="209" t="str">
        <f t="shared" si="27"/>
        <v>Q3 Y6</v>
      </c>
      <c r="BE65" s="209" t="str">
        <f t="shared" si="27"/>
        <v>Q4 Y6</v>
      </c>
      <c r="BF65" s="212" t="str">
        <f t="shared" si="27"/>
        <v>Y6</v>
      </c>
      <c r="BG65" s="208" t="str">
        <f t="shared" si="27"/>
        <v>Alternative scenario for Q1 Y6</v>
      </c>
      <c r="BH65" s="209" t="str">
        <f t="shared" si="27"/>
        <v>Alternative scenario for Q2 Y6</v>
      </c>
      <c r="BI65" s="209" t="str">
        <f t="shared" si="27"/>
        <v>Alternative scenario for Q3 Y6</v>
      </c>
      <c r="BJ65" s="209" t="str">
        <f t="shared" si="27"/>
        <v>Alternative scenario for Q4 Y6</v>
      </c>
      <c r="BK65" s="238" t="str">
        <f t="shared" si="27"/>
        <v>Alternative scenario for Y6</v>
      </c>
      <c r="BL65" s="208" t="str">
        <f t="shared" si="27"/>
        <v>Q1 Y7</v>
      </c>
      <c r="BM65" s="209" t="str">
        <f t="shared" si="27"/>
        <v>Q2 Y7</v>
      </c>
      <c r="BN65" s="209" t="str">
        <f t="shared" si="27"/>
        <v>Q3 Y7</v>
      </c>
      <c r="BO65" s="209" t="str">
        <f t="shared" si="27"/>
        <v>Q4 Y7</v>
      </c>
      <c r="BP65" s="212" t="str">
        <f t="shared" si="27"/>
        <v>Y7</v>
      </c>
      <c r="BQ65" s="208" t="str">
        <f t="shared" ref="BQ65:BU65" si="28">BQ53</f>
        <v>Alternative scenario for Q1 Y7</v>
      </c>
      <c r="BR65" s="209" t="str">
        <f t="shared" si="28"/>
        <v>Alternative scenario for Q2 Y7</v>
      </c>
      <c r="BS65" s="209" t="str">
        <f t="shared" si="28"/>
        <v>Alternative scenario for Q3 Y7</v>
      </c>
      <c r="BT65" s="209" t="str">
        <f t="shared" si="28"/>
        <v>Alternative scenario for Q4 Y7</v>
      </c>
      <c r="BU65" s="238" t="str">
        <f t="shared" si="28"/>
        <v>Alternative scenario for Y7</v>
      </c>
    </row>
    <row r="66" spans="1:73" ht="15.95">
      <c r="A66" s="188"/>
      <c r="B66" s="29"/>
      <c r="C66" s="30" t="s">
        <v>300</v>
      </c>
      <c r="D66" s="130">
        <f>'Key financial and ops fig.s LCY'!D64</f>
        <v>3.4927718458987911E-3</v>
      </c>
      <c r="E66" s="150">
        <f>'Key financial and ops fig.s LCY'!E64</f>
        <v>6.9416094547422513E-3</v>
      </c>
      <c r="F66" s="150">
        <f>'Key financial and ops fig.s LCY'!F64</f>
        <v>1.0346512826530381E-2</v>
      </c>
      <c r="G66" s="151">
        <f>'Key financial and ops fig.s LCY'!G64</f>
        <v>1.3707481961263179E-2</v>
      </c>
      <c r="H66" s="225">
        <f>'Key financial and ops fig.s LCY'!H64</f>
        <v>1.3707481961263179E-2</v>
      </c>
      <c r="I66" s="130">
        <f>'Alt. scenario LCY'!D64</f>
        <v>3.4927718458987911E-3</v>
      </c>
      <c r="J66" s="150">
        <f>'Alt. scenario LCY'!E64</f>
        <v>6.9416094547422513E-3</v>
      </c>
      <c r="K66" s="150">
        <f>'Alt. scenario LCY'!F64</f>
        <v>1.0346512826530381E-2</v>
      </c>
      <c r="L66" s="151">
        <f>'Alt. scenario LCY'!G64</f>
        <v>1.3707481961263179E-2</v>
      </c>
      <c r="M66" s="243">
        <f>'Alt. scenario LCY'!H64</f>
        <v>1.3707481961263179E-2</v>
      </c>
      <c r="N66" s="130">
        <f>'Key financial and ops fig.s LCY'!I64</f>
        <v>1.7024516858940648E-2</v>
      </c>
      <c r="O66" s="150">
        <f>'Key financial and ops fig.s LCY'!J64</f>
        <v>2.0297617519562786E-2</v>
      </c>
      <c r="P66" s="150">
        <f>'Key financial and ops fig.s LCY'!K64</f>
        <v>2.3526783943129591E-2</v>
      </c>
      <c r="Q66" s="151">
        <f>'Key financial and ops fig.s LCY'!L64</f>
        <v>2.6712016129641067E-2</v>
      </c>
      <c r="R66" s="225">
        <f>'Key financial and ops fig.s LCY'!M64</f>
        <v>2.6712016129641067E-2</v>
      </c>
      <c r="S66" s="130">
        <f>'Alt. scenario LCY'!I64</f>
        <v>1.7024516858940648E-2</v>
      </c>
      <c r="T66" s="150">
        <f>'Alt. scenario LCY'!J64</f>
        <v>2.0297617519562786E-2</v>
      </c>
      <c r="U66" s="150">
        <f>'Alt. scenario LCY'!K64</f>
        <v>2.3526783943129591E-2</v>
      </c>
      <c r="V66" s="151">
        <f>'Alt. scenario LCY'!L64</f>
        <v>2.6712016129641067E-2</v>
      </c>
      <c r="W66" s="243">
        <f>'Alt. scenario LCY'!M64</f>
        <v>2.6712016129641067E-2</v>
      </c>
      <c r="X66" s="130">
        <f>'Key financial and ops fig.s LCY'!N64</f>
        <v>2.9853314079097214E-2</v>
      </c>
      <c r="Y66" s="150">
        <f>'Key financial and ops fig.s LCY'!O64</f>
        <v>3.2950677791498025E-2</v>
      </c>
      <c r="Z66" s="150">
        <f>'Key financial and ops fig.s LCY'!P64</f>
        <v>3.6004107266843513E-2</v>
      </c>
      <c r="AA66" s="151">
        <f>'Key financial and ops fig.s LCY'!Q64</f>
        <v>3.9013602505133665E-2</v>
      </c>
      <c r="AB66" s="225">
        <f>'Key financial and ops fig.s LCY'!R64</f>
        <v>3.9013602505133665E-2</v>
      </c>
      <c r="AC66" s="130">
        <f>'Alt. scenario LCY'!N64</f>
        <v>2.9853314079097214E-2</v>
      </c>
      <c r="AD66" s="150">
        <f>'Alt. scenario LCY'!O64</f>
        <v>3.2950677791498025E-2</v>
      </c>
      <c r="AE66" s="150">
        <f>'Alt. scenario LCY'!P64</f>
        <v>3.6004107266843513E-2</v>
      </c>
      <c r="AF66" s="151">
        <f>'Alt. scenario LCY'!Q64</f>
        <v>3.9013602505133665E-2</v>
      </c>
      <c r="AG66" s="243">
        <f>'Alt. scenario LCY'!R64</f>
        <v>3.9013602505133665E-2</v>
      </c>
      <c r="AH66" s="130">
        <f>'Key financial and ops fig.s LCY'!S64</f>
        <v>4.1979163506368489E-2</v>
      </c>
      <c r="AI66" s="150">
        <f>'Key financial and ops fig.s LCY'!T64</f>
        <v>4.4900790270547976E-2</v>
      </c>
      <c r="AJ66" s="150">
        <f>'Key financial and ops fig.s LCY'!U64</f>
        <v>4.7778482797672141E-2</v>
      </c>
      <c r="AK66" s="151">
        <f>'Key financial and ops fig.s LCY'!V64</f>
        <v>5.061224108774097E-2</v>
      </c>
      <c r="AL66" s="225">
        <f>'Key financial and ops fig.s LCY'!W64</f>
        <v>5.061224108774097E-2</v>
      </c>
      <c r="AM66" s="130">
        <f>'Alt. scenario LCY'!S64</f>
        <v>4.1979163506368489E-2</v>
      </c>
      <c r="AN66" s="150">
        <f>'Alt. scenario LCY'!T64</f>
        <v>4.4900790270547976E-2</v>
      </c>
      <c r="AO66" s="150">
        <f>'Alt. scenario LCY'!U64</f>
        <v>4.7778482797672141E-2</v>
      </c>
      <c r="AP66" s="151">
        <f>'Alt. scenario LCY'!V64</f>
        <v>5.061224108774097E-2</v>
      </c>
      <c r="AQ66" s="243">
        <f>'Alt. scenario LCY'!W64</f>
        <v>5.061224108774097E-2</v>
      </c>
      <c r="AR66" s="130">
        <f>'Key financial and ops fig.s LCY'!X64</f>
        <v>5.3402065140754469E-2</v>
      </c>
      <c r="AS66" s="150">
        <f>'Key financial and ops fig.s LCY'!Y64</f>
        <v>5.614795495671264E-2</v>
      </c>
      <c r="AT66" s="150">
        <f>'Key financial and ops fig.s LCY'!Z64</f>
        <v>5.8849910535615474E-2</v>
      </c>
      <c r="AU66" s="151">
        <f>'Key financial and ops fig.s LCY'!AA64</f>
        <v>6.1507931877462986E-2</v>
      </c>
      <c r="AV66" s="225">
        <f>'Key financial and ops fig.s LCY'!AB64</f>
        <v>6.1507931877462986E-2</v>
      </c>
      <c r="AW66" s="130">
        <f>'Alt. scenario LCY'!X64</f>
        <v>5.3402065140754469E-2</v>
      </c>
      <c r="AX66" s="150">
        <f>'Alt. scenario LCY'!Y64</f>
        <v>5.614795495671264E-2</v>
      </c>
      <c r="AY66" s="150">
        <f>'Alt. scenario LCY'!Z64</f>
        <v>5.8849910535615474E-2</v>
      </c>
      <c r="AZ66" s="151">
        <f>'Alt. scenario LCY'!AA64</f>
        <v>6.1507931877462986E-2</v>
      </c>
      <c r="BA66" s="243">
        <f>'Alt. scenario LCY'!AB64</f>
        <v>6.1507931877462986E-2</v>
      </c>
      <c r="BB66" s="130">
        <f>'Key financial and ops fig.s LCY'!AC64</f>
        <v>6.106858950690968E-2</v>
      </c>
      <c r="BC66" s="150">
        <f>'Key financial and ops fig.s LCY'!AD64</f>
        <v>6.0629247136356368E-2</v>
      </c>
      <c r="BD66" s="150">
        <f>'Key financial and ops fig.s LCY'!AE64</f>
        <v>6.0189904765803062E-2</v>
      </c>
      <c r="BE66" s="151">
        <f>'Key financial and ops fig.s LCY'!AF64</f>
        <v>5.9750562395249757E-2</v>
      </c>
      <c r="BF66" s="225">
        <f>'Key financial and ops fig.s LCY'!AG64</f>
        <v>5.9750562395249757E-2</v>
      </c>
      <c r="BG66" s="130">
        <f>'Alt. scenario LCY'!AC64</f>
        <v>6.106858950690968E-2</v>
      </c>
      <c r="BH66" s="150">
        <f>'Alt. scenario LCY'!AD64</f>
        <v>6.0629247136356368E-2</v>
      </c>
      <c r="BI66" s="150">
        <f>'Alt. scenario LCY'!AE64</f>
        <v>6.0189904765803062E-2</v>
      </c>
      <c r="BJ66" s="151">
        <f>'Alt. scenario LCY'!AF64</f>
        <v>5.9750562395249757E-2</v>
      </c>
      <c r="BK66" s="243">
        <f>'Alt. scenario LCY'!AG64</f>
        <v>5.9750562395249757E-2</v>
      </c>
      <c r="BL66" s="130">
        <f>'Key financial and ops fig.s LCY'!AH64</f>
        <v>5.9311220024696451E-2</v>
      </c>
      <c r="BM66" s="150">
        <f>'Key financial and ops fig.s LCY'!AI64</f>
        <v>5.8871877654143145E-2</v>
      </c>
      <c r="BN66" s="150">
        <f>'Key financial and ops fig.s LCY'!AJ64</f>
        <v>5.8432535283589833E-2</v>
      </c>
      <c r="BO66" s="151">
        <f>'Key financial and ops fig.s LCY'!AK64</f>
        <v>5.7993192913036527E-2</v>
      </c>
      <c r="BP66" s="225">
        <f>'Key financial and ops fig.s LCY'!AL64</f>
        <v>5.7993192913036527E-2</v>
      </c>
      <c r="BQ66" s="130">
        <f>'Alt. scenario LCY'!AH64</f>
        <v>5.9311220024696451E-2</v>
      </c>
      <c r="BR66" s="150">
        <f>'Alt. scenario LCY'!AI64</f>
        <v>5.8871877654143145E-2</v>
      </c>
      <c r="BS66" s="150">
        <f>'Alt. scenario LCY'!AJ64</f>
        <v>5.8432535283589833E-2</v>
      </c>
      <c r="BT66" s="151">
        <f>'Alt. scenario LCY'!AK64</f>
        <v>5.7993192913036527E-2</v>
      </c>
      <c r="BU66" s="243">
        <f>'Alt. scenario LCY'!AL64</f>
        <v>5.7993192913036527E-2</v>
      </c>
    </row>
    <row r="67" spans="1:73" ht="15.95">
      <c r="A67" s="31"/>
      <c r="C67" s="33" t="s">
        <v>301</v>
      </c>
      <c r="D67" s="132">
        <f>'Key financial and ops fig.s LCY'!D65</f>
        <v>5.971471512259836E-3</v>
      </c>
      <c r="E67" s="131">
        <f>'Key financial and ops fig.s LCY'!E65</f>
        <v>1.1867830175308857E-2</v>
      </c>
      <c r="F67" s="131">
        <f>'Key financial and ops fig.s LCY'!F65</f>
        <v>1.7689075989147061E-2</v>
      </c>
      <c r="G67" s="133">
        <f>'Key financial and ops fig.s LCY'!G65</f>
        <v>2.3435208953774451E-2</v>
      </c>
      <c r="H67" s="225">
        <f>'Key financial and ops fig.s LCY'!H65</f>
        <v>2.3435208953774451E-2</v>
      </c>
      <c r="I67" s="132">
        <f>'Alt. scenario LCY'!D65</f>
        <v>5.971471512259836E-3</v>
      </c>
      <c r="J67" s="131">
        <f>'Alt. scenario LCY'!E65</f>
        <v>1.1867830175308857E-2</v>
      </c>
      <c r="K67" s="131">
        <f>'Alt. scenario LCY'!F65</f>
        <v>1.7689075989147061E-2</v>
      </c>
      <c r="L67" s="133">
        <f>'Alt. scenario LCY'!G65</f>
        <v>2.3435208953774451E-2</v>
      </c>
      <c r="M67" s="243">
        <f>'Alt. scenario LCY'!H65</f>
        <v>2.3435208953774451E-2</v>
      </c>
      <c r="N67" s="132">
        <f>'Key financial and ops fig.s LCY'!I65</f>
        <v>2.9106229069191025E-2</v>
      </c>
      <c r="O67" s="131">
        <f>'Key financial and ops fig.s LCY'!J65</f>
        <v>3.4702136335396781E-2</v>
      </c>
      <c r="P67" s="131">
        <f>'Key financial and ops fig.s LCY'!K65</f>
        <v>4.0222930752391722E-2</v>
      </c>
      <c r="Q67" s="133">
        <f>'Key financial and ops fig.s LCY'!L65</f>
        <v>4.5668612320175855E-2</v>
      </c>
      <c r="R67" s="225">
        <f>'Key financial and ops fig.s LCY'!M65</f>
        <v>4.5668612320175855E-2</v>
      </c>
      <c r="S67" s="132">
        <f>'Alt. scenario LCY'!I65</f>
        <v>2.9106229069191025E-2</v>
      </c>
      <c r="T67" s="131">
        <f>'Alt. scenario LCY'!J65</f>
        <v>3.4702136335396781E-2</v>
      </c>
      <c r="U67" s="131">
        <f>'Alt. scenario LCY'!K65</f>
        <v>4.0222930752391722E-2</v>
      </c>
      <c r="V67" s="133">
        <f>'Alt. scenario LCY'!L65</f>
        <v>4.5668612320175855E-2</v>
      </c>
      <c r="W67" s="243">
        <f>'Alt. scenario LCY'!M65</f>
        <v>4.5668612320175855E-2</v>
      </c>
      <c r="X67" s="132">
        <f>'Key financial and ops fig.s LCY'!N65</f>
        <v>5.1039181038749167E-2</v>
      </c>
      <c r="Y67" s="131">
        <f>'Key financial and ops fig.s LCY'!O65</f>
        <v>5.6334636908111663E-2</v>
      </c>
      <c r="Z67" s="131">
        <f>'Key financial and ops fig.s LCY'!P65</f>
        <v>6.1554979928263344E-2</v>
      </c>
      <c r="AA67" s="133">
        <f>'Key financial and ops fig.s LCY'!Q65</f>
        <v>6.670021009920421E-2</v>
      </c>
      <c r="AB67" s="225">
        <f>'Key financial and ops fig.s LCY'!R65</f>
        <v>6.670021009920421E-2</v>
      </c>
      <c r="AC67" s="132">
        <f>'Alt. scenario LCY'!N65</f>
        <v>5.1039181038749167E-2</v>
      </c>
      <c r="AD67" s="131">
        <f>'Alt. scenario LCY'!O65</f>
        <v>5.6334636908111663E-2</v>
      </c>
      <c r="AE67" s="131">
        <f>'Alt. scenario LCY'!P65</f>
        <v>6.1554979928263344E-2</v>
      </c>
      <c r="AF67" s="133">
        <f>'Alt. scenario LCY'!Q65</f>
        <v>6.670021009920421E-2</v>
      </c>
      <c r="AG67" s="243">
        <f>'Alt. scenario LCY'!R65</f>
        <v>6.670021009920421E-2</v>
      </c>
      <c r="AH67" s="132">
        <f>'Key financial and ops fig.s LCY'!S65</f>
        <v>7.1770327420934255E-2</v>
      </c>
      <c r="AI67" s="131">
        <f>'Key financial and ops fig.s LCY'!T65</f>
        <v>7.6765331893453484E-2</v>
      </c>
      <c r="AJ67" s="131">
        <f>'Key financial and ops fig.s LCY'!U65</f>
        <v>8.1685223516761912E-2</v>
      </c>
      <c r="AK67" s="133">
        <f>'Key financial and ops fig.s LCY'!V65</f>
        <v>8.6530002290859512E-2</v>
      </c>
      <c r="AL67" s="225">
        <f>'Key financial and ops fig.s LCY'!W65</f>
        <v>8.6530002290859512E-2</v>
      </c>
      <c r="AM67" s="132">
        <f>'Alt. scenario LCY'!S65</f>
        <v>7.1770327420934255E-2</v>
      </c>
      <c r="AN67" s="131">
        <f>'Alt. scenario LCY'!T65</f>
        <v>7.6765331893453484E-2</v>
      </c>
      <c r="AO67" s="131">
        <f>'Alt. scenario LCY'!U65</f>
        <v>8.1685223516761912E-2</v>
      </c>
      <c r="AP67" s="133">
        <f>'Alt. scenario LCY'!V65</f>
        <v>8.6530002290859512E-2</v>
      </c>
      <c r="AQ67" s="243">
        <f>'Alt. scenario LCY'!W65</f>
        <v>8.6530002290859512E-2</v>
      </c>
      <c r="AR67" s="132">
        <f>'Key financial and ops fig.s LCY'!X65</f>
        <v>9.1299668215746296E-2</v>
      </c>
      <c r="AS67" s="131">
        <f>'Key financial and ops fig.s LCY'!Y65</f>
        <v>9.5994221291422266E-2</v>
      </c>
      <c r="AT67" s="131">
        <f>'Key financial and ops fig.s LCY'!Z65</f>
        <v>0.10061366151788742</v>
      </c>
      <c r="AU67" s="133">
        <f>'Key financial and ops fig.s LCY'!AA65</f>
        <v>0.10515798889514176</v>
      </c>
      <c r="AV67" s="225">
        <f>'Key financial and ops fig.s LCY'!AB65</f>
        <v>0.10515798889514176</v>
      </c>
      <c r="AW67" s="132">
        <f>'Alt. scenario LCY'!X65</f>
        <v>9.1299668215746296E-2</v>
      </c>
      <c r="AX67" s="131">
        <f>'Alt. scenario LCY'!Y65</f>
        <v>9.5994221291422266E-2</v>
      </c>
      <c r="AY67" s="131">
        <f>'Alt. scenario LCY'!Z65</f>
        <v>0.10061366151788742</v>
      </c>
      <c r="AZ67" s="133">
        <f>'Alt. scenario LCY'!AA65</f>
        <v>0.10515798889514176</v>
      </c>
      <c r="BA67" s="243">
        <f>'Alt. scenario LCY'!AB65</f>
        <v>0.10515798889514176</v>
      </c>
      <c r="BB67" s="132">
        <f>'Key financial and ops fig.s LCY'!AC65</f>
        <v>0.10440686040303361</v>
      </c>
      <c r="BC67" s="131">
        <f>'Key financial and ops fig.s LCY'!AD65</f>
        <v>0.10365573191092546</v>
      </c>
      <c r="BD67" s="131">
        <f>'Key financial and ops fig.s LCY'!AE65</f>
        <v>0.1029046034188173</v>
      </c>
      <c r="BE67" s="133">
        <f>'Key financial and ops fig.s LCY'!AF65</f>
        <v>0.10215347492670915</v>
      </c>
      <c r="BF67" s="225">
        <f>'Key financial and ops fig.s LCY'!AG65</f>
        <v>0.10215347492670915</v>
      </c>
      <c r="BG67" s="132">
        <f>'Alt. scenario LCY'!AC65</f>
        <v>0.10440686040303361</v>
      </c>
      <c r="BH67" s="131">
        <f>'Alt. scenario LCY'!AD65</f>
        <v>0.10365573191092546</v>
      </c>
      <c r="BI67" s="131">
        <f>'Alt. scenario LCY'!AE65</f>
        <v>0.1029046034188173</v>
      </c>
      <c r="BJ67" s="133">
        <f>'Alt. scenario LCY'!AF65</f>
        <v>0.10215347492670915</v>
      </c>
      <c r="BK67" s="243">
        <f>'Alt. scenario LCY'!AG65</f>
        <v>0.10215347492670915</v>
      </c>
      <c r="BL67" s="132">
        <f>'Key financial and ops fig.s LCY'!AH65</f>
        <v>0.10140234643460098</v>
      </c>
      <c r="BM67" s="131">
        <f>'Key financial and ops fig.s LCY'!AI65</f>
        <v>0.10065121794249283</v>
      </c>
      <c r="BN67" s="131">
        <f>'Key financial and ops fig.s LCY'!AJ65</f>
        <v>9.9900089450384671E-2</v>
      </c>
      <c r="BO67" s="133">
        <f>'Key financial and ops fig.s LCY'!AK65</f>
        <v>9.9148960958276522E-2</v>
      </c>
      <c r="BP67" s="225">
        <f>'Key financial and ops fig.s LCY'!AL65</f>
        <v>9.9148960958276522E-2</v>
      </c>
      <c r="BQ67" s="132">
        <f>'Alt. scenario LCY'!AH65</f>
        <v>0.10140234643460098</v>
      </c>
      <c r="BR67" s="131">
        <f>'Alt. scenario LCY'!AI65</f>
        <v>0.10065121794249283</v>
      </c>
      <c r="BS67" s="131">
        <f>'Alt. scenario LCY'!AJ65</f>
        <v>9.9900089450384671E-2</v>
      </c>
      <c r="BT67" s="133">
        <f>'Alt. scenario LCY'!AK65</f>
        <v>9.9148960958276522E-2</v>
      </c>
      <c r="BU67" s="243">
        <f>'Alt. scenario LCY'!AL65</f>
        <v>9.9148960958276522E-2</v>
      </c>
    </row>
    <row r="68" spans="1:73" ht="15.95">
      <c r="A68" s="31"/>
      <c r="C68" s="33" t="s">
        <v>302</v>
      </c>
      <c r="D68" s="132">
        <f>'Key financial and ops fig.s LCY'!D66</f>
        <v>9.8181020050228194E-3</v>
      </c>
      <c r="E68" s="131">
        <f>'Key financial and ops fig.s LCY'!E66</f>
        <v>1.9512705871617679E-2</v>
      </c>
      <c r="F68" s="131">
        <f>'Key financial and ops fig.s LCY'!F66</f>
        <v>2.9083811599784577E-2</v>
      </c>
      <c r="G68" s="133">
        <f>'Key financial and ops fig.s LCY'!G66</f>
        <v>3.8531419189523519E-2</v>
      </c>
      <c r="H68" s="225">
        <f>'Key financial and ops fig.s LCY'!H66</f>
        <v>3.8531419189523519E-2</v>
      </c>
      <c r="I68" s="132">
        <f>'Alt. scenario LCY'!D66</f>
        <v>9.8181020050228194E-3</v>
      </c>
      <c r="J68" s="131">
        <f>'Alt. scenario LCY'!E66</f>
        <v>1.9512705871617679E-2</v>
      </c>
      <c r="K68" s="131">
        <f>'Alt. scenario LCY'!F66</f>
        <v>2.9083811599784577E-2</v>
      </c>
      <c r="L68" s="133">
        <f>'Alt. scenario LCY'!G66</f>
        <v>3.8531419189523519E-2</v>
      </c>
      <c r="M68" s="243">
        <f>'Alt. scenario LCY'!H66</f>
        <v>3.8531419189523519E-2</v>
      </c>
      <c r="N68" s="132">
        <f>'Key financial and ops fig.s LCY'!I66</f>
        <v>4.7855528640834498E-2</v>
      </c>
      <c r="O68" s="131">
        <f>'Key financial and ops fig.s LCY'!J66</f>
        <v>5.7056139953717513E-2</v>
      </c>
      <c r="P68" s="131">
        <f>'Key financial and ops fig.s LCY'!K66</f>
        <v>6.6133253128172573E-2</v>
      </c>
      <c r="Q68" s="133">
        <f>'Key financial and ops fig.s LCY'!L66</f>
        <v>7.5086868164199669E-2</v>
      </c>
      <c r="R68" s="225">
        <f>'Key financial and ops fig.s LCY'!M66</f>
        <v>7.5086868164199669E-2</v>
      </c>
      <c r="S68" s="132">
        <f>'Alt. scenario LCY'!I66</f>
        <v>4.7855528640834498E-2</v>
      </c>
      <c r="T68" s="131">
        <f>'Alt. scenario LCY'!J66</f>
        <v>5.7056139953717513E-2</v>
      </c>
      <c r="U68" s="131">
        <f>'Alt. scenario LCY'!K66</f>
        <v>6.6133253128172573E-2</v>
      </c>
      <c r="V68" s="133">
        <f>'Alt. scenario LCY'!L66</f>
        <v>7.5086868164199669E-2</v>
      </c>
      <c r="W68" s="243">
        <f>'Alt. scenario LCY'!M66</f>
        <v>7.5086868164199669E-2</v>
      </c>
      <c r="X68" s="132">
        <f>'Key financial and ops fig.s LCY'!N66</f>
        <v>8.3916985061798816E-2</v>
      </c>
      <c r="Y68" s="131">
        <f>'Key financial and ops fig.s LCY'!O66</f>
        <v>9.2623603820969999E-2</v>
      </c>
      <c r="Z68" s="131">
        <f>'Key financial and ops fig.s LCY'!P66</f>
        <v>0.10120672444171321</v>
      </c>
      <c r="AA68" s="133">
        <f>'Key financial and ops fig.s LCY'!Q66</f>
        <v>0.10966634692402848</v>
      </c>
      <c r="AB68" s="225">
        <f>'Key financial and ops fig.s LCY'!R66</f>
        <v>0.10966634692402848</v>
      </c>
      <c r="AC68" s="132">
        <f>'Alt. scenario LCY'!N66</f>
        <v>8.3916985061798816E-2</v>
      </c>
      <c r="AD68" s="131">
        <f>'Alt. scenario LCY'!O66</f>
        <v>9.2623603820969999E-2</v>
      </c>
      <c r="AE68" s="131">
        <f>'Alt. scenario LCY'!P66</f>
        <v>0.10120672444171321</v>
      </c>
      <c r="AF68" s="133">
        <f>'Alt. scenario LCY'!Q66</f>
        <v>0.10966634692402848</v>
      </c>
      <c r="AG68" s="243">
        <f>'Alt. scenario LCY'!R66</f>
        <v>0.10966634692402848</v>
      </c>
      <c r="AH68" s="132">
        <f>'Key financial and ops fig.s LCY'!S66</f>
        <v>0.11800247126791577</v>
      </c>
      <c r="AI68" s="131">
        <f>'Key financial and ops fig.s LCY'!T66</f>
        <v>0.12621509747337512</v>
      </c>
      <c r="AJ68" s="131">
        <f>'Key financial and ops fig.s LCY'!U66</f>
        <v>0.1343042255404065</v>
      </c>
      <c r="AK68" s="133">
        <f>'Key financial and ops fig.s LCY'!V66</f>
        <v>0.14226985546900991</v>
      </c>
      <c r="AL68" s="225">
        <f>'Key financial and ops fig.s LCY'!W66</f>
        <v>0.14226985546900991</v>
      </c>
      <c r="AM68" s="132">
        <f>'Alt. scenario LCY'!S66</f>
        <v>0.11800247126791577</v>
      </c>
      <c r="AN68" s="131">
        <f>'Alt. scenario LCY'!T66</f>
        <v>0.12621509747337512</v>
      </c>
      <c r="AO68" s="131">
        <f>'Alt. scenario LCY'!U66</f>
        <v>0.1343042255404065</v>
      </c>
      <c r="AP68" s="133">
        <f>'Alt. scenario LCY'!V66</f>
        <v>0.14226985546900991</v>
      </c>
      <c r="AQ68" s="243">
        <f>'Alt. scenario LCY'!W66</f>
        <v>0.14226985546900991</v>
      </c>
      <c r="AR68" s="132">
        <f>'Key financial and ops fig.s LCY'!X66</f>
        <v>0.15011198725918537</v>
      </c>
      <c r="AS68" s="131">
        <f>'Key financial and ops fig.s LCY'!Y66</f>
        <v>0.15783062091093286</v>
      </c>
      <c r="AT68" s="131">
        <f>'Key financial and ops fig.s LCY'!Z66</f>
        <v>0.16542575642425242</v>
      </c>
      <c r="AU68" s="133">
        <f>'Key financial and ops fig.s LCY'!AA66</f>
        <v>0.17289739379914398</v>
      </c>
      <c r="AV68" s="225">
        <f>'Key financial and ops fig.s LCY'!AB66</f>
        <v>0.17289739379914398</v>
      </c>
      <c r="AW68" s="132">
        <f>'Alt. scenario LCY'!X66</f>
        <v>0.15011198725918537</v>
      </c>
      <c r="AX68" s="131">
        <f>'Alt. scenario LCY'!Y66</f>
        <v>0.15783062091093286</v>
      </c>
      <c r="AY68" s="131">
        <f>'Alt. scenario LCY'!Z66</f>
        <v>0.16542575642425242</v>
      </c>
      <c r="AZ68" s="133">
        <f>'Alt. scenario LCY'!AA66</f>
        <v>0.17289739379914398</v>
      </c>
      <c r="BA68" s="243">
        <f>'Alt. scenario LCY'!AB66</f>
        <v>0.17289739379914398</v>
      </c>
      <c r="BB68" s="132">
        <f>'Key financial and ops fig.s LCY'!AC66</f>
        <v>0.17166241241486438</v>
      </c>
      <c r="BC68" s="131">
        <f>'Key financial and ops fig.s LCY'!AD66</f>
        <v>0.17042743103058478</v>
      </c>
      <c r="BD68" s="131">
        <f>'Key financial and ops fig.s LCY'!AE66</f>
        <v>0.1691924496463052</v>
      </c>
      <c r="BE68" s="133">
        <f>'Key financial and ops fig.s LCY'!AF66</f>
        <v>0.16795746826202559</v>
      </c>
      <c r="BF68" s="225">
        <f>'Key financial and ops fig.s LCY'!AG66</f>
        <v>0.16795746826202559</v>
      </c>
      <c r="BG68" s="132">
        <f>'Alt. scenario LCY'!AC66</f>
        <v>0.17166241241486438</v>
      </c>
      <c r="BH68" s="131">
        <f>'Alt. scenario LCY'!AD66</f>
        <v>0.17042743103058478</v>
      </c>
      <c r="BI68" s="131">
        <f>'Alt. scenario LCY'!AE66</f>
        <v>0.1691924496463052</v>
      </c>
      <c r="BJ68" s="133">
        <f>'Alt. scenario LCY'!AF66</f>
        <v>0.16795746826202559</v>
      </c>
      <c r="BK68" s="243">
        <f>'Alt. scenario LCY'!AG66</f>
        <v>0.16795746826202559</v>
      </c>
      <c r="BL68" s="132">
        <f>'Key financial and ops fig.s LCY'!AH66</f>
        <v>0.16672248687774599</v>
      </c>
      <c r="BM68" s="131">
        <f>'Key financial and ops fig.s LCY'!AI66</f>
        <v>0.16548750549346639</v>
      </c>
      <c r="BN68" s="131">
        <f>'Key financial and ops fig.s LCY'!AJ66</f>
        <v>0.16425252410918678</v>
      </c>
      <c r="BO68" s="133">
        <f>'Key financial and ops fig.s LCY'!AK66</f>
        <v>0.16301754272490718</v>
      </c>
      <c r="BP68" s="225">
        <f>'Key financial and ops fig.s LCY'!AL66</f>
        <v>0.16301754272490718</v>
      </c>
      <c r="BQ68" s="132">
        <f>'Alt. scenario LCY'!AH66</f>
        <v>0.16672248687774599</v>
      </c>
      <c r="BR68" s="131">
        <f>'Alt. scenario LCY'!AI66</f>
        <v>0.16548750549346639</v>
      </c>
      <c r="BS68" s="131">
        <f>'Alt. scenario LCY'!AJ66</f>
        <v>0.16425252410918678</v>
      </c>
      <c r="BT68" s="133">
        <f>'Alt. scenario LCY'!AK66</f>
        <v>0.16301754272490718</v>
      </c>
      <c r="BU68" s="243">
        <f>'Alt. scenario LCY'!AL66</f>
        <v>0.16301754272490718</v>
      </c>
    </row>
    <row r="69" spans="1:73" ht="15.95">
      <c r="A69" s="31"/>
      <c r="C69" s="33" t="s">
        <v>303</v>
      </c>
      <c r="D69" s="132">
        <f>'Key financial and ops fig.s LCY'!D67</f>
        <v>9.4418130698424082E-3</v>
      </c>
      <c r="E69" s="131">
        <f>'Key financial and ops fig.s LCY'!E67</f>
        <v>1.8764861195410067E-2</v>
      </c>
      <c r="F69" s="131">
        <f>'Key financial and ops fig.s LCY'!F67</f>
        <v>2.7969144376702979E-2</v>
      </c>
      <c r="G69" s="133">
        <f>'Key financial and ops fig.s LCY'!G67</f>
        <v>3.7054662613721145E-2</v>
      </c>
      <c r="H69" s="225">
        <f>'Key financial and ops fig.s LCY'!H67</f>
        <v>3.7054662613721145E-2</v>
      </c>
      <c r="I69" s="132">
        <f>'Alt. scenario LCY'!D67</f>
        <v>9.4418130698424082E-3</v>
      </c>
      <c r="J69" s="131">
        <f>'Alt. scenario LCY'!E67</f>
        <v>1.8764861195410067E-2</v>
      </c>
      <c r="K69" s="131">
        <f>'Alt. scenario LCY'!F67</f>
        <v>2.7969144376702979E-2</v>
      </c>
      <c r="L69" s="133">
        <f>'Alt. scenario LCY'!G67</f>
        <v>3.7054662613721145E-2</v>
      </c>
      <c r="M69" s="243">
        <f>'Alt. scenario LCY'!H67</f>
        <v>3.7054662613721145E-2</v>
      </c>
      <c r="N69" s="132">
        <f>'Key financial and ops fig.s LCY'!I67</f>
        <v>4.6021415906464566E-2</v>
      </c>
      <c r="O69" s="131">
        <f>'Key financial and ops fig.s LCY'!J67</f>
        <v>5.4869404254933238E-2</v>
      </c>
      <c r="P69" s="131">
        <f>'Key financial and ops fig.s LCY'!K67</f>
        <v>6.359862765912716E-2</v>
      </c>
      <c r="Q69" s="133">
        <f>'Key financial and ops fig.s LCY'!L67</f>
        <v>7.2209086119046334E-2</v>
      </c>
      <c r="R69" s="225">
        <f>'Key financial and ops fig.s LCY'!M67</f>
        <v>7.2209086119046334E-2</v>
      </c>
      <c r="S69" s="132">
        <f>'Alt. scenario LCY'!I67</f>
        <v>4.6021415906464566E-2</v>
      </c>
      <c r="T69" s="131">
        <f>'Alt. scenario LCY'!J67</f>
        <v>5.4869404254933238E-2</v>
      </c>
      <c r="U69" s="131">
        <f>'Alt. scenario LCY'!K67</f>
        <v>6.359862765912716E-2</v>
      </c>
      <c r="V69" s="133">
        <f>'Alt. scenario LCY'!L67</f>
        <v>7.2209086119046334E-2</v>
      </c>
      <c r="W69" s="243">
        <f>'Alt. scenario LCY'!M67</f>
        <v>7.2209086119046334E-2</v>
      </c>
      <c r="X69" s="132">
        <f>'Key financial and ops fig.s LCY'!N67</f>
        <v>8.0700779634690772E-2</v>
      </c>
      <c r="Y69" s="131">
        <f>'Key financial and ops fig.s LCY'!O67</f>
        <v>8.9073708206060448E-2</v>
      </c>
      <c r="Z69" s="131">
        <f>'Key financial and ops fig.s LCY'!P67</f>
        <v>9.7327871833155388E-2</v>
      </c>
      <c r="AA69" s="133">
        <f>'Key financial and ops fig.s LCY'!Q67</f>
        <v>0.10546327051597557</v>
      </c>
      <c r="AB69" s="225">
        <f>'Key financial and ops fig.s LCY'!R67</f>
        <v>0.10546327051597557</v>
      </c>
      <c r="AC69" s="132">
        <f>'Alt. scenario LCY'!N67</f>
        <v>8.0700779634690772E-2</v>
      </c>
      <c r="AD69" s="131">
        <f>'Alt. scenario LCY'!O67</f>
        <v>8.9073708206060448E-2</v>
      </c>
      <c r="AE69" s="131">
        <f>'Alt. scenario LCY'!P67</f>
        <v>9.7327871833155388E-2</v>
      </c>
      <c r="AF69" s="133">
        <f>'Alt. scenario LCY'!Q67</f>
        <v>0.10546327051597557</v>
      </c>
      <c r="AG69" s="243">
        <f>'Alt. scenario LCY'!R67</f>
        <v>0.10546327051597557</v>
      </c>
      <c r="AH69" s="132">
        <f>'Key financial and ops fig.s LCY'!S67</f>
        <v>0.11347990425452101</v>
      </c>
      <c r="AI69" s="131">
        <f>'Key financial and ops fig.s LCY'!T67</f>
        <v>0.1213777730487917</v>
      </c>
      <c r="AJ69" s="131">
        <f>'Key financial and ops fig.s LCY'!U67</f>
        <v>0.12915687689878766</v>
      </c>
      <c r="AK69" s="133">
        <f>'Key financial and ops fig.s LCY'!V67</f>
        <v>0.13681721580450884</v>
      </c>
      <c r="AL69" s="225">
        <f>'Key financial and ops fig.s LCY'!W67</f>
        <v>0.13681721580450884</v>
      </c>
      <c r="AM69" s="132">
        <f>'Alt. scenario LCY'!S67</f>
        <v>0.11347990425452101</v>
      </c>
      <c r="AN69" s="131">
        <f>'Alt. scenario LCY'!T67</f>
        <v>0.1213777730487917</v>
      </c>
      <c r="AO69" s="131">
        <f>'Alt. scenario LCY'!U67</f>
        <v>0.12915687689878766</v>
      </c>
      <c r="AP69" s="133">
        <f>'Alt. scenario LCY'!V67</f>
        <v>0.13681721580450884</v>
      </c>
      <c r="AQ69" s="243">
        <f>'Alt. scenario LCY'!W67</f>
        <v>0.13681721580450884</v>
      </c>
      <c r="AR69" s="132">
        <f>'Key financial and ops fig.s LCY'!X67</f>
        <v>0.14435878976595529</v>
      </c>
      <c r="AS69" s="131">
        <f>'Key financial and ops fig.s LCY'!Y67</f>
        <v>0.151781598783127</v>
      </c>
      <c r="AT69" s="131">
        <f>'Key financial and ops fig.s LCY'!Z67</f>
        <v>0.15908564285602397</v>
      </c>
      <c r="AU69" s="133">
        <f>'Key financial and ops fig.s LCY'!AA67</f>
        <v>0.16627092198464616</v>
      </c>
      <c r="AV69" s="225">
        <f>'Key financial and ops fig.s LCY'!AB67</f>
        <v>0.16627092198464616</v>
      </c>
      <c r="AW69" s="132">
        <f>'Alt. scenario LCY'!X67</f>
        <v>0.14435878976595529</v>
      </c>
      <c r="AX69" s="131">
        <f>'Alt. scenario LCY'!Y67</f>
        <v>0.151781598783127</v>
      </c>
      <c r="AY69" s="131">
        <f>'Alt. scenario LCY'!Z67</f>
        <v>0.15908564285602397</v>
      </c>
      <c r="AZ69" s="133">
        <f>'Alt. scenario LCY'!AA67</f>
        <v>0.16627092198464616</v>
      </c>
      <c r="BA69" s="243">
        <f>'Alt. scenario LCY'!AB67</f>
        <v>0.16627092198464616</v>
      </c>
      <c r="BB69" s="132">
        <f>'Key financial and ops fig.s LCY'!AC67</f>
        <v>0.1650832725418987</v>
      </c>
      <c r="BC69" s="131">
        <f>'Key financial and ops fig.s LCY'!AD67</f>
        <v>0.16389562309915123</v>
      </c>
      <c r="BD69" s="131">
        <f>'Key financial and ops fig.s LCY'!AE67</f>
        <v>0.16270797365640374</v>
      </c>
      <c r="BE69" s="133">
        <f>'Key financial and ops fig.s LCY'!AF67</f>
        <v>0.16152032421365628</v>
      </c>
      <c r="BF69" s="225">
        <f>'Key financial and ops fig.s LCY'!AG67</f>
        <v>0.16152032421365628</v>
      </c>
      <c r="BG69" s="132">
        <f>'Alt. scenario LCY'!AC67</f>
        <v>0.1650832725418987</v>
      </c>
      <c r="BH69" s="131">
        <f>'Alt. scenario LCY'!AD67</f>
        <v>0.16389562309915123</v>
      </c>
      <c r="BI69" s="131">
        <f>'Alt. scenario LCY'!AE67</f>
        <v>0.16270797365640374</v>
      </c>
      <c r="BJ69" s="133">
        <f>'Alt. scenario LCY'!AF67</f>
        <v>0.16152032421365628</v>
      </c>
      <c r="BK69" s="243">
        <f>'Alt. scenario LCY'!AG67</f>
        <v>0.16152032421365628</v>
      </c>
      <c r="BL69" s="132">
        <f>'Key financial and ops fig.s LCY'!AH67</f>
        <v>0.16033267477090882</v>
      </c>
      <c r="BM69" s="131">
        <f>'Key financial and ops fig.s LCY'!AI67</f>
        <v>0.15914502532816133</v>
      </c>
      <c r="BN69" s="131">
        <f>'Key financial and ops fig.s LCY'!AJ67</f>
        <v>0.15795737588541386</v>
      </c>
      <c r="BO69" s="133">
        <f>'Key financial and ops fig.s LCY'!AK67</f>
        <v>0.1567697264426664</v>
      </c>
      <c r="BP69" s="225">
        <f>'Key financial and ops fig.s LCY'!AL67</f>
        <v>0.1567697264426664</v>
      </c>
      <c r="BQ69" s="132">
        <f>'Alt. scenario LCY'!AH67</f>
        <v>0.16033267477090882</v>
      </c>
      <c r="BR69" s="131">
        <f>'Alt. scenario LCY'!AI67</f>
        <v>0.15914502532816133</v>
      </c>
      <c r="BS69" s="131">
        <f>'Alt. scenario LCY'!AJ67</f>
        <v>0.15795737588541386</v>
      </c>
      <c r="BT69" s="133">
        <f>'Alt. scenario LCY'!AK67</f>
        <v>0.1567697264426664</v>
      </c>
      <c r="BU69" s="243">
        <f>'Alt. scenario LCY'!AL67</f>
        <v>0.1567697264426664</v>
      </c>
    </row>
    <row r="70" spans="1:73" ht="15.95">
      <c r="A70" s="55"/>
      <c r="C70" s="189" t="s">
        <v>304</v>
      </c>
      <c r="D70" s="68">
        <f>'Key financial and ops fig.s LCY'!D68</f>
        <v>10</v>
      </c>
      <c r="E70" s="69">
        <f>'Key financial and ops fig.s LCY'!E68</f>
        <v>20</v>
      </c>
      <c r="F70" s="69">
        <f>'Key financial and ops fig.s LCY'!F68</f>
        <v>30</v>
      </c>
      <c r="G70" s="92">
        <f>'Key financial and ops fig.s LCY'!G68</f>
        <v>40</v>
      </c>
      <c r="H70" s="226">
        <f>'Key financial and ops fig.s LCY'!H68</f>
        <v>40</v>
      </c>
      <c r="I70" s="68">
        <f>'Alt. scenario LCY'!D68</f>
        <v>10</v>
      </c>
      <c r="J70" s="69">
        <f>'Alt. scenario LCY'!E68</f>
        <v>20</v>
      </c>
      <c r="K70" s="69">
        <f>'Alt. scenario LCY'!F68</f>
        <v>30</v>
      </c>
      <c r="L70" s="92">
        <f>'Alt. scenario LCY'!G68</f>
        <v>40</v>
      </c>
      <c r="M70" s="244">
        <f>'Alt. scenario LCY'!H68</f>
        <v>40</v>
      </c>
      <c r="N70" s="68">
        <f>'Key financial and ops fig.s LCY'!I68</f>
        <v>50</v>
      </c>
      <c r="O70" s="69">
        <f>'Key financial and ops fig.s LCY'!J68</f>
        <v>60</v>
      </c>
      <c r="P70" s="69">
        <f>'Key financial and ops fig.s LCY'!K68</f>
        <v>70</v>
      </c>
      <c r="Q70" s="92">
        <f>'Key financial and ops fig.s LCY'!L68</f>
        <v>80</v>
      </c>
      <c r="R70" s="226">
        <f>'Key financial and ops fig.s LCY'!M68</f>
        <v>80</v>
      </c>
      <c r="S70" s="68">
        <f>'Alt. scenario LCY'!I68</f>
        <v>50</v>
      </c>
      <c r="T70" s="69">
        <f>'Alt. scenario LCY'!J68</f>
        <v>60</v>
      </c>
      <c r="U70" s="69">
        <f>'Alt. scenario LCY'!K68</f>
        <v>70</v>
      </c>
      <c r="V70" s="92">
        <f>'Alt. scenario LCY'!L68</f>
        <v>80</v>
      </c>
      <c r="W70" s="244">
        <f>'Alt. scenario LCY'!M68</f>
        <v>80</v>
      </c>
      <c r="X70" s="68">
        <f>'Key financial and ops fig.s LCY'!N68</f>
        <v>90</v>
      </c>
      <c r="Y70" s="69">
        <f>'Key financial and ops fig.s LCY'!O68</f>
        <v>100</v>
      </c>
      <c r="Z70" s="69">
        <f>'Key financial and ops fig.s LCY'!P68</f>
        <v>110</v>
      </c>
      <c r="AA70" s="92">
        <f>'Key financial and ops fig.s LCY'!Q68</f>
        <v>120</v>
      </c>
      <c r="AB70" s="226">
        <f>'Key financial and ops fig.s LCY'!R68</f>
        <v>120</v>
      </c>
      <c r="AC70" s="68">
        <f>'Alt. scenario LCY'!N68</f>
        <v>90</v>
      </c>
      <c r="AD70" s="69">
        <f>'Alt. scenario LCY'!O68</f>
        <v>100</v>
      </c>
      <c r="AE70" s="69">
        <f>'Alt. scenario LCY'!P68</f>
        <v>110</v>
      </c>
      <c r="AF70" s="92">
        <f>'Alt. scenario LCY'!Q68</f>
        <v>120</v>
      </c>
      <c r="AG70" s="244">
        <f>'Alt. scenario LCY'!R68</f>
        <v>120</v>
      </c>
      <c r="AH70" s="68">
        <f>'Key financial and ops fig.s LCY'!S68</f>
        <v>130</v>
      </c>
      <c r="AI70" s="69">
        <f>'Key financial and ops fig.s LCY'!T68</f>
        <v>140</v>
      </c>
      <c r="AJ70" s="69">
        <f>'Key financial and ops fig.s LCY'!U68</f>
        <v>150</v>
      </c>
      <c r="AK70" s="92">
        <f>'Key financial and ops fig.s LCY'!V68</f>
        <v>160</v>
      </c>
      <c r="AL70" s="226">
        <f>'Key financial and ops fig.s LCY'!W68</f>
        <v>160</v>
      </c>
      <c r="AM70" s="68">
        <f>'Alt. scenario LCY'!S68</f>
        <v>130</v>
      </c>
      <c r="AN70" s="69">
        <f>'Alt. scenario LCY'!T68</f>
        <v>140</v>
      </c>
      <c r="AO70" s="69">
        <f>'Alt. scenario LCY'!U68</f>
        <v>150</v>
      </c>
      <c r="AP70" s="92">
        <f>'Alt. scenario LCY'!V68</f>
        <v>160</v>
      </c>
      <c r="AQ70" s="244">
        <f>'Alt. scenario LCY'!W68</f>
        <v>160</v>
      </c>
      <c r="AR70" s="68">
        <f>'Key financial and ops fig.s LCY'!X68</f>
        <v>170</v>
      </c>
      <c r="AS70" s="69">
        <f>'Key financial and ops fig.s LCY'!Y68</f>
        <v>180</v>
      </c>
      <c r="AT70" s="69">
        <f>'Key financial and ops fig.s LCY'!Z68</f>
        <v>190</v>
      </c>
      <c r="AU70" s="92">
        <f>'Key financial and ops fig.s LCY'!AA68</f>
        <v>200</v>
      </c>
      <c r="AV70" s="226">
        <f>'Key financial and ops fig.s LCY'!AB68</f>
        <v>200</v>
      </c>
      <c r="AW70" s="68">
        <f>'Alt. scenario LCY'!X68</f>
        <v>170</v>
      </c>
      <c r="AX70" s="69">
        <f>'Alt. scenario LCY'!Y68</f>
        <v>180</v>
      </c>
      <c r="AY70" s="69">
        <f>'Alt. scenario LCY'!Z68</f>
        <v>190</v>
      </c>
      <c r="AZ70" s="92">
        <f>'Alt. scenario LCY'!AA68</f>
        <v>200</v>
      </c>
      <c r="BA70" s="244">
        <f>'Alt. scenario LCY'!AB68</f>
        <v>200</v>
      </c>
      <c r="BB70" s="68">
        <f>'Key financial and ops fig.s LCY'!AC68</f>
        <v>200</v>
      </c>
      <c r="BC70" s="69">
        <f>'Key financial and ops fig.s LCY'!AD68</f>
        <v>200</v>
      </c>
      <c r="BD70" s="69">
        <f>'Key financial and ops fig.s LCY'!AE68</f>
        <v>200</v>
      </c>
      <c r="BE70" s="92">
        <f>'Key financial and ops fig.s LCY'!AF68</f>
        <v>200</v>
      </c>
      <c r="BF70" s="226">
        <f>'Key financial and ops fig.s LCY'!AG68</f>
        <v>200</v>
      </c>
      <c r="BG70" s="68">
        <f>'Alt. scenario LCY'!AC68</f>
        <v>200</v>
      </c>
      <c r="BH70" s="69">
        <f>'Alt. scenario LCY'!AD68</f>
        <v>200</v>
      </c>
      <c r="BI70" s="69">
        <f>'Alt. scenario LCY'!AE68</f>
        <v>200</v>
      </c>
      <c r="BJ70" s="92">
        <f>'Alt. scenario LCY'!AF68</f>
        <v>200</v>
      </c>
      <c r="BK70" s="244">
        <f>'Alt. scenario LCY'!AG68</f>
        <v>200</v>
      </c>
      <c r="BL70" s="68">
        <f>'Key financial and ops fig.s LCY'!AH68</f>
        <v>200</v>
      </c>
      <c r="BM70" s="69">
        <f>'Key financial and ops fig.s LCY'!AI68</f>
        <v>200</v>
      </c>
      <c r="BN70" s="69">
        <f>'Key financial and ops fig.s LCY'!AJ68</f>
        <v>200</v>
      </c>
      <c r="BO70" s="92">
        <f>'Key financial and ops fig.s LCY'!AK68</f>
        <v>200</v>
      </c>
      <c r="BP70" s="226">
        <f>'Key financial and ops fig.s LCY'!AL68</f>
        <v>200</v>
      </c>
      <c r="BQ70" s="68">
        <f>'Alt. scenario LCY'!AH68</f>
        <v>200</v>
      </c>
      <c r="BR70" s="69">
        <f>'Alt. scenario LCY'!AI68</f>
        <v>200</v>
      </c>
      <c r="BS70" s="69">
        <f>'Alt. scenario LCY'!AJ68</f>
        <v>200</v>
      </c>
      <c r="BT70" s="92">
        <f>'Alt. scenario LCY'!AK68</f>
        <v>200</v>
      </c>
      <c r="BU70" s="244">
        <f>'Alt. scenario LCY'!AL68</f>
        <v>200</v>
      </c>
    </row>
    <row r="71" spans="1:73" ht="15.95">
      <c r="A71" s="55"/>
      <c r="C71" s="189" t="s">
        <v>305</v>
      </c>
      <c r="D71" s="68">
        <f>'Key financial and ops fig.s LCY'!D69</f>
        <v>50</v>
      </c>
      <c r="E71" s="69">
        <f>'Key financial and ops fig.s LCY'!E69</f>
        <v>100</v>
      </c>
      <c r="F71" s="69">
        <f>'Key financial and ops fig.s LCY'!F69</f>
        <v>150</v>
      </c>
      <c r="G71" s="92">
        <f>'Key financial and ops fig.s LCY'!G69</f>
        <v>200</v>
      </c>
      <c r="H71" s="226">
        <f>'Key financial and ops fig.s LCY'!H69</f>
        <v>200</v>
      </c>
      <c r="I71" s="68">
        <f>'Alt. scenario LCY'!D69</f>
        <v>50</v>
      </c>
      <c r="J71" s="69">
        <f>'Alt. scenario LCY'!E69</f>
        <v>100</v>
      </c>
      <c r="K71" s="69">
        <f>'Alt. scenario LCY'!F69</f>
        <v>150</v>
      </c>
      <c r="L71" s="92">
        <f>'Alt. scenario LCY'!G69</f>
        <v>200</v>
      </c>
      <c r="M71" s="244">
        <f>'Alt. scenario LCY'!H69</f>
        <v>200</v>
      </c>
      <c r="N71" s="68">
        <f>'Key financial and ops fig.s LCY'!I69</f>
        <v>250</v>
      </c>
      <c r="O71" s="69">
        <f>'Key financial and ops fig.s LCY'!J69</f>
        <v>300</v>
      </c>
      <c r="P71" s="69">
        <f>'Key financial and ops fig.s LCY'!K69</f>
        <v>350</v>
      </c>
      <c r="Q71" s="92">
        <f>'Key financial and ops fig.s LCY'!L69</f>
        <v>400</v>
      </c>
      <c r="R71" s="226">
        <f>'Key financial and ops fig.s LCY'!M69</f>
        <v>400</v>
      </c>
      <c r="S71" s="68">
        <f>'Alt. scenario LCY'!I69</f>
        <v>250</v>
      </c>
      <c r="T71" s="69">
        <f>'Alt. scenario LCY'!J69</f>
        <v>300</v>
      </c>
      <c r="U71" s="69">
        <f>'Alt. scenario LCY'!K69</f>
        <v>350</v>
      </c>
      <c r="V71" s="92">
        <f>'Alt. scenario LCY'!L69</f>
        <v>400</v>
      </c>
      <c r="W71" s="244">
        <f>'Alt. scenario LCY'!M69</f>
        <v>400</v>
      </c>
      <c r="X71" s="68">
        <f>'Key financial and ops fig.s LCY'!N69</f>
        <v>450</v>
      </c>
      <c r="Y71" s="69">
        <f>'Key financial and ops fig.s LCY'!O69</f>
        <v>500</v>
      </c>
      <c r="Z71" s="69">
        <f>'Key financial and ops fig.s LCY'!P69</f>
        <v>550</v>
      </c>
      <c r="AA71" s="92">
        <f>'Key financial and ops fig.s LCY'!Q69</f>
        <v>600</v>
      </c>
      <c r="AB71" s="226">
        <f>'Key financial and ops fig.s LCY'!R69</f>
        <v>600</v>
      </c>
      <c r="AC71" s="68">
        <f>'Alt. scenario LCY'!N69</f>
        <v>450</v>
      </c>
      <c r="AD71" s="69">
        <f>'Alt. scenario LCY'!O69</f>
        <v>500</v>
      </c>
      <c r="AE71" s="69">
        <f>'Alt. scenario LCY'!P69</f>
        <v>550</v>
      </c>
      <c r="AF71" s="92">
        <f>'Alt. scenario LCY'!Q69</f>
        <v>600</v>
      </c>
      <c r="AG71" s="244">
        <f>'Alt. scenario LCY'!R69</f>
        <v>600</v>
      </c>
      <c r="AH71" s="68">
        <f>'Key financial and ops fig.s LCY'!S69</f>
        <v>650</v>
      </c>
      <c r="AI71" s="69">
        <f>'Key financial and ops fig.s LCY'!T69</f>
        <v>700</v>
      </c>
      <c r="AJ71" s="69">
        <f>'Key financial and ops fig.s LCY'!U69</f>
        <v>750</v>
      </c>
      <c r="AK71" s="92">
        <f>'Key financial and ops fig.s LCY'!V69</f>
        <v>800</v>
      </c>
      <c r="AL71" s="226">
        <f>'Key financial and ops fig.s LCY'!W69</f>
        <v>800</v>
      </c>
      <c r="AM71" s="68">
        <f>'Alt. scenario LCY'!S69</f>
        <v>650</v>
      </c>
      <c r="AN71" s="69">
        <f>'Alt. scenario LCY'!T69</f>
        <v>700</v>
      </c>
      <c r="AO71" s="69">
        <f>'Alt. scenario LCY'!U69</f>
        <v>750</v>
      </c>
      <c r="AP71" s="92">
        <f>'Alt. scenario LCY'!V69</f>
        <v>800</v>
      </c>
      <c r="AQ71" s="244">
        <f>'Alt. scenario LCY'!W69</f>
        <v>800</v>
      </c>
      <c r="AR71" s="68">
        <f>'Key financial and ops fig.s LCY'!X69</f>
        <v>850</v>
      </c>
      <c r="AS71" s="69">
        <f>'Key financial and ops fig.s LCY'!Y69</f>
        <v>900</v>
      </c>
      <c r="AT71" s="69">
        <f>'Key financial and ops fig.s LCY'!Z69</f>
        <v>950</v>
      </c>
      <c r="AU71" s="92">
        <f>'Key financial and ops fig.s LCY'!AA69</f>
        <v>1000</v>
      </c>
      <c r="AV71" s="226">
        <f>'Key financial and ops fig.s LCY'!AB69</f>
        <v>1000</v>
      </c>
      <c r="AW71" s="68">
        <f>'Alt. scenario LCY'!X69</f>
        <v>850</v>
      </c>
      <c r="AX71" s="69">
        <f>'Alt. scenario LCY'!Y69</f>
        <v>900</v>
      </c>
      <c r="AY71" s="69">
        <f>'Alt. scenario LCY'!Z69</f>
        <v>950</v>
      </c>
      <c r="AZ71" s="92">
        <f>'Alt. scenario LCY'!AA69</f>
        <v>1000</v>
      </c>
      <c r="BA71" s="244">
        <f>'Alt. scenario LCY'!AB69</f>
        <v>1000</v>
      </c>
      <c r="BB71" s="68">
        <f>'Key financial and ops fig.s LCY'!AC69</f>
        <v>1000</v>
      </c>
      <c r="BC71" s="69">
        <f>'Key financial and ops fig.s LCY'!AD69</f>
        <v>1000</v>
      </c>
      <c r="BD71" s="69">
        <f>'Key financial and ops fig.s LCY'!AE69</f>
        <v>1000</v>
      </c>
      <c r="BE71" s="92">
        <f>'Key financial and ops fig.s LCY'!AF69</f>
        <v>1000</v>
      </c>
      <c r="BF71" s="226">
        <f>'Key financial and ops fig.s LCY'!AG69</f>
        <v>1000</v>
      </c>
      <c r="BG71" s="68">
        <f>'Alt. scenario LCY'!AC69</f>
        <v>1000</v>
      </c>
      <c r="BH71" s="69">
        <f>'Alt. scenario LCY'!AD69</f>
        <v>1000</v>
      </c>
      <c r="BI71" s="69">
        <f>'Alt. scenario LCY'!AE69</f>
        <v>1000</v>
      </c>
      <c r="BJ71" s="92">
        <f>'Alt. scenario LCY'!AF69</f>
        <v>1000</v>
      </c>
      <c r="BK71" s="244">
        <f>'Alt. scenario LCY'!AG69</f>
        <v>1000</v>
      </c>
      <c r="BL71" s="68">
        <f>'Key financial and ops fig.s LCY'!AH69</f>
        <v>1000</v>
      </c>
      <c r="BM71" s="69">
        <f>'Key financial and ops fig.s LCY'!AI69</f>
        <v>1000</v>
      </c>
      <c r="BN71" s="69">
        <f>'Key financial and ops fig.s LCY'!AJ69</f>
        <v>1000</v>
      </c>
      <c r="BO71" s="92">
        <f>'Key financial and ops fig.s LCY'!AK69</f>
        <v>1000</v>
      </c>
      <c r="BP71" s="226">
        <f>'Key financial and ops fig.s LCY'!AL69</f>
        <v>1000</v>
      </c>
      <c r="BQ71" s="68">
        <f>'Alt. scenario LCY'!AH69</f>
        <v>1000</v>
      </c>
      <c r="BR71" s="69">
        <f>'Alt. scenario LCY'!AI69</f>
        <v>1000</v>
      </c>
      <c r="BS71" s="69">
        <f>'Alt. scenario LCY'!AJ69</f>
        <v>1000</v>
      </c>
      <c r="BT71" s="92">
        <f>'Alt. scenario LCY'!AK69</f>
        <v>1000</v>
      </c>
      <c r="BU71" s="244">
        <f>'Alt. scenario LCY'!AL69</f>
        <v>1000</v>
      </c>
    </row>
    <row r="72" spans="1:73" ht="15.95">
      <c r="A72" s="55"/>
      <c r="C72" s="189" t="s">
        <v>306</v>
      </c>
      <c r="D72" s="68">
        <f>'Key financial and ops fig.s LCY'!D70</f>
        <v>250</v>
      </c>
      <c r="E72" s="69">
        <f>'Key financial and ops fig.s LCY'!E70</f>
        <v>500</v>
      </c>
      <c r="F72" s="69">
        <f>'Key financial and ops fig.s LCY'!F70</f>
        <v>750</v>
      </c>
      <c r="G72" s="92">
        <f>'Key financial and ops fig.s LCY'!G70</f>
        <v>1000</v>
      </c>
      <c r="H72" s="226">
        <f>'Key financial and ops fig.s LCY'!H70</f>
        <v>1000</v>
      </c>
      <c r="I72" s="68">
        <f>'Alt. scenario LCY'!D70</f>
        <v>250</v>
      </c>
      <c r="J72" s="69">
        <f>'Alt. scenario LCY'!E70</f>
        <v>500</v>
      </c>
      <c r="K72" s="69">
        <f>'Alt. scenario LCY'!F70</f>
        <v>750</v>
      </c>
      <c r="L72" s="92">
        <f>'Alt. scenario LCY'!G70</f>
        <v>1000</v>
      </c>
      <c r="M72" s="244">
        <f>'Alt. scenario LCY'!H70</f>
        <v>1000</v>
      </c>
      <c r="N72" s="68">
        <f>'Key financial and ops fig.s LCY'!I70</f>
        <v>1250</v>
      </c>
      <c r="O72" s="69">
        <f>'Key financial and ops fig.s LCY'!J70</f>
        <v>1500</v>
      </c>
      <c r="P72" s="69">
        <f>'Key financial and ops fig.s LCY'!K70</f>
        <v>1750</v>
      </c>
      <c r="Q72" s="92">
        <f>'Key financial and ops fig.s LCY'!L70</f>
        <v>2000</v>
      </c>
      <c r="R72" s="226">
        <f>'Key financial and ops fig.s LCY'!M70</f>
        <v>2000</v>
      </c>
      <c r="S72" s="68">
        <f>'Alt. scenario LCY'!I70</f>
        <v>1250</v>
      </c>
      <c r="T72" s="69">
        <f>'Alt. scenario LCY'!J70</f>
        <v>1500</v>
      </c>
      <c r="U72" s="69">
        <f>'Alt. scenario LCY'!K70</f>
        <v>1750</v>
      </c>
      <c r="V72" s="92">
        <f>'Alt. scenario LCY'!L70</f>
        <v>2000</v>
      </c>
      <c r="W72" s="244">
        <f>'Alt. scenario LCY'!M70</f>
        <v>2000</v>
      </c>
      <c r="X72" s="68">
        <f>'Key financial and ops fig.s LCY'!N70</f>
        <v>2250</v>
      </c>
      <c r="Y72" s="69">
        <f>'Key financial and ops fig.s LCY'!O70</f>
        <v>2500</v>
      </c>
      <c r="Z72" s="69">
        <f>'Key financial and ops fig.s LCY'!P70</f>
        <v>2750</v>
      </c>
      <c r="AA72" s="92">
        <f>'Key financial and ops fig.s LCY'!Q70</f>
        <v>3000</v>
      </c>
      <c r="AB72" s="226">
        <f>'Key financial and ops fig.s LCY'!R70</f>
        <v>3000</v>
      </c>
      <c r="AC72" s="68">
        <f>'Alt. scenario LCY'!N70</f>
        <v>2250</v>
      </c>
      <c r="AD72" s="69">
        <f>'Alt. scenario LCY'!O70</f>
        <v>2500</v>
      </c>
      <c r="AE72" s="69">
        <f>'Alt. scenario LCY'!P70</f>
        <v>2750</v>
      </c>
      <c r="AF72" s="92">
        <f>'Alt. scenario LCY'!Q70</f>
        <v>3000</v>
      </c>
      <c r="AG72" s="244">
        <f>'Alt. scenario LCY'!R70</f>
        <v>3000</v>
      </c>
      <c r="AH72" s="68">
        <f>'Key financial and ops fig.s LCY'!S70</f>
        <v>3250</v>
      </c>
      <c r="AI72" s="69">
        <f>'Key financial and ops fig.s LCY'!T70</f>
        <v>3500</v>
      </c>
      <c r="AJ72" s="69">
        <f>'Key financial and ops fig.s LCY'!U70</f>
        <v>3750</v>
      </c>
      <c r="AK72" s="92">
        <f>'Key financial and ops fig.s LCY'!V70</f>
        <v>4000</v>
      </c>
      <c r="AL72" s="226">
        <f>'Key financial and ops fig.s LCY'!W70</f>
        <v>4000</v>
      </c>
      <c r="AM72" s="68">
        <f>'Alt. scenario LCY'!S70</f>
        <v>3250</v>
      </c>
      <c r="AN72" s="69">
        <f>'Alt. scenario LCY'!T70</f>
        <v>3500</v>
      </c>
      <c r="AO72" s="69">
        <f>'Alt. scenario LCY'!U70</f>
        <v>3750</v>
      </c>
      <c r="AP72" s="92">
        <f>'Alt. scenario LCY'!V70</f>
        <v>4000</v>
      </c>
      <c r="AQ72" s="244">
        <f>'Alt. scenario LCY'!W70</f>
        <v>4000</v>
      </c>
      <c r="AR72" s="68">
        <f>'Key financial and ops fig.s LCY'!X70</f>
        <v>4250</v>
      </c>
      <c r="AS72" s="69">
        <f>'Key financial and ops fig.s LCY'!Y70</f>
        <v>4500</v>
      </c>
      <c r="AT72" s="69">
        <f>'Key financial and ops fig.s LCY'!Z70</f>
        <v>4750</v>
      </c>
      <c r="AU72" s="92">
        <f>'Key financial and ops fig.s LCY'!AA70</f>
        <v>5000</v>
      </c>
      <c r="AV72" s="226">
        <f>'Key financial and ops fig.s LCY'!AB70</f>
        <v>5000</v>
      </c>
      <c r="AW72" s="68">
        <f>'Alt. scenario LCY'!X70</f>
        <v>4250</v>
      </c>
      <c r="AX72" s="69">
        <f>'Alt. scenario LCY'!Y70</f>
        <v>4500</v>
      </c>
      <c r="AY72" s="69">
        <f>'Alt. scenario LCY'!Z70</f>
        <v>4750</v>
      </c>
      <c r="AZ72" s="92">
        <f>'Alt. scenario LCY'!AA70</f>
        <v>5000</v>
      </c>
      <c r="BA72" s="244">
        <f>'Alt. scenario LCY'!AB70</f>
        <v>5000</v>
      </c>
      <c r="BB72" s="68">
        <f>'Key financial and ops fig.s LCY'!AC70</f>
        <v>5000</v>
      </c>
      <c r="BC72" s="69">
        <f>'Key financial and ops fig.s LCY'!AD70</f>
        <v>5000</v>
      </c>
      <c r="BD72" s="69">
        <f>'Key financial and ops fig.s LCY'!AE70</f>
        <v>5000</v>
      </c>
      <c r="BE72" s="92">
        <f>'Key financial and ops fig.s LCY'!AF70</f>
        <v>5000</v>
      </c>
      <c r="BF72" s="226">
        <f>'Key financial and ops fig.s LCY'!AG70</f>
        <v>5000</v>
      </c>
      <c r="BG72" s="68">
        <f>'Alt. scenario LCY'!AC70</f>
        <v>5000</v>
      </c>
      <c r="BH72" s="69">
        <f>'Alt. scenario LCY'!AD70</f>
        <v>5000</v>
      </c>
      <c r="BI72" s="69">
        <f>'Alt. scenario LCY'!AE70</f>
        <v>5000</v>
      </c>
      <c r="BJ72" s="92">
        <f>'Alt. scenario LCY'!AF70</f>
        <v>5000</v>
      </c>
      <c r="BK72" s="244">
        <f>'Alt. scenario LCY'!AG70</f>
        <v>5000</v>
      </c>
      <c r="BL72" s="68">
        <f>'Key financial and ops fig.s LCY'!AH70</f>
        <v>5000</v>
      </c>
      <c r="BM72" s="69">
        <f>'Key financial and ops fig.s LCY'!AI70</f>
        <v>5000</v>
      </c>
      <c r="BN72" s="69">
        <f>'Key financial and ops fig.s LCY'!AJ70</f>
        <v>5000</v>
      </c>
      <c r="BO72" s="92">
        <f>'Key financial and ops fig.s LCY'!AK70</f>
        <v>5000</v>
      </c>
      <c r="BP72" s="226">
        <f>'Key financial and ops fig.s LCY'!AL70</f>
        <v>5000</v>
      </c>
      <c r="BQ72" s="68">
        <f>'Alt. scenario LCY'!AH70</f>
        <v>5000</v>
      </c>
      <c r="BR72" s="69">
        <f>'Alt. scenario LCY'!AI70</f>
        <v>5000</v>
      </c>
      <c r="BS72" s="69">
        <f>'Alt. scenario LCY'!AJ70</f>
        <v>5000</v>
      </c>
      <c r="BT72" s="92">
        <f>'Alt. scenario LCY'!AK70</f>
        <v>5000</v>
      </c>
      <c r="BU72" s="244">
        <f>'Alt. scenario LCY'!AL70</f>
        <v>5000</v>
      </c>
    </row>
    <row r="73" spans="1:73" ht="15.95">
      <c r="A73" s="55"/>
      <c r="C73" s="189" t="s">
        <v>307</v>
      </c>
      <c r="D73" s="68">
        <f>'Key financial and ops fig.s LCY'!D71</f>
        <v>2000</v>
      </c>
      <c r="E73" s="69">
        <f>'Key financial and ops fig.s LCY'!E71</f>
        <v>4000</v>
      </c>
      <c r="F73" s="69">
        <f>'Key financial and ops fig.s LCY'!F71</f>
        <v>6000</v>
      </c>
      <c r="G73" s="92">
        <f>'Key financial and ops fig.s LCY'!G71</f>
        <v>8000</v>
      </c>
      <c r="H73" s="226">
        <f>'Key financial and ops fig.s LCY'!H71</f>
        <v>8000</v>
      </c>
      <c r="I73" s="68">
        <f>'Alt. scenario LCY'!D71</f>
        <v>2000</v>
      </c>
      <c r="J73" s="69">
        <f>'Alt. scenario LCY'!E71</f>
        <v>4000</v>
      </c>
      <c r="K73" s="69">
        <f>'Alt. scenario LCY'!F71</f>
        <v>6000</v>
      </c>
      <c r="L73" s="92">
        <f>'Alt. scenario LCY'!G71</f>
        <v>8000</v>
      </c>
      <c r="M73" s="244">
        <f>'Alt. scenario LCY'!H71</f>
        <v>8000</v>
      </c>
      <c r="N73" s="68">
        <f>'Key financial and ops fig.s LCY'!I71</f>
        <v>10000</v>
      </c>
      <c r="O73" s="69">
        <f>'Key financial and ops fig.s LCY'!J71</f>
        <v>12000</v>
      </c>
      <c r="P73" s="69">
        <f>'Key financial and ops fig.s LCY'!K71</f>
        <v>14000</v>
      </c>
      <c r="Q73" s="92">
        <f>'Key financial and ops fig.s LCY'!L71</f>
        <v>16000</v>
      </c>
      <c r="R73" s="226">
        <f>'Key financial and ops fig.s LCY'!M71</f>
        <v>16000</v>
      </c>
      <c r="S73" s="68">
        <f>'Alt. scenario LCY'!I71</f>
        <v>10000</v>
      </c>
      <c r="T73" s="69">
        <f>'Alt. scenario LCY'!J71</f>
        <v>12000</v>
      </c>
      <c r="U73" s="69">
        <f>'Alt. scenario LCY'!K71</f>
        <v>14000</v>
      </c>
      <c r="V73" s="92">
        <f>'Alt. scenario LCY'!L71</f>
        <v>16000</v>
      </c>
      <c r="W73" s="244">
        <f>'Alt. scenario LCY'!M71</f>
        <v>16000</v>
      </c>
      <c r="X73" s="68">
        <f>'Key financial and ops fig.s LCY'!N71</f>
        <v>18000</v>
      </c>
      <c r="Y73" s="69">
        <f>'Key financial and ops fig.s LCY'!O71</f>
        <v>20000</v>
      </c>
      <c r="Z73" s="69">
        <f>'Key financial and ops fig.s LCY'!P71</f>
        <v>22000</v>
      </c>
      <c r="AA73" s="92">
        <f>'Key financial and ops fig.s LCY'!Q71</f>
        <v>24000</v>
      </c>
      <c r="AB73" s="226">
        <f>'Key financial and ops fig.s LCY'!R71</f>
        <v>24000</v>
      </c>
      <c r="AC73" s="68">
        <f>'Alt. scenario LCY'!N71</f>
        <v>18000</v>
      </c>
      <c r="AD73" s="69">
        <f>'Alt. scenario LCY'!O71</f>
        <v>20000</v>
      </c>
      <c r="AE73" s="69">
        <f>'Alt. scenario LCY'!P71</f>
        <v>22000</v>
      </c>
      <c r="AF73" s="92">
        <f>'Alt. scenario LCY'!Q71</f>
        <v>24000</v>
      </c>
      <c r="AG73" s="244">
        <f>'Alt. scenario LCY'!R71</f>
        <v>24000</v>
      </c>
      <c r="AH73" s="68">
        <f>'Key financial and ops fig.s LCY'!S71</f>
        <v>26000</v>
      </c>
      <c r="AI73" s="69">
        <f>'Key financial and ops fig.s LCY'!T71</f>
        <v>28000</v>
      </c>
      <c r="AJ73" s="69">
        <f>'Key financial and ops fig.s LCY'!U71</f>
        <v>30000</v>
      </c>
      <c r="AK73" s="92">
        <f>'Key financial and ops fig.s LCY'!V71</f>
        <v>32000</v>
      </c>
      <c r="AL73" s="226">
        <f>'Key financial and ops fig.s LCY'!W71</f>
        <v>32000</v>
      </c>
      <c r="AM73" s="68">
        <f>'Alt. scenario LCY'!S71</f>
        <v>26000</v>
      </c>
      <c r="AN73" s="69">
        <f>'Alt. scenario LCY'!T71</f>
        <v>28000</v>
      </c>
      <c r="AO73" s="69">
        <f>'Alt. scenario LCY'!U71</f>
        <v>30000</v>
      </c>
      <c r="AP73" s="92">
        <f>'Alt. scenario LCY'!V71</f>
        <v>32000</v>
      </c>
      <c r="AQ73" s="244">
        <f>'Alt. scenario LCY'!W71</f>
        <v>32000</v>
      </c>
      <c r="AR73" s="68">
        <f>'Key financial and ops fig.s LCY'!X71</f>
        <v>34000</v>
      </c>
      <c r="AS73" s="69">
        <f>'Key financial and ops fig.s LCY'!Y71</f>
        <v>36000</v>
      </c>
      <c r="AT73" s="69">
        <f>'Key financial and ops fig.s LCY'!Z71</f>
        <v>38000</v>
      </c>
      <c r="AU73" s="92">
        <f>'Key financial and ops fig.s LCY'!AA71</f>
        <v>40000</v>
      </c>
      <c r="AV73" s="226">
        <f>'Key financial and ops fig.s LCY'!AB71</f>
        <v>40000</v>
      </c>
      <c r="AW73" s="68">
        <f>'Alt. scenario LCY'!X71</f>
        <v>34000</v>
      </c>
      <c r="AX73" s="69">
        <f>'Alt. scenario LCY'!Y71</f>
        <v>36000</v>
      </c>
      <c r="AY73" s="69">
        <f>'Alt. scenario LCY'!Z71</f>
        <v>38000</v>
      </c>
      <c r="AZ73" s="92">
        <f>'Alt. scenario LCY'!AA71</f>
        <v>40000</v>
      </c>
      <c r="BA73" s="244">
        <f>'Alt. scenario LCY'!AB71</f>
        <v>40000</v>
      </c>
      <c r="BB73" s="68">
        <f>'Key financial and ops fig.s LCY'!AC71</f>
        <v>40000</v>
      </c>
      <c r="BC73" s="69">
        <f>'Key financial and ops fig.s LCY'!AD71</f>
        <v>40000</v>
      </c>
      <c r="BD73" s="69">
        <f>'Key financial and ops fig.s LCY'!AE71</f>
        <v>40000</v>
      </c>
      <c r="BE73" s="92">
        <f>'Key financial and ops fig.s LCY'!AF71</f>
        <v>40000</v>
      </c>
      <c r="BF73" s="226">
        <f>'Key financial and ops fig.s LCY'!AG71</f>
        <v>40000</v>
      </c>
      <c r="BG73" s="68">
        <f>'Alt. scenario LCY'!AC71</f>
        <v>40000</v>
      </c>
      <c r="BH73" s="69">
        <f>'Alt. scenario LCY'!AD71</f>
        <v>40000</v>
      </c>
      <c r="BI73" s="69">
        <f>'Alt. scenario LCY'!AE71</f>
        <v>40000</v>
      </c>
      <c r="BJ73" s="92">
        <f>'Alt. scenario LCY'!AF71</f>
        <v>40000</v>
      </c>
      <c r="BK73" s="244">
        <f>'Alt. scenario LCY'!AG71</f>
        <v>40000</v>
      </c>
      <c r="BL73" s="68">
        <f>'Key financial and ops fig.s LCY'!AH71</f>
        <v>40000</v>
      </c>
      <c r="BM73" s="69">
        <f>'Key financial and ops fig.s LCY'!AI71</f>
        <v>40000</v>
      </c>
      <c r="BN73" s="69">
        <f>'Key financial and ops fig.s LCY'!AJ71</f>
        <v>40000</v>
      </c>
      <c r="BO73" s="92">
        <f>'Key financial and ops fig.s LCY'!AK71</f>
        <v>40000</v>
      </c>
      <c r="BP73" s="226">
        <f>'Key financial and ops fig.s LCY'!AL71</f>
        <v>40000</v>
      </c>
      <c r="BQ73" s="68">
        <f>'Alt. scenario LCY'!AH71</f>
        <v>40000</v>
      </c>
      <c r="BR73" s="69">
        <f>'Alt. scenario LCY'!AI71</f>
        <v>40000</v>
      </c>
      <c r="BS73" s="69">
        <f>'Alt. scenario LCY'!AJ71</f>
        <v>40000</v>
      </c>
      <c r="BT73" s="92">
        <f>'Alt. scenario LCY'!AK71</f>
        <v>40000</v>
      </c>
      <c r="BU73" s="244">
        <f>'Alt. scenario LCY'!AL71</f>
        <v>40000</v>
      </c>
    </row>
    <row r="74" spans="1:73" s="56" customFormat="1" ht="15.95">
      <c r="A74" s="55"/>
      <c r="C74" s="189" t="s">
        <v>308</v>
      </c>
      <c r="D74" s="68">
        <f>'Key financial and ops fig.s LCY'!D72</f>
        <v>9.9375</v>
      </c>
      <c r="E74" s="69">
        <f>'Key financial and ops fig.s LCY'!E72</f>
        <v>19.75</v>
      </c>
      <c r="F74" s="69">
        <f>'Key financial and ops fig.s LCY'!F72</f>
        <v>29.4375</v>
      </c>
      <c r="G74" s="92">
        <f>'Key financial and ops fig.s LCY'!G72</f>
        <v>39</v>
      </c>
      <c r="H74" s="226">
        <f>'Key financial and ops fig.s LCY'!H72</f>
        <v>39</v>
      </c>
      <c r="I74" s="68">
        <f>'Alt. scenario LCY'!D72</f>
        <v>9.9375</v>
      </c>
      <c r="J74" s="69">
        <f>'Alt. scenario LCY'!E72</f>
        <v>19.75</v>
      </c>
      <c r="K74" s="69">
        <f>'Alt. scenario LCY'!F72</f>
        <v>29.4375</v>
      </c>
      <c r="L74" s="92">
        <f>'Alt. scenario LCY'!G72</f>
        <v>39</v>
      </c>
      <c r="M74" s="244">
        <f>'Alt. scenario LCY'!H72</f>
        <v>39</v>
      </c>
      <c r="N74" s="68">
        <f>'Key financial and ops fig.s LCY'!I72</f>
        <v>48.4375</v>
      </c>
      <c r="O74" s="69">
        <f>'Key financial and ops fig.s LCY'!J72</f>
        <v>57.75</v>
      </c>
      <c r="P74" s="69">
        <f>'Key financial and ops fig.s LCY'!K72</f>
        <v>66.9375</v>
      </c>
      <c r="Q74" s="92">
        <f>'Key financial and ops fig.s LCY'!L72</f>
        <v>76</v>
      </c>
      <c r="R74" s="226">
        <f>'Key financial and ops fig.s LCY'!M72</f>
        <v>76</v>
      </c>
      <c r="S74" s="68">
        <f>'Alt. scenario LCY'!I72</f>
        <v>48.4375</v>
      </c>
      <c r="T74" s="69">
        <f>'Alt. scenario LCY'!J72</f>
        <v>57.75</v>
      </c>
      <c r="U74" s="69">
        <f>'Alt. scenario LCY'!K72</f>
        <v>66.9375</v>
      </c>
      <c r="V74" s="92">
        <f>'Alt. scenario LCY'!L72</f>
        <v>76</v>
      </c>
      <c r="W74" s="244">
        <f>'Alt. scenario LCY'!M72</f>
        <v>76</v>
      </c>
      <c r="X74" s="68">
        <f>'Key financial and ops fig.s LCY'!N72</f>
        <v>84.9375</v>
      </c>
      <c r="Y74" s="69">
        <f>'Key financial and ops fig.s LCY'!O72</f>
        <v>93.75</v>
      </c>
      <c r="Z74" s="69">
        <f>'Key financial and ops fig.s LCY'!P72</f>
        <v>102.4375</v>
      </c>
      <c r="AA74" s="92">
        <f>'Key financial and ops fig.s LCY'!Q72</f>
        <v>111</v>
      </c>
      <c r="AB74" s="226">
        <f>'Key financial and ops fig.s LCY'!R72</f>
        <v>111</v>
      </c>
      <c r="AC74" s="68">
        <f>'Alt. scenario LCY'!N72</f>
        <v>84.9375</v>
      </c>
      <c r="AD74" s="69">
        <f>'Alt. scenario LCY'!O72</f>
        <v>93.75</v>
      </c>
      <c r="AE74" s="69">
        <f>'Alt. scenario LCY'!P72</f>
        <v>102.4375</v>
      </c>
      <c r="AF74" s="92">
        <f>'Alt. scenario LCY'!Q72</f>
        <v>111</v>
      </c>
      <c r="AG74" s="244">
        <f>'Alt. scenario LCY'!R72</f>
        <v>111</v>
      </c>
      <c r="AH74" s="68">
        <f>'Key financial and ops fig.s LCY'!S72</f>
        <v>119.4375</v>
      </c>
      <c r="AI74" s="69">
        <f>'Key financial and ops fig.s LCY'!T72</f>
        <v>127.75</v>
      </c>
      <c r="AJ74" s="69">
        <f>'Key financial and ops fig.s LCY'!U72</f>
        <v>135.9375</v>
      </c>
      <c r="AK74" s="92">
        <f>'Key financial and ops fig.s LCY'!V72</f>
        <v>144</v>
      </c>
      <c r="AL74" s="226">
        <f>'Key financial and ops fig.s LCY'!W72</f>
        <v>144</v>
      </c>
      <c r="AM74" s="68">
        <f>'Alt. scenario LCY'!S72</f>
        <v>119.4375</v>
      </c>
      <c r="AN74" s="69">
        <f>'Alt. scenario LCY'!T72</f>
        <v>127.75</v>
      </c>
      <c r="AO74" s="69">
        <f>'Alt. scenario LCY'!U72</f>
        <v>135.9375</v>
      </c>
      <c r="AP74" s="92">
        <f>'Alt. scenario LCY'!V72</f>
        <v>144</v>
      </c>
      <c r="AQ74" s="244">
        <f>'Alt. scenario LCY'!W72</f>
        <v>144</v>
      </c>
      <c r="AR74" s="68">
        <f>'Key financial and ops fig.s LCY'!X72</f>
        <v>151.9375</v>
      </c>
      <c r="AS74" s="69">
        <f>'Key financial and ops fig.s LCY'!Y72</f>
        <v>159.75</v>
      </c>
      <c r="AT74" s="69">
        <f>'Key financial and ops fig.s LCY'!Z72</f>
        <v>167.4375</v>
      </c>
      <c r="AU74" s="92">
        <f>'Key financial and ops fig.s LCY'!AA72</f>
        <v>175</v>
      </c>
      <c r="AV74" s="226">
        <f>'Key financial and ops fig.s LCY'!AB72</f>
        <v>175</v>
      </c>
      <c r="AW74" s="68">
        <f>'Alt. scenario LCY'!X72</f>
        <v>151.9375</v>
      </c>
      <c r="AX74" s="69">
        <f>'Alt. scenario LCY'!Y72</f>
        <v>159.75</v>
      </c>
      <c r="AY74" s="69">
        <f>'Alt. scenario LCY'!Z72</f>
        <v>167.4375</v>
      </c>
      <c r="AZ74" s="92">
        <f>'Alt. scenario LCY'!AA72</f>
        <v>175</v>
      </c>
      <c r="BA74" s="244">
        <f>'Alt. scenario LCY'!AB72</f>
        <v>175</v>
      </c>
      <c r="BB74" s="68">
        <f>'Key financial and ops fig.s LCY'!AC72</f>
        <v>173.75</v>
      </c>
      <c r="BC74" s="69">
        <f>'Key financial and ops fig.s LCY'!AD72</f>
        <v>172.5</v>
      </c>
      <c r="BD74" s="69">
        <f>'Key financial and ops fig.s LCY'!AE72</f>
        <v>171.25</v>
      </c>
      <c r="BE74" s="92">
        <f>'Key financial and ops fig.s LCY'!AF72</f>
        <v>170</v>
      </c>
      <c r="BF74" s="226">
        <f>'Key financial and ops fig.s LCY'!AG72</f>
        <v>170</v>
      </c>
      <c r="BG74" s="68">
        <f>'Alt. scenario LCY'!AC72</f>
        <v>173.75</v>
      </c>
      <c r="BH74" s="69">
        <f>'Alt. scenario LCY'!AD72</f>
        <v>172.5</v>
      </c>
      <c r="BI74" s="69">
        <f>'Alt. scenario LCY'!AE72</f>
        <v>171.25</v>
      </c>
      <c r="BJ74" s="92">
        <f>'Alt. scenario LCY'!AF72</f>
        <v>170</v>
      </c>
      <c r="BK74" s="244">
        <f>'Alt. scenario LCY'!AG72</f>
        <v>170</v>
      </c>
      <c r="BL74" s="68">
        <f>'Key financial and ops fig.s LCY'!AH72</f>
        <v>168.75</v>
      </c>
      <c r="BM74" s="69">
        <f>'Key financial and ops fig.s LCY'!AI72</f>
        <v>167.5</v>
      </c>
      <c r="BN74" s="69">
        <f>'Key financial and ops fig.s LCY'!AJ72</f>
        <v>166.25</v>
      </c>
      <c r="BO74" s="92">
        <f>'Key financial and ops fig.s LCY'!AK72</f>
        <v>165</v>
      </c>
      <c r="BP74" s="226">
        <f>'Key financial and ops fig.s LCY'!AL72</f>
        <v>165</v>
      </c>
      <c r="BQ74" s="68">
        <f>'Alt. scenario LCY'!AH72</f>
        <v>168.75</v>
      </c>
      <c r="BR74" s="69">
        <f>'Alt. scenario LCY'!AI72</f>
        <v>167.5</v>
      </c>
      <c r="BS74" s="69">
        <f>'Alt. scenario LCY'!AJ72</f>
        <v>166.25</v>
      </c>
      <c r="BT74" s="92">
        <f>'Alt. scenario LCY'!AK72</f>
        <v>165</v>
      </c>
      <c r="BU74" s="244">
        <f>'Alt. scenario LCY'!AL72</f>
        <v>165</v>
      </c>
    </row>
    <row r="75" spans="1:73" s="56" customFormat="1" ht="15.95">
      <c r="A75" s="55"/>
      <c r="C75" s="189" t="s">
        <v>309</v>
      </c>
      <c r="D75" s="68">
        <f>'Key financial and ops fig.s LCY'!D73</f>
        <v>49.6875</v>
      </c>
      <c r="E75" s="69">
        <f>'Key financial and ops fig.s LCY'!E73</f>
        <v>98.75</v>
      </c>
      <c r="F75" s="69">
        <f>'Key financial and ops fig.s LCY'!F73</f>
        <v>147.1875</v>
      </c>
      <c r="G75" s="92">
        <f>'Key financial and ops fig.s LCY'!G73</f>
        <v>195</v>
      </c>
      <c r="H75" s="226">
        <f>'Key financial and ops fig.s LCY'!H73</f>
        <v>195</v>
      </c>
      <c r="I75" s="68">
        <f>'Alt. scenario LCY'!D73</f>
        <v>49.6875</v>
      </c>
      <c r="J75" s="69">
        <f>'Alt. scenario LCY'!E73</f>
        <v>98.75</v>
      </c>
      <c r="K75" s="69">
        <f>'Alt. scenario LCY'!F73</f>
        <v>147.1875</v>
      </c>
      <c r="L75" s="92">
        <f>'Alt. scenario LCY'!G73</f>
        <v>195</v>
      </c>
      <c r="M75" s="244">
        <f>'Alt. scenario LCY'!H73</f>
        <v>195</v>
      </c>
      <c r="N75" s="68">
        <f>'Key financial and ops fig.s LCY'!I73</f>
        <v>242.1875</v>
      </c>
      <c r="O75" s="69">
        <f>'Key financial and ops fig.s LCY'!J73</f>
        <v>288.75</v>
      </c>
      <c r="P75" s="69">
        <f>'Key financial and ops fig.s LCY'!K73</f>
        <v>334.6875</v>
      </c>
      <c r="Q75" s="92">
        <f>'Key financial and ops fig.s LCY'!L73</f>
        <v>380</v>
      </c>
      <c r="R75" s="226">
        <f>'Key financial and ops fig.s LCY'!M73</f>
        <v>380</v>
      </c>
      <c r="S75" s="68">
        <f>'Alt. scenario LCY'!I73</f>
        <v>242.1875</v>
      </c>
      <c r="T75" s="69">
        <f>'Alt. scenario LCY'!J73</f>
        <v>288.75</v>
      </c>
      <c r="U75" s="69">
        <f>'Alt. scenario LCY'!K73</f>
        <v>334.6875</v>
      </c>
      <c r="V75" s="92">
        <f>'Alt. scenario LCY'!L73</f>
        <v>380</v>
      </c>
      <c r="W75" s="244">
        <f>'Alt. scenario LCY'!M73</f>
        <v>380</v>
      </c>
      <c r="X75" s="68">
        <f>'Key financial and ops fig.s LCY'!N73</f>
        <v>424.6875</v>
      </c>
      <c r="Y75" s="69">
        <f>'Key financial and ops fig.s LCY'!O73</f>
        <v>468.75</v>
      </c>
      <c r="Z75" s="69">
        <f>'Key financial and ops fig.s LCY'!P73</f>
        <v>512.1875</v>
      </c>
      <c r="AA75" s="92">
        <f>'Key financial and ops fig.s LCY'!Q73</f>
        <v>555</v>
      </c>
      <c r="AB75" s="226">
        <f>'Key financial and ops fig.s LCY'!R73</f>
        <v>555</v>
      </c>
      <c r="AC75" s="68">
        <f>'Alt. scenario LCY'!N73</f>
        <v>424.6875</v>
      </c>
      <c r="AD75" s="69">
        <f>'Alt. scenario LCY'!O73</f>
        <v>468.75</v>
      </c>
      <c r="AE75" s="69">
        <f>'Alt. scenario LCY'!P73</f>
        <v>512.1875</v>
      </c>
      <c r="AF75" s="92">
        <f>'Alt. scenario LCY'!Q73</f>
        <v>555</v>
      </c>
      <c r="AG75" s="244">
        <f>'Alt. scenario LCY'!R73</f>
        <v>555</v>
      </c>
      <c r="AH75" s="68">
        <f>'Key financial and ops fig.s LCY'!S73</f>
        <v>597.1875</v>
      </c>
      <c r="AI75" s="69">
        <f>'Key financial and ops fig.s LCY'!T73</f>
        <v>638.75</v>
      </c>
      <c r="AJ75" s="69">
        <f>'Key financial and ops fig.s LCY'!U73</f>
        <v>679.6875</v>
      </c>
      <c r="AK75" s="92">
        <f>'Key financial and ops fig.s LCY'!V73</f>
        <v>720</v>
      </c>
      <c r="AL75" s="226">
        <f>'Key financial and ops fig.s LCY'!W73</f>
        <v>720</v>
      </c>
      <c r="AM75" s="68">
        <f>'Alt. scenario LCY'!S73</f>
        <v>597.1875</v>
      </c>
      <c r="AN75" s="69">
        <f>'Alt. scenario LCY'!T73</f>
        <v>638.75</v>
      </c>
      <c r="AO75" s="69">
        <f>'Alt. scenario LCY'!U73</f>
        <v>679.6875</v>
      </c>
      <c r="AP75" s="92">
        <f>'Alt. scenario LCY'!V73</f>
        <v>720</v>
      </c>
      <c r="AQ75" s="244">
        <f>'Alt. scenario LCY'!W73</f>
        <v>720</v>
      </c>
      <c r="AR75" s="68">
        <f>'Key financial and ops fig.s LCY'!X73</f>
        <v>759.6875</v>
      </c>
      <c r="AS75" s="69">
        <f>'Key financial and ops fig.s LCY'!Y73</f>
        <v>798.75</v>
      </c>
      <c r="AT75" s="69">
        <f>'Key financial and ops fig.s LCY'!Z73</f>
        <v>837.1875</v>
      </c>
      <c r="AU75" s="92">
        <f>'Key financial and ops fig.s LCY'!AA73</f>
        <v>875</v>
      </c>
      <c r="AV75" s="226">
        <f>'Key financial and ops fig.s LCY'!AB73</f>
        <v>875</v>
      </c>
      <c r="AW75" s="68">
        <f>'Alt. scenario LCY'!X73</f>
        <v>759.6875</v>
      </c>
      <c r="AX75" s="69">
        <f>'Alt. scenario LCY'!Y73</f>
        <v>798.75</v>
      </c>
      <c r="AY75" s="69">
        <f>'Alt. scenario LCY'!Z73</f>
        <v>837.1875</v>
      </c>
      <c r="AZ75" s="92">
        <f>'Alt. scenario LCY'!AA73</f>
        <v>875</v>
      </c>
      <c r="BA75" s="244">
        <f>'Alt. scenario LCY'!AB73</f>
        <v>875</v>
      </c>
      <c r="BB75" s="68">
        <f>'Key financial and ops fig.s LCY'!AC73</f>
        <v>868.75</v>
      </c>
      <c r="BC75" s="69">
        <f>'Key financial and ops fig.s LCY'!AD73</f>
        <v>862.5</v>
      </c>
      <c r="BD75" s="69">
        <f>'Key financial and ops fig.s LCY'!AE73</f>
        <v>856.25</v>
      </c>
      <c r="BE75" s="92">
        <f>'Key financial and ops fig.s LCY'!AF73</f>
        <v>850</v>
      </c>
      <c r="BF75" s="226">
        <f>'Key financial and ops fig.s LCY'!AG73</f>
        <v>850</v>
      </c>
      <c r="BG75" s="68">
        <f>'Alt. scenario LCY'!AC73</f>
        <v>868.75</v>
      </c>
      <c r="BH75" s="69">
        <f>'Alt. scenario LCY'!AD73</f>
        <v>862.5</v>
      </c>
      <c r="BI75" s="69">
        <f>'Alt. scenario LCY'!AE73</f>
        <v>856.25</v>
      </c>
      <c r="BJ75" s="92">
        <f>'Alt. scenario LCY'!AF73</f>
        <v>850</v>
      </c>
      <c r="BK75" s="244">
        <f>'Alt. scenario LCY'!AG73</f>
        <v>850</v>
      </c>
      <c r="BL75" s="68">
        <f>'Key financial and ops fig.s LCY'!AH73</f>
        <v>843.75</v>
      </c>
      <c r="BM75" s="69">
        <f>'Key financial and ops fig.s LCY'!AI73</f>
        <v>837.5</v>
      </c>
      <c r="BN75" s="69">
        <f>'Key financial and ops fig.s LCY'!AJ73</f>
        <v>831.25</v>
      </c>
      <c r="BO75" s="92">
        <f>'Key financial and ops fig.s LCY'!AK73</f>
        <v>825</v>
      </c>
      <c r="BP75" s="226">
        <f>'Key financial and ops fig.s LCY'!AL73</f>
        <v>825</v>
      </c>
      <c r="BQ75" s="68">
        <f>'Alt. scenario LCY'!AH73</f>
        <v>843.75</v>
      </c>
      <c r="BR75" s="69">
        <f>'Alt. scenario LCY'!AI73</f>
        <v>837.5</v>
      </c>
      <c r="BS75" s="69">
        <f>'Alt. scenario LCY'!AJ73</f>
        <v>831.25</v>
      </c>
      <c r="BT75" s="92">
        <f>'Alt. scenario LCY'!AK73</f>
        <v>825</v>
      </c>
      <c r="BU75" s="244">
        <f>'Alt. scenario LCY'!AL73</f>
        <v>825</v>
      </c>
    </row>
    <row r="76" spans="1:73" s="56" customFormat="1" ht="15.95">
      <c r="A76" s="55"/>
      <c r="C76" s="189" t="s">
        <v>310</v>
      </c>
      <c r="D76" s="68">
        <f>'Key financial and ops fig.s LCY'!D74</f>
        <v>248.4375</v>
      </c>
      <c r="E76" s="69">
        <f>'Key financial and ops fig.s LCY'!E74</f>
        <v>493.75</v>
      </c>
      <c r="F76" s="69">
        <f>'Key financial and ops fig.s LCY'!F74</f>
        <v>735.9375</v>
      </c>
      <c r="G76" s="92">
        <f>'Key financial and ops fig.s LCY'!G74</f>
        <v>975</v>
      </c>
      <c r="H76" s="226">
        <f>'Key financial and ops fig.s LCY'!H74</f>
        <v>975</v>
      </c>
      <c r="I76" s="68">
        <f>'Alt. scenario LCY'!D74</f>
        <v>248.4375</v>
      </c>
      <c r="J76" s="69">
        <f>'Alt. scenario LCY'!E74</f>
        <v>493.75</v>
      </c>
      <c r="K76" s="69">
        <f>'Alt. scenario LCY'!F74</f>
        <v>735.9375</v>
      </c>
      <c r="L76" s="92">
        <f>'Alt. scenario LCY'!G74</f>
        <v>975</v>
      </c>
      <c r="M76" s="244">
        <f>'Alt. scenario LCY'!H74</f>
        <v>975</v>
      </c>
      <c r="N76" s="68">
        <f>'Key financial and ops fig.s LCY'!I74</f>
        <v>1210.9375</v>
      </c>
      <c r="O76" s="69">
        <f>'Key financial and ops fig.s LCY'!J74</f>
        <v>1443.75</v>
      </c>
      <c r="P76" s="69">
        <f>'Key financial and ops fig.s LCY'!K74</f>
        <v>1673.4375</v>
      </c>
      <c r="Q76" s="92">
        <f>'Key financial and ops fig.s LCY'!L74</f>
        <v>1900</v>
      </c>
      <c r="R76" s="226">
        <f>'Key financial and ops fig.s LCY'!M74</f>
        <v>1900</v>
      </c>
      <c r="S76" s="68">
        <f>'Alt. scenario LCY'!I74</f>
        <v>1210.9375</v>
      </c>
      <c r="T76" s="69">
        <f>'Alt. scenario LCY'!J74</f>
        <v>1443.75</v>
      </c>
      <c r="U76" s="69">
        <f>'Alt. scenario LCY'!K74</f>
        <v>1673.4375</v>
      </c>
      <c r="V76" s="92">
        <f>'Alt. scenario LCY'!L74</f>
        <v>1900</v>
      </c>
      <c r="W76" s="244">
        <f>'Alt. scenario LCY'!M74</f>
        <v>1900</v>
      </c>
      <c r="X76" s="68">
        <f>'Key financial and ops fig.s LCY'!N74</f>
        <v>2123.4375</v>
      </c>
      <c r="Y76" s="69">
        <f>'Key financial and ops fig.s LCY'!O74</f>
        <v>2343.75</v>
      </c>
      <c r="Z76" s="69">
        <f>'Key financial and ops fig.s LCY'!P74</f>
        <v>2560.9375</v>
      </c>
      <c r="AA76" s="92">
        <f>'Key financial and ops fig.s LCY'!Q74</f>
        <v>2775</v>
      </c>
      <c r="AB76" s="226">
        <f>'Key financial and ops fig.s LCY'!R74</f>
        <v>2775</v>
      </c>
      <c r="AC76" s="68">
        <f>'Alt. scenario LCY'!N74</f>
        <v>2123.4375</v>
      </c>
      <c r="AD76" s="69">
        <f>'Alt. scenario LCY'!O74</f>
        <v>2343.75</v>
      </c>
      <c r="AE76" s="69">
        <f>'Alt. scenario LCY'!P74</f>
        <v>2560.9375</v>
      </c>
      <c r="AF76" s="92">
        <f>'Alt. scenario LCY'!Q74</f>
        <v>2775</v>
      </c>
      <c r="AG76" s="244">
        <f>'Alt. scenario LCY'!R74</f>
        <v>2775</v>
      </c>
      <c r="AH76" s="68">
        <f>'Key financial and ops fig.s LCY'!S74</f>
        <v>2985.9375</v>
      </c>
      <c r="AI76" s="69">
        <f>'Key financial and ops fig.s LCY'!T74</f>
        <v>3193.75</v>
      </c>
      <c r="AJ76" s="69">
        <f>'Key financial and ops fig.s LCY'!U74</f>
        <v>3398.4375</v>
      </c>
      <c r="AK76" s="92">
        <f>'Key financial and ops fig.s LCY'!V74</f>
        <v>3600</v>
      </c>
      <c r="AL76" s="226">
        <f>'Key financial and ops fig.s LCY'!W74</f>
        <v>3600</v>
      </c>
      <c r="AM76" s="68">
        <f>'Alt. scenario LCY'!S74</f>
        <v>2985.9375</v>
      </c>
      <c r="AN76" s="69">
        <f>'Alt. scenario LCY'!T74</f>
        <v>3193.75</v>
      </c>
      <c r="AO76" s="69">
        <f>'Alt. scenario LCY'!U74</f>
        <v>3398.4375</v>
      </c>
      <c r="AP76" s="92">
        <f>'Alt. scenario LCY'!V74</f>
        <v>3600</v>
      </c>
      <c r="AQ76" s="244">
        <f>'Alt. scenario LCY'!W74</f>
        <v>3600</v>
      </c>
      <c r="AR76" s="68">
        <f>'Key financial and ops fig.s LCY'!X74</f>
        <v>3798.4375</v>
      </c>
      <c r="AS76" s="69">
        <f>'Key financial and ops fig.s LCY'!Y74</f>
        <v>3993.75</v>
      </c>
      <c r="AT76" s="69">
        <f>'Key financial and ops fig.s LCY'!Z74</f>
        <v>4185.9375</v>
      </c>
      <c r="AU76" s="92">
        <f>'Key financial and ops fig.s LCY'!AA74</f>
        <v>4375</v>
      </c>
      <c r="AV76" s="226">
        <f>'Key financial and ops fig.s LCY'!AB74</f>
        <v>4375</v>
      </c>
      <c r="AW76" s="68">
        <f>'Alt. scenario LCY'!X74</f>
        <v>3798.4375</v>
      </c>
      <c r="AX76" s="69">
        <f>'Alt. scenario LCY'!Y74</f>
        <v>3993.75</v>
      </c>
      <c r="AY76" s="69">
        <f>'Alt. scenario LCY'!Z74</f>
        <v>4185.9375</v>
      </c>
      <c r="AZ76" s="92">
        <f>'Alt. scenario LCY'!AA74</f>
        <v>4375</v>
      </c>
      <c r="BA76" s="244">
        <f>'Alt. scenario LCY'!AB74</f>
        <v>4375</v>
      </c>
      <c r="BB76" s="68">
        <f>'Key financial and ops fig.s LCY'!AC74</f>
        <v>4343.75</v>
      </c>
      <c r="BC76" s="69">
        <f>'Key financial and ops fig.s LCY'!AD74</f>
        <v>4312.5</v>
      </c>
      <c r="BD76" s="69">
        <f>'Key financial and ops fig.s LCY'!AE74</f>
        <v>4281.25</v>
      </c>
      <c r="BE76" s="92">
        <f>'Key financial and ops fig.s LCY'!AF74</f>
        <v>4250</v>
      </c>
      <c r="BF76" s="226">
        <f>'Key financial and ops fig.s LCY'!AG74</f>
        <v>4250</v>
      </c>
      <c r="BG76" s="68">
        <f>'Alt. scenario LCY'!AC74</f>
        <v>4343.75</v>
      </c>
      <c r="BH76" s="69">
        <f>'Alt. scenario LCY'!AD74</f>
        <v>4312.5</v>
      </c>
      <c r="BI76" s="69">
        <f>'Alt. scenario LCY'!AE74</f>
        <v>4281.25</v>
      </c>
      <c r="BJ76" s="92">
        <f>'Alt. scenario LCY'!AF74</f>
        <v>4250</v>
      </c>
      <c r="BK76" s="244">
        <f>'Alt. scenario LCY'!AG74</f>
        <v>4250</v>
      </c>
      <c r="BL76" s="68">
        <f>'Key financial and ops fig.s LCY'!AH74</f>
        <v>4218.75</v>
      </c>
      <c r="BM76" s="69">
        <f>'Key financial and ops fig.s LCY'!AI74</f>
        <v>4187.5</v>
      </c>
      <c r="BN76" s="69">
        <f>'Key financial and ops fig.s LCY'!AJ74</f>
        <v>4156.25</v>
      </c>
      <c r="BO76" s="92">
        <f>'Key financial and ops fig.s LCY'!AK74</f>
        <v>4125</v>
      </c>
      <c r="BP76" s="226">
        <f>'Key financial and ops fig.s LCY'!AL74</f>
        <v>4125</v>
      </c>
      <c r="BQ76" s="68">
        <f>'Alt. scenario LCY'!AH74</f>
        <v>4218.75</v>
      </c>
      <c r="BR76" s="69">
        <f>'Alt. scenario LCY'!AI74</f>
        <v>4187.5</v>
      </c>
      <c r="BS76" s="69">
        <f>'Alt. scenario LCY'!AJ74</f>
        <v>4156.25</v>
      </c>
      <c r="BT76" s="92">
        <f>'Alt. scenario LCY'!AK74</f>
        <v>4125</v>
      </c>
      <c r="BU76" s="244">
        <f>'Alt. scenario LCY'!AL74</f>
        <v>4125</v>
      </c>
    </row>
    <row r="77" spans="1:73" s="56" customFormat="1" ht="15.95">
      <c r="A77" s="55"/>
      <c r="C77" s="189" t="s">
        <v>311</v>
      </c>
      <c r="D77" s="68">
        <f>'Key financial and ops fig.s LCY'!D75</f>
        <v>1987.5</v>
      </c>
      <c r="E77" s="69">
        <f>'Key financial and ops fig.s LCY'!E75</f>
        <v>3950</v>
      </c>
      <c r="F77" s="69">
        <f>'Key financial and ops fig.s LCY'!F75</f>
        <v>5887.5</v>
      </c>
      <c r="G77" s="92">
        <f>'Key financial and ops fig.s LCY'!G75</f>
        <v>7800</v>
      </c>
      <c r="H77" s="226">
        <f>'Key financial and ops fig.s LCY'!H75</f>
        <v>7800</v>
      </c>
      <c r="I77" s="68">
        <f>'Alt. scenario LCY'!D75</f>
        <v>1987.5</v>
      </c>
      <c r="J77" s="69">
        <f>'Alt. scenario LCY'!E75</f>
        <v>3950</v>
      </c>
      <c r="K77" s="69">
        <f>'Alt. scenario LCY'!F75</f>
        <v>5887.5</v>
      </c>
      <c r="L77" s="92">
        <f>'Alt. scenario LCY'!G75</f>
        <v>7800</v>
      </c>
      <c r="M77" s="244">
        <f>'Alt. scenario LCY'!H75</f>
        <v>7800</v>
      </c>
      <c r="N77" s="68">
        <f>'Key financial and ops fig.s LCY'!I75</f>
        <v>9687.5</v>
      </c>
      <c r="O77" s="69">
        <f>'Key financial and ops fig.s LCY'!J75</f>
        <v>11550</v>
      </c>
      <c r="P77" s="69">
        <f>'Key financial and ops fig.s LCY'!K75</f>
        <v>13387.5</v>
      </c>
      <c r="Q77" s="92">
        <f>'Key financial and ops fig.s LCY'!L75</f>
        <v>15200</v>
      </c>
      <c r="R77" s="226">
        <f>'Key financial and ops fig.s LCY'!M75</f>
        <v>15200</v>
      </c>
      <c r="S77" s="68">
        <f>'Alt. scenario LCY'!I75</f>
        <v>9687.5</v>
      </c>
      <c r="T77" s="69">
        <f>'Alt. scenario LCY'!J75</f>
        <v>11550</v>
      </c>
      <c r="U77" s="69">
        <f>'Alt. scenario LCY'!K75</f>
        <v>13387.5</v>
      </c>
      <c r="V77" s="92">
        <f>'Alt. scenario LCY'!L75</f>
        <v>15200</v>
      </c>
      <c r="W77" s="244">
        <f>'Alt. scenario LCY'!M75</f>
        <v>15200</v>
      </c>
      <c r="X77" s="68">
        <f>'Key financial and ops fig.s LCY'!N75</f>
        <v>16987.5</v>
      </c>
      <c r="Y77" s="69">
        <f>'Key financial and ops fig.s LCY'!O75</f>
        <v>18750</v>
      </c>
      <c r="Z77" s="69">
        <f>'Key financial and ops fig.s LCY'!P75</f>
        <v>20487.5</v>
      </c>
      <c r="AA77" s="92">
        <f>'Key financial and ops fig.s LCY'!Q75</f>
        <v>22200</v>
      </c>
      <c r="AB77" s="226">
        <f>'Key financial and ops fig.s LCY'!R75</f>
        <v>22200</v>
      </c>
      <c r="AC77" s="68">
        <f>'Alt. scenario LCY'!N75</f>
        <v>16987.5</v>
      </c>
      <c r="AD77" s="69">
        <f>'Alt. scenario LCY'!O75</f>
        <v>18750</v>
      </c>
      <c r="AE77" s="69">
        <f>'Alt. scenario LCY'!P75</f>
        <v>20487.5</v>
      </c>
      <c r="AF77" s="92">
        <f>'Alt. scenario LCY'!Q75</f>
        <v>22200</v>
      </c>
      <c r="AG77" s="244">
        <f>'Alt. scenario LCY'!R75</f>
        <v>22200</v>
      </c>
      <c r="AH77" s="68">
        <f>'Key financial and ops fig.s LCY'!S75</f>
        <v>23887.5</v>
      </c>
      <c r="AI77" s="69">
        <f>'Key financial and ops fig.s LCY'!T75</f>
        <v>25550</v>
      </c>
      <c r="AJ77" s="69">
        <f>'Key financial and ops fig.s LCY'!U75</f>
        <v>27187.5</v>
      </c>
      <c r="AK77" s="92">
        <f>'Key financial and ops fig.s LCY'!V75</f>
        <v>28800</v>
      </c>
      <c r="AL77" s="226">
        <f>'Key financial and ops fig.s LCY'!W75</f>
        <v>28800</v>
      </c>
      <c r="AM77" s="68">
        <f>'Alt. scenario LCY'!S75</f>
        <v>23887.5</v>
      </c>
      <c r="AN77" s="69">
        <f>'Alt. scenario LCY'!T75</f>
        <v>25550</v>
      </c>
      <c r="AO77" s="69">
        <f>'Alt. scenario LCY'!U75</f>
        <v>27187.5</v>
      </c>
      <c r="AP77" s="92">
        <f>'Alt. scenario LCY'!V75</f>
        <v>28800</v>
      </c>
      <c r="AQ77" s="244">
        <f>'Alt. scenario LCY'!W75</f>
        <v>28800</v>
      </c>
      <c r="AR77" s="68">
        <f>'Key financial and ops fig.s LCY'!X75</f>
        <v>30387.5</v>
      </c>
      <c r="AS77" s="69">
        <f>'Key financial and ops fig.s LCY'!Y75</f>
        <v>31950</v>
      </c>
      <c r="AT77" s="69">
        <f>'Key financial and ops fig.s LCY'!Z75</f>
        <v>33487.5</v>
      </c>
      <c r="AU77" s="92">
        <f>'Key financial and ops fig.s LCY'!AA75</f>
        <v>35000</v>
      </c>
      <c r="AV77" s="226">
        <f>'Key financial and ops fig.s LCY'!AB75</f>
        <v>35000</v>
      </c>
      <c r="AW77" s="68">
        <f>'Alt. scenario LCY'!X75</f>
        <v>30387.5</v>
      </c>
      <c r="AX77" s="69">
        <f>'Alt. scenario LCY'!Y75</f>
        <v>31950</v>
      </c>
      <c r="AY77" s="69">
        <f>'Alt. scenario LCY'!Z75</f>
        <v>33487.5</v>
      </c>
      <c r="AZ77" s="92">
        <f>'Alt. scenario LCY'!AA75</f>
        <v>35000</v>
      </c>
      <c r="BA77" s="244">
        <f>'Alt. scenario LCY'!AB75</f>
        <v>35000</v>
      </c>
      <c r="BB77" s="68">
        <f>'Key financial and ops fig.s LCY'!AC75</f>
        <v>34750</v>
      </c>
      <c r="BC77" s="69">
        <f>'Key financial and ops fig.s LCY'!AD75</f>
        <v>34500</v>
      </c>
      <c r="BD77" s="69">
        <f>'Key financial and ops fig.s LCY'!AE75</f>
        <v>34250</v>
      </c>
      <c r="BE77" s="92">
        <f>'Key financial and ops fig.s LCY'!AF75</f>
        <v>34000</v>
      </c>
      <c r="BF77" s="226">
        <f>'Key financial and ops fig.s LCY'!AG75</f>
        <v>34000</v>
      </c>
      <c r="BG77" s="68">
        <f>'Alt. scenario LCY'!AC75</f>
        <v>34750</v>
      </c>
      <c r="BH77" s="69">
        <f>'Alt. scenario LCY'!AD75</f>
        <v>34500</v>
      </c>
      <c r="BI77" s="69">
        <f>'Alt. scenario LCY'!AE75</f>
        <v>34250</v>
      </c>
      <c r="BJ77" s="92">
        <f>'Alt. scenario LCY'!AF75</f>
        <v>34000</v>
      </c>
      <c r="BK77" s="244">
        <f>'Alt. scenario LCY'!AG75</f>
        <v>34000</v>
      </c>
      <c r="BL77" s="68">
        <f>'Key financial and ops fig.s LCY'!AH75</f>
        <v>33750</v>
      </c>
      <c r="BM77" s="69">
        <f>'Key financial and ops fig.s LCY'!AI75</f>
        <v>33500</v>
      </c>
      <c r="BN77" s="69">
        <f>'Key financial and ops fig.s LCY'!AJ75</f>
        <v>33250</v>
      </c>
      <c r="BO77" s="92">
        <f>'Key financial and ops fig.s LCY'!AK75</f>
        <v>33000</v>
      </c>
      <c r="BP77" s="226">
        <f>'Key financial and ops fig.s LCY'!AL75</f>
        <v>33000</v>
      </c>
      <c r="BQ77" s="68">
        <f>'Alt. scenario LCY'!AH75</f>
        <v>33750</v>
      </c>
      <c r="BR77" s="69">
        <f>'Alt. scenario LCY'!AI75</f>
        <v>33500</v>
      </c>
      <c r="BS77" s="69">
        <f>'Alt. scenario LCY'!AJ75</f>
        <v>33250</v>
      </c>
      <c r="BT77" s="92">
        <f>'Alt. scenario LCY'!AK75</f>
        <v>33000</v>
      </c>
      <c r="BU77" s="244">
        <f>'Alt. scenario LCY'!AL75</f>
        <v>33000</v>
      </c>
    </row>
    <row r="78" spans="1:73" s="56" customFormat="1" ht="15.95">
      <c r="A78" s="55"/>
      <c r="C78" s="189" t="s">
        <v>312</v>
      </c>
      <c r="D78" s="68">
        <f>'Key financial and ops fig.s LCY'!D76</f>
        <v>1242187500</v>
      </c>
      <c r="E78" s="69">
        <f>'Key financial and ops fig.s LCY'!E76</f>
        <v>2468750000</v>
      </c>
      <c r="F78" s="69">
        <f>'Key financial and ops fig.s LCY'!F76</f>
        <v>3679687500</v>
      </c>
      <c r="G78" s="92">
        <f>'Key financial and ops fig.s LCY'!G76</f>
        <v>4875000000</v>
      </c>
      <c r="H78" s="226">
        <f>'Key financial and ops fig.s LCY'!H76</f>
        <v>4875000000</v>
      </c>
      <c r="I78" s="68">
        <f>'Alt. scenario LCY'!D76</f>
        <v>1242187500</v>
      </c>
      <c r="J78" s="69">
        <f>'Alt. scenario LCY'!E76</f>
        <v>2468750000</v>
      </c>
      <c r="K78" s="69">
        <f>'Alt. scenario LCY'!F76</f>
        <v>3679687500</v>
      </c>
      <c r="L78" s="92">
        <f>'Alt. scenario LCY'!G76</f>
        <v>4875000000</v>
      </c>
      <c r="M78" s="244">
        <f>'Alt. scenario LCY'!H76</f>
        <v>4875000000</v>
      </c>
      <c r="N78" s="68">
        <f>'Key financial and ops fig.s LCY'!I76</f>
        <v>6054687500</v>
      </c>
      <c r="O78" s="69">
        <f>'Key financial and ops fig.s LCY'!J76</f>
        <v>7218750000</v>
      </c>
      <c r="P78" s="69">
        <f>'Key financial and ops fig.s LCY'!K76</f>
        <v>8367187500</v>
      </c>
      <c r="Q78" s="92">
        <f>'Key financial and ops fig.s LCY'!L76</f>
        <v>9500000000</v>
      </c>
      <c r="R78" s="226">
        <f>'Key financial and ops fig.s LCY'!M76</f>
        <v>9500000000</v>
      </c>
      <c r="S78" s="68">
        <f>'Alt. scenario LCY'!I76</f>
        <v>6054687500</v>
      </c>
      <c r="T78" s="69">
        <f>'Alt. scenario LCY'!J76</f>
        <v>7218750000</v>
      </c>
      <c r="U78" s="69">
        <f>'Alt. scenario LCY'!K76</f>
        <v>8367187500</v>
      </c>
      <c r="V78" s="92">
        <f>'Alt. scenario LCY'!L76</f>
        <v>9500000000</v>
      </c>
      <c r="W78" s="244">
        <f>'Alt. scenario LCY'!M76</f>
        <v>9500000000</v>
      </c>
      <c r="X78" s="68">
        <f>'Key financial and ops fig.s LCY'!N76</f>
        <v>10617187500</v>
      </c>
      <c r="Y78" s="69">
        <f>'Key financial and ops fig.s LCY'!O76</f>
        <v>11718750000</v>
      </c>
      <c r="Z78" s="69">
        <f>'Key financial and ops fig.s LCY'!P76</f>
        <v>12804687500</v>
      </c>
      <c r="AA78" s="92">
        <f>'Key financial and ops fig.s LCY'!Q76</f>
        <v>13875000000</v>
      </c>
      <c r="AB78" s="226">
        <f>'Key financial and ops fig.s LCY'!R76</f>
        <v>13875000000</v>
      </c>
      <c r="AC78" s="68">
        <f>'Alt. scenario LCY'!N76</f>
        <v>10617187500</v>
      </c>
      <c r="AD78" s="69">
        <f>'Alt. scenario LCY'!O76</f>
        <v>11718750000</v>
      </c>
      <c r="AE78" s="69">
        <f>'Alt. scenario LCY'!P76</f>
        <v>12804687500</v>
      </c>
      <c r="AF78" s="92">
        <f>'Alt. scenario LCY'!Q76</f>
        <v>13875000000</v>
      </c>
      <c r="AG78" s="244">
        <f>'Alt. scenario LCY'!R76</f>
        <v>13875000000</v>
      </c>
      <c r="AH78" s="68">
        <f>'Key financial and ops fig.s LCY'!S76</f>
        <v>14929687500</v>
      </c>
      <c r="AI78" s="69">
        <f>'Key financial and ops fig.s LCY'!T76</f>
        <v>15968750000</v>
      </c>
      <c r="AJ78" s="69">
        <f>'Key financial and ops fig.s LCY'!U76</f>
        <v>16992187500</v>
      </c>
      <c r="AK78" s="92">
        <f>'Key financial and ops fig.s LCY'!V76</f>
        <v>18000000000</v>
      </c>
      <c r="AL78" s="226">
        <f>'Key financial and ops fig.s LCY'!W76</f>
        <v>18000000000</v>
      </c>
      <c r="AM78" s="68">
        <f>'Alt. scenario LCY'!S76</f>
        <v>14929687500</v>
      </c>
      <c r="AN78" s="69">
        <f>'Alt. scenario LCY'!T76</f>
        <v>15968750000</v>
      </c>
      <c r="AO78" s="69">
        <f>'Alt. scenario LCY'!U76</f>
        <v>16992187500</v>
      </c>
      <c r="AP78" s="92">
        <f>'Alt. scenario LCY'!V76</f>
        <v>18000000000</v>
      </c>
      <c r="AQ78" s="244">
        <f>'Alt. scenario LCY'!W76</f>
        <v>18000000000</v>
      </c>
      <c r="AR78" s="68">
        <f>'Key financial and ops fig.s LCY'!X76</f>
        <v>18992187500</v>
      </c>
      <c r="AS78" s="69">
        <f>'Key financial and ops fig.s LCY'!Y76</f>
        <v>19968750000</v>
      </c>
      <c r="AT78" s="69">
        <f>'Key financial and ops fig.s LCY'!Z76</f>
        <v>20929687500</v>
      </c>
      <c r="AU78" s="92">
        <f>'Key financial and ops fig.s LCY'!AA76</f>
        <v>21875000000</v>
      </c>
      <c r="AV78" s="226">
        <f>'Key financial and ops fig.s LCY'!AB76</f>
        <v>21875000000</v>
      </c>
      <c r="AW78" s="68">
        <f>'Alt. scenario LCY'!X76</f>
        <v>18992187500</v>
      </c>
      <c r="AX78" s="69">
        <f>'Alt. scenario LCY'!Y76</f>
        <v>19968750000</v>
      </c>
      <c r="AY78" s="69">
        <f>'Alt. scenario LCY'!Z76</f>
        <v>20929687500</v>
      </c>
      <c r="AZ78" s="92">
        <f>'Alt. scenario LCY'!AA76</f>
        <v>21875000000</v>
      </c>
      <c r="BA78" s="244">
        <f>'Alt. scenario LCY'!AB76</f>
        <v>21875000000</v>
      </c>
      <c r="BB78" s="68">
        <f>'Key financial and ops fig.s LCY'!AC76</f>
        <v>21718750000</v>
      </c>
      <c r="BC78" s="69">
        <f>'Key financial and ops fig.s LCY'!AD76</f>
        <v>21562500000</v>
      </c>
      <c r="BD78" s="69">
        <f>'Key financial and ops fig.s LCY'!AE76</f>
        <v>21406250000</v>
      </c>
      <c r="BE78" s="92">
        <f>'Key financial and ops fig.s LCY'!AF76</f>
        <v>21250000000</v>
      </c>
      <c r="BF78" s="226">
        <f>'Key financial and ops fig.s LCY'!AG76</f>
        <v>21250000000</v>
      </c>
      <c r="BG78" s="68">
        <f>'Alt. scenario LCY'!AC76</f>
        <v>21718750000</v>
      </c>
      <c r="BH78" s="69">
        <f>'Alt. scenario LCY'!AD76</f>
        <v>21562500000</v>
      </c>
      <c r="BI78" s="69">
        <f>'Alt. scenario LCY'!AE76</f>
        <v>21406250000</v>
      </c>
      <c r="BJ78" s="92">
        <f>'Alt. scenario LCY'!AF76</f>
        <v>21250000000</v>
      </c>
      <c r="BK78" s="244">
        <f>'Alt. scenario LCY'!AG76</f>
        <v>21250000000</v>
      </c>
      <c r="BL78" s="68">
        <f>'Key financial and ops fig.s LCY'!AH76</f>
        <v>21093750000</v>
      </c>
      <c r="BM78" s="69">
        <f>'Key financial and ops fig.s LCY'!AI76</f>
        <v>20937500000</v>
      </c>
      <c r="BN78" s="69">
        <f>'Key financial and ops fig.s LCY'!AJ76</f>
        <v>20781250000</v>
      </c>
      <c r="BO78" s="92">
        <f>'Key financial and ops fig.s LCY'!AK76</f>
        <v>20625000000</v>
      </c>
      <c r="BP78" s="226">
        <f>'Key financial and ops fig.s LCY'!AL76</f>
        <v>20625000000</v>
      </c>
      <c r="BQ78" s="68">
        <f>'Alt. scenario LCY'!AH76</f>
        <v>21093750000</v>
      </c>
      <c r="BR78" s="69">
        <f>'Alt. scenario LCY'!AI76</f>
        <v>20937500000</v>
      </c>
      <c r="BS78" s="69">
        <f>'Alt. scenario LCY'!AJ76</f>
        <v>20781250000</v>
      </c>
      <c r="BT78" s="92">
        <f>'Alt. scenario LCY'!AK76</f>
        <v>20625000000</v>
      </c>
      <c r="BU78" s="244">
        <f>'Alt. scenario LCY'!AL76</f>
        <v>20625000000</v>
      </c>
    </row>
    <row r="79" spans="1:73" ht="15.95">
      <c r="A79" s="55"/>
      <c r="C79" s="189" t="s">
        <v>313</v>
      </c>
      <c r="D79" s="68">
        <f>'Key financial and ops fig.s LCY'!D77</f>
        <v>1147781250</v>
      </c>
      <c r="E79" s="69">
        <f>'Key financial and ops fig.s LCY'!E77</f>
        <v>2281125000</v>
      </c>
      <c r="F79" s="69">
        <f>'Key financial and ops fig.s LCY'!F77</f>
        <v>3400031250</v>
      </c>
      <c r="G79" s="92">
        <f>'Key financial and ops fig.s LCY'!G77</f>
        <v>4504500000</v>
      </c>
      <c r="H79" s="226">
        <f>'Key financial and ops fig.s LCY'!H77</f>
        <v>4504500000</v>
      </c>
      <c r="I79" s="68">
        <f>'Alt. scenario LCY'!D77</f>
        <v>1147781250</v>
      </c>
      <c r="J79" s="69">
        <f>'Alt. scenario LCY'!E77</f>
        <v>2281125000</v>
      </c>
      <c r="K79" s="69">
        <f>'Alt. scenario LCY'!F77</f>
        <v>3400031250</v>
      </c>
      <c r="L79" s="92">
        <f>'Alt. scenario LCY'!G77</f>
        <v>4504500000</v>
      </c>
      <c r="M79" s="244">
        <f>'Alt. scenario LCY'!H77</f>
        <v>4504500000</v>
      </c>
      <c r="N79" s="68">
        <f>'Key financial and ops fig.s LCY'!I77</f>
        <v>5594531250</v>
      </c>
      <c r="O79" s="69">
        <f>'Key financial and ops fig.s LCY'!J77</f>
        <v>6670125000</v>
      </c>
      <c r="P79" s="69">
        <f>'Key financial and ops fig.s LCY'!K77</f>
        <v>7731281250</v>
      </c>
      <c r="Q79" s="92">
        <f>'Key financial and ops fig.s LCY'!L77</f>
        <v>8778000000</v>
      </c>
      <c r="R79" s="226">
        <f>'Key financial and ops fig.s LCY'!M77</f>
        <v>8778000000</v>
      </c>
      <c r="S79" s="68">
        <f>'Alt. scenario LCY'!I77</f>
        <v>5594531250</v>
      </c>
      <c r="T79" s="69">
        <f>'Alt. scenario LCY'!J77</f>
        <v>6670125000</v>
      </c>
      <c r="U79" s="69">
        <f>'Alt. scenario LCY'!K77</f>
        <v>7731281250</v>
      </c>
      <c r="V79" s="92">
        <f>'Alt. scenario LCY'!L77</f>
        <v>8778000000</v>
      </c>
      <c r="W79" s="244">
        <f>'Alt. scenario LCY'!M77</f>
        <v>8778000000</v>
      </c>
      <c r="X79" s="68">
        <f>'Key financial and ops fig.s LCY'!N77</f>
        <v>9810281250</v>
      </c>
      <c r="Y79" s="69">
        <f>'Key financial and ops fig.s LCY'!O77</f>
        <v>10828125000</v>
      </c>
      <c r="Z79" s="69">
        <f>'Key financial and ops fig.s LCY'!P77</f>
        <v>11831531250</v>
      </c>
      <c r="AA79" s="92">
        <f>'Key financial and ops fig.s LCY'!Q77</f>
        <v>12820500000</v>
      </c>
      <c r="AB79" s="226">
        <f>'Key financial and ops fig.s LCY'!R77</f>
        <v>12820500000</v>
      </c>
      <c r="AC79" s="68">
        <f>'Alt. scenario LCY'!N77</f>
        <v>9810281250</v>
      </c>
      <c r="AD79" s="69">
        <f>'Alt. scenario LCY'!O77</f>
        <v>10828125000</v>
      </c>
      <c r="AE79" s="69">
        <f>'Alt. scenario LCY'!P77</f>
        <v>11831531250</v>
      </c>
      <c r="AF79" s="92">
        <f>'Alt. scenario LCY'!Q77</f>
        <v>12820500000</v>
      </c>
      <c r="AG79" s="244">
        <f>'Alt. scenario LCY'!R77</f>
        <v>12820500000</v>
      </c>
      <c r="AH79" s="68">
        <f>'Key financial and ops fig.s LCY'!S77</f>
        <v>13795031250</v>
      </c>
      <c r="AI79" s="69">
        <f>'Key financial and ops fig.s LCY'!T77</f>
        <v>14755125000</v>
      </c>
      <c r="AJ79" s="69">
        <f>'Key financial and ops fig.s LCY'!U77</f>
        <v>15700781250</v>
      </c>
      <c r="AK79" s="92">
        <f>'Key financial and ops fig.s LCY'!V77</f>
        <v>16632000000</v>
      </c>
      <c r="AL79" s="226">
        <f>'Key financial and ops fig.s LCY'!W77</f>
        <v>16632000000</v>
      </c>
      <c r="AM79" s="68">
        <f>'Alt. scenario LCY'!S77</f>
        <v>13795031250</v>
      </c>
      <c r="AN79" s="69">
        <f>'Alt. scenario LCY'!T77</f>
        <v>14755125000</v>
      </c>
      <c r="AO79" s="69">
        <f>'Alt. scenario LCY'!U77</f>
        <v>15700781250</v>
      </c>
      <c r="AP79" s="92">
        <f>'Alt. scenario LCY'!V77</f>
        <v>16632000000</v>
      </c>
      <c r="AQ79" s="244">
        <f>'Alt. scenario LCY'!W77</f>
        <v>16632000000</v>
      </c>
      <c r="AR79" s="68">
        <f>'Key financial and ops fig.s LCY'!X77</f>
        <v>17548781250</v>
      </c>
      <c r="AS79" s="69">
        <f>'Key financial and ops fig.s LCY'!Y77</f>
        <v>18451125000</v>
      </c>
      <c r="AT79" s="69">
        <f>'Key financial and ops fig.s LCY'!Z77</f>
        <v>19339031250</v>
      </c>
      <c r="AU79" s="92">
        <f>'Key financial and ops fig.s LCY'!AA77</f>
        <v>20212500000</v>
      </c>
      <c r="AV79" s="226">
        <f>'Key financial and ops fig.s LCY'!AB77</f>
        <v>20212500000</v>
      </c>
      <c r="AW79" s="68">
        <f>'Alt. scenario LCY'!X77</f>
        <v>17548781250</v>
      </c>
      <c r="AX79" s="69">
        <f>'Alt. scenario LCY'!Y77</f>
        <v>18451125000</v>
      </c>
      <c r="AY79" s="69">
        <f>'Alt. scenario LCY'!Z77</f>
        <v>19339031250</v>
      </c>
      <c r="AZ79" s="92">
        <f>'Alt. scenario LCY'!AA77</f>
        <v>20212500000</v>
      </c>
      <c r="BA79" s="244">
        <f>'Alt. scenario LCY'!AB77</f>
        <v>20212500000</v>
      </c>
      <c r="BB79" s="68">
        <f>'Key financial and ops fig.s LCY'!AC77</f>
        <v>20068125000</v>
      </c>
      <c r="BC79" s="69">
        <f>'Key financial and ops fig.s LCY'!AD77</f>
        <v>19923750000</v>
      </c>
      <c r="BD79" s="69">
        <f>'Key financial and ops fig.s LCY'!AE77</f>
        <v>19779375000</v>
      </c>
      <c r="BE79" s="92">
        <f>'Key financial and ops fig.s LCY'!AF77</f>
        <v>19635000000</v>
      </c>
      <c r="BF79" s="226">
        <f>'Key financial and ops fig.s LCY'!AG77</f>
        <v>19635000000</v>
      </c>
      <c r="BG79" s="68">
        <f>'Alt. scenario LCY'!AC77</f>
        <v>20068125000</v>
      </c>
      <c r="BH79" s="69">
        <f>'Alt. scenario LCY'!AD77</f>
        <v>19923750000</v>
      </c>
      <c r="BI79" s="69">
        <f>'Alt. scenario LCY'!AE77</f>
        <v>19779375000</v>
      </c>
      <c r="BJ79" s="92">
        <f>'Alt. scenario LCY'!AF77</f>
        <v>19635000000</v>
      </c>
      <c r="BK79" s="244">
        <f>'Alt. scenario LCY'!AG77</f>
        <v>19635000000</v>
      </c>
      <c r="BL79" s="68">
        <f>'Key financial and ops fig.s LCY'!AH77</f>
        <v>19490625000</v>
      </c>
      <c r="BM79" s="69">
        <f>'Key financial and ops fig.s LCY'!AI77</f>
        <v>19346250000</v>
      </c>
      <c r="BN79" s="69">
        <f>'Key financial and ops fig.s LCY'!AJ77</f>
        <v>19201875000</v>
      </c>
      <c r="BO79" s="92">
        <f>'Key financial and ops fig.s LCY'!AK77</f>
        <v>19057500000</v>
      </c>
      <c r="BP79" s="226">
        <f>'Key financial and ops fig.s LCY'!AL77</f>
        <v>19057500000</v>
      </c>
      <c r="BQ79" s="68">
        <f>'Alt. scenario LCY'!AH77</f>
        <v>19490625000</v>
      </c>
      <c r="BR79" s="69">
        <f>'Alt. scenario LCY'!AI77</f>
        <v>19346250000</v>
      </c>
      <c r="BS79" s="69">
        <f>'Alt. scenario LCY'!AJ77</f>
        <v>19201875000</v>
      </c>
      <c r="BT79" s="92">
        <f>'Alt. scenario LCY'!AK77</f>
        <v>19057500000</v>
      </c>
      <c r="BU79" s="244">
        <f>'Alt. scenario LCY'!AL77</f>
        <v>19057500000</v>
      </c>
    </row>
    <row r="80" spans="1:73" s="56" customFormat="1" ht="15.95">
      <c r="A80" s="55"/>
      <c r="C80" s="189" t="s">
        <v>314</v>
      </c>
      <c r="D80" s="68">
        <f>'Key financial and ops fig.s LCY'!D78</f>
        <v>114778125</v>
      </c>
      <c r="E80" s="69">
        <f>'Key financial and ops fig.s LCY'!E78</f>
        <v>228112500</v>
      </c>
      <c r="F80" s="69">
        <f>'Key financial and ops fig.s LCY'!F78</f>
        <v>340003125</v>
      </c>
      <c r="G80" s="92">
        <f>'Key financial and ops fig.s LCY'!G78</f>
        <v>450450000</v>
      </c>
      <c r="H80" s="226">
        <f>'Key financial and ops fig.s LCY'!H78</f>
        <v>450450000</v>
      </c>
      <c r="I80" s="68">
        <f>'Alt. scenario LCY'!D78</f>
        <v>114778125</v>
      </c>
      <c r="J80" s="69">
        <f>'Alt. scenario LCY'!E78</f>
        <v>228112500</v>
      </c>
      <c r="K80" s="69">
        <f>'Alt. scenario LCY'!F78</f>
        <v>340003125</v>
      </c>
      <c r="L80" s="92">
        <f>'Alt. scenario LCY'!G78</f>
        <v>450450000</v>
      </c>
      <c r="M80" s="244">
        <f>'Alt. scenario LCY'!H78</f>
        <v>450450000</v>
      </c>
      <c r="N80" s="68">
        <f>'Key financial and ops fig.s LCY'!I78</f>
        <v>559453125</v>
      </c>
      <c r="O80" s="69">
        <f>'Key financial and ops fig.s LCY'!J78</f>
        <v>667012500</v>
      </c>
      <c r="P80" s="69">
        <f>'Key financial and ops fig.s LCY'!K78</f>
        <v>773128125</v>
      </c>
      <c r="Q80" s="92">
        <f>'Key financial and ops fig.s LCY'!L78</f>
        <v>877800000</v>
      </c>
      <c r="R80" s="226">
        <f>'Key financial and ops fig.s LCY'!M78</f>
        <v>877800000</v>
      </c>
      <c r="S80" s="68">
        <f>'Alt. scenario LCY'!I78</f>
        <v>559453125</v>
      </c>
      <c r="T80" s="69">
        <f>'Alt. scenario LCY'!J78</f>
        <v>667012500</v>
      </c>
      <c r="U80" s="69">
        <f>'Alt. scenario LCY'!K78</f>
        <v>773128125</v>
      </c>
      <c r="V80" s="92">
        <f>'Alt. scenario LCY'!L78</f>
        <v>877800000</v>
      </c>
      <c r="W80" s="244">
        <f>'Alt. scenario LCY'!M78</f>
        <v>877800000</v>
      </c>
      <c r="X80" s="68">
        <f>'Key financial and ops fig.s LCY'!N78</f>
        <v>981028125</v>
      </c>
      <c r="Y80" s="69">
        <f>'Key financial and ops fig.s LCY'!O78</f>
        <v>1082812500</v>
      </c>
      <c r="Z80" s="69">
        <f>'Key financial and ops fig.s LCY'!P78</f>
        <v>1183153125</v>
      </c>
      <c r="AA80" s="92">
        <f>'Key financial and ops fig.s LCY'!Q78</f>
        <v>1282050000</v>
      </c>
      <c r="AB80" s="226">
        <f>'Key financial and ops fig.s LCY'!R78</f>
        <v>1282050000</v>
      </c>
      <c r="AC80" s="68">
        <f>'Alt. scenario LCY'!N78</f>
        <v>981028125</v>
      </c>
      <c r="AD80" s="69">
        <f>'Alt. scenario LCY'!O78</f>
        <v>1082812500</v>
      </c>
      <c r="AE80" s="69">
        <f>'Alt. scenario LCY'!P78</f>
        <v>1183153125</v>
      </c>
      <c r="AF80" s="92">
        <f>'Alt. scenario LCY'!Q78</f>
        <v>1282050000</v>
      </c>
      <c r="AG80" s="244">
        <f>'Alt. scenario LCY'!R78</f>
        <v>1282050000</v>
      </c>
      <c r="AH80" s="68">
        <f>'Key financial and ops fig.s LCY'!S78</f>
        <v>1379503125</v>
      </c>
      <c r="AI80" s="69">
        <f>'Key financial and ops fig.s LCY'!T78</f>
        <v>1475512500</v>
      </c>
      <c r="AJ80" s="69">
        <f>'Key financial and ops fig.s LCY'!U78</f>
        <v>1570078125</v>
      </c>
      <c r="AK80" s="92">
        <f>'Key financial and ops fig.s LCY'!V78</f>
        <v>1663200000</v>
      </c>
      <c r="AL80" s="226">
        <f>'Key financial and ops fig.s LCY'!W78</f>
        <v>1663200000</v>
      </c>
      <c r="AM80" s="68">
        <f>'Alt. scenario LCY'!S78</f>
        <v>1379503125</v>
      </c>
      <c r="AN80" s="69">
        <f>'Alt. scenario LCY'!T78</f>
        <v>1475512500</v>
      </c>
      <c r="AO80" s="69">
        <f>'Alt. scenario LCY'!U78</f>
        <v>1570078125</v>
      </c>
      <c r="AP80" s="92">
        <f>'Alt. scenario LCY'!V78</f>
        <v>1663200000</v>
      </c>
      <c r="AQ80" s="244">
        <f>'Alt. scenario LCY'!W78</f>
        <v>1663200000</v>
      </c>
      <c r="AR80" s="68">
        <f>'Key financial and ops fig.s LCY'!X78</f>
        <v>1754878125</v>
      </c>
      <c r="AS80" s="69">
        <f>'Key financial and ops fig.s LCY'!Y78</f>
        <v>1845112500</v>
      </c>
      <c r="AT80" s="69">
        <f>'Key financial and ops fig.s LCY'!Z78</f>
        <v>1933903125</v>
      </c>
      <c r="AU80" s="92">
        <f>'Key financial and ops fig.s LCY'!AA78</f>
        <v>2021250000</v>
      </c>
      <c r="AV80" s="226">
        <f>'Key financial and ops fig.s LCY'!AB78</f>
        <v>2021250000</v>
      </c>
      <c r="AW80" s="68">
        <f>'Alt. scenario LCY'!X78</f>
        <v>1754878125</v>
      </c>
      <c r="AX80" s="69">
        <f>'Alt. scenario LCY'!Y78</f>
        <v>1845112500</v>
      </c>
      <c r="AY80" s="69">
        <f>'Alt. scenario LCY'!Z78</f>
        <v>1933903125</v>
      </c>
      <c r="AZ80" s="92">
        <f>'Alt. scenario LCY'!AA78</f>
        <v>2021250000</v>
      </c>
      <c r="BA80" s="244">
        <f>'Alt. scenario LCY'!AB78</f>
        <v>2021250000</v>
      </c>
      <c r="BB80" s="68">
        <f>'Key financial and ops fig.s LCY'!AC78</f>
        <v>2006812500</v>
      </c>
      <c r="BC80" s="69">
        <f>'Key financial and ops fig.s LCY'!AD78</f>
        <v>1992375000</v>
      </c>
      <c r="BD80" s="69">
        <f>'Key financial and ops fig.s LCY'!AE78</f>
        <v>1977937500</v>
      </c>
      <c r="BE80" s="92">
        <f>'Key financial and ops fig.s LCY'!AF78</f>
        <v>1963500000</v>
      </c>
      <c r="BF80" s="226">
        <f>'Key financial and ops fig.s LCY'!AG78</f>
        <v>1963500000</v>
      </c>
      <c r="BG80" s="68">
        <f>'Alt. scenario LCY'!AC78</f>
        <v>2006812500</v>
      </c>
      <c r="BH80" s="69">
        <f>'Alt. scenario LCY'!AD78</f>
        <v>1992375000</v>
      </c>
      <c r="BI80" s="69">
        <f>'Alt. scenario LCY'!AE78</f>
        <v>1977937500</v>
      </c>
      <c r="BJ80" s="92">
        <f>'Alt. scenario LCY'!AF78</f>
        <v>1963500000</v>
      </c>
      <c r="BK80" s="244">
        <f>'Alt. scenario LCY'!AG78</f>
        <v>1963500000</v>
      </c>
      <c r="BL80" s="68">
        <f>'Key financial and ops fig.s LCY'!AH78</f>
        <v>1949062500</v>
      </c>
      <c r="BM80" s="69">
        <f>'Key financial and ops fig.s LCY'!AI78</f>
        <v>1934625000</v>
      </c>
      <c r="BN80" s="69">
        <f>'Key financial and ops fig.s LCY'!AJ78</f>
        <v>1920187500</v>
      </c>
      <c r="BO80" s="92">
        <f>'Key financial and ops fig.s LCY'!AK78</f>
        <v>1905750000</v>
      </c>
      <c r="BP80" s="226">
        <f>'Key financial and ops fig.s LCY'!AL78</f>
        <v>1905750000</v>
      </c>
      <c r="BQ80" s="68">
        <f>'Alt. scenario LCY'!AH78</f>
        <v>1949062500</v>
      </c>
      <c r="BR80" s="69">
        <f>'Alt. scenario LCY'!AI78</f>
        <v>1934625000</v>
      </c>
      <c r="BS80" s="69">
        <f>'Alt. scenario LCY'!AJ78</f>
        <v>1920187500</v>
      </c>
      <c r="BT80" s="92">
        <f>'Alt. scenario LCY'!AK78</f>
        <v>1905750000</v>
      </c>
      <c r="BU80" s="244">
        <f>'Alt. scenario LCY'!AL78</f>
        <v>1905750000</v>
      </c>
    </row>
    <row r="81" spans="1:73" s="56" customFormat="1" ht="15.95">
      <c r="A81" s="55"/>
      <c r="C81" s="189" t="s">
        <v>315</v>
      </c>
      <c r="D81" s="68">
        <f>'Key financial and ops fig.s LCY'!D79</f>
        <v>114778125</v>
      </c>
      <c r="E81" s="69">
        <f>'Key financial and ops fig.s LCY'!E79</f>
        <v>228112500</v>
      </c>
      <c r="F81" s="69">
        <f>'Key financial and ops fig.s LCY'!F79</f>
        <v>340003125</v>
      </c>
      <c r="G81" s="92">
        <f>'Key financial and ops fig.s LCY'!G79</f>
        <v>450450000</v>
      </c>
      <c r="H81" s="226">
        <f>'Key financial and ops fig.s LCY'!H79</f>
        <v>450450000</v>
      </c>
      <c r="I81" s="68">
        <f>'Alt. scenario LCY'!D79</f>
        <v>114778125</v>
      </c>
      <c r="J81" s="69">
        <f>'Alt. scenario LCY'!E79</f>
        <v>228112500</v>
      </c>
      <c r="K81" s="69">
        <f>'Alt. scenario LCY'!F79</f>
        <v>340003125</v>
      </c>
      <c r="L81" s="92">
        <f>'Alt. scenario LCY'!G79</f>
        <v>450450000</v>
      </c>
      <c r="M81" s="244">
        <f>'Alt. scenario LCY'!H79</f>
        <v>450450000</v>
      </c>
      <c r="N81" s="68">
        <f>'Key financial and ops fig.s LCY'!I79</f>
        <v>559453125</v>
      </c>
      <c r="O81" s="69">
        <f>'Key financial and ops fig.s LCY'!J79</f>
        <v>667012500</v>
      </c>
      <c r="P81" s="69">
        <f>'Key financial and ops fig.s LCY'!K79</f>
        <v>773128125</v>
      </c>
      <c r="Q81" s="92">
        <f>'Key financial and ops fig.s LCY'!L79</f>
        <v>877800000</v>
      </c>
      <c r="R81" s="226">
        <f>'Key financial and ops fig.s LCY'!M79</f>
        <v>877800000</v>
      </c>
      <c r="S81" s="68">
        <f>'Alt. scenario LCY'!I79</f>
        <v>559453125</v>
      </c>
      <c r="T81" s="69">
        <f>'Alt. scenario LCY'!J79</f>
        <v>667012500</v>
      </c>
      <c r="U81" s="69">
        <f>'Alt. scenario LCY'!K79</f>
        <v>773128125</v>
      </c>
      <c r="V81" s="92">
        <f>'Alt. scenario LCY'!L79</f>
        <v>877800000</v>
      </c>
      <c r="W81" s="244">
        <f>'Alt. scenario LCY'!M79</f>
        <v>877800000</v>
      </c>
      <c r="X81" s="68">
        <f>'Key financial and ops fig.s LCY'!N79</f>
        <v>981028125</v>
      </c>
      <c r="Y81" s="69">
        <f>'Key financial and ops fig.s LCY'!O79</f>
        <v>1082812500</v>
      </c>
      <c r="Z81" s="69">
        <f>'Key financial and ops fig.s LCY'!P79</f>
        <v>1183153125</v>
      </c>
      <c r="AA81" s="92">
        <f>'Key financial and ops fig.s LCY'!Q79</f>
        <v>1282050000</v>
      </c>
      <c r="AB81" s="226">
        <f>'Key financial and ops fig.s LCY'!R79</f>
        <v>1282050000</v>
      </c>
      <c r="AC81" s="68">
        <f>'Alt. scenario LCY'!N79</f>
        <v>981028125</v>
      </c>
      <c r="AD81" s="69">
        <f>'Alt. scenario LCY'!O79</f>
        <v>1082812500</v>
      </c>
      <c r="AE81" s="69">
        <f>'Alt. scenario LCY'!P79</f>
        <v>1183153125</v>
      </c>
      <c r="AF81" s="92">
        <f>'Alt. scenario LCY'!Q79</f>
        <v>1282050000</v>
      </c>
      <c r="AG81" s="244">
        <f>'Alt. scenario LCY'!R79</f>
        <v>1282050000</v>
      </c>
      <c r="AH81" s="68">
        <f>'Key financial and ops fig.s LCY'!S79</f>
        <v>1379503125</v>
      </c>
      <c r="AI81" s="69">
        <f>'Key financial and ops fig.s LCY'!T79</f>
        <v>1475512500</v>
      </c>
      <c r="AJ81" s="69">
        <f>'Key financial and ops fig.s LCY'!U79</f>
        <v>1570078125</v>
      </c>
      <c r="AK81" s="92">
        <f>'Key financial and ops fig.s LCY'!V79</f>
        <v>1663200000</v>
      </c>
      <c r="AL81" s="226">
        <f>'Key financial and ops fig.s LCY'!W79</f>
        <v>1663200000</v>
      </c>
      <c r="AM81" s="68">
        <f>'Alt. scenario LCY'!S79</f>
        <v>1379503125</v>
      </c>
      <c r="AN81" s="69">
        <f>'Alt. scenario LCY'!T79</f>
        <v>1475512500</v>
      </c>
      <c r="AO81" s="69">
        <f>'Alt. scenario LCY'!U79</f>
        <v>1570078125</v>
      </c>
      <c r="AP81" s="92">
        <f>'Alt. scenario LCY'!V79</f>
        <v>1663200000</v>
      </c>
      <c r="AQ81" s="244">
        <f>'Alt. scenario LCY'!W79</f>
        <v>1663200000</v>
      </c>
      <c r="AR81" s="68">
        <f>'Key financial and ops fig.s LCY'!X79</f>
        <v>1754878125</v>
      </c>
      <c r="AS81" s="69">
        <f>'Key financial and ops fig.s LCY'!Y79</f>
        <v>1845112500</v>
      </c>
      <c r="AT81" s="69">
        <f>'Key financial and ops fig.s LCY'!Z79</f>
        <v>1933903125</v>
      </c>
      <c r="AU81" s="92">
        <f>'Key financial and ops fig.s LCY'!AA79</f>
        <v>2021250000</v>
      </c>
      <c r="AV81" s="226">
        <f>'Key financial and ops fig.s LCY'!AB79</f>
        <v>2021250000</v>
      </c>
      <c r="AW81" s="68">
        <f>'Alt. scenario LCY'!X79</f>
        <v>1754878125</v>
      </c>
      <c r="AX81" s="69">
        <f>'Alt. scenario LCY'!Y79</f>
        <v>1845112500</v>
      </c>
      <c r="AY81" s="69">
        <f>'Alt. scenario LCY'!Z79</f>
        <v>1933903125</v>
      </c>
      <c r="AZ81" s="92">
        <f>'Alt. scenario LCY'!AA79</f>
        <v>2021250000</v>
      </c>
      <c r="BA81" s="244">
        <f>'Alt. scenario LCY'!AB79</f>
        <v>2021250000</v>
      </c>
      <c r="BB81" s="68">
        <f>'Key financial and ops fig.s LCY'!AC79</f>
        <v>2006812500</v>
      </c>
      <c r="BC81" s="69">
        <f>'Key financial and ops fig.s LCY'!AD79</f>
        <v>1992375000</v>
      </c>
      <c r="BD81" s="69">
        <f>'Key financial and ops fig.s LCY'!AE79</f>
        <v>1977937500</v>
      </c>
      <c r="BE81" s="92">
        <f>'Key financial and ops fig.s LCY'!AF79</f>
        <v>1963500000</v>
      </c>
      <c r="BF81" s="226">
        <f>'Key financial and ops fig.s LCY'!AG79</f>
        <v>1963500000</v>
      </c>
      <c r="BG81" s="68">
        <f>'Alt. scenario LCY'!AC79</f>
        <v>2006812500</v>
      </c>
      <c r="BH81" s="69">
        <f>'Alt. scenario LCY'!AD79</f>
        <v>1992375000</v>
      </c>
      <c r="BI81" s="69">
        <f>'Alt. scenario LCY'!AE79</f>
        <v>1977937500</v>
      </c>
      <c r="BJ81" s="92">
        <f>'Alt. scenario LCY'!AF79</f>
        <v>1963500000</v>
      </c>
      <c r="BK81" s="244">
        <f>'Alt. scenario LCY'!AG79</f>
        <v>1963500000</v>
      </c>
      <c r="BL81" s="68">
        <f>'Key financial and ops fig.s LCY'!AH79</f>
        <v>1949062500</v>
      </c>
      <c r="BM81" s="69">
        <f>'Key financial and ops fig.s LCY'!AI79</f>
        <v>1934625000</v>
      </c>
      <c r="BN81" s="69">
        <f>'Key financial and ops fig.s LCY'!AJ79</f>
        <v>1920187500</v>
      </c>
      <c r="BO81" s="92">
        <f>'Key financial and ops fig.s LCY'!AK79</f>
        <v>1905750000</v>
      </c>
      <c r="BP81" s="226">
        <f>'Key financial and ops fig.s LCY'!AL79</f>
        <v>1905750000</v>
      </c>
      <c r="BQ81" s="68">
        <f>'Alt. scenario LCY'!AH79</f>
        <v>1949062500</v>
      </c>
      <c r="BR81" s="69">
        <f>'Alt. scenario LCY'!AI79</f>
        <v>1934625000</v>
      </c>
      <c r="BS81" s="69">
        <f>'Alt. scenario LCY'!AJ79</f>
        <v>1920187500</v>
      </c>
      <c r="BT81" s="92">
        <f>'Alt. scenario LCY'!AK79</f>
        <v>1905750000</v>
      </c>
      <c r="BU81" s="244">
        <f>'Alt. scenario LCY'!AL79</f>
        <v>1905750000</v>
      </c>
    </row>
    <row r="82" spans="1:73" ht="15.95">
      <c r="A82" s="55"/>
      <c r="C82" s="189" t="s">
        <v>316</v>
      </c>
      <c r="D82" s="68">
        <f>'Key financial and ops fig.s LCY'!D80</f>
        <v>114778125</v>
      </c>
      <c r="E82" s="69">
        <f>'Key financial and ops fig.s LCY'!E80</f>
        <v>228112500</v>
      </c>
      <c r="F82" s="69">
        <f>'Key financial and ops fig.s LCY'!F80</f>
        <v>340003125</v>
      </c>
      <c r="G82" s="92">
        <f>'Key financial and ops fig.s LCY'!G80</f>
        <v>450450000</v>
      </c>
      <c r="H82" s="226">
        <f>'Key financial and ops fig.s LCY'!H80</f>
        <v>450450000</v>
      </c>
      <c r="I82" s="68">
        <f>'Alt. scenario LCY'!D80</f>
        <v>114778125</v>
      </c>
      <c r="J82" s="69">
        <f>'Alt. scenario LCY'!E80</f>
        <v>228112500</v>
      </c>
      <c r="K82" s="69">
        <f>'Alt. scenario LCY'!F80</f>
        <v>340003125</v>
      </c>
      <c r="L82" s="92">
        <f>'Alt. scenario LCY'!G80</f>
        <v>450450000</v>
      </c>
      <c r="M82" s="244">
        <f>'Alt. scenario LCY'!H80</f>
        <v>450450000</v>
      </c>
      <c r="N82" s="68">
        <f>'Key financial and ops fig.s LCY'!I80</f>
        <v>559453125</v>
      </c>
      <c r="O82" s="69">
        <f>'Key financial and ops fig.s LCY'!J80</f>
        <v>667012500</v>
      </c>
      <c r="P82" s="69">
        <f>'Key financial and ops fig.s LCY'!K80</f>
        <v>773128125</v>
      </c>
      <c r="Q82" s="92">
        <f>'Key financial and ops fig.s LCY'!L80</f>
        <v>877800000</v>
      </c>
      <c r="R82" s="226">
        <f>'Key financial and ops fig.s LCY'!M80</f>
        <v>877800000</v>
      </c>
      <c r="S82" s="68">
        <f>'Alt. scenario LCY'!I80</f>
        <v>559453125</v>
      </c>
      <c r="T82" s="69">
        <f>'Alt. scenario LCY'!J80</f>
        <v>667012500</v>
      </c>
      <c r="U82" s="69">
        <f>'Alt. scenario LCY'!K80</f>
        <v>773128125</v>
      </c>
      <c r="V82" s="92">
        <f>'Alt. scenario LCY'!L80</f>
        <v>877800000</v>
      </c>
      <c r="W82" s="244">
        <f>'Alt. scenario LCY'!M80</f>
        <v>877800000</v>
      </c>
      <c r="X82" s="68">
        <f>'Key financial and ops fig.s LCY'!N80</f>
        <v>981028125</v>
      </c>
      <c r="Y82" s="69">
        <f>'Key financial and ops fig.s LCY'!O80</f>
        <v>1082812500</v>
      </c>
      <c r="Z82" s="69">
        <f>'Key financial and ops fig.s LCY'!P80</f>
        <v>1183153125</v>
      </c>
      <c r="AA82" s="92">
        <f>'Key financial and ops fig.s LCY'!Q80</f>
        <v>1282050000</v>
      </c>
      <c r="AB82" s="226">
        <f>'Key financial and ops fig.s LCY'!R80</f>
        <v>1282050000</v>
      </c>
      <c r="AC82" s="68">
        <f>'Alt. scenario LCY'!N80</f>
        <v>981028125</v>
      </c>
      <c r="AD82" s="69">
        <f>'Alt. scenario LCY'!O80</f>
        <v>1082812500</v>
      </c>
      <c r="AE82" s="69">
        <f>'Alt. scenario LCY'!P80</f>
        <v>1183153125</v>
      </c>
      <c r="AF82" s="92">
        <f>'Alt. scenario LCY'!Q80</f>
        <v>1282050000</v>
      </c>
      <c r="AG82" s="244">
        <f>'Alt. scenario LCY'!R80</f>
        <v>1282050000</v>
      </c>
      <c r="AH82" s="68">
        <f>'Key financial and ops fig.s LCY'!S80</f>
        <v>1379503125</v>
      </c>
      <c r="AI82" s="69">
        <f>'Key financial and ops fig.s LCY'!T80</f>
        <v>1475512500</v>
      </c>
      <c r="AJ82" s="69">
        <f>'Key financial and ops fig.s LCY'!U80</f>
        <v>1570078125</v>
      </c>
      <c r="AK82" s="92">
        <f>'Key financial and ops fig.s LCY'!V80</f>
        <v>1663200000</v>
      </c>
      <c r="AL82" s="226">
        <f>'Key financial and ops fig.s LCY'!W80</f>
        <v>1663200000</v>
      </c>
      <c r="AM82" s="68">
        <f>'Alt. scenario LCY'!S80</f>
        <v>1379503125</v>
      </c>
      <c r="AN82" s="69">
        <f>'Alt. scenario LCY'!T80</f>
        <v>1475512500</v>
      </c>
      <c r="AO82" s="69">
        <f>'Alt. scenario LCY'!U80</f>
        <v>1570078125</v>
      </c>
      <c r="AP82" s="92">
        <f>'Alt. scenario LCY'!V80</f>
        <v>1663200000</v>
      </c>
      <c r="AQ82" s="244">
        <f>'Alt. scenario LCY'!W80</f>
        <v>1663200000</v>
      </c>
      <c r="AR82" s="68">
        <f>'Key financial and ops fig.s LCY'!X80</f>
        <v>1754878125</v>
      </c>
      <c r="AS82" s="69">
        <f>'Key financial and ops fig.s LCY'!Y80</f>
        <v>1845112500</v>
      </c>
      <c r="AT82" s="69">
        <f>'Key financial and ops fig.s LCY'!Z80</f>
        <v>1933903125</v>
      </c>
      <c r="AU82" s="92">
        <f>'Key financial and ops fig.s LCY'!AA80</f>
        <v>2021250000</v>
      </c>
      <c r="AV82" s="226">
        <f>'Key financial and ops fig.s LCY'!AB80</f>
        <v>2021250000</v>
      </c>
      <c r="AW82" s="68">
        <f>'Alt. scenario LCY'!X80</f>
        <v>1754878125</v>
      </c>
      <c r="AX82" s="69">
        <f>'Alt. scenario LCY'!Y80</f>
        <v>1845112500</v>
      </c>
      <c r="AY82" s="69">
        <f>'Alt. scenario LCY'!Z80</f>
        <v>1933903125</v>
      </c>
      <c r="AZ82" s="92">
        <f>'Alt. scenario LCY'!AA80</f>
        <v>2021250000</v>
      </c>
      <c r="BA82" s="244">
        <f>'Alt. scenario LCY'!AB80</f>
        <v>2021250000</v>
      </c>
      <c r="BB82" s="68">
        <f>'Key financial and ops fig.s LCY'!AC80</f>
        <v>2006812500</v>
      </c>
      <c r="BC82" s="69">
        <f>'Key financial and ops fig.s LCY'!AD80</f>
        <v>1992375000</v>
      </c>
      <c r="BD82" s="69">
        <f>'Key financial and ops fig.s LCY'!AE80</f>
        <v>1977937500</v>
      </c>
      <c r="BE82" s="92">
        <f>'Key financial and ops fig.s LCY'!AF80</f>
        <v>1963500000</v>
      </c>
      <c r="BF82" s="226">
        <f>'Key financial and ops fig.s LCY'!AG80</f>
        <v>1963500000</v>
      </c>
      <c r="BG82" s="68">
        <f>'Alt. scenario LCY'!AC80</f>
        <v>2006812500</v>
      </c>
      <c r="BH82" s="69">
        <f>'Alt. scenario LCY'!AD80</f>
        <v>1992375000</v>
      </c>
      <c r="BI82" s="69">
        <f>'Alt. scenario LCY'!AE80</f>
        <v>1977937500</v>
      </c>
      <c r="BJ82" s="92">
        <f>'Alt. scenario LCY'!AF80</f>
        <v>1963500000</v>
      </c>
      <c r="BK82" s="244">
        <f>'Alt. scenario LCY'!AG80</f>
        <v>1963500000</v>
      </c>
      <c r="BL82" s="68">
        <f>'Key financial and ops fig.s LCY'!AH80</f>
        <v>1949062500</v>
      </c>
      <c r="BM82" s="69">
        <f>'Key financial and ops fig.s LCY'!AI80</f>
        <v>1934625000</v>
      </c>
      <c r="BN82" s="69">
        <f>'Key financial and ops fig.s LCY'!AJ80</f>
        <v>1920187500</v>
      </c>
      <c r="BO82" s="92">
        <f>'Key financial and ops fig.s LCY'!AK80</f>
        <v>1905750000</v>
      </c>
      <c r="BP82" s="226">
        <f>'Key financial and ops fig.s LCY'!AL80</f>
        <v>1905750000</v>
      </c>
      <c r="BQ82" s="68">
        <f>'Alt. scenario LCY'!AH80</f>
        <v>1949062500</v>
      </c>
      <c r="BR82" s="69">
        <f>'Alt. scenario LCY'!AI80</f>
        <v>1934625000</v>
      </c>
      <c r="BS82" s="69">
        <f>'Alt. scenario LCY'!AJ80</f>
        <v>1920187500</v>
      </c>
      <c r="BT82" s="92">
        <f>'Alt. scenario LCY'!AK80</f>
        <v>1905750000</v>
      </c>
      <c r="BU82" s="244">
        <f>'Alt. scenario LCY'!AL80</f>
        <v>1905750000</v>
      </c>
    </row>
    <row r="83" spans="1:73" ht="15.95">
      <c r="A83" s="55"/>
      <c r="C83" s="189" t="s">
        <v>317</v>
      </c>
      <c r="D83" s="68">
        <f>'Key financial and ops fig.s LCY'!D81</f>
        <v>688668750</v>
      </c>
      <c r="E83" s="69">
        <f>'Key financial and ops fig.s LCY'!E81</f>
        <v>1368675000</v>
      </c>
      <c r="F83" s="69">
        <f>'Key financial and ops fig.s LCY'!F81</f>
        <v>2040018750</v>
      </c>
      <c r="G83" s="92">
        <f>'Key financial and ops fig.s LCY'!G81</f>
        <v>2702700000</v>
      </c>
      <c r="H83" s="226">
        <f>'Key financial and ops fig.s LCY'!H81</f>
        <v>2702700000</v>
      </c>
      <c r="I83" s="68">
        <f>'Alt. scenario LCY'!D81</f>
        <v>688668750</v>
      </c>
      <c r="J83" s="69">
        <f>'Alt. scenario LCY'!E81</f>
        <v>1368675000</v>
      </c>
      <c r="K83" s="69">
        <f>'Alt. scenario LCY'!F81</f>
        <v>2040018750</v>
      </c>
      <c r="L83" s="92">
        <f>'Alt. scenario LCY'!G81</f>
        <v>2702700000</v>
      </c>
      <c r="M83" s="244">
        <f>'Alt. scenario LCY'!H81</f>
        <v>2702700000</v>
      </c>
      <c r="N83" s="68">
        <f>'Key financial and ops fig.s LCY'!I81</f>
        <v>3356718750</v>
      </c>
      <c r="O83" s="69">
        <f>'Key financial and ops fig.s LCY'!J81</f>
        <v>4002075000</v>
      </c>
      <c r="P83" s="69">
        <f>'Key financial and ops fig.s LCY'!K81</f>
        <v>4638768750</v>
      </c>
      <c r="Q83" s="92">
        <f>'Key financial and ops fig.s LCY'!L81</f>
        <v>5266800000</v>
      </c>
      <c r="R83" s="226">
        <f>'Key financial and ops fig.s LCY'!M81</f>
        <v>5266800000</v>
      </c>
      <c r="S83" s="68">
        <f>'Alt. scenario LCY'!I81</f>
        <v>3356718750</v>
      </c>
      <c r="T83" s="69">
        <f>'Alt. scenario LCY'!J81</f>
        <v>4002075000</v>
      </c>
      <c r="U83" s="69">
        <f>'Alt. scenario LCY'!K81</f>
        <v>4638768750</v>
      </c>
      <c r="V83" s="92">
        <f>'Alt. scenario LCY'!L81</f>
        <v>5266800000</v>
      </c>
      <c r="W83" s="244">
        <f>'Alt. scenario LCY'!M81</f>
        <v>5266800000</v>
      </c>
      <c r="X83" s="68">
        <f>'Key financial and ops fig.s LCY'!N81</f>
        <v>5886168750</v>
      </c>
      <c r="Y83" s="69">
        <f>'Key financial and ops fig.s LCY'!O81</f>
        <v>6496875000</v>
      </c>
      <c r="Z83" s="69">
        <f>'Key financial and ops fig.s LCY'!P81</f>
        <v>7098918750</v>
      </c>
      <c r="AA83" s="92">
        <f>'Key financial and ops fig.s LCY'!Q81</f>
        <v>7692300000</v>
      </c>
      <c r="AB83" s="226">
        <f>'Key financial and ops fig.s LCY'!R81</f>
        <v>7692300000</v>
      </c>
      <c r="AC83" s="68">
        <f>'Alt. scenario LCY'!N81</f>
        <v>5886168750</v>
      </c>
      <c r="AD83" s="69">
        <f>'Alt. scenario LCY'!O81</f>
        <v>6496875000</v>
      </c>
      <c r="AE83" s="69">
        <f>'Alt. scenario LCY'!P81</f>
        <v>7098918750</v>
      </c>
      <c r="AF83" s="92">
        <f>'Alt. scenario LCY'!Q81</f>
        <v>7692300000</v>
      </c>
      <c r="AG83" s="244">
        <f>'Alt. scenario LCY'!R81</f>
        <v>7692300000</v>
      </c>
      <c r="AH83" s="68">
        <f>'Key financial and ops fig.s LCY'!S81</f>
        <v>8277018750</v>
      </c>
      <c r="AI83" s="69">
        <f>'Key financial and ops fig.s LCY'!T81</f>
        <v>8853075000</v>
      </c>
      <c r="AJ83" s="69">
        <f>'Key financial and ops fig.s LCY'!U81</f>
        <v>9420468750</v>
      </c>
      <c r="AK83" s="92">
        <f>'Key financial and ops fig.s LCY'!V81</f>
        <v>9979200000</v>
      </c>
      <c r="AL83" s="226">
        <f>'Key financial and ops fig.s LCY'!W81</f>
        <v>9979200000</v>
      </c>
      <c r="AM83" s="68">
        <f>'Alt. scenario LCY'!S81</f>
        <v>8277018750</v>
      </c>
      <c r="AN83" s="69">
        <f>'Alt. scenario LCY'!T81</f>
        <v>8853075000</v>
      </c>
      <c r="AO83" s="69">
        <f>'Alt. scenario LCY'!U81</f>
        <v>9420468750</v>
      </c>
      <c r="AP83" s="92">
        <f>'Alt. scenario LCY'!V81</f>
        <v>9979200000</v>
      </c>
      <c r="AQ83" s="244">
        <f>'Alt. scenario LCY'!W81</f>
        <v>9979200000</v>
      </c>
      <c r="AR83" s="68">
        <f>'Key financial and ops fig.s LCY'!X81</f>
        <v>10529268750</v>
      </c>
      <c r="AS83" s="69">
        <f>'Key financial and ops fig.s LCY'!Y81</f>
        <v>11070675000</v>
      </c>
      <c r="AT83" s="69">
        <f>'Key financial and ops fig.s LCY'!Z81</f>
        <v>11603418750</v>
      </c>
      <c r="AU83" s="92">
        <f>'Key financial and ops fig.s LCY'!AA81</f>
        <v>12127500000</v>
      </c>
      <c r="AV83" s="226">
        <f>'Key financial and ops fig.s LCY'!AB81</f>
        <v>12127500000</v>
      </c>
      <c r="AW83" s="68">
        <f>'Alt. scenario LCY'!X81</f>
        <v>10529268750</v>
      </c>
      <c r="AX83" s="69">
        <f>'Alt. scenario LCY'!Y81</f>
        <v>11070675000</v>
      </c>
      <c r="AY83" s="69">
        <f>'Alt. scenario LCY'!Z81</f>
        <v>11603418750</v>
      </c>
      <c r="AZ83" s="92">
        <f>'Alt. scenario LCY'!AA81</f>
        <v>12127500000</v>
      </c>
      <c r="BA83" s="244">
        <f>'Alt. scenario LCY'!AB81</f>
        <v>12127500000</v>
      </c>
      <c r="BB83" s="68">
        <f>'Key financial and ops fig.s LCY'!AC81</f>
        <v>12040875000</v>
      </c>
      <c r="BC83" s="69">
        <f>'Key financial and ops fig.s LCY'!AD81</f>
        <v>11954250000</v>
      </c>
      <c r="BD83" s="69">
        <f>'Key financial and ops fig.s LCY'!AE81</f>
        <v>11867625000</v>
      </c>
      <c r="BE83" s="92">
        <f>'Key financial and ops fig.s LCY'!AF81</f>
        <v>11781000000</v>
      </c>
      <c r="BF83" s="226">
        <f>'Key financial and ops fig.s LCY'!AG81</f>
        <v>11781000000</v>
      </c>
      <c r="BG83" s="68">
        <f>'Alt. scenario LCY'!AC81</f>
        <v>12040875000</v>
      </c>
      <c r="BH83" s="69">
        <f>'Alt. scenario LCY'!AD81</f>
        <v>11954250000</v>
      </c>
      <c r="BI83" s="69">
        <f>'Alt. scenario LCY'!AE81</f>
        <v>11867625000</v>
      </c>
      <c r="BJ83" s="92">
        <f>'Alt. scenario LCY'!AF81</f>
        <v>11781000000</v>
      </c>
      <c r="BK83" s="244">
        <f>'Alt. scenario LCY'!AG81</f>
        <v>11781000000</v>
      </c>
      <c r="BL83" s="68">
        <f>'Key financial and ops fig.s LCY'!AH81</f>
        <v>11694375000</v>
      </c>
      <c r="BM83" s="69">
        <f>'Key financial and ops fig.s LCY'!AI81</f>
        <v>11607750000</v>
      </c>
      <c r="BN83" s="69">
        <f>'Key financial and ops fig.s LCY'!AJ81</f>
        <v>11521125000</v>
      </c>
      <c r="BO83" s="92">
        <f>'Key financial and ops fig.s LCY'!AK81</f>
        <v>11434500000</v>
      </c>
      <c r="BP83" s="226">
        <f>'Key financial and ops fig.s LCY'!AL81</f>
        <v>11434500000</v>
      </c>
      <c r="BQ83" s="68">
        <f>'Alt. scenario LCY'!AH81</f>
        <v>11694375000</v>
      </c>
      <c r="BR83" s="69">
        <f>'Alt. scenario LCY'!AI81</f>
        <v>11607750000</v>
      </c>
      <c r="BS83" s="69">
        <f>'Alt. scenario LCY'!AJ81</f>
        <v>11521125000</v>
      </c>
      <c r="BT83" s="92">
        <f>'Alt. scenario LCY'!AK81</f>
        <v>11434500000</v>
      </c>
      <c r="BU83" s="244">
        <f>'Alt. scenario LCY'!AL81</f>
        <v>11434500000</v>
      </c>
    </row>
    <row r="84" spans="1:73" s="56" customFormat="1" ht="15.95">
      <c r="A84" s="55"/>
      <c r="C84" s="189" t="s">
        <v>318</v>
      </c>
      <c r="D84" s="68">
        <f>'Key financial and ops fig.s LCY'!D82</f>
        <v>688668750</v>
      </c>
      <c r="E84" s="69">
        <f>'Key financial and ops fig.s LCY'!E82</f>
        <v>1368675000</v>
      </c>
      <c r="F84" s="69">
        <f>'Key financial and ops fig.s LCY'!F82</f>
        <v>2040018750</v>
      </c>
      <c r="G84" s="92">
        <f>'Key financial and ops fig.s LCY'!G82</f>
        <v>2702700000</v>
      </c>
      <c r="H84" s="226">
        <f>'Key financial and ops fig.s LCY'!H82</f>
        <v>6800062500</v>
      </c>
      <c r="I84" s="68">
        <f>'Alt. scenario LCY'!D82</f>
        <v>688668750</v>
      </c>
      <c r="J84" s="69">
        <f>'Alt. scenario LCY'!E82</f>
        <v>1368675000</v>
      </c>
      <c r="K84" s="69">
        <f>'Alt. scenario LCY'!F82</f>
        <v>2040018750</v>
      </c>
      <c r="L84" s="92">
        <f>'Alt. scenario LCY'!G82</f>
        <v>2702700000</v>
      </c>
      <c r="M84" s="244">
        <f>'Alt. scenario LCY'!H82</f>
        <v>6800062500</v>
      </c>
      <c r="N84" s="68">
        <f>'Key financial and ops fig.s LCY'!I82</f>
        <v>3356718750</v>
      </c>
      <c r="O84" s="69">
        <f>'Key financial and ops fig.s LCY'!J82</f>
        <v>4002075000</v>
      </c>
      <c r="P84" s="69">
        <f>'Key financial and ops fig.s LCY'!K82</f>
        <v>4638768750</v>
      </c>
      <c r="Q84" s="92">
        <f>'Key financial and ops fig.s LCY'!L82</f>
        <v>5266800000</v>
      </c>
      <c r="R84" s="226">
        <f>'Key financial and ops fig.s LCY'!M82</f>
        <v>17264362500</v>
      </c>
      <c r="S84" s="68">
        <f>'Alt. scenario LCY'!I82</f>
        <v>3356718750</v>
      </c>
      <c r="T84" s="69">
        <f>'Alt. scenario LCY'!J82</f>
        <v>4002075000</v>
      </c>
      <c r="U84" s="69">
        <f>'Alt. scenario LCY'!K82</f>
        <v>4638768750</v>
      </c>
      <c r="V84" s="92">
        <f>'Alt. scenario LCY'!L82</f>
        <v>5266800000</v>
      </c>
      <c r="W84" s="244">
        <f>'Alt. scenario LCY'!M82</f>
        <v>17264362500</v>
      </c>
      <c r="X84" s="68">
        <f>'Key financial and ops fig.s LCY'!N82</f>
        <v>5886168750</v>
      </c>
      <c r="Y84" s="69">
        <f>'Key financial and ops fig.s LCY'!O82</f>
        <v>6496875000</v>
      </c>
      <c r="Z84" s="69">
        <f>'Key financial and ops fig.s LCY'!P82</f>
        <v>7098918750</v>
      </c>
      <c r="AA84" s="92">
        <f>'Key financial and ops fig.s LCY'!Q82</f>
        <v>7692300000</v>
      </c>
      <c r="AB84" s="226">
        <f>'Key financial and ops fig.s LCY'!R82</f>
        <v>27174262500</v>
      </c>
      <c r="AC84" s="68">
        <f>'Alt. scenario LCY'!N82</f>
        <v>5886168750</v>
      </c>
      <c r="AD84" s="69">
        <f>'Alt. scenario LCY'!O82</f>
        <v>6496875000</v>
      </c>
      <c r="AE84" s="69">
        <f>'Alt. scenario LCY'!P82</f>
        <v>7098918750</v>
      </c>
      <c r="AF84" s="92">
        <f>'Alt. scenario LCY'!Q82</f>
        <v>7692300000</v>
      </c>
      <c r="AG84" s="244">
        <f>'Alt. scenario LCY'!R82</f>
        <v>27174262500</v>
      </c>
      <c r="AH84" s="68">
        <f>'Key financial and ops fig.s LCY'!S82</f>
        <v>8277018750</v>
      </c>
      <c r="AI84" s="69">
        <f>'Key financial and ops fig.s LCY'!T82</f>
        <v>8853075000</v>
      </c>
      <c r="AJ84" s="69">
        <f>'Key financial and ops fig.s LCY'!U82</f>
        <v>9420468750</v>
      </c>
      <c r="AK84" s="92">
        <f>'Key financial and ops fig.s LCY'!V82</f>
        <v>9979200000</v>
      </c>
      <c r="AL84" s="226">
        <f>'Key financial and ops fig.s LCY'!W82</f>
        <v>36529762500</v>
      </c>
      <c r="AM84" s="68">
        <f>'Alt. scenario LCY'!S82</f>
        <v>8277018750</v>
      </c>
      <c r="AN84" s="69">
        <f>'Alt. scenario LCY'!T82</f>
        <v>8853075000</v>
      </c>
      <c r="AO84" s="69">
        <f>'Alt. scenario LCY'!U82</f>
        <v>9420468750</v>
      </c>
      <c r="AP84" s="92">
        <f>'Alt. scenario LCY'!V82</f>
        <v>9979200000</v>
      </c>
      <c r="AQ84" s="244">
        <f>'Alt. scenario LCY'!W82</f>
        <v>36529762500</v>
      </c>
      <c r="AR84" s="68">
        <f>'Key financial and ops fig.s LCY'!X82</f>
        <v>10529268750</v>
      </c>
      <c r="AS84" s="69">
        <f>'Key financial and ops fig.s LCY'!Y82</f>
        <v>11070675000</v>
      </c>
      <c r="AT84" s="69">
        <f>'Key financial and ops fig.s LCY'!Z82</f>
        <v>11603418750</v>
      </c>
      <c r="AU84" s="92">
        <f>'Key financial and ops fig.s LCY'!AA82</f>
        <v>12127500000</v>
      </c>
      <c r="AV84" s="226">
        <f>'Key financial and ops fig.s LCY'!AB82</f>
        <v>45330862500</v>
      </c>
      <c r="AW84" s="68">
        <f>'Alt. scenario LCY'!X82</f>
        <v>10529268750</v>
      </c>
      <c r="AX84" s="69">
        <f>'Alt. scenario LCY'!Y82</f>
        <v>11070675000</v>
      </c>
      <c r="AY84" s="69">
        <f>'Alt. scenario LCY'!Z82</f>
        <v>11603418750</v>
      </c>
      <c r="AZ84" s="92">
        <f>'Alt. scenario LCY'!AA82</f>
        <v>12127500000</v>
      </c>
      <c r="BA84" s="244">
        <f>'Alt. scenario LCY'!AB82</f>
        <v>45330862500</v>
      </c>
      <c r="BB84" s="68">
        <f>'Key financial and ops fig.s LCY'!AC82</f>
        <v>12040875000</v>
      </c>
      <c r="BC84" s="69">
        <f>'Key financial and ops fig.s LCY'!AD82</f>
        <v>11954250000</v>
      </c>
      <c r="BD84" s="69">
        <f>'Key financial and ops fig.s LCY'!AE82</f>
        <v>11867625000</v>
      </c>
      <c r="BE84" s="92">
        <f>'Key financial and ops fig.s LCY'!AF82</f>
        <v>11781000000</v>
      </c>
      <c r="BF84" s="226">
        <f>'Key financial and ops fig.s LCY'!AG82</f>
        <v>47643750000</v>
      </c>
      <c r="BG84" s="68">
        <f>'Alt. scenario LCY'!AC82</f>
        <v>12040875000</v>
      </c>
      <c r="BH84" s="69">
        <f>'Alt. scenario LCY'!AD82</f>
        <v>11954250000</v>
      </c>
      <c r="BI84" s="69">
        <f>'Alt. scenario LCY'!AE82</f>
        <v>11867625000</v>
      </c>
      <c r="BJ84" s="92">
        <f>'Alt. scenario LCY'!AF82</f>
        <v>11781000000</v>
      </c>
      <c r="BK84" s="244">
        <f>'Alt. scenario LCY'!AG82</f>
        <v>47643750000</v>
      </c>
      <c r="BL84" s="68">
        <f>'Key financial and ops fig.s LCY'!AH82</f>
        <v>11694375000</v>
      </c>
      <c r="BM84" s="69">
        <f>'Key financial and ops fig.s LCY'!AI82</f>
        <v>11607750000</v>
      </c>
      <c r="BN84" s="69">
        <f>'Key financial and ops fig.s LCY'!AJ82</f>
        <v>11521125000</v>
      </c>
      <c r="BO84" s="92">
        <f>'Key financial and ops fig.s LCY'!AK82</f>
        <v>11434500000</v>
      </c>
      <c r="BP84" s="226">
        <f>'Key financial and ops fig.s LCY'!AL82</f>
        <v>46257750000</v>
      </c>
      <c r="BQ84" s="68">
        <f>'Alt. scenario LCY'!AH82</f>
        <v>11694375000</v>
      </c>
      <c r="BR84" s="69">
        <f>'Alt. scenario LCY'!AI82</f>
        <v>11607750000</v>
      </c>
      <c r="BS84" s="69">
        <f>'Alt. scenario LCY'!AJ82</f>
        <v>11521125000</v>
      </c>
      <c r="BT84" s="92">
        <f>'Alt. scenario LCY'!AK82</f>
        <v>11434500000</v>
      </c>
      <c r="BU84" s="244">
        <f>'Alt. scenario LCY'!AL82</f>
        <v>46257750000</v>
      </c>
    </row>
    <row r="85" spans="1:73" s="56" customFormat="1" ht="15.95">
      <c r="A85" s="55"/>
      <c r="C85" s="189" t="s">
        <v>319</v>
      </c>
      <c r="D85" s="68">
        <f>'Key financial and ops fig.s LCY'!D83</f>
        <v>688668750</v>
      </c>
      <c r="E85" s="69">
        <f>'Key financial and ops fig.s LCY'!E83</f>
        <v>1368675000</v>
      </c>
      <c r="F85" s="69">
        <f>'Key financial and ops fig.s LCY'!F83</f>
        <v>2040018750</v>
      </c>
      <c r="G85" s="92">
        <f>'Key financial and ops fig.s LCY'!G83</f>
        <v>2702700000</v>
      </c>
      <c r="H85" s="226">
        <f>'Key financial and ops fig.s LCY'!H83</f>
        <v>6800062500</v>
      </c>
      <c r="I85" s="68">
        <f>'Alt. scenario LCY'!D83</f>
        <v>688668750</v>
      </c>
      <c r="J85" s="69">
        <f>'Alt. scenario LCY'!E83</f>
        <v>1368675000</v>
      </c>
      <c r="K85" s="69">
        <f>'Alt. scenario LCY'!F83</f>
        <v>2040018750</v>
      </c>
      <c r="L85" s="92">
        <f>'Alt. scenario LCY'!G83</f>
        <v>2702700000</v>
      </c>
      <c r="M85" s="244">
        <f>'Alt. scenario LCY'!H83</f>
        <v>6800062500</v>
      </c>
      <c r="N85" s="68">
        <f>'Key financial and ops fig.s LCY'!I83</f>
        <v>3356718750</v>
      </c>
      <c r="O85" s="69">
        <f>'Key financial and ops fig.s LCY'!J83</f>
        <v>4002075000</v>
      </c>
      <c r="P85" s="69">
        <f>'Key financial and ops fig.s LCY'!K83</f>
        <v>4638768750</v>
      </c>
      <c r="Q85" s="92">
        <f>'Key financial and ops fig.s LCY'!L83</f>
        <v>5266800000</v>
      </c>
      <c r="R85" s="226">
        <f>'Key financial and ops fig.s LCY'!M83</f>
        <v>17264362500</v>
      </c>
      <c r="S85" s="68">
        <f>'Alt. scenario LCY'!I83</f>
        <v>3356718750</v>
      </c>
      <c r="T85" s="69">
        <f>'Alt. scenario LCY'!J83</f>
        <v>4002075000</v>
      </c>
      <c r="U85" s="69">
        <f>'Alt. scenario LCY'!K83</f>
        <v>4638768750</v>
      </c>
      <c r="V85" s="92">
        <f>'Alt. scenario LCY'!L83</f>
        <v>5266800000</v>
      </c>
      <c r="W85" s="244">
        <f>'Alt. scenario LCY'!M83</f>
        <v>17264362500</v>
      </c>
      <c r="X85" s="68">
        <f>'Key financial and ops fig.s LCY'!N83</f>
        <v>5886168750</v>
      </c>
      <c r="Y85" s="69">
        <f>'Key financial and ops fig.s LCY'!O83</f>
        <v>6496875000</v>
      </c>
      <c r="Z85" s="69">
        <f>'Key financial and ops fig.s LCY'!P83</f>
        <v>7098918750</v>
      </c>
      <c r="AA85" s="92">
        <f>'Key financial and ops fig.s LCY'!Q83</f>
        <v>7692300000</v>
      </c>
      <c r="AB85" s="226">
        <f>'Key financial and ops fig.s LCY'!R83</f>
        <v>27174262500</v>
      </c>
      <c r="AC85" s="68">
        <f>'Alt. scenario LCY'!N83</f>
        <v>5886168750</v>
      </c>
      <c r="AD85" s="69">
        <f>'Alt. scenario LCY'!O83</f>
        <v>6496875000</v>
      </c>
      <c r="AE85" s="69">
        <f>'Alt. scenario LCY'!P83</f>
        <v>7098918750</v>
      </c>
      <c r="AF85" s="92">
        <f>'Alt. scenario LCY'!Q83</f>
        <v>7692300000</v>
      </c>
      <c r="AG85" s="244">
        <f>'Alt. scenario LCY'!R83</f>
        <v>27174262500</v>
      </c>
      <c r="AH85" s="68">
        <f>'Key financial and ops fig.s LCY'!S83</f>
        <v>8277018750</v>
      </c>
      <c r="AI85" s="69">
        <f>'Key financial and ops fig.s LCY'!T83</f>
        <v>8853075000</v>
      </c>
      <c r="AJ85" s="69">
        <f>'Key financial and ops fig.s LCY'!U83</f>
        <v>9420468750</v>
      </c>
      <c r="AK85" s="92">
        <f>'Key financial and ops fig.s LCY'!V83</f>
        <v>9979200000</v>
      </c>
      <c r="AL85" s="226">
        <f>'Key financial and ops fig.s LCY'!W83</f>
        <v>36529762500</v>
      </c>
      <c r="AM85" s="68">
        <f>'Alt. scenario LCY'!S83</f>
        <v>8277018750</v>
      </c>
      <c r="AN85" s="69">
        <f>'Alt. scenario LCY'!T83</f>
        <v>8853075000</v>
      </c>
      <c r="AO85" s="69">
        <f>'Alt. scenario LCY'!U83</f>
        <v>9420468750</v>
      </c>
      <c r="AP85" s="92">
        <f>'Alt. scenario LCY'!V83</f>
        <v>9979200000</v>
      </c>
      <c r="AQ85" s="244">
        <f>'Alt. scenario LCY'!W83</f>
        <v>36529762500</v>
      </c>
      <c r="AR85" s="68">
        <f>'Key financial and ops fig.s LCY'!X83</f>
        <v>10529268750</v>
      </c>
      <c r="AS85" s="69">
        <f>'Key financial and ops fig.s LCY'!Y83</f>
        <v>11070675000</v>
      </c>
      <c r="AT85" s="69">
        <f>'Key financial and ops fig.s LCY'!Z83</f>
        <v>11603418750</v>
      </c>
      <c r="AU85" s="92">
        <f>'Key financial and ops fig.s LCY'!AA83</f>
        <v>12127500000</v>
      </c>
      <c r="AV85" s="226">
        <f>'Key financial and ops fig.s LCY'!AB83</f>
        <v>45330862500</v>
      </c>
      <c r="AW85" s="68">
        <f>'Alt. scenario LCY'!X83</f>
        <v>10529268750</v>
      </c>
      <c r="AX85" s="69">
        <f>'Alt. scenario LCY'!Y83</f>
        <v>11070675000</v>
      </c>
      <c r="AY85" s="69">
        <f>'Alt. scenario LCY'!Z83</f>
        <v>11603418750</v>
      </c>
      <c r="AZ85" s="92">
        <f>'Alt. scenario LCY'!AA83</f>
        <v>12127500000</v>
      </c>
      <c r="BA85" s="244">
        <f>'Alt. scenario LCY'!AB83</f>
        <v>45330862500</v>
      </c>
      <c r="BB85" s="68">
        <f>'Key financial and ops fig.s LCY'!AC83</f>
        <v>12040875000</v>
      </c>
      <c r="BC85" s="69">
        <f>'Key financial and ops fig.s LCY'!AD83</f>
        <v>11954250000</v>
      </c>
      <c r="BD85" s="69">
        <f>'Key financial and ops fig.s LCY'!AE83</f>
        <v>11867625000</v>
      </c>
      <c r="BE85" s="92">
        <f>'Key financial and ops fig.s LCY'!AF83</f>
        <v>11781000000</v>
      </c>
      <c r="BF85" s="226">
        <f>'Key financial and ops fig.s LCY'!AG83</f>
        <v>47643750000</v>
      </c>
      <c r="BG85" s="68">
        <f>'Alt. scenario LCY'!AC83</f>
        <v>12040875000</v>
      </c>
      <c r="BH85" s="69">
        <f>'Alt. scenario LCY'!AD83</f>
        <v>11954250000</v>
      </c>
      <c r="BI85" s="69">
        <f>'Alt. scenario LCY'!AE83</f>
        <v>11867625000</v>
      </c>
      <c r="BJ85" s="92">
        <f>'Alt. scenario LCY'!AF83</f>
        <v>11781000000</v>
      </c>
      <c r="BK85" s="244">
        <f>'Alt. scenario LCY'!AG83</f>
        <v>47643750000</v>
      </c>
      <c r="BL85" s="68">
        <f>'Key financial and ops fig.s LCY'!AH83</f>
        <v>11694375000</v>
      </c>
      <c r="BM85" s="69">
        <f>'Key financial and ops fig.s LCY'!AI83</f>
        <v>11607750000</v>
      </c>
      <c r="BN85" s="69">
        <f>'Key financial and ops fig.s LCY'!AJ83</f>
        <v>11521125000</v>
      </c>
      <c r="BO85" s="92">
        <f>'Key financial and ops fig.s LCY'!AK83</f>
        <v>11434500000</v>
      </c>
      <c r="BP85" s="226">
        <f>'Key financial and ops fig.s LCY'!AL83</f>
        <v>46257750000</v>
      </c>
      <c r="BQ85" s="68">
        <f>'Alt. scenario LCY'!AH83</f>
        <v>11694375000</v>
      </c>
      <c r="BR85" s="69">
        <f>'Alt. scenario LCY'!AI83</f>
        <v>11607750000</v>
      </c>
      <c r="BS85" s="69">
        <f>'Alt. scenario LCY'!AJ83</f>
        <v>11521125000</v>
      </c>
      <c r="BT85" s="92">
        <f>'Alt. scenario LCY'!AK83</f>
        <v>11434500000</v>
      </c>
      <c r="BU85" s="244">
        <f>'Alt. scenario LCY'!AL83</f>
        <v>46257750000</v>
      </c>
    </row>
    <row r="86" spans="1:73" s="56" customFormat="1" ht="15.95">
      <c r="A86" s="55"/>
      <c r="C86" s="189" t="s">
        <v>109</v>
      </c>
      <c r="D86" s="68">
        <f>'Key financial and ops fig.s LCY'!D84</f>
        <v>22955625</v>
      </c>
      <c r="E86" s="69">
        <f>'Key financial and ops fig.s LCY'!E84</f>
        <v>45622500</v>
      </c>
      <c r="F86" s="69">
        <f>'Key financial and ops fig.s LCY'!F84</f>
        <v>68000625</v>
      </c>
      <c r="G86" s="92">
        <f>'Key financial and ops fig.s LCY'!G84</f>
        <v>90090000</v>
      </c>
      <c r="H86" s="226">
        <f>'Key financial and ops fig.s LCY'!H84</f>
        <v>90090000</v>
      </c>
      <c r="I86" s="68">
        <f>'Alt. scenario LCY'!D84</f>
        <v>22955625</v>
      </c>
      <c r="J86" s="69">
        <f>'Alt. scenario LCY'!E84</f>
        <v>45622500</v>
      </c>
      <c r="K86" s="69">
        <f>'Alt. scenario LCY'!F84</f>
        <v>68000625</v>
      </c>
      <c r="L86" s="92">
        <f>'Alt. scenario LCY'!G84</f>
        <v>90090000</v>
      </c>
      <c r="M86" s="244">
        <f>'Alt. scenario LCY'!H84</f>
        <v>90090000</v>
      </c>
      <c r="N86" s="68">
        <f>'Key financial and ops fig.s LCY'!I84</f>
        <v>111890625</v>
      </c>
      <c r="O86" s="69">
        <f>'Key financial and ops fig.s LCY'!J84</f>
        <v>133402500</v>
      </c>
      <c r="P86" s="69">
        <f>'Key financial and ops fig.s LCY'!K84</f>
        <v>154625625</v>
      </c>
      <c r="Q86" s="92">
        <f>'Key financial and ops fig.s LCY'!L84</f>
        <v>175560000</v>
      </c>
      <c r="R86" s="226">
        <f>'Key financial and ops fig.s LCY'!M84</f>
        <v>175560000</v>
      </c>
      <c r="S86" s="68">
        <f>'Alt. scenario LCY'!I84</f>
        <v>111890625</v>
      </c>
      <c r="T86" s="69">
        <f>'Alt. scenario LCY'!J84</f>
        <v>133402500</v>
      </c>
      <c r="U86" s="69">
        <f>'Alt. scenario LCY'!K84</f>
        <v>154625625</v>
      </c>
      <c r="V86" s="92">
        <f>'Alt. scenario LCY'!L84</f>
        <v>175560000</v>
      </c>
      <c r="W86" s="244">
        <f>'Alt. scenario LCY'!M84</f>
        <v>175560000</v>
      </c>
      <c r="X86" s="68">
        <f>'Key financial and ops fig.s LCY'!N84</f>
        <v>196205625</v>
      </c>
      <c r="Y86" s="69">
        <f>'Key financial and ops fig.s LCY'!O84</f>
        <v>216562500</v>
      </c>
      <c r="Z86" s="69">
        <f>'Key financial and ops fig.s LCY'!P84</f>
        <v>236630625</v>
      </c>
      <c r="AA86" s="92">
        <f>'Key financial and ops fig.s LCY'!Q84</f>
        <v>256410000</v>
      </c>
      <c r="AB86" s="226">
        <f>'Key financial and ops fig.s LCY'!R84</f>
        <v>256410000</v>
      </c>
      <c r="AC86" s="68">
        <f>'Alt. scenario LCY'!N84</f>
        <v>196205625</v>
      </c>
      <c r="AD86" s="69">
        <f>'Alt. scenario LCY'!O84</f>
        <v>216562500</v>
      </c>
      <c r="AE86" s="69">
        <f>'Alt. scenario LCY'!P84</f>
        <v>236630625</v>
      </c>
      <c r="AF86" s="92">
        <f>'Alt. scenario LCY'!Q84</f>
        <v>256410000</v>
      </c>
      <c r="AG86" s="244">
        <f>'Alt. scenario LCY'!R84</f>
        <v>256410000</v>
      </c>
      <c r="AH86" s="68">
        <f>'Key financial and ops fig.s LCY'!S84</f>
        <v>275900625</v>
      </c>
      <c r="AI86" s="69">
        <f>'Key financial and ops fig.s LCY'!T84</f>
        <v>295102500</v>
      </c>
      <c r="AJ86" s="69">
        <f>'Key financial and ops fig.s LCY'!U84</f>
        <v>314015625</v>
      </c>
      <c r="AK86" s="92">
        <f>'Key financial and ops fig.s LCY'!V84</f>
        <v>332640000</v>
      </c>
      <c r="AL86" s="226">
        <f>'Key financial and ops fig.s LCY'!W84</f>
        <v>332640000</v>
      </c>
      <c r="AM86" s="68">
        <f>'Alt. scenario LCY'!S84</f>
        <v>275900625</v>
      </c>
      <c r="AN86" s="69">
        <f>'Alt. scenario LCY'!T84</f>
        <v>295102500</v>
      </c>
      <c r="AO86" s="69">
        <f>'Alt. scenario LCY'!U84</f>
        <v>314015625</v>
      </c>
      <c r="AP86" s="92">
        <f>'Alt. scenario LCY'!V84</f>
        <v>332640000</v>
      </c>
      <c r="AQ86" s="244">
        <f>'Alt. scenario LCY'!W84</f>
        <v>332640000</v>
      </c>
      <c r="AR86" s="68">
        <f>'Key financial and ops fig.s LCY'!X84</f>
        <v>350975625</v>
      </c>
      <c r="AS86" s="69">
        <f>'Key financial and ops fig.s LCY'!Y84</f>
        <v>369022500</v>
      </c>
      <c r="AT86" s="69">
        <f>'Key financial and ops fig.s LCY'!Z84</f>
        <v>386780625</v>
      </c>
      <c r="AU86" s="92">
        <f>'Key financial and ops fig.s LCY'!AA84</f>
        <v>404250000</v>
      </c>
      <c r="AV86" s="226">
        <f>'Key financial and ops fig.s LCY'!AB84</f>
        <v>404250000</v>
      </c>
      <c r="AW86" s="68">
        <f>'Alt. scenario LCY'!X84</f>
        <v>350975625</v>
      </c>
      <c r="AX86" s="69">
        <f>'Alt. scenario LCY'!Y84</f>
        <v>369022500</v>
      </c>
      <c r="AY86" s="69">
        <f>'Alt. scenario LCY'!Z84</f>
        <v>386780625</v>
      </c>
      <c r="AZ86" s="92">
        <f>'Alt. scenario LCY'!AA84</f>
        <v>404250000</v>
      </c>
      <c r="BA86" s="244">
        <f>'Alt. scenario LCY'!AB84</f>
        <v>404250000</v>
      </c>
      <c r="BB86" s="68">
        <f>'Key financial and ops fig.s LCY'!AC84</f>
        <v>401362500</v>
      </c>
      <c r="BC86" s="69">
        <f>'Key financial and ops fig.s LCY'!AD84</f>
        <v>398475000</v>
      </c>
      <c r="BD86" s="69">
        <f>'Key financial and ops fig.s LCY'!AE84</f>
        <v>395587500</v>
      </c>
      <c r="BE86" s="92">
        <f>'Key financial and ops fig.s LCY'!AF84</f>
        <v>392700000</v>
      </c>
      <c r="BF86" s="226">
        <f>'Key financial and ops fig.s LCY'!AG84</f>
        <v>392700000</v>
      </c>
      <c r="BG86" s="68">
        <f>'Alt. scenario LCY'!AC84</f>
        <v>401362500</v>
      </c>
      <c r="BH86" s="69">
        <f>'Alt. scenario LCY'!AD84</f>
        <v>398475000</v>
      </c>
      <c r="BI86" s="69">
        <f>'Alt. scenario LCY'!AE84</f>
        <v>395587500</v>
      </c>
      <c r="BJ86" s="92">
        <f>'Alt. scenario LCY'!AF84</f>
        <v>392700000</v>
      </c>
      <c r="BK86" s="244">
        <f>'Alt. scenario LCY'!AG84</f>
        <v>392700000</v>
      </c>
      <c r="BL86" s="68">
        <f>'Key financial and ops fig.s LCY'!AH84</f>
        <v>389812500</v>
      </c>
      <c r="BM86" s="69">
        <f>'Key financial and ops fig.s LCY'!AI84</f>
        <v>386925000</v>
      </c>
      <c r="BN86" s="69">
        <f>'Key financial and ops fig.s LCY'!AJ84</f>
        <v>384037500</v>
      </c>
      <c r="BO86" s="92">
        <f>'Key financial and ops fig.s LCY'!AK84</f>
        <v>381150000</v>
      </c>
      <c r="BP86" s="226">
        <f>'Key financial and ops fig.s LCY'!AL84</f>
        <v>381150000</v>
      </c>
      <c r="BQ86" s="68">
        <f>'Alt. scenario LCY'!AH84</f>
        <v>389812500</v>
      </c>
      <c r="BR86" s="69">
        <f>'Alt. scenario LCY'!AI84</f>
        <v>386925000</v>
      </c>
      <c r="BS86" s="69">
        <f>'Alt. scenario LCY'!AJ84</f>
        <v>384037500</v>
      </c>
      <c r="BT86" s="92">
        <f>'Alt. scenario LCY'!AK84</f>
        <v>381150000</v>
      </c>
      <c r="BU86" s="244">
        <f>'Alt. scenario LCY'!AL84</f>
        <v>381150000</v>
      </c>
    </row>
    <row r="87" spans="1:73" s="56" customFormat="1" ht="15.95">
      <c r="A87" s="55"/>
      <c r="C87" s="189" t="s">
        <v>320</v>
      </c>
      <c r="D87" s="68">
        <f>'Key financial and ops fig.s LCY'!D85</f>
        <v>11.477812500000001</v>
      </c>
      <c r="E87" s="69">
        <f>'Key financial and ops fig.s LCY'!E85</f>
        <v>22.811250000000001</v>
      </c>
      <c r="F87" s="69">
        <f>'Key financial and ops fig.s LCY'!F85</f>
        <v>34.0003125</v>
      </c>
      <c r="G87" s="92">
        <f>'Key financial and ops fig.s LCY'!G85</f>
        <v>45.045000000000002</v>
      </c>
      <c r="H87" s="227">
        <f>'Key financial and ops fig.s LCY'!H85</f>
        <v>28.333593750000002</v>
      </c>
      <c r="I87" s="68">
        <f>'Alt. scenario LCY'!D85</f>
        <v>11.477812500000001</v>
      </c>
      <c r="J87" s="69">
        <f>'Alt. scenario LCY'!E85</f>
        <v>22.811250000000001</v>
      </c>
      <c r="K87" s="69">
        <f>'Alt. scenario LCY'!F85</f>
        <v>34.0003125</v>
      </c>
      <c r="L87" s="92">
        <f>'Alt. scenario LCY'!G85</f>
        <v>45.045000000000002</v>
      </c>
      <c r="M87" s="245">
        <f>'Alt. scenario LCY'!H85</f>
        <v>28.333593750000002</v>
      </c>
      <c r="N87" s="68">
        <f>'Key financial and ops fig.s LCY'!I85</f>
        <v>55.9453125</v>
      </c>
      <c r="O87" s="69">
        <f>'Key financial and ops fig.s LCY'!J85</f>
        <v>66.701250000000002</v>
      </c>
      <c r="P87" s="69">
        <f>'Key financial and ops fig.s LCY'!K85</f>
        <v>77.312812500000007</v>
      </c>
      <c r="Q87" s="92">
        <f>'Key financial and ops fig.s LCY'!L85</f>
        <v>87.78</v>
      </c>
      <c r="R87" s="227">
        <f>'Key financial and ops fig.s LCY'!M85</f>
        <v>71.934843749999999</v>
      </c>
      <c r="S87" s="68">
        <f>'Alt. scenario LCY'!I85</f>
        <v>55.9453125</v>
      </c>
      <c r="T87" s="69">
        <f>'Alt. scenario LCY'!J85</f>
        <v>66.701250000000002</v>
      </c>
      <c r="U87" s="69">
        <f>'Alt. scenario LCY'!K85</f>
        <v>77.312812500000007</v>
      </c>
      <c r="V87" s="92">
        <f>'Alt. scenario LCY'!L85</f>
        <v>87.78</v>
      </c>
      <c r="W87" s="245">
        <f>'Alt. scenario LCY'!M85</f>
        <v>71.934843749999999</v>
      </c>
      <c r="X87" s="68">
        <f>'Key financial and ops fig.s LCY'!N85</f>
        <v>98.102812499999999</v>
      </c>
      <c r="Y87" s="69">
        <f>'Key financial and ops fig.s LCY'!O85</f>
        <v>108.28125</v>
      </c>
      <c r="Z87" s="69">
        <f>'Key financial and ops fig.s LCY'!P85</f>
        <v>118.3153125</v>
      </c>
      <c r="AA87" s="92">
        <f>'Key financial and ops fig.s LCY'!Q85</f>
        <v>128.20500000000001</v>
      </c>
      <c r="AB87" s="227">
        <f>'Key financial and ops fig.s LCY'!R85</f>
        <v>113.22609375000002</v>
      </c>
      <c r="AC87" s="68">
        <f>'Alt. scenario LCY'!N85</f>
        <v>98.102812499999999</v>
      </c>
      <c r="AD87" s="69">
        <f>'Alt. scenario LCY'!O85</f>
        <v>108.28125</v>
      </c>
      <c r="AE87" s="69">
        <f>'Alt. scenario LCY'!P85</f>
        <v>118.3153125</v>
      </c>
      <c r="AF87" s="92">
        <f>'Alt. scenario LCY'!Q85</f>
        <v>128.20500000000001</v>
      </c>
      <c r="AG87" s="245">
        <f>'Alt. scenario LCY'!R85</f>
        <v>113.22609375000002</v>
      </c>
      <c r="AH87" s="68">
        <f>'Key financial and ops fig.s LCY'!S85</f>
        <v>137.9503125</v>
      </c>
      <c r="AI87" s="69">
        <f>'Key financial and ops fig.s LCY'!T85</f>
        <v>147.55125000000001</v>
      </c>
      <c r="AJ87" s="69">
        <f>'Key financial and ops fig.s LCY'!U85</f>
        <v>157.0078125</v>
      </c>
      <c r="AK87" s="92">
        <f>'Key financial and ops fig.s LCY'!V85</f>
        <v>166.32</v>
      </c>
      <c r="AL87" s="227">
        <f>'Key financial and ops fig.s LCY'!W85</f>
        <v>152.20734375000001</v>
      </c>
      <c r="AM87" s="68">
        <f>'Alt. scenario LCY'!S85</f>
        <v>137.9503125</v>
      </c>
      <c r="AN87" s="69">
        <f>'Alt. scenario LCY'!T85</f>
        <v>147.55125000000001</v>
      </c>
      <c r="AO87" s="69">
        <f>'Alt. scenario LCY'!U85</f>
        <v>157.0078125</v>
      </c>
      <c r="AP87" s="92">
        <f>'Alt. scenario LCY'!V85</f>
        <v>166.32</v>
      </c>
      <c r="AQ87" s="245">
        <f>'Alt. scenario LCY'!W85</f>
        <v>152.20734375000001</v>
      </c>
      <c r="AR87" s="68">
        <f>'Key financial and ops fig.s LCY'!X85</f>
        <v>175.48781249999999</v>
      </c>
      <c r="AS87" s="69">
        <f>'Key financial and ops fig.s LCY'!Y85</f>
        <v>184.51124999999999</v>
      </c>
      <c r="AT87" s="69">
        <f>'Key financial and ops fig.s LCY'!Z85</f>
        <v>193.39031249999999</v>
      </c>
      <c r="AU87" s="92">
        <f>'Key financial and ops fig.s LCY'!AA85</f>
        <v>202.125</v>
      </c>
      <c r="AV87" s="227">
        <f>'Key financial and ops fig.s LCY'!AB85</f>
        <v>188.87859374999999</v>
      </c>
      <c r="AW87" s="68">
        <f>'Alt. scenario LCY'!X85</f>
        <v>175.48781249999999</v>
      </c>
      <c r="AX87" s="69">
        <f>'Alt. scenario LCY'!Y85</f>
        <v>184.51124999999999</v>
      </c>
      <c r="AY87" s="69">
        <f>'Alt. scenario LCY'!Z85</f>
        <v>193.39031249999999</v>
      </c>
      <c r="AZ87" s="92">
        <f>'Alt. scenario LCY'!AA85</f>
        <v>202.125</v>
      </c>
      <c r="BA87" s="245">
        <f>'Alt. scenario LCY'!AB85</f>
        <v>188.87859374999999</v>
      </c>
      <c r="BB87" s="68">
        <f>'Key financial and ops fig.s LCY'!AC85</f>
        <v>200.68125000000001</v>
      </c>
      <c r="BC87" s="69">
        <f>'Key financial and ops fig.s LCY'!AD85</f>
        <v>199.23750000000001</v>
      </c>
      <c r="BD87" s="69">
        <f>'Key financial and ops fig.s LCY'!AE85</f>
        <v>197.79374999999999</v>
      </c>
      <c r="BE87" s="92">
        <f>'Key financial and ops fig.s LCY'!AF85</f>
        <v>196.35</v>
      </c>
      <c r="BF87" s="227">
        <f>'Key financial and ops fig.s LCY'!AG85</f>
        <v>198.51562500000003</v>
      </c>
      <c r="BG87" s="68">
        <f>'Alt. scenario LCY'!AC85</f>
        <v>200.68125000000001</v>
      </c>
      <c r="BH87" s="69">
        <f>'Alt. scenario LCY'!AD85</f>
        <v>199.23750000000001</v>
      </c>
      <c r="BI87" s="69">
        <f>'Alt. scenario LCY'!AE85</f>
        <v>197.79374999999999</v>
      </c>
      <c r="BJ87" s="92">
        <f>'Alt. scenario LCY'!AF85</f>
        <v>196.35</v>
      </c>
      <c r="BK87" s="245">
        <f>'Alt. scenario LCY'!AG85</f>
        <v>198.51562500000003</v>
      </c>
      <c r="BL87" s="68">
        <f>'Key financial and ops fig.s LCY'!AH85</f>
        <v>194.90625</v>
      </c>
      <c r="BM87" s="69">
        <f>'Key financial and ops fig.s LCY'!AI85</f>
        <v>193.46250000000001</v>
      </c>
      <c r="BN87" s="69">
        <f>'Key financial and ops fig.s LCY'!AJ85</f>
        <v>192.01875000000001</v>
      </c>
      <c r="BO87" s="92">
        <f>'Key financial and ops fig.s LCY'!AK85</f>
        <v>190.57499999999999</v>
      </c>
      <c r="BP87" s="227">
        <f>'Key financial and ops fig.s LCY'!AL85</f>
        <v>192.74062500000002</v>
      </c>
      <c r="BQ87" s="68">
        <f>'Alt. scenario LCY'!AH85</f>
        <v>194.90625</v>
      </c>
      <c r="BR87" s="69">
        <f>'Alt. scenario LCY'!AI85</f>
        <v>193.46250000000001</v>
      </c>
      <c r="BS87" s="69">
        <f>'Alt. scenario LCY'!AJ85</f>
        <v>192.01875000000001</v>
      </c>
      <c r="BT87" s="92">
        <f>'Alt. scenario LCY'!AK85</f>
        <v>190.57499999999999</v>
      </c>
      <c r="BU87" s="245">
        <f>'Alt. scenario LCY'!AL85</f>
        <v>192.74062500000002</v>
      </c>
    </row>
    <row r="88" spans="1:73" s="56" customFormat="1" ht="15.95">
      <c r="A88" s="55"/>
      <c r="C88" s="189" t="s">
        <v>321</v>
      </c>
      <c r="D88" s="68">
        <f>'Key financial and ops fig.s LCY'!D86</f>
        <v>2</v>
      </c>
      <c r="E88" s="69">
        <f>'Key financial and ops fig.s LCY'!E86</f>
        <v>3</v>
      </c>
      <c r="F88" s="69">
        <f>'Key financial and ops fig.s LCY'!F86</f>
        <v>4</v>
      </c>
      <c r="G88" s="92">
        <f>'Key financial and ops fig.s LCY'!G86</f>
        <v>5</v>
      </c>
      <c r="H88" s="227">
        <f>'Key financial and ops fig.s LCY'!H86</f>
        <v>3.5</v>
      </c>
      <c r="I88" s="68">
        <f>'Alt. scenario LCY'!D86</f>
        <v>2</v>
      </c>
      <c r="J88" s="69">
        <f>'Alt. scenario LCY'!E86</f>
        <v>3</v>
      </c>
      <c r="K88" s="69">
        <f>'Alt. scenario LCY'!F86</f>
        <v>4</v>
      </c>
      <c r="L88" s="92">
        <f>'Alt. scenario LCY'!G86</f>
        <v>5</v>
      </c>
      <c r="M88" s="245">
        <f>'Alt. scenario LCY'!H86</f>
        <v>3.5</v>
      </c>
      <c r="N88" s="68">
        <f>'Key financial and ops fig.s LCY'!I86</f>
        <v>6</v>
      </c>
      <c r="O88" s="69">
        <f>'Key financial and ops fig.s LCY'!J86</f>
        <v>7</v>
      </c>
      <c r="P88" s="69">
        <f>'Key financial and ops fig.s LCY'!K86</f>
        <v>8</v>
      </c>
      <c r="Q88" s="92">
        <f>'Key financial and ops fig.s LCY'!L86</f>
        <v>9</v>
      </c>
      <c r="R88" s="227">
        <f>'Key financial and ops fig.s LCY'!M86</f>
        <v>7.5</v>
      </c>
      <c r="S88" s="68">
        <f>'Alt. scenario LCY'!I86</f>
        <v>6</v>
      </c>
      <c r="T88" s="69">
        <f>'Alt. scenario LCY'!J86</f>
        <v>7</v>
      </c>
      <c r="U88" s="69">
        <f>'Alt. scenario LCY'!K86</f>
        <v>8</v>
      </c>
      <c r="V88" s="92">
        <f>'Alt. scenario LCY'!L86</f>
        <v>9</v>
      </c>
      <c r="W88" s="245">
        <f>'Alt. scenario LCY'!M86</f>
        <v>7.5</v>
      </c>
      <c r="X88" s="68">
        <f>'Key financial and ops fig.s LCY'!N86</f>
        <v>10</v>
      </c>
      <c r="Y88" s="69">
        <f>'Key financial and ops fig.s LCY'!O86</f>
        <v>11</v>
      </c>
      <c r="Z88" s="69">
        <f>'Key financial and ops fig.s LCY'!P86</f>
        <v>12</v>
      </c>
      <c r="AA88" s="92">
        <f>'Key financial and ops fig.s LCY'!Q86</f>
        <v>13</v>
      </c>
      <c r="AB88" s="227">
        <f>'Key financial and ops fig.s LCY'!R86</f>
        <v>11.5</v>
      </c>
      <c r="AC88" s="68">
        <f>'Alt. scenario LCY'!N86</f>
        <v>10</v>
      </c>
      <c r="AD88" s="69">
        <f>'Alt. scenario LCY'!O86</f>
        <v>11</v>
      </c>
      <c r="AE88" s="69">
        <f>'Alt. scenario LCY'!P86</f>
        <v>12</v>
      </c>
      <c r="AF88" s="92">
        <f>'Alt. scenario LCY'!Q86</f>
        <v>13</v>
      </c>
      <c r="AG88" s="245">
        <f>'Alt. scenario LCY'!R86</f>
        <v>11.5</v>
      </c>
      <c r="AH88" s="68">
        <f>'Key financial and ops fig.s LCY'!S86</f>
        <v>14</v>
      </c>
      <c r="AI88" s="69">
        <f>'Key financial and ops fig.s LCY'!T86</f>
        <v>15</v>
      </c>
      <c r="AJ88" s="69">
        <f>'Key financial and ops fig.s LCY'!U86</f>
        <v>16</v>
      </c>
      <c r="AK88" s="92">
        <f>'Key financial and ops fig.s LCY'!V86</f>
        <v>17</v>
      </c>
      <c r="AL88" s="227">
        <f>'Key financial and ops fig.s LCY'!W86</f>
        <v>15.5</v>
      </c>
      <c r="AM88" s="68">
        <f>'Alt. scenario LCY'!S86</f>
        <v>14</v>
      </c>
      <c r="AN88" s="69">
        <f>'Alt. scenario LCY'!T86</f>
        <v>15</v>
      </c>
      <c r="AO88" s="69">
        <f>'Alt. scenario LCY'!U86</f>
        <v>16</v>
      </c>
      <c r="AP88" s="92">
        <f>'Alt. scenario LCY'!V86</f>
        <v>17</v>
      </c>
      <c r="AQ88" s="245">
        <f>'Alt. scenario LCY'!W86</f>
        <v>15.5</v>
      </c>
      <c r="AR88" s="68">
        <f>'Key financial and ops fig.s LCY'!X86</f>
        <v>18</v>
      </c>
      <c r="AS88" s="69">
        <f>'Key financial and ops fig.s LCY'!Y86</f>
        <v>19</v>
      </c>
      <c r="AT88" s="69">
        <f>'Key financial and ops fig.s LCY'!Z86</f>
        <v>20</v>
      </c>
      <c r="AU88" s="92">
        <f>'Key financial and ops fig.s LCY'!AA86</f>
        <v>21</v>
      </c>
      <c r="AV88" s="227">
        <f>'Key financial and ops fig.s LCY'!AB86</f>
        <v>19.5</v>
      </c>
      <c r="AW88" s="68">
        <f>'Alt. scenario LCY'!X86</f>
        <v>18</v>
      </c>
      <c r="AX88" s="69">
        <f>'Alt. scenario LCY'!Y86</f>
        <v>19</v>
      </c>
      <c r="AY88" s="69">
        <f>'Alt. scenario LCY'!Z86</f>
        <v>20</v>
      </c>
      <c r="AZ88" s="92">
        <f>'Alt. scenario LCY'!AA86</f>
        <v>21</v>
      </c>
      <c r="BA88" s="245">
        <f>'Alt. scenario LCY'!AB86</f>
        <v>19.5</v>
      </c>
      <c r="BB88" s="68">
        <f>'Key financial and ops fig.s LCY'!AC86</f>
        <v>21</v>
      </c>
      <c r="BC88" s="69">
        <f>'Key financial and ops fig.s LCY'!AD86</f>
        <v>20</v>
      </c>
      <c r="BD88" s="69">
        <f>'Key financial and ops fig.s LCY'!AE86</f>
        <v>20</v>
      </c>
      <c r="BE88" s="92">
        <f>'Key financial and ops fig.s LCY'!AF86</f>
        <v>20</v>
      </c>
      <c r="BF88" s="227">
        <f>'Key financial and ops fig.s LCY'!AG86</f>
        <v>20.25</v>
      </c>
      <c r="BG88" s="68">
        <f>'Alt. scenario LCY'!AC86</f>
        <v>21</v>
      </c>
      <c r="BH88" s="69">
        <f>'Alt. scenario LCY'!AD86</f>
        <v>20</v>
      </c>
      <c r="BI88" s="69">
        <f>'Alt. scenario LCY'!AE86</f>
        <v>20</v>
      </c>
      <c r="BJ88" s="92">
        <f>'Alt. scenario LCY'!AF86</f>
        <v>20</v>
      </c>
      <c r="BK88" s="245">
        <f>'Alt. scenario LCY'!AG86</f>
        <v>20.25</v>
      </c>
      <c r="BL88" s="68">
        <f>'Key financial and ops fig.s LCY'!AH86</f>
        <v>20</v>
      </c>
      <c r="BM88" s="69">
        <f>'Key financial and ops fig.s LCY'!AI86</f>
        <v>20</v>
      </c>
      <c r="BN88" s="69">
        <f>'Key financial and ops fig.s LCY'!AJ86</f>
        <v>20</v>
      </c>
      <c r="BO88" s="92">
        <f>'Key financial and ops fig.s LCY'!AK86</f>
        <v>20</v>
      </c>
      <c r="BP88" s="227">
        <f>'Key financial and ops fig.s LCY'!AL86</f>
        <v>20</v>
      </c>
      <c r="BQ88" s="68">
        <f>'Alt. scenario LCY'!AH86</f>
        <v>20</v>
      </c>
      <c r="BR88" s="69">
        <f>'Alt. scenario LCY'!AI86</f>
        <v>20</v>
      </c>
      <c r="BS88" s="69">
        <f>'Alt. scenario LCY'!AJ86</f>
        <v>20</v>
      </c>
      <c r="BT88" s="92">
        <f>'Alt. scenario LCY'!AK86</f>
        <v>20</v>
      </c>
      <c r="BU88" s="245">
        <f>'Alt. scenario LCY'!AL86</f>
        <v>20</v>
      </c>
    </row>
    <row r="89" spans="1:73" ht="15.95">
      <c r="A89" s="36"/>
      <c r="B89" s="37"/>
      <c r="C89" s="189" t="s">
        <v>322</v>
      </c>
      <c r="D89" s="70">
        <f>'Key financial and ops fig.s LCY'!D87</f>
        <v>6</v>
      </c>
      <c r="E89" s="71">
        <f>'Key financial and ops fig.s LCY'!E87</f>
        <v>12</v>
      </c>
      <c r="F89" s="71">
        <f>'Key financial and ops fig.s LCY'!F87</f>
        <v>18</v>
      </c>
      <c r="G89" s="93">
        <f>'Key financial and ops fig.s LCY'!G87</f>
        <v>23</v>
      </c>
      <c r="H89" s="227">
        <f>'Key financial and ops fig.s LCY'!H87</f>
        <v>14.75</v>
      </c>
      <c r="I89" s="70">
        <f>'Alt. scenario LCY'!D87</f>
        <v>6</v>
      </c>
      <c r="J89" s="71">
        <f>'Alt. scenario LCY'!E87</f>
        <v>12</v>
      </c>
      <c r="K89" s="71">
        <f>'Alt. scenario LCY'!F87</f>
        <v>18</v>
      </c>
      <c r="L89" s="93">
        <f>'Alt. scenario LCY'!G87</f>
        <v>23</v>
      </c>
      <c r="M89" s="245">
        <f>'Alt. scenario LCY'!H87</f>
        <v>14.75</v>
      </c>
      <c r="N89" s="70">
        <f>'Key financial and ops fig.s LCY'!I87</f>
        <v>28</v>
      </c>
      <c r="O89" s="71">
        <f>'Key financial and ops fig.s LCY'!J87</f>
        <v>34</v>
      </c>
      <c r="P89" s="71">
        <f>'Key financial and ops fig.s LCY'!K87</f>
        <v>39</v>
      </c>
      <c r="Q89" s="93">
        <f>'Key financial and ops fig.s LCY'!L87</f>
        <v>44</v>
      </c>
      <c r="R89" s="227">
        <f>'Key financial and ops fig.s LCY'!M87</f>
        <v>36.25</v>
      </c>
      <c r="S89" s="70">
        <f>'Alt. scenario LCY'!I87</f>
        <v>28</v>
      </c>
      <c r="T89" s="71">
        <f>'Alt. scenario LCY'!J87</f>
        <v>34</v>
      </c>
      <c r="U89" s="71">
        <f>'Alt. scenario LCY'!K87</f>
        <v>39</v>
      </c>
      <c r="V89" s="93">
        <f>'Alt. scenario LCY'!L87</f>
        <v>44</v>
      </c>
      <c r="W89" s="245">
        <f>'Alt. scenario LCY'!M87</f>
        <v>36.25</v>
      </c>
      <c r="X89" s="70">
        <f>'Key financial and ops fig.s LCY'!N87</f>
        <v>50</v>
      </c>
      <c r="Y89" s="71">
        <f>'Key financial and ops fig.s LCY'!O87</f>
        <v>55</v>
      </c>
      <c r="Z89" s="71">
        <f>'Key financial and ops fig.s LCY'!P87</f>
        <v>60</v>
      </c>
      <c r="AA89" s="93">
        <f>'Key financial and ops fig.s LCY'!Q87</f>
        <v>65</v>
      </c>
      <c r="AB89" s="227">
        <f>'Key financial and ops fig.s LCY'!R87</f>
        <v>57.5</v>
      </c>
      <c r="AC89" s="70">
        <f>'Alt. scenario LCY'!N87</f>
        <v>50</v>
      </c>
      <c r="AD89" s="71">
        <f>'Alt. scenario LCY'!O87</f>
        <v>55</v>
      </c>
      <c r="AE89" s="71">
        <f>'Alt. scenario LCY'!P87</f>
        <v>60</v>
      </c>
      <c r="AF89" s="93">
        <f>'Alt. scenario LCY'!Q87</f>
        <v>65</v>
      </c>
      <c r="AG89" s="245">
        <f>'Alt. scenario LCY'!R87</f>
        <v>57.5</v>
      </c>
      <c r="AH89" s="70">
        <f>'Key financial and ops fig.s LCY'!S87</f>
        <v>69</v>
      </c>
      <c r="AI89" s="71">
        <f>'Key financial and ops fig.s LCY'!T87</f>
        <v>74</v>
      </c>
      <c r="AJ89" s="71">
        <f>'Key financial and ops fig.s LCY'!U87</f>
        <v>79</v>
      </c>
      <c r="AK89" s="93">
        <f>'Key financial and ops fig.s LCY'!V87</f>
        <v>84</v>
      </c>
      <c r="AL89" s="227">
        <f>'Key financial and ops fig.s LCY'!W87</f>
        <v>76.5</v>
      </c>
      <c r="AM89" s="70">
        <f>'Alt. scenario LCY'!S87</f>
        <v>69</v>
      </c>
      <c r="AN89" s="71">
        <f>'Alt. scenario LCY'!T87</f>
        <v>74</v>
      </c>
      <c r="AO89" s="71">
        <f>'Alt. scenario LCY'!U87</f>
        <v>79</v>
      </c>
      <c r="AP89" s="93">
        <f>'Alt. scenario LCY'!V87</f>
        <v>84</v>
      </c>
      <c r="AQ89" s="245">
        <f>'Alt. scenario LCY'!W87</f>
        <v>76.5</v>
      </c>
      <c r="AR89" s="70">
        <f>'Key financial and ops fig.s LCY'!X87</f>
        <v>88</v>
      </c>
      <c r="AS89" s="71">
        <f>'Key financial and ops fig.s LCY'!Y87</f>
        <v>93</v>
      </c>
      <c r="AT89" s="71">
        <f>'Key financial and ops fig.s LCY'!Z87</f>
        <v>97</v>
      </c>
      <c r="AU89" s="93">
        <f>'Key financial and ops fig.s LCY'!AA87</f>
        <v>102</v>
      </c>
      <c r="AV89" s="227">
        <f>'Key financial and ops fig.s LCY'!AB87</f>
        <v>95</v>
      </c>
      <c r="AW89" s="70">
        <f>'Alt. scenario LCY'!X87</f>
        <v>88</v>
      </c>
      <c r="AX89" s="71">
        <f>'Alt. scenario LCY'!Y87</f>
        <v>93</v>
      </c>
      <c r="AY89" s="71">
        <f>'Alt. scenario LCY'!Z87</f>
        <v>97</v>
      </c>
      <c r="AZ89" s="93">
        <f>'Alt. scenario LCY'!AA87</f>
        <v>102</v>
      </c>
      <c r="BA89" s="245">
        <f>'Alt. scenario LCY'!AB87</f>
        <v>95</v>
      </c>
      <c r="BB89" s="70">
        <f>'Key financial and ops fig.s LCY'!AC87</f>
        <v>101</v>
      </c>
      <c r="BC89" s="71">
        <f>'Key financial and ops fig.s LCY'!AD87</f>
        <v>100</v>
      </c>
      <c r="BD89" s="71">
        <f>'Key financial and ops fig.s LCY'!AE87</f>
        <v>99</v>
      </c>
      <c r="BE89" s="93">
        <f>'Key financial and ops fig.s LCY'!AF87</f>
        <v>99</v>
      </c>
      <c r="BF89" s="227">
        <f>'Key financial and ops fig.s LCY'!AG87</f>
        <v>99.75</v>
      </c>
      <c r="BG89" s="70">
        <f>'Alt. scenario LCY'!AC87</f>
        <v>101</v>
      </c>
      <c r="BH89" s="71">
        <f>'Alt. scenario LCY'!AD87</f>
        <v>100</v>
      </c>
      <c r="BI89" s="71">
        <f>'Alt. scenario LCY'!AE87</f>
        <v>99</v>
      </c>
      <c r="BJ89" s="93">
        <f>'Alt. scenario LCY'!AF87</f>
        <v>99</v>
      </c>
      <c r="BK89" s="245">
        <f>'Alt. scenario LCY'!AG87</f>
        <v>99.75</v>
      </c>
      <c r="BL89" s="70">
        <f>'Key financial and ops fig.s LCY'!AH87</f>
        <v>98</v>
      </c>
      <c r="BM89" s="71">
        <f>'Key financial and ops fig.s LCY'!AI87</f>
        <v>97</v>
      </c>
      <c r="BN89" s="71">
        <f>'Key financial and ops fig.s LCY'!AJ87</f>
        <v>97</v>
      </c>
      <c r="BO89" s="93">
        <f>'Key financial and ops fig.s LCY'!AK87</f>
        <v>96</v>
      </c>
      <c r="BP89" s="227">
        <f>'Key financial and ops fig.s LCY'!AL87</f>
        <v>97</v>
      </c>
      <c r="BQ89" s="70">
        <f>'Alt. scenario LCY'!AH87</f>
        <v>98</v>
      </c>
      <c r="BR89" s="71">
        <f>'Alt. scenario LCY'!AI87</f>
        <v>97</v>
      </c>
      <c r="BS89" s="71">
        <f>'Alt. scenario LCY'!AJ87</f>
        <v>97</v>
      </c>
      <c r="BT89" s="93">
        <f>'Alt. scenario LCY'!AK87</f>
        <v>96</v>
      </c>
      <c r="BU89" s="245">
        <f>'Alt. scenario LCY'!AL87</f>
        <v>97</v>
      </c>
    </row>
    <row r="90" spans="1:73" s="56" customFormat="1" ht="15.95">
      <c r="A90" s="31"/>
      <c r="B90" s="32"/>
      <c r="C90" s="189" t="s">
        <v>323</v>
      </c>
      <c r="D90" s="68">
        <f>'Key financial and ops fig.s LCY'!D88</f>
        <v>3</v>
      </c>
      <c r="E90" s="69">
        <f>'Key financial and ops fig.s LCY'!E88</f>
        <v>5</v>
      </c>
      <c r="F90" s="69">
        <f>'Key financial and ops fig.s LCY'!F88</f>
        <v>7</v>
      </c>
      <c r="G90" s="92">
        <f>'Key financial and ops fig.s LCY'!G88</f>
        <v>10</v>
      </c>
      <c r="H90" s="227">
        <f>'Key financial and ops fig.s LCY'!H88</f>
        <v>6.25</v>
      </c>
      <c r="I90" s="68">
        <f>'Alt. scenario LCY'!D88</f>
        <v>3</v>
      </c>
      <c r="J90" s="69">
        <f>'Alt. scenario LCY'!E88</f>
        <v>5</v>
      </c>
      <c r="K90" s="69">
        <f>'Alt. scenario LCY'!F88</f>
        <v>7</v>
      </c>
      <c r="L90" s="92">
        <f>'Alt. scenario LCY'!G88</f>
        <v>10</v>
      </c>
      <c r="M90" s="245">
        <f>'Alt. scenario LCY'!H88</f>
        <v>6.25</v>
      </c>
      <c r="N90" s="68">
        <f>'Key financial and ops fig.s LCY'!I88</f>
        <v>12</v>
      </c>
      <c r="O90" s="69">
        <f>'Key financial and ops fig.s LCY'!J88</f>
        <v>14</v>
      </c>
      <c r="P90" s="69">
        <f>'Key financial and ops fig.s LCY'!K88</f>
        <v>16</v>
      </c>
      <c r="Q90" s="92">
        <f>'Key financial and ops fig.s LCY'!L88</f>
        <v>18</v>
      </c>
      <c r="R90" s="227">
        <f>'Key financial and ops fig.s LCY'!M88</f>
        <v>15</v>
      </c>
      <c r="S90" s="68">
        <f>'Alt. scenario LCY'!I88</f>
        <v>12</v>
      </c>
      <c r="T90" s="69">
        <f>'Alt. scenario LCY'!J88</f>
        <v>14</v>
      </c>
      <c r="U90" s="69">
        <f>'Alt. scenario LCY'!K88</f>
        <v>16</v>
      </c>
      <c r="V90" s="92">
        <f>'Alt. scenario LCY'!L88</f>
        <v>18</v>
      </c>
      <c r="W90" s="245">
        <f>'Alt. scenario LCY'!M88</f>
        <v>15</v>
      </c>
      <c r="X90" s="68">
        <f>'Key financial and ops fig.s LCY'!N88</f>
        <v>20</v>
      </c>
      <c r="Y90" s="69">
        <f>'Key financial and ops fig.s LCY'!O88</f>
        <v>22</v>
      </c>
      <c r="Z90" s="69">
        <f>'Key financial and ops fig.s LCY'!P88</f>
        <v>24</v>
      </c>
      <c r="AA90" s="92">
        <f>'Key financial and ops fig.s LCY'!Q88</f>
        <v>26</v>
      </c>
      <c r="AB90" s="227">
        <f>'Key financial and ops fig.s LCY'!R88</f>
        <v>23</v>
      </c>
      <c r="AC90" s="68">
        <f>'Alt. scenario LCY'!N88</f>
        <v>20</v>
      </c>
      <c r="AD90" s="69">
        <f>'Alt. scenario LCY'!O88</f>
        <v>22</v>
      </c>
      <c r="AE90" s="69">
        <f>'Alt. scenario LCY'!P88</f>
        <v>24</v>
      </c>
      <c r="AF90" s="92">
        <f>'Alt. scenario LCY'!Q88</f>
        <v>26</v>
      </c>
      <c r="AG90" s="245">
        <f>'Alt. scenario LCY'!R88</f>
        <v>23</v>
      </c>
      <c r="AH90" s="68">
        <f>'Key financial and ops fig.s LCY'!S88</f>
        <v>28</v>
      </c>
      <c r="AI90" s="69">
        <f>'Key financial and ops fig.s LCY'!T88</f>
        <v>30</v>
      </c>
      <c r="AJ90" s="69">
        <f>'Key financial and ops fig.s LCY'!U88</f>
        <v>32</v>
      </c>
      <c r="AK90" s="92">
        <f>'Key financial and ops fig.s LCY'!V88</f>
        <v>34</v>
      </c>
      <c r="AL90" s="227">
        <f>'Key financial and ops fig.s LCY'!W88</f>
        <v>31</v>
      </c>
      <c r="AM90" s="68">
        <f>'Alt. scenario LCY'!S88</f>
        <v>28</v>
      </c>
      <c r="AN90" s="69">
        <f>'Alt. scenario LCY'!T88</f>
        <v>30</v>
      </c>
      <c r="AO90" s="69">
        <f>'Alt. scenario LCY'!U88</f>
        <v>32</v>
      </c>
      <c r="AP90" s="92">
        <f>'Alt. scenario LCY'!V88</f>
        <v>34</v>
      </c>
      <c r="AQ90" s="245">
        <f>'Alt. scenario LCY'!W88</f>
        <v>31</v>
      </c>
      <c r="AR90" s="68">
        <f>'Key financial and ops fig.s LCY'!X88</f>
        <v>36</v>
      </c>
      <c r="AS90" s="69">
        <f>'Key financial and ops fig.s LCY'!Y88</f>
        <v>37</v>
      </c>
      <c r="AT90" s="69">
        <f>'Key financial and ops fig.s LCY'!Z88</f>
        <v>39</v>
      </c>
      <c r="AU90" s="92">
        <f>'Key financial and ops fig.s LCY'!AA88</f>
        <v>41</v>
      </c>
      <c r="AV90" s="227">
        <f>'Key financial and ops fig.s LCY'!AB88</f>
        <v>38.25</v>
      </c>
      <c r="AW90" s="68">
        <f>'Alt. scenario LCY'!X88</f>
        <v>36</v>
      </c>
      <c r="AX90" s="69">
        <f>'Alt. scenario LCY'!Y88</f>
        <v>37</v>
      </c>
      <c r="AY90" s="69">
        <f>'Alt. scenario LCY'!Z88</f>
        <v>39</v>
      </c>
      <c r="AZ90" s="92">
        <f>'Alt. scenario LCY'!AA88</f>
        <v>41</v>
      </c>
      <c r="BA90" s="245">
        <f>'Alt. scenario LCY'!AB88</f>
        <v>38.25</v>
      </c>
      <c r="BB90" s="68">
        <f>'Key financial and ops fig.s LCY'!AC88</f>
        <v>41</v>
      </c>
      <c r="BC90" s="69">
        <f>'Key financial and ops fig.s LCY'!AD88</f>
        <v>40</v>
      </c>
      <c r="BD90" s="69">
        <f>'Key financial and ops fig.s LCY'!AE88</f>
        <v>40</v>
      </c>
      <c r="BE90" s="92">
        <f>'Key financial and ops fig.s LCY'!AF88</f>
        <v>40</v>
      </c>
      <c r="BF90" s="227">
        <f>'Key financial and ops fig.s LCY'!AG88</f>
        <v>40.25</v>
      </c>
      <c r="BG90" s="68">
        <f>'Alt. scenario LCY'!AC88</f>
        <v>41</v>
      </c>
      <c r="BH90" s="69">
        <f>'Alt. scenario LCY'!AD88</f>
        <v>40</v>
      </c>
      <c r="BI90" s="69">
        <f>'Alt. scenario LCY'!AE88</f>
        <v>40</v>
      </c>
      <c r="BJ90" s="92">
        <f>'Alt. scenario LCY'!AF88</f>
        <v>40</v>
      </c>
      <c r="BK90" s="245">
        <f>'Alt. scenario LCY'!AG88</f>
        <v>40.25</v>
      </c>
      <c r="BL90" s="68">
        <f>'Key financial and ops fig.s LCY'!AH88</f>
        <v>39</v>
      </c>
      <c r="BM90" s="69">
        <f>'Key financial and ops fig.s LCY'!AI88</f>
        <v>39</v>
      </c>
      <c r="BN90" s="69">
        <f>'Key financial and ops fig.s LCY'!AJ88</f>
        <v>39</v>
      </c>
      <c r="BO90" s="92">
        <f>'Key financial and ops fig.s LCY'!AK88</f>
        <v>39</v>
      </c>
      <c r="BP90" s="227">
        <f>'Key financial and ops fig.s LCY'!AL88</f>
        <v>39</v>
      </c>
      <c r="BQ90" s="68">
        <f>'Alt. scenario LCY'!AH88</f>
        <v>39</v>
      </c>
      <c r="BR90" s="69">
        <f>'Alt. scenario LCY'!AI88</f>
        <v>39</v>
      </c>
      <c r="BS90" s="69">
        <f>'Alt. scenario LCY'!AJ88</f>
        <v>39</v>
      </c>
      <c r="BT90" s="92">
        <f>'Alt. scenario LCY'!AK88</f>
        <v>39</v>
      </c>
      <c r="BU90" s="245">
        <f>'Alt. scenario LCY'!AL88</f>
        <v>39</v>
      </c>
    </row>
    <row r="91" spans="1:73" s="56" customFormat="1" ht="15.95">
      <c r="A91" s="31"/>
      <c r="B91" s="32"/>
      <c r="C91" s="189" t="s">
        <v>324</v>
      </c>
      <c r="D91" s="68">
        <f>'Key financial and ops fig.s LCY'!D89</f>
        <v>2</v>
      </c>
      <c r="E91" s="69">
        <f>'Key financial and ops fig.s LCY'!E89</f>
        <v>3</v>
      </c>
      <c r="F91" s="69">
        <f>'Key financial and ops fig.s LCY'!F89</f>
        <v>4</v>
      </c>
      <c r="G91" s="92">
        <f>'Key financial and ops fig.s LCY'!G89</f>
        <v>5</v>
      </c>
      <c r="H91" s="227">
        <f>'Key financial and ops fig.s LCY'!H89</f>
        <v>3.5</v>
      </c>
      <c r="I91" s="68">
        <f>'Alt. scenario LCY'!D89</f>
        <v>2</v>
      </c>
      <c r="J91" s="69">
        <f>'Alt. scenario LCY'!E89</f>
        <v>3</v>
      </c>
      <c r="K91" s="69">
        <f>'Alt. scenario LCY'!F89</f>
        <v>4</v>
      </c>
      <c r="L91" s="92">
        <f>'Alt. scenario LCY'!G89</f>
        <v>5</v>
      </c>
      <c r="M91" s="245">
        <f>'Alt. scenario LCY'!H89</f>
        <v>3.5</v>
      </c>
      <c r="N91" s="68">
        <f>'Key financial and ops fig.s LCY'!I89</f>
        <v>7</v>
      </c>
      <c r="O91" s="69">
        <f>'Key financial and ops fig.s LCY'!J89</f>
        <v>8</v>
      </c>
      <c r="P91" s="69">
        <f>'Key financial and ops fig.s LCY'!K89</f>
        <v>9</v>
      </c>
      <c r="Q91" s="92">
        <f>'Key financial and ops fig.s LCY'!L89</f>
        <v>10</v>
      </c>
      <c r="R91" s="227">
        <f>'Key financial and ops fig.s LCY'!M89</f>
        <v>8.5</v>
      </c>
      <c r="S91" s="68">
        <f>'Alt. scenario LCY'!I89</f>
        <v>7</v>
      </c>
      <c r="T91" s="69">
        <f>'Alt. scenario LCY'!J89</f>
        <v>8</v>
      </c>
      <c r="U91" s="69">
        <f>'Alt. scenario LCY'!K89</f>
        <v>9</v>
      </c>
      <c r="V91" s="92">
        <f>'Alt. scenario LCY'!L89</f>
        <v>10</v>
      </c>
      <c r="W91" s="245">
        <f>'Alt. scenario LCY'!M89</f>
        <v>8.5</v>
      </c>
      <c r="X91" s="68">
        <f>'Key financial and ops fig.s LCY'!N89</f>
        <v>11</v>
      </c>
      <c r="Y91" s="69">
        <f>'Key financial and ops fig.s LCY'!O89</f>
        <v>12</v>
      </c>
      <c r="Z91" s="69">
        <f>'Key financial and ops fig.s LCY'!P89</f>
        <v>14</v>
      </c>
      <c r="AA91" s="92">
        <f>'Key financial and ops fig.s LCY'!Q89</f>
        <v>15</v>
      </c>
      <c r="AB91" s="227">
        <f>'Key financial and ops fig.s LCY'!R89</f>
        <v>13</v>
      </c>
      <c r="AC91" s="68">
        <f>'Alt. scenario LCY'!N89</f>
        <v>11</v>
      </c>
      <c r="AD91" s="69">
        <f>'Alt. scenario LCY'!O89</f>
        <v>12</v>
      </c>
      <c r="AE91" s="69">
        <f>'Alt. scenario LCY'!P89</f>
        <v>14</v>
      </c>
      <c r="AF91" s="92">
        <f>'Alt. scenario LCY'!Q89</f>
        <v>15</v>
      </c>
      <c r="AG91" s="245">
        <f>'Alt. scenario LCY'!R89</f>
        <v>13</v>
      </c>
      <c r="AH91" s="68">
        <f>'Key financial and ops fig.s LCY'!S89</f>
        <v>16</v>
      </c>
      <c r="AI91" s="69">
        <f>'Key financial and ops fig.s LCY'!T89</f>
        <v>17</v>
      </c>
      <c r="AJ91" s="69">
        <f>'Key financial and ops fig.s LCY'!U89</f>
        <v>18</v>
      </c>
      <c r="AK91" s="92">
        <f>'Key financial and ops fig.s LCY'!V89</f>
        <v>19</v>
      </c>
      <c r="AL91" s="227">
        <f>'Key financial and ops fig.s LCY'!W89</f>
        <v>17.5</v>
      </c>
      <c r="AM91" s="68">
        <f>'Alt. scenario LCY'!S89</f>
        <v>16</v>
      </c>
      <c r="AN91" s="69">
        <f>'Alt. scenario LCY'!T89</f>
        <v>17</v>
      </c>
      <c r="AO91" s="69">
        <f>'Alt. scenario LCY'!U89</f>
        <v>18</v>
      </c>
      <c r="AP91" s="92">
        <f>'Alt. scenario LCY'!V89</f>
        <v>19</v>
      </c>
      <c r="AQ91" s="245">
        <f>'Alt. scenario LCY'!W89</f>
        <v>17.5</v>
      </c>
      <c r="AR91" s="68">
        <f>'Key financial and ops fig.s LCY'!X89</f>
        <v>20</v>
      </c>
      <c r="AS91" s="69">
        <f>'Key financial and ops fig.s LCY'!Y89</f>
        <v>21</v>
      </c>
      <c r="AT91" s="69">
        <f>'Key financial and ops fig.s LCY'!Z89</f>
        <v>22</v>
      </c>
      <c r="AU91" s="92">
        <f>'Key financial and ops fig.s LCY'!AA89</f>
        <v>23</v>
      </c>
      <c r="AV91" s="227">
        <f>'Key financial and ops fig.s LCY'!AB89</f>
        <v>21.5</v>
      </c>
      <c r="AW91" s="68">
        <f>'Alt. scenario LCY'!X89</f>
        <v>20</v>
      </c>
      <c r="AX91" s="69">
        <f>'Alt. scenario LCY'!Y89</f>
        <v>21</v>
      </c>
      <c r="AY91" s="69">
        <f>'Alt. scenario LCY'!Z89</f>
        <v>22</v>
      </c>
      <c r="AZ91" s="92">
        <f>'Alt. scenario LCY'!AA89</f>
        <v>23</v>
      </c>
      <c r="BA91" s="245">
        <f>'Alt. scenario LCY'!AB89</f>
        <v>21.5</v>
      </c>
      <c r="BB91" s="68">
        <f>'Key financial and ops fig.s LCY'!AC89</f>
        <v>23</v>
      </c>
      <c r="BC91" s="69">
        <f>'Key financial and ops fig.s LCY'!AD89</f>
        <v>22</v>
      </c>
      <c r="BD91" s="69">
        <f>'Key financial and ops fig.s LCY'!AE89</f>
        <v>22</v>
      </c>
      <c r="BE91" s="92">
        <f>'Key financial and ops fig.s LCY'!AF89</f>
        <v>22</v>
      </c>
      <c r="BF91" s="227">
        <f>'Key financial and ops fig.s LCY'!AG89</f>
        <v>22.25</v>
      </c>
      <c r="BG91" s="68">
        <f>'Alt. scenario LCY'!AC89</f>
        <v>23</v>
      </c>
      <c r="BH91" s="69">
        <f>'Alt. scenario LCY'!AD89</f>
        <v>22</v>
      </c>
      <c r="BI91" s="69">
        <f>'Alt. scenario LCY'!AE89</f>
        <v>22</v>
      </c>
      <c r="BJ91" s="92">
        <f>'Alt. scenario LCY'!AF89</f>
        <v>22</v>
      </c>
      <c r="BK91" s="245">
        <f>'Alt. scenario LCY'!AG89</f>
        <v>22.25</v>
      </c>
      <c r="BL91" s="68">
        <f>'Key financial and ops fig.s LCY'!AH89</f>
        <v>22</v>
      </c>
      <c r="BM91" s="69">
        <f>'Key financial and ops fig.s LCY'!AI89</f>
        <v>22</v>
      </c>
      <c r="BN91" s="69">
        <f>'Key financial and ops fig.s LCY'!AJ89</f>
        <v>22</v>
      </c>
      <c r="BO91" s="92">
        <f>'Key financial and ops fig.s LCY'!AK89</f>
        <v>21</v>
      </c>
      <c r="BP91" s="227">
        <f>'Key financial and ops fig.s LCY'!AL89</f>
        <v>21.75</v>
      </c>
      <c r="BQ91" s="68">
        <f>'Alt. scenario LCY'!AH89</f>
        <v>22</v>
      </c>
      <c r="BR91" s="69">
        <f>'Alt. scenario LCY'!AI89</f>
        <v>22</v>
      </c>
      <c r="BS91" s="69">
        <f>'Alt. scenario LCY'!AJ89</f>
        <v>22</v>
      </c>
      <c r="BT91" s="92">
        <f>'Alt. scenario LCY'!AK89</f>
        <v>21</v>
      </c>
      <c r="BU91" s="245">
        <f>'Alt. scenario LCY'!AL89</f>
        <v>21.75</v>
      </c>
    </row>
    <row r="92" spans="1:73" s="56" customFormat="1" ht="17.100000000000001" thickBot="1">
      <c r="A92" s="190"/>
      <c r="B92" s="191"/>
      <c r="C92" s="192" t="s">
        <v>325</v>
      </c>
      <c r="D92" s="94">
        <f>'Key financial and ops fig.s LCY'!D90</f>
        <v>3</v>
      </c>
      <c r="E92" s="95">
        <f>'Key financial and ops fig.s LCY'!E90</f>
        <v>5</v>
      </c>
      <c r="F92" s="95">
        <f>'Key financial and ops fig.s LCY'!F90</f>
        <v>7</v>
      </c>
      <c r="G92" s="96">
        <f>'Key financial and ops fig.s LCY'!G90</f>
        <v>10</v>
      </c>
      <c r="H92" s="228">
        <f>'Key financial and ops fig.s LCY'!H90</f>
        <v>6.25</v>
      </c>
      <c r="I92" s="94">
        <f>'Alt. scenario LCY'!D90</f>
        <v>3</v>
      </c>
      <c r="J92" s="95">
        <f>'Alt. scenario LCY'!E90</f>
        <v>5</v>
      </c>
      <c r="K92" s="95">
        <f>'Alt. scenario LCY'!F90</f>
        <v>7</v>
      </c>
      <c r="L92" s="96">
        <f>'Alt. scenario LCY'!G90</f>
        <v>10</v>
      </c>
      <c r="M92" s="246">
        <f>'Alt. scenario LCY'!H90</f>
        <v>6.25</v>
      </c>
      <c r="N92" s="94">
        <f>'Key financial and ops fig.s LCY'!I90</f>
        <v>12</v>
      </c>
      <c r="O92" s="95">
        <f>'Key financial and ops fig.s LCY'!J90</f>
        <v>14</v>
      </c>
      <c r="P92" s="95">
        <f>'Key financial and ops fig.s LCY'!K90</f>
        <v>16</v>
      </c>
      <c r="Q92" s="96">
        <f>'Key financial and ops fig.s LCY'!L90</f>
        <v>18</v>
      </c>
      <c r="R92" s="228">
        <f>'Key financial and ops fig.s LCY'!M90</f>
        <v>15</v>
      </c>
      <c r="S92" s="94">
        <f>'Alt. scenario LCY'!I90</f>
        <v>12</v>
      </c>
      <c r="T92" s="95">
        <f>'Alt. scenario LCY'!J90</f>
        <v>14</v>
      </c>
      <c r="U92" s="95">
        <f>'Alt. scenario LCY'!K90</f>
        <v>16</v>
      </c>
      <c r="V92" s="96">
        <f>'Alt. scenario LCY'!L90</f>
        <v>18</v>
      </c>
      <c r="W92" s="246">
        <f>'Alt. scenario LCY'!M90</f>
        <v>15</v>
      </c>
      <c r="X92" s="94">
        <f>'Key financial and ops fig.s LCY'!N90</f>
        <v>20</v>
      </c>
      <c r="Y92" s="95">
        <f>'Key financial and ops fig.s LCY'!O90</f>
        <v>22</v>
      </c>
      <c r="Z92" s="95">
        <f>'Key financial and ops fig.s LCY'!P90</f>
        <v>24</v>
      </c>
      <c r="AA92" s="96">
        <f>'Key financial and ops fig.s LCY'!Q90</f>
        <v>26</v>
      </c>
      <c r="AB92" s="228">
        <f>'Key financial and ops fig.s LCY'!R90</f>
        <v>23</v>
      </c>
      <c r="AC92" s="94">
        <f>'Alt. scenario LCY'!N90</f>
        <v>20</v>
      </c>
      <c r="AD92" s="95">
        <f>'Alt. scenario LCY'!O90</f>
        <v>22</v>
      </c>
      <c r="AE92" s="95">
        <f>'Alt. scenario LCY'!P90</f>
        <v>24</v>
      </c>
      <c r="AF92" s="96">
        <f>'Alt. scenario LCY'!Q90</f>
        <v>26</v>
      </c>
      <c r="AG92" s="246">
        <f>'Alt. scenario LCY'!R90</f>
        <v>23</v>
      </c>
      <c r="AH92" s="94">
        <f>'Key financial and ops fig.s LCY'!S90</f>
        <v>28</v>
      </c>
      <c r="AI92" s="95">
        <f>'Key financial and ops fig.s LCY'!T90</f>
        <v>30</v>
      </c>
      <c r="AJ92" s="95">
        <f>'Key financial and ops fig.s LCY'!U90</f>
        <v>32</v>
      </c>
      <c r="AK92" s="96">
        <f>'Key financial and ops fig.s LCY'!V90</f>
        <v>34</v>
      </c>
      <c r="AL92" s="228">
        <f>'Key financial and ops fig.s LCY'!W90</f>
        <v>31</v>
      </c>
      <c r="AM92" s="94">
        <f>'Alt. scenario LCY'!S90</f>
        <v>28</v>
      </c>
      <c r="AN92" s="95">
        <f>'Alt. scenario LCY'!T90</f>
        <v>30</v>
      </c>
      <c r="AO92" s="95">
        <f>'Alt. scenario LCY'!U90</f>
        <v>32</v>
      </c>
      <c r="AP92" s="96">
        <f>'Alt. scenario LCY'!V90</f>
        <v>34</v>
      </c>
      <c r="AQ92" s="246">
        <f>'Alt. scenario LCY'!W90</f>
        <v>31</v>
      </c>
      <c r="AR92" s="94">
        <f>'Key financial and ops fig.s LCY'!X90</f>
        <v>36</v>
      </c>
      <c r="AS92" s="95">
        <f>'Key financial and ops fig.s LCY'!Y90</f>
        <v>37</v>
      </c>
      <c r="AT92" s="95">
        <f>'Key financial and ops fig.s LCY'!Z90</f>
        <v>39</v>
      </c>
      <c r="AU92" s="96">
        <f>'Key financial and ops fig.s LCY'!AA90</f>
        <v>41</v>
      </c>
      <c r="AV92" s="228">
        <f>'Key financial and ops fig.s LCY'!AB90</f>
        <v>38.25</v>
      </c>
      <c r="AW92" s="94">
        <f>'Alt. scenario LCY'!X90</f>
        <v>36</v>
      </c>
      <c r="AX92" s="95">
        <f>'Alt. scenario LCY'!Y90</f>
        <v>37</v>
      </c>
      <c r="AY92" s="95">
        <f>'Alt. scenario LCY'!Z90</f>
        <v>39</v>
      </c>
      <c r="AZ92" s="96">
        <f>'Alt. scenario LCY'!AA90</f>
        <v>41</v>
      </c>
      <c r="BA92" s="246">
        <f>'Alt. scenario LCY'!AB90</f>
        <v>38.25</v>
      </c>
      <c r="BB92" s="94">
        <f>'Key financial and ops fig.s LCY'!AC90</f>
        <v>41</v>
      </c>
      <c r="BC92" s="95">
        <f>'Key financial and ops fig.s LCY'!AD90</f>
        <v>40</v>
      </c>
      <c r="BD92" s="95">
        <f>'Key financial and ops fig.s LCY'!AE90</f>
        <v>40</v>
      </c>
      <c r="BE92" s="96">
        <f>'Key financial and ops fig.s LCY'!AF90</f>
        <v>40</v>
      </c>
      <c r="BF92" s="228">
        <f>'Key financial and ops fig.s LCY'!AG90</f>
        <v>40.25</v>
      </c>
      <c r="BG92" s="94">
        <f>'Alt. scenario LCY'!AC90</f>
        <v>41</v>
      </c>
      <c r="BH92" s="95">
        <f>'Alt. scenario LCY'!AD90</f>
        <v>40</v>
      </c>
      <c r="BI92" s="95">
        <f>'Alt. scenario LCY'!AE90</f>
        <v>40</v>
      </c>
      <c r="BJ92" s="96">
        <f>'Alt. scenario LCY'!AF90</f>
        <v>40</v>
      </c>
      <c r="BK92" s="246">
        <f>'Alt. scenario LCY'!AG90</f>
        <v>40.25</v>
      </c>
      <c r="BL92" s="94">
        <f>'Key financial and ops fig.s LCY'!AH90</f>
        <v>39</v>
      </c>
      <c r="BM92" s="95">
        <f>'Key financial and ops fig.s LCY'!AI90</f>
        <v>39</v>
      </c>
      <c r="BN92" s="95">
        <f>'Key financial and ops fig.s LCY'!AJ90</f>
        <v>39</v>
      </c>
      <c r="BO92" s="96">
        <f>'Key financial and ops fig.s LCY'!AK90</f>
        <v>39</v>
      </c>
      <c r="BP92" s="228">
        <f>'Key financial and ops fig.s LCY'!AL90</f>
        <v>39</v>
      </c>
      <c r="BQ92" s="94">
        <f>'Alt. scenario LCY'!AH90</f>
        <v>39</v>
      </c>
      <c r="BR92" s="95">
        <f>'Alt. scenario LCY'!AI90</f>
        <v>39</v>
      </c>
      <c r="BS92" s="95">
        <f>'Alt. scenario LCY'!AJ90</f>
        <v>39</v>
      </c>
      <c r="BT92" s="96">
        <f>'Alt. scenario LCY'!AK90</f>
        <v>39</v>
      </c>
      <c r="BU92" s="246">
        <f>'Alt. scenario LCY'!AL90</f>
        <v>39</v>
      </c>
    </row>
    <row r="93" spans="1:73" s="210" customFormat="1" ht="15.95" thickBot="1">
      <c r="A93" s="211" t="str">
        <f>IF(Assumptions!D9&lt;&gt;Lists!B2,CONCATENATE("Comparison of two scenarios in ",Assumptions!D9," of ",Assumptions!D8),CONCATENATE("Comparison of two scenarios in ",Assumptions!D8))</f>
        <v>Comparison of two scenarios in USD</v>
      </c>
    </row>
    <row r="94" spans="1:73" ht="33" thickBot="1">
      <c r="A94" s="88" t="s">
        <v>213</v>
      </c>
      <c r="B94" s="29"/>
      <c r="C94" s="30"/>
      <c r="D94" s="205" t="s">
        <v>214</v>
      </c>
      <c r="E94" s="205" t="s">
        <v>215</v>
      </c>
      <c r="F94" s="205" t="s">
        <v>216</v>
      </c>
      <c r="G94" s="205" t="s">
        <v>217</v>
      </c>
      <c r="H94" s="212" t="s">
        <v>218</v>
      </c>
      <c r="I94" s="205" t="str">
        <f>CONCATENATE("Alternative scenario for ",D94)</f>
        <v>Alternative scenario for Q1 Y1</v>
      </c>
      <c r="J94" s="205" t="str">
        <f t="shared" ref="J94" si="29">CONCATENATE("Alternative scenario for ",E94)</f>
        <v>Alternative scenario for Q2 Y1</v>
      </c>
      <c r="K94" s="205" t="str">
        <f t="shared" ref="K94" si="30">CONCATENATE("Alternative scenario for ",F94)</f>
        <v>Alternative scenario for Q3 Y1</v>
      </c>
      <c r="L94" s="205" t="str">
        <f t="shared" ref="L94" si="31">CONCATENATE("Alternative scenario for ",G94)</f>
        <v>Alternative scenario for Q4 Y1</v>
      </c>
      <c r="M94" s="229" t="str">
        <f t="shared" ref="M94" si="32">CONCATENATE("Alternative scenario for ",H94)</f>
        <v>Alternative scenario for Y1</v>
      </c>
      <c r="N94" s="205" t="s">
        <v>219</v>
      </c>
      <c r="O94" s="205" t="s">
        <v>220</v>
      </c>
      <c r="P94" s="205" t="s">
        <v>221</v>
      </c>
      <c r="Q94" s="205" t="s">
        <v>222</v>
      </c>
      <c r="R94" s="212" t="s">
        <v>223</v>
      </c>
      <c r="S94" s="205" t="str">
        <f>CONCATENATE("Alternative scenario for ",N94)</f>
        <v>Alternative scenario for Q1 Y2</v>
      </c>
      <c r="T94" s="205" t="str">
        <f t="shared" ref="T94" si="33">CONCATENATE("Alternative scenario for ",O94)</f>
        <v>Alternative scenario for Q2 Y2</v>
      </c>
      <c r="U94" s="205" t="str">
        <f t="shared" ref="U94" si="34">CONCATENATE("Alternative scenario for ",P94)</f>
        <v>Alternative scenario for Q3 Y2</v>
      </c>
      <c r="V94" s="205" t="str">
        <f t="shared" ref="V94" si="35">CONCATENATE("Alternative scenario for ",Q94)</f>
        <v>Alternative scenario for Q4 Y2</v>
      </c>
      <c r="W94" s="229" t="str">
        <f t="shared" ref="W94" si="36">CONCATENATE("Alternative scenario for ",R94)</f>
        <v>Alternative scenario for Y2</v>
      </c>
      <c r="X94" s="205" t="s">
        <v>224</v>
      </c>
      <c r="Y94" s="205" t="s">
        <v>225</v>
      </c>
      <c r="Z94" s="205" t="s">
        <v>226</v>
      </c>
      <c r="AA94" s="205" t="s">
        <v>227</v>
      </c>
      <c r="AB94" s="212" t="s">
        <v>228</v>
      </c>
      <c r="AC94" s="205" t="str">
        <f>CONCATENATE("Alternative scenario for ",X94)</f>
        <v>Alternative scenario for Q1 Y3</v>
      </c>
      <c r="AD94" s="205" t="str">
        <f t="shared" ref="AD94" si="37">CONCATENATE("Alternative scenario for ",Y94)</f>
        <v>Alternative scenario for Q2 Y3</v>
      </c>
      <c r="AE94" s="205" t="str">
        <f t="shared" ref="AE94" si="38">CONCATENATE("Alternative scenario for ",Z94)</f>
        <v>Alternative scenario for Q3 Y3</v>
      </c>
      <c r="AF94" s="205" t="str">
        <f t="shared" ref="AF94" si="39">CONCATENATE("Alternative scenario for ",AA94)</f>
        <v>Alternative scenario for Q4 Y3</v>
      </c>
      <c r="AG94" s="229" t="str">
        <f t="shared" ref="AG94" si="40">CONCATENATE("Alternative scenario for ",AB94)</f>
        <v>Alternative scenario for Y3</v>
      </c>
      <c r="AH94" s="205" t="s">
        <v>229</v>
      </c>
      <c r="AI94" s="205" t="s">
        <v>230</v>
      </c>
      <c r="AJ94" s="205" t="s">
        <v>231</v>
      </c>
      <c r="AK94" s="205" t="s">
        <v>232</v>
      </c>
      <c r="AL94" s="212" t="s">
        <v>233</v>
      </c>
      <c r="AM94" s="205" t="str">
        <f>CONCATENATE("Alternative scenario for ",AH94)</f>
        <v>Alternative scenario for Q1 Y4</v>
      </c>
      <c r="AN94" s="205" t="str">
        <f t="shared" ref="AN94" si="41">CONCATENATE("Alternative scenario for ",AI94)</f>
        <v>Alternative scenario for Q2 Y4</v>
      </c>
      <c r="AO94" s="205" t="str">
        <f t="shared" ref="AO94" si="42">CONCATENATE("Alternative scenario for ",AJ94)</f>
        <v>Alternative scenario for Q3 Y4</v>
      </c>
      <c r="AP94" s="205" t="str">
        <f t="shared" ref="AP94" si="43">CONCATENATE("Alternative scenario for ",AK94)</f>
        <v>Alternative scenario for Q4 Y4</v>
      </c>
      <c r="AQ94" s="229" t="str">
        <f t="shared" ref="AQ94" si="44">CONCATENATE("Alternative scenario for ",AL94)</f>
        <v>Alternative scenario for Y4</v>
      </c>
      <c r="AR94" s="205" t="s">
        <v>234</v>
      </c>
      <c r="AS94" s="205" t="s">
        <v>235</v>
      </c>
      <c r="AT94" s="205" t="s">
        <v>236</v>
      </c>
      <c r="AU94" s="205" t="s">
        <v>237</v>
      </c>
      <c r="AV94" s="212" t="s">
        <v>238</v>
      </c>
      <c r="AW94" s="205" t="str">
        <f>CONCATENATE("Alternative scenario for ",AR94)</f>
        <v>Alternative scenario for Q1 Y5</v>
      </c>
      <c r="AX94" s="205" t="str">
        <f t="shared" ref="AX94" si="45">CONCATENATE("Alternative scenario for ",AS94)</f>
        <v>Alternative scenario for Q2 Y5</v>
      </c>
      <c r="AY94" s="205" t="str">
        <f t="shared" ref="AY94" si="46">CONCATENATE("Alternative scenario for ",AT94)</f>
        <v>Alternative scenario for Q3 Y5</v>
      </c>
      <c r="AZ94" s="205" t="str">
        <f t="shared" ref="AZ94" si="47">CONCATENATE("Alternative scenario for ",AU94)</f>
        <v>Alternative scenario for Q4 Y5</v>
      </c>
      <c r="BA94" s="229" t="str">
        <f t="shared" ref="BA94" si="48">CONCATENATE("Alternative scenario for ",AV94)</f>
        <v>Alternative scenario for Y5</v>
      </c>
      <c r="BB94" s="205" t="s">
        <v>239</v>
      </c>
      <c r="BC94" s="205" t="s">
        <v>240</v>
      </c>
      <c r="BD94" s="205" t="s">
        <v>241</v>
      </c>
      <c r="BE94" s="205" t="s">
        <v>242</v>
      </c>
      <c r="BF94" s="212" t="s">
        <v>243</v>
      </c>
      <c r="BG94" s="205" t="str">
        <f>CONCATENATE("Alternative scenario for ",BB94)</f>
        <v>Alternative scenario for Q1 Y6</v>
      </c>
      <c r="BH94" s="205" t="str">
        <f t="shared" ref="BH94" si="49">CONCATENATE("Alternative scenario for ",BC94)</f>
        <v>Alternative scenario for Q2 Y6</v>
      </c>
      <c r="BI94" s="205" t="str">
        <f t="shared" ref="BI94" si="50">CONCATENATE("Alternative scenario for ",BD94)</f>
        <v>Alternative scenario for Q3 Y6</v>
      </c>
      <c r="BJ94" s="205" t="str">
        <f t="shared" ref="BJ94" si="51">CONCATENATE("Alternative scenario for ",BE94)</f>
        <v>Alternative scenario for Q4 Y6</v>
      </c>
      <c r="BK94" s="229" t="str">
        <f t="shared" ref="BK94" si="52">CONCATENATE("Alternative scenario for ",BF94)</f>
        <v>Alternative scenario for Y6</v>
      </c>
      <c r="BL94" s="205" t="s">
        <v>244</v>
      </c>
      <c r="BM94" s="205" t="s">
        <v>245</v>
      </c>
      <c r="BN94" s="205" t="s">
        <v>246</v>
      </c>
      <c r="BO94" s="205" t="s">
        <v>247</v>
      </c>
      <c r="BP94" s="212" t="s">
        <v>248</v>
      </c>
      <c r="BQ94" s="205" t="str">
        <f>CONCATENATE("Alternative scenario for ",BL94)</f>
        <v>Alternative scenario for Q1 Y7</v>
      </c>
      <c r="BR94" s="205" t="str">
        <f t="shared" ref="BR94" si="53">CONCATENATE("Alternative scenario for ",BM94)</f>
        <v>Alternative scenario for Q2 Y7</v>
      </c>
      <c r="BS94" s="205" t="str">
        <f t="shared" ref="BS94" si="54">CONCATENATE("Alternative scenario for ",BN94)</f>
        <v>Alternative scenario for Q3 Y7</v>
      </c>
      <c r="BT94" s="205" t="str">
        <f t="shared" ref="BT94" si="55">CONCATENATE("Alternative scenario for ",BO94)</f>
        <v>Alternative scenario for Q4 Y7</v>
      </c>
      <c r="BU94" s="229" t="str">
        <f t="shared" ref="BU94" si="56">CONCATENATE("Alternative scenario for ",BP94)</f>
        <v>Alternative scenario for Y7</v>
      </c>
    </row>
    <row r="95" spans="1:73" ht="17.100000000000001" hidden="1" outlineLevel="2" thickBot="1">
      <c r="A95" s="31"/>
      <c r="C95" s="32" t="s">
        <v>249</v>
      </c>
      <c r="D95" s="183">
        <f>'Key financial and ops fig.s COM'!D6</f>
        <v>111796.875</v>
      </c>
      <c r="E95" s="183">
        <f>'Key financial and ops fig.s COM'!E6</f>
        <v>222187.5</v>
      </c>
      <c r="F95" s="183">
        <f>'Key financial and ops fig.s COM'!F6</f>
        <v>331171.87500000006</v>
      </c>
      <c r="G95" s="183">
        <f>'Key financial and ops fig.s COM'!G6</f>
        <v>438750</v>
      </c>
      <c r="H95" s="213">
        <f>'Key financial and ops fig.s COM'!H6</f>
        <v>1103906.25</v>
      </c>
      <c r="I95" s="183">
        <f>'Alt. scenario COM'!D6</f>
        <v>111796.875</v>
      </c>
      <c r="J95" s="183">
        <f>'Alt. scenario COM'!E6</f>
        <v>222187.5</v>
      </c>
      <c r="K95" s="183">
        <f>'Alt. scenario COM'!F6</f>
        <v>331171.87500000006</v>
      </c>
      <c r="L95" s="183">
        <f>'Alt. scenario COM'!G6</f>
        <v>438750</v>
      </c>
      <c r="M95" s="230">
        <f>'Alt. scenario COM'!H6</f>
        <v>1103906.25</v>
      </c>
      <c r="N95" s="183">
        <f>'Key financial and ops fig.s COM'!I6</f>
        <v>544921.875</v>
      </c>
      <c r="O95" s="183">
        <f>'Key financial and ops fig.s COM'!J6</f>
        <v>649687.50000000012</v>
      </c>
      <c r="P95" s="183">
        <f>'Key financial and ops fig.s COM'!K6</f>
        <v>753046.87500000012</v>
      </c>
      <c r="Q95" s="183">
        <f>'Key financial and ops fig.s COM'!L6</f>
        <v>855000</v>
      </c>
      <c r="R95" s="213">
        <f>'Key financial and ops fig.s COM'!M6</f>
        <v>2802656.25</v>
      </c>
      <c r="S95" s="183">
        <f>'Alt. scenario COM'!I6</f>
        <v>544921.875</v>
      </c>
      <c r="T95" s="183">
        <f>'Alt. scenario COM'!J6</f>
        <v>649687.50000000012</v>
      </c>
      <c r="U95" s="183">
        <f>'Alt. scenario COM'!K6</f>
        <v>753046.87500000012</v>
      </c>
      <c r="V95" s="183">
        <f>'Alt. scenario COM'!L6</f>
        <v>855000</v>
      </c>
      <c r="W95" s="230">
        <f>'Alt. scenario COM'!M6</f>
        <v>2802656.25</v>
      </c>
      <c r="X95" s="183">
        <f>'Key financial and ops fig.s COM'!N6</f>
        <v>955546.875</v>
      </c>
      <c r="Y95" s="183">
        <f>'Key financial and ops fig.s COM'!O6</f>
        <v>1054687.5</v>
      </c>
      <c r="Z95" s="183">
        <f>'Key financial and ops fig.s COM'!P6</f>
        <v>1152421.8750000002</v>
      </c>
      <c r="AA95" s="183">
        <f>'Key financial and ops fig.s COM'!Q6</f>
        <v>1248750.0000000002</v>
      </c>
      <c r="AB95" s="213">
        <f>'Key financial and ops fig.s COM'!R6</f>
        <v>4411406.25</v>
      </c>
      <c r="AC95" s="183">
        <f>'Alt. scenario COM'!N6</f>
        <v>955546.875</v>
      </c>
      <c r="AD95" s="183">
        <f>'Alt. scenario COM'!O6</f>
        <v>1054687.5</v>
      </c>
      <c r="AE95" s="183">
        <f>'Alt. scenario COM'!P6</f>
        <v>1152421.8750000002</v>
      </c>
      <c r="AF95" s="183">
        <f>'Alt. scenario COM'!Q6</f>
        <v>1248750.0000000002</v>
      </c>
      <c r="AG95" s="230">
        <f>'Alt. scenario COM'!R6</f>
        <v>4411406.25</v>
      </c>
      <c r="AH95" s="183">
        <f>'Key financial and ops fig.s COM'!S6</f>
        <v>1343671.8750000002</v>
      </c>
      <c r="AI95" s="183">
        <f>'Key financial and ops fig.s COM'!T6</f>
        <v>1437187.5000000002</v>
      </c>
      <c r="AJ95" s="183">
        <f>'Key financial and ops fig.s COM'!U6</f>
        <v>1529296.8750000002</v>
      </c>
      <c r="AK95" s="183">
        <f>'Key financial and ops fig.s COM'!V6</f>
        <v>1620000</v>
      </c>
      <c r="AL95" s="213">
        <f>'Key financial and ops fig.s COM'!W6</f>
        <v>5930156.2500000009</v>
      </c>
      <c r="AM95" s="183">
        <f>'Alt. scenario COM'!S6</f>
        <v>1343671.8750000002</v>
      </c>
      <c r="AN95" s="183">
        <f>'Alt. scenario COM'!T6</f>
        <v>1437187.5000000002</v>
      </c>
      <c r="AO95" s="183">
        <f>'Alt. scenario COM'!U6</f>
        <v>1529296.8750000002</v>
      </c>
      <c r="AP95" s="183">
        <f>'Alt. scenario COM'!V6</f>
        <v>1620000</v>
      </c>
      <c r="AQ95" s="230">
        <f>'Alt. scenario COM'!W6</f>
        <v>5930156.2500000009</v>
      </c>
      <c r="AR95" s="183">
        <f>'Key financial and ops fig.s COM'!X6</f>
        <v>1709296.875</v>
      </c>
      <c r="AS95" s="183">
        <f>'Key financial and ops fig.s COM'!Y6</f>
        <v>1797187.5</v>
      </c>
      <c r="AT95" s="183">
        <f>'Key financial and ops fig.s COM'!Z6</f>
        <v>1883671.875</v>
      </c>
      <c r="AU95" s="183">
        <f>'Key financial and ops fig.s COM'!AA6</f>
        <v>1968750</v>
      </c>
      <c r="AV95" s="213">
        <f>'Key financial and ops fig.s COM'!AB6</f>
        <v>7358906.25</v>
      </c>
      <c r="AW95" s="183">
        <f>'Alt. scenario COM'!X6</f>
        <v>1709296.875</v>
      </c>
      <c r="AX95" s="183">
        <f>'Alt. scenario COM'!Y6</f>
        <v>1797187.5</v>
      </c>
      <c r="AY95" s="183">
        <f>'Alt. scenario COM'!Z6</f>
        <v>1883671.875</v>
      </c>
      <c r="AZ95" s="183">
        <f>'Alt. scenario COM'!AA6</f>
        <v>1968750</v>
      </c>
      <c r="BA95" s="230">
        <f>'Alt. scenario COM'!AB6</f>
        <v>7358906.25</v>
      </c>
      <c r="BB95" s="183">
        <f>'Key financial and ops fig.s COM'!AC6</f>
        <v>1954687.5</v>
      </c>
      <c r="BC95" s="183">
        <f>'Key financial and ops fig.s COM'!AD6</f>
        <v>1940625</v>
      </c>
      <c r="BD95" s="183">
        <f>'Key financial and ops fig.s COM'!AE6</f>
        <v>1926562.5</v>
      </c>
      <c r="BE95" s="183">
        <f>'Key financial and ops fig.s COM'!AF6</f>
        <v>1912500</v>
      </c>
      <c r="BF95" s="213">
        <f>'Key financial and ops fig.s COM'!AG6</f>
        <v>7734375</v>
      </c>
      <c r="BG95" s="183">
        <f>'Alt. scenario COM'!AC6</f>
        <v>1954687.5</v>
      </c>
      <c r="BH95" s="183">
        <f>'Alt. scenario COM'!AD6</f>
        <v>1940625</v>
      </c>
      <c r="BI95" s="183">
        <f>'Alt. scenario COM'!AE6</f>
        <v>1926562.5</v>
      </c>
      <c r="BJ95" s="183">
        <f>'Alt. scenario COM'!AF6</f>
        <v>1912500</v>
      </c>
      <c r="BK95" s="230">
        <f>'Alt. scenario COM'!AG6</f>
        <v>7734375</v>
      </c>
      <c r="BL95" s="183">
        <f>'Key financial and ops fig.s COM'!AH6</f>
        <v>1898437.5</v>
      </c>
      <c r="BM95" s="183">
        <f>'Key financial and ops fig.s COM'!AI6</f>
        <v>1884375</v>
      </c>
      <c r="BN95" s="183">
        <f>'Key financial and ops fig.s COM'!AJ6</f>
        <v>1870312.5</v>
      </c>
      <c r="BO95" s="183">
        <f>'Key financial and ops fig.s COM'!AK6</f>
        <v>1856250</v>
      </c>
      <c r="BP95" s="213">
        <f>'Key financial and ops fig.s COM'!AL6</f>
        <v>7509375</v>
      </c>
      <c r="BQ95" s="183">
        <f>'Alt. scenario COM'!AH6</f>
        <v>1898437.5</v>
      </c>
      <c r="BR95" s="183">
        <f>'Alt. scenario COM'!AI6</f>
        <v>1884375</v>
      </c>
      <c r="BS95" s="183">
        <f>'Alt. scenario COM'!AJ6</f>
        <v>1870312.5</v>
      </c>
      <c r="BT95" s="183">
        <f>'Alt. scenario COM'!AK6</f>
        <v>1856250</v>
      </c>
      <c r="BU95" s="230">
        <f>'Alt. scenario COM'!AL6</f>
        <v>7509375</v>
      </c>
    </row>
    <row r="96" spans="1:73" ht="17.100000000000001" hidden="1" outlineLevel="2" thickBot="1">
      <c r="A96" s="31"/>
      <c r="C96" s="32" t="s">
        <v>250</v>
      </c>
      <c r="D96" s="185">
        <f>'Key financial and ops fig.s COM'!D7</f>
        <v>51650.156250000015</v>
      </c>
      <c r="E96" s="185">
        <f>'Key financial and ops fig.s COM'!E7</f>
        <v>102650.62500000003</v>
      </c>
      <c r="F96" s="185">
        <f>'Key financial and ops fig.s COM'!F7</f>
        <v>153001.40625000003</v>
      </c>
      <c r="G96" s="185">
        <f>'Key financial and ops fig.s COM'!G7</f>
        <v>202702.50000000006</v>
      </c>
      <c r="H96" s="213">
        <f>'Key financial and ops fig.s COM'!H7</f>
        <v>510004.68750000017</v>
      </c>
      <c r="I96" s="185">
        <f>'Alt. scenario COM'!D7</f>
        <v>51650.156250000015</v>
      </c>
      <c r="J96" s="185">
        <f>'Alt. scenario COM'!E7</f>
        <v>102650.62500000003</v>
      </c>
      <c r="K96" s="185">
        <f>'Alt. scenario COM'!F7</f>
        <v>153001.40625000003</v>
      </c>
      <c r="L96" s="185">
        <f>'Alt. scenario COM'!G7</f>
        <v>202702.50000000006</v>
      </c>
      <c r="M96" s="230">
        <f>'Alt. scenario COM'!H7</f>
        <v>510004.68750000017</v>
      </c>
      <c r="N96" s="185">
        <f>'Key financial and ops fig.s COM'!I7</f>
        <v>251753.90625000006</v>
      </c>
      <c r="O96" s="185">
        <f>'Key financial and ops fig.s COM'!J7</f>
        <v>300155.62500000006</v>
      </c>
      <c r="P96" s="185">
        <f>'Key financial and ops fig.s COM'!K7</f>
        <v>347907.65625000012</v>
      </c>
      <c r="Q96" s="185">
        <f>'Key financial and ops fig.s COM'!L7</f>
        <v>395010.00000000012</v>
      </c>
      <c r="R96" s="213">
        <f>'Key financial and ops fig.s COM'!M7</f>
        <v>1294827.1875000005</v>
      </c>
      <c r="S96" s="185">
        <f>'Alt. scenario COM'!I7</f>
        <v>251753.90625000006</v>
      </c>
      <c r="T96" s="185">
        <f>'Alt. scenario COM'!J7</f>
        <v>300155.62500000006</v>
      </c>
      <c r="U96" s="185">
        <f>'Alt. scenario COM'!K7</f>
        <v>347907.65625000012</v>
      </c>
      <c r="V96" s="185">
        <f>'Alt. scenario COM'!L7</f>
        <v>395010.00000000012</v>
      </c>
      <c r="W96" s="230">
        <f>'Alt. scenario COM'!M7</f>
        <v>1294827.1875000005</v>
      </c>
      <c r="X96" s="185">
        <f>'Key financial and ops fig.s COM'!N7</f>
        <v>441462.65625000012</v>
      </c>
      <c r="Y96" s="185">
        <f>'Key financial and ops fig.s COM'!O7</f>
        <v>487265.62500000012</v>
      </c>
      <c r="Z96" s="185">
        <f>'Key financial and ops fig.s COM'!P7</f>
        <v>532418.90625000012</v>
      </c>
      <c r="AA96" s="185">
        <f>'Key financial and ops fig.s COM'!Q7</f>
        <v>576922.50000000012</v>
      </c>
      <c r="AB96" s="213">
        <f>'Key financial and ops fig.s COM'!R7</f>
        <v>2038069.6875000005</v>
      </c>
      <c r="AC96" s="185">
        <f>'Alt. scenario COM'!N7</f>
        <v>441462.65625000012</v>
      </c>
      <c r="AD96" s="185">
        <f>'Alt. scenario COM'!O7</f>
        <v>487265.62500000012</v>
      </c>
      <c r="AE96" s="185">
        <f>'Alt. scenario COM'!P7</f>
        <v>532418.90625000012</v>
      </c>
      <c r="AF96" s="185">
        <f>'Alt. scenario COM'!Q7</f>
        <v>576922.50000000012</v>
      </c>
      <c r="AG96" s="230">
        <f>'Alt. scenario COM'!R7</f>
        <v>2038069.6875000005</v>
      </c>
      <c r="AH96" s="185">
        <f>'Key financial and ops fig.s COM'!S7</f>
        <v>620776.40625000012</v>
      </c>
      <c r="AI96" s="185">
        <f>'Key financial and ops fig.s COM'!T7</f>
        <v>663980.62500000012</v>
      </c>
      <c r="AJ96" s="185">
        <f>'Key financial and ops fig.s COM'!U7</f>
        <v>706535.15625000023</v>
      </c>
      <c r="AK96" s="185">
        <f>'Key financial and ops fig.s COM'!V7</f>
        <v>748440.00000000023</v>
      </c>
      <c r="AL96" s="213">
        <f>'Key financial and ops fig.s COM'!W7</f>
        <v>2739732.1875000009</v>
      </c>
      <c r="AM96" s="185">
        <f>'Alt. scenario COM'!S7</f>
        <v>620776.40625000012</v>
      </c>
      <c r="AN96" s="185">
        <f>'Alt. scenario COM'!T7</f>
        <v>663980.62500000012</v>
      </c>
      <c r="AO96" s="185">
        <f>'Alt. scenario COM'!U7</f>
        <v>706535.15625000023</v>
      </c>
      <c r="AP96" s="185">
        <f>'Alt. scenario COM'!V7</f>
        <v>748440.00000000023</v>
      </c>
      <c r="AQ96" s="230">
        <f>'Alt. scenario COM'!W7</f>
        <v>2739732.1875000009</v>
      </c>
      <c r="AR96" s="185">
        <f>'Key financial and ops fig.s COM'!X7</f>
        <v>789695.15625000023</v>
      </c>
      <c r="AS96" s="185">
        <f>'Key financial and ops fig.s COM'!Y7</f>
        <v>830300.62500000023</v>
      </c>
      <c r="AT96" s="185">
        <f>'Key financial and ops fig.s COM'!Z7</f>
        <v>870256.40625000023</v>
      </c>
      <c r="AU96" s="185">
        <f>'Key financial and ops fig.s COM'!AA7</f>
        <v>909562.50000000023</v>
      </c>
      <c r="AV96" s="213">
        <f>'Key financial and ops fig.s COM'!AB7</f>
        <v>3399814.6875000009</v>
      </c>
      <c r="AW96" s="185">
        <f>'Alt. scenario COM'!X7</f>
        <v>789695.15625000023</v>
      </c>
      <c r="AX96" s="185">
        <f>'Alt. scenario COM'!Y7</f>
        <v>830300.62500000023</v>
      </c>
      <c r="AY96" s="185">
        <f>'Alt. scenario COM'!Z7</f>
        <v>870256.40625000023</v>
      </c>
      <c r="AZ96" s="185">
        <f>'Alt. scenario COM'!AA7</f>
        <v>909562.50000000023</v>
      </c>
      <c r="BA96" s="230">
        <f>'Alt. scenario COM'!AB7</f>
        <v>3399814.6875000009</v>
      </c>
      <c r="BB96" s="185">
        <f>'Key financial and ops fig.s COM'!AC7</f>
        <v>903065.62500000023</v>
      </c>
      <c r="BC96" s="185">
        <f>'Key financial and ops fig.s COM'!AD7</f>
        <v>896568.75000000023</v>
      </c>
      <c r="BD96" s="185">
        <f>'Key financial and ops fig.s COM'!AE7</f>
        <v>890071.87500000023</v>
      </c>
      <c r="BE96" s="185">
        <f>'Key financial and ops fig.s COM'!AF7</f>
        <v>883575.00000000023</v>
      </c>
      <c r="BF96" s="213">
        <f>'Key financial and ops fig.s COM'!AG7</f>
        <v>3573281.2500000009</v>
      </c>
      <c r="BG96" s="185">
        <f>'Alt. scenario COM'!AC7</f>
        <v>903065.62500000023</v>
      </c>
      <c r="BH96" s="185">
        <f>'Alt. scenario COM'!AD7</f>
        <v>896568.75000000023</v>
      </c>
      <c r="BI96" s="185">
        <f>'Alt. scenario COM'!AE7</f>
        <v>890071.87500000023</v>
      </c>
      <c r="BJ96" s="185">
        <f>'Alt. scenario COM'!AF7</f>
        <v>883575.00000000023</v>
      </c>
      <c r="BK96" s="230">
        <f>'Alt. scenario COM'!AG7</f>
        <v>3573281.2500000009</v>
      </c>
      <c r="BL96" s="185">
        <f>'Key financial and ops fig.s COM'!AH7</f>
        <v>877078.12500000023</v>
      </c>
      <c r="BM96" s="185">
        <f>'Key financial and ops fig.s COM'!AI7</f>
        <v>870581.25000000023</v>
      </c>
      <c r="BN96" s="185">
        <f>'Key financial and ops fig.s COM'!AJ7</f>
        <v>864084.37500000023</v>
      </c>
      <c r="BO96" s="185">
        <f>'Key financial and ops fig.s COM'!AK7</f>
        <v>857587.50000000023</v>
      </c>
      <c r="BP96" s="213">
        <f>'Key financial and ops fig.s COM'!AL7</f>
        <v>3469331.2500000009</v>
      </c>
      <c r="BQ96" s="185">
        <f>'Alt. scenario COM'!AH7</f>
        <v>877078.12500000023</v>
      </c>
      <c r="BR96" s="185">
        <f>'Alt. scenario COM'!AI7</f>
        <v>870581.25000000023</v>
      </c>
      <c r="BS96" s="185">
        <f>'Alt. scenario COM'!AJ7</f>
        <v>864084.37500000023</v>
      </c>
      <c r="BT96" s="185">
        <f>'Alt. scenario COM'!AK7</f>
        <v>857587.50000000023</v>
      </c>
      <c r="BU96" s="230">
        <f>'Alt. scenario COM'!AL7</f>
        <v>3469331.2500000009</v>
      </c>
    </row>
    <row r="97" spans="1:73" ht="17.100000000000001" hidden="1" outlineLevel="2" thickBot="1">
      <c r="A97" s="31"/>
      <c r="C97" s="32" t="s">
        <v>251</v>
      </c>
      <c r="D97" s="185">
        <f>'Key financial and ops fig.s COM'!D8</f>
        <v>20660.0625</v>
      </c>
      <c r="E97" s="185">
        <f>'Key financial and ops fig.s COM'!E8</f>
        <v>41060.25</v>
      </c>
      <c r="F97" s="185">
        <f>'Key financial and ops fig.s COM'!F8</f>
        <v>61200.5625</v>
      </c>
      <c r="G97" s="185">
        <f>'Key financial and ops fig.s COM'!G8</f>
        <v>81081</v>
      </c>
      <c r="H97" s="213">
        <f>'Key financial and ops fig.s COM'!H8</f>
        <v>204001.875</v>
      </c>
      <c r="I97" s="185">
        <f>'Alt. scenario COM'!D8</f>
        <v>20660.0625</v>
      </c>
      <c r="J97" s="185">
        <f>'Alt. scenario COM'!E8</f>
        <v>41060.25</v>
      </c>
      <c r="K97" s="185">
        <f>'Alt. scenario COM'!F8</f>
        <v>61200.5625</v>
      </c>
      <c r="L97" s="185">
        <f>'Alt. scenario COM'!G8</f>
        <v>81081</v>
      </c>
      <c r="M97" s="230">
        <f>'Alt. scenario COM'!H8</f>
        <v>204001.875</v>
      </c>
      <c r="N97" s="185">
        <f>'Key financial and ops fig.s COM'!I8</f>
        <v>100701.5625</v>
      </c>
      <c r="O97" s="185">
        <f>'Key financial and ops fig.s COM'!J8</f>
        <v>120062.25</v>
      </c>
      <c r="P97" s="185">
        <f>'Key financial and ops fig.s COM'!K8</f>
        <v>139163.0625</v>
      </c>
      <c r="Q97" s="185">
        <f>'Key financial and ops fig.s COM'!L8</f>
        <v>158004</v>
      </c>
      <c r="R97" s="213">
        <f>'Key financial and ops fig.s COM'!M8</f>
        <v>517930.875</v>
      </c>
      <c r="S97" s="185">
        <f>'Alt. scenario COM'!I8</f>
        <v>100701.5625</v>
      </c>
      <c r="T97" s="185">
        <f>'Alt. scenario COM'!J8</f>
        <v>120062.25</v>
      </c>
      <c r="U97" s="185">
        <f>'Alt. scenario COM'!K8</f>
        <v>139163.0625</v>
      </c>
      <c r="V97" s="185">
        <f>'Alt. scenario COM'!L8</f>
        <v>158004</v>
      </c>
      <c r="W97" s="230">
        <f>'Alt. scenario COM'!M8</f>
        <v>517930.875</v>
      </c>
      <c r="X97" s="185">
        <f>'Key financial and ops fig.s COM'!N8</f>
        <v>176585.0625</v>
      </c>
      <c r="Y97" s="185">
        <f>'Key financial and ops fig.s COM'!O8</f>
        <v>194906.25</v>
      </c>
      <c r="Z97" s="185">
        <f>'Key financial and ops fig.s COM'!P8</f>
        <v>212967.5625</v>
      </c>
      <c r="AA97" s="185">
        <f>'Key financial and ops fig.s COM'!Q8</f>
        <v>230769</v>
      </c>
      <c r="AB97" s="213">
        <f>'Key financial and ops fig.s COM'!R8</f>
        <v>815227.875</v>
      </c>
      <c r="AC97" s="185">
        <f>'Alt. scenario COM'!N8</f>
        <v>176585.0625</v>
      </c>
      <c r="AD97" s="185">
        <f>'Alt. scenario COM'!O8</f>
        <v>194906.25</v>
      </c>
      <c r="AE97" s="185">
        <f>'Alt. scenario COM'!P8</f>
        <v>212967.5625</v>
      </c>
      <c r="AF97" s="185">
        <f>'Alt. scenario COM'!Q8</f>
        <v>230769</v>
      </c>
      <c r="AG97" s="230">
        <f>'Alt. scenario COM'!R8</f>
        <v>815227.875</v>
      </c>
      <c r="AH97" s="185">
        <f>'Key financial and ops fig.s COM'!S8</f>
        <v>248310.5625</v>
      </c>
      <c r="AI97" s="185">
        <f>'Key financial and ops fig.s COM'!T8</f>
        <v>265592.25</v>
      </c>
      <c r="AJ97" s="185">
        <f>'Key financial and ops fig.s COM'!U8</f>
        <v>282614.0625</v>
      </c>
      <c r="AK97" s="185">
        <f>'Key financial and ops fig.s COM'!V8</f>
        <v>299376</v>
      </c>
      <c r="AL97" s="213">
        <f>'Key financial and ops fig.s COM'!W8</f>
        <v>1095892.875</v>
      </c>
      <c r="AM97" s="185">
        <f>'Alt. scenario COM'!S8</f>
        <v>248310.5625</v>
      </c>
      <c r="AN97" s="185">
        <f>'Alt. scenario COM'!T8</f>
        <v>265592.25</v>
      </c>
      <c r="AO97" s="185">
        <f>'Alt. scenario COM'!U8</f>
        <v>282614.0625</v>
      </c>
      <c r="AP97" s="185">
        <f>'Alt. scenario COM'!V8</f>
        <v>299376</v>
      </c>
      <c r="AQ97" s="230">
        <f>'Alt. scenario COM'!W8</f>
        <v>1095892.875</v>
      </c>
      <c r="AR97" s="185">
        <f>'Key financial and ops fig.s COM'!X8</f>
        <v>315878.0625</v>
      </c>
      <c r="AS97" s="185">
        <f>'Key financial and ops fig.s COM'!Y8</f>
        <v>332120.25</v>
      </c>
      <c r="AT97" s="185">
        <f>'Key financial and ops fig.s COM'!Z8</f>
        <v>348102.5625</v>
      </c>
      <c r="AU97" s="185">
        <f>'Key financial and ops fig.s COM'!AA8</f>
        <v>363825</v>
      </c>
      <c r="AV97" s="213">
        <f>'Key financial and ops fig.s COM'!AB8</f>
        <v>1359925.875</v>
      </c>
      <c r="AW97" s="185">
        <f>'Alt. scenario COM'!X8</f>
        <v>315878.0625</v>
      </c>
      <c r="AX97" s="185">
        <f>'Alt. scenario COM'!Y8</f>
        <v>332120.25</v>
      </c>
      <c r="AY97" s="185">
        <f>'Alt. scenario COM'!Z8</f>
        <v>348102.5625</v>
      </c>
      <c r="AZ97" s="185">
        <f>'Alt. scenario COM'!AA8</f>
        <v>363825</v>
      </c>
      <c r="BA97" s="230">
        <f>'Alt. scenario COM'!AB8</f>
        <v>1359925.875</v>
      </c>
      <c r="BB97" s="185">
        <f>'Key financial and ops fig.s COM'!AC8</f>
        <v>361226.25</v>
      </c>
      <c r="BC97" s="185">
        <f>'Key financial and ops fig.s COM'!AD8</f>
        <v>358627.5</v>
      </c>
      <c r="BD97" s="185">
        <f>'Key financial and ops fig.s COM'!AE8</f>
        <v>356028.75</v>
      </c>
      <c r="BE97" s="185">
        <f>'Key financial and ops fig.s COM'!AF8</f>
        <v>353430</v>
      </c>
      <c r="BF97" s="213">
        <f>'Key financial and ops fig.s COM'!AG8</f>
        <v>1429312.5</v>
      </c>
      <c r="BG97" s="185">
        <f>'Alt. scenario COM'!AC8</f>
        <v>361226.25</v>
      </c>
      <c r="BH97" s="185">
        <f>'Alt. scenario COM'!AD8</f>
        <v>358627.5</v>
      </c>
      <c r="BI97" s="185">
        <f>'Alt. scenario COM'!AE8</f>
        <v>356028.75</v>
      </c>
      <c r="BJ97" s="185">
        <f>'Alt. scenario COM'!AF8</f>
        <v>353430</v>
      </c>
      <c r="BK97" s="230">
        <f>'Alt. scenario COM'!AG8</f>
        <v>1429312.5</v>
      </c>
      <c r="BL97" s="185">
        <f>'Key financial and ops fig.s COM'!AH8</f>
        <v>350831.25</v>
      </c>
      <c r="BM97" s="185">
        <f>'Key financial and ops fig.s COM'!AI8</f>
        <v>348232.5</v>
      </c>
      <c r="BN97" s="185">
        <f>'Key financial and ops fig.s COM'!AJ8</f>
        <v>345633.75</v>
      </c>
      <c r="BO97" s="185">
        <f>'Key financial and ops fig.s COM'!AK8</f>
        <v>343035</v>
      </c>
      <c r="BP97" s="213">
        <f>'Key financial and ops fig.s COM'!AL8</f>
        <v>1387732.5</v>
      </c>
      <c r="BQ97" s="185">
        <f>'Alt. scenario COM'!AH8</f>
        <v>350831.25</v>
      </c>
      <c r="BR97" s="185">
        <f>'Alt. scenario COM'!AI8</f>
        <v>348232.5</v>
      </c>
      <c r="BS97" s="185">
        <f>'Alt. scenario COM'!AJ8</f>
        <v>345633.75</v>
      </c>
      <c r="BT97" s="185">
        <f>'Alt. scenario COM'!AK8</f>
        <v>343035</v>
      </c>
      <c r="BU97" s="230">
        <f>'Alt. scenario COM'!AL8</f>
        <v>1387732.5</v>
      </c>
    </row>
    <row r="98" spans="1:73" ht="17.100000000000001" hidden="1" outlineLevel="2" thickBot="1">
      <c r="A98" s="31"/>
      <c r="C98" s="32" t="s">
        <v>252</v>
      </c>
      <c r="D98" s="185">
        <f>'Key financial and ops fig.s COM'!D9</f>
        <v>1721.6718750000005</v>
      </c>
      <c r="E98" s="185">
        <f>'Key financial and ops fig.s COM'!E9</f>
        <v>3421.6875000000009</v>
      </c>
      <c r="F98" s="185">
        <f>'Key financial and ops fig.s COM'!F9</f>
        <v>5100.0468750000009</v>
      </c>
      <c r="G98" s="185">
        <f>'Key financial and ops fig.s COM'!G9</f>
        <v>6756.7500000000018</v>
      </c>
      <c r="H98" s="213">
        <f>'Key financial and ops fig.s COM'!H9</f>
        <v>17000.156250000007</v>
      </c>
      <c r="I98" s="185">
        <f>'Alt. scenario COM'!D9</f>
        <v>1721.6718750000005</v>
      </c>
      <c r="J98" s="185">
        <f>'Alt. scenario COM'!E9</f>
        <v>3421.6875000000009</v>
      </c>
      <c r="K98" s="185">
        <f>'Alt. scenario COM'!F9</f>
        <v>5100.0468750000009</v>
      </c>
      <c r="L98" s="185">
        <f>'Alt. scenario COM'!G9</f>
        <v>6756.7500000000018</v>
      </c>
      <c r="M98" s="230">
        <f>'Alt. scenario COM'!H9</f>
        <v>17000.156250000007</v>
      </c>
      <c r="N98" s="185">
        <f>'Key financial and ops fig.s COM'!I9</f>
        <v>8391.7968750000018</v>
      </c>
      <c r="O98" s="185">
        <f>'Key financial and ops fig.s COM'!J9</f>
        <v>10005.187500000002</v>
      </c>
      <c r="P98" s="185">
        <f>'Key financial and ops fig.s COM'!K9</f>
        <v>11596.921875000004</v>
      </c>
      <c r="Q98" s="185">
        <f>'Key financial and ops fig.s COM'!L9</f>
        <v>13167.000000000004</v>
      </c>
      <c r="R98" s="213">
        <f>'Key financial and ops fig.s COM'!M9</f>
        <v>43160.906250000015</v>
      </c>
      <c r="S98" s="185">
        <f>'Alt. scenario COM'!I9</f>
        <v>8391.7968750000018</v>
      </c>
      <c r="T98" s="185">
        <f>'Alt. scenario COM'!J9</f>
        <v>10005.187500000002</v>
      </c>
      <c r="U98" s="185">
        <f>'Alt. scenario COM'!K9</f>
        <v>11596.921875000004</v>
      </c>
      <c r="V98" s="185">
        <f>'Alt. scenario COM'!L9</f>
        <v>13167.000000000004</v>
      </c>
      <c r="W98" s="230">
        <f>'Alt. scenario COM'!M9</f>
        <v>43160.906250000015</v>
      </c>
      <c r="X98" s="185">
        <f>'Key financial and ops fig.s COM'!N9</f>
        <v>14715.421875000004</v>
      </c>
      <c r="Y98" s="185">
        <f>'Key financial and ops fig.s COM'!O9</f>
        <v>16242.187500000004</v>
      </c>
      <c r="Z98" s="185">
        <f>'Key financial and ops fig.s COM'!P9</f>
        <v>17747.296875000004</v>
      </c>
      <c r="AA98" s="185">
        <f>'Key financial and ops fig.s COM'!Q9</f>
        <v>19230.750000000004</v>
      </c>
      <c r="AB98" s="213">
        <f>'Key financial and ops fig.s COM'!R9</f>
        <v>67935.656250000015</v>
      </c>
      <c r="AC98" s="185">
        <f>'Alt. scenario COM'!N9</f>
        <v>14715.421875000004</v>
      </c>
      <c r="AD98" s="185">
        <f>'Alt. scenario COM'!O9</f>
        <v>16242.187500000004</v>
      </c>
      <c r="AE98" s="185">
        <f>'Alt. scenario COM'!P9</f>
        <v>17747.296875000004</v>
      </c>
      <c r="AF98" s="185">
        <f>'Alt. scenario COM'!Q9</f>
        <v>19230.750000000004</v>
      </c>
      <c r="AG98" s="230">
        <f>'Alt. scenario COM'!R9</f>
        <v>67935.656250000015</v>
      </c>
      <c r="AH98" s="185">
        <f>'Key financial and ops fig.s COM'!S9</f>
        <v>20692.546875000004</v>
      </c>
      <c r="AI98" s="185">
        <f>'Key financial and ops fig.s COM'!T9</f>
        <v>22132.687500000007</v>
      </c>
      <c r="AJ98" s="185">
        <f>'Key financial and ops fig.s COM'!U9</f>
        <v>23551.171875000007</v>
      </c>
      <c r="AK98" s="185">
        <f>'Key financial and ops fig.s COM'!V9</f>
        <v>24948.000000000007</v>
      </c>
      <c r="AL98" s="213">
        <f>'Key financial and ops fig.s COM'!W9</f>
        <v>91324.406250000029</v>
      </c>
      <c r="AM98" s="185">
        <f>'Alt. scenario COM'!S9</f>
        <v>20692.546875000004</v>
      </c>
      <c r="AN98" s="185">
        <f>'Alt. scenario COM'!T9</f>
        <v>22132.687500000007</v>
      </c>
      <c r="AO98" s="185">
        <f>'Alt. scenario COM'!U9</f>
        <v>23551.171875000007</v>
      </c>
      <c r="AP98" s="185">
        <f>'Alt. scenario COM'!V9</f>
        <v>24948.000000000007</v>
      </c>
      <c r="AQ98" s="230">
        <f>'Alt. scenario COM'!W9</f>
        <v>91324.406250000029</v>
      </c>
      <c r="AR98" s="185">
        <f>'Key financial and ops fig.s COM'!X9</f>
        <v>26323.171875000007</v>
      </c>
      <c r="AS98" s="185">
        <f>'Key financial and ops fig.s COM'!Y9</f>
        <v>27676.687500000007</v>
      </c>
      <c r="AT98" s="185">
        <f>'Key financial and ops fig.s COM'!Z9</f>
        <v>29008.546875000007</v>
      </c>
      <c r="AU98" s="185">
        <f>'Key financial and ops fig.s COM'!AA9</f>
        <v>30318.750000000007</v>
      </c>
      <c r="AV98" s="213">
        <f>'Key financial and ops fig.s COM'!AB9</f>
        <v>113327.15625000003</v>
      </c>
      <c r="AW98" s="185">
        <f>'Alt. scenario COM'!X9</f>
        <v>26323.171875000007</v>
      </c>
      <c r="AX98" s="185">
        <f>'Alt. scenario COM'!Y9</f>
        <v>27676.687500000007</v>
      </c>
      <c r="AY98" s="185">
        <f>'Alt. scenario COM'!Z9</f>
        <v>29008.546875000007</v>
      </c>
      <c r="AZ98" s="185">
        <f>'Alt. scenario COM'!AA9</f>
        <v>30318.750000000007</v>
      </c>
      <c r="BA98" s="230">
        <f>'Alt. scenario COM'!AB9</f>
        <v>113327.15625000003</v>
      </c>
      <c r="BB98" s="185">
        <f>'Key financial and ops fig.s COM'!AC9</f>
        <v>30102.187500000007</v>
      </c>
      <c r="BC98" s="185">
        <f>'Key financial and ops fig.s COM'!AD9</f>
        <v>29885.625000000007</v>
      </c>
      <c r="BD98" s="185">
        <f>'Key financial and ops fig.s COM'!AE9</f>
        <v>29669.062500000007</v>
      </c>
      <c r="BE98" s="185">
        <f>'Key financial and ops fig.s COM'!AF9</f>
        <v>29452.500000000007</v>
      </c>
      <c r="BF98" s="213">
        <f>'Key financial and ops fig.s COM'!AG9</f>
        <v>119109.37500000003</v>
      </c>
      <c r="BG98" s="185">
        <f>'Alt. scenario COM'!AC9</f>
        <v>30102.187500000007</v>
      </c>
      <c r="BH98" s="185">
        <f>'Alt. scenario COM'!AD9</f>
        <v>29885.625000000007</v>
      </c>
      <c r="BI98" s="185">
        <f>'Alt. scenario COM'!AE9</f>
        <v>29669.062500000007</v>
      </c>
      <c r="BJ98" s="185">
        <f>'Alt. scenario COM'!AF9</f>
        <v>29452.500000000007</v>
      </c>
      <c r="BK98" s="230">
        <f>'Alt. scenario COM'!AG9</f>
        <v>119109.37500000003</v>
      </c>
      <c r="BL98" s="185">
        <f>'Key financial and ops fig.s COM'!AH9</f>
        <v>29235.937500000007</v>
      </c>
      <c r="BM98" s="185">
        <f>'Key financial and ops fig.s COM'!AI9</f>
        <v>29019.375000000007</v>
      </c>
      <c r="BN98" s="185">
        <f>'Key financial and ops fig.s COM'!AJ9</f>
        <v>28802.812500000007</v>
      </c>
      <c r="BO98" s="185">
        <f>'Key financial and ops fig.s COM'!AK9</f>
        <v>28586.250000000007</v>
      </c>
      <c r="BP98" s="213">
        <f>'Key financial and ops fig.s COM'!AL9</f>
        <v>115644.37500000003</v>
      </c>
      <c r="BQ98" s="185">
        <f>'Alt. scenario COM'!AH9</f>
        <v>29235.937500000007</v>
      </c>
      <c r="BR98" s="185">
        <f>'Alt. scenario COM'!AI9</f>
        <v>29019.375000000007</v>
      </c>
      <c r="BS98" s="185">
        <f>'Alt. scenario COM'!AJ9</f>
        <v>28802.812500000007</v>
      </c>
      <c r="BT98" s="185">
        <f>'Alt. scenario COM'!AK9</f>
        <v>28586.250000000007</v>
      </c>
      <c r="BU98" s="230">
        <f>'Alt. scenario COM'!AL9</f>
        <v>115644.37500000003</v>
      </c>
    </row>
    <row r="99" spans="1:73" ht="17.100000000000001" hidden="1" outlineLevel="2" thickBot="1">
      <c r="A99" s="31"/>
      <c r="C99" s="32" t="s">
        <v>253</v>
      </c>
      <c r="D99" s="185">
        <f>'Key financial and ops fig.s COM'!D10</f>
        <v>5165.015625</v>
      </c>
      <c r="E99" s="185">
        <f>'Key financial and ops fig.s COM'!E10</f>
        <v>10265.0625</v>
      </c>
      <c r="F99" s="185">
        <f>'Key financial and ops fig.s COM'!F10</f>
        <v>15300.140625</v>
      </c>
      <c r="G99" s="185">
        <f>'Key financial and ops fig.s COM'!G10</f>
        <v>20270.25</v>
      </c>
      <c r="H99" s="213">
        <f>'Key financial and ops fig.s COM'!H10</f>
        <v>51000.46875</v>
      </c>
      <c r="I99" s="185">
        <f>'Alt. scenario COM'!D10</f>
        <v>5165.015625</v>
      </c>
      <c r="J99" s="185">
        <f>'Alt. scenario COM'!E10</f>
        <v>10265.0625</v>
      </c>
      <c r="K99" s="185">
        <f>'Alt. scenario COM'!F10</f>
        <v>15300.140625</v>
      </c>
      <c r="L99" s="185">
        <f>'Alt. scenario COM'!G10</f>
        <v>20270.25</v>
      </c>
      <c r="M99" s="230">
        <f>'Alt. scenario COM'!H10</f>
        <v>51000.46875</v>
      </c>
      <c r="N99" s="185">
        <f>'Key financial and ops fig.s COM'!I10</f>
        <v>25175.390625</v>
      </c>
      <c r="O99" s="185">
        <f>'Key financial and ops fig.s COM'!J10</f>
        <v>30015.5625</v>
      </c>
      <c r="P99" s="185">
        <f>'Key financial and ops fig.s COM'!K10</f>
        <v>34790.765625</v>
      </c>
      <c r="Q99" s="185">
        <f>'Key financial and ops fig.s COM'!L10</f>
        <v>39501</v>
      </c>
      <c r="R99" s="213">
        <f>'Key financial and ops fig.s COM'!M10</f>
        <v>129482.71875</v>
      </c>
      <c r="S99" s="185">
        <f>'Alt. scenario COM'!I10</f>
        <v>25175.390625</v>
      </c>
      <c r="T99" s="185">
        <f>'Alt. scenario COM'!J10</f>
        <v>30015.5625</v>
      </c>
      <c r="U99" s="185">
        <f>'Alt. scenario COM'!K10</f>
        <v>34790.765625</v>
      </c>
      <c r="V99" s="185">
        <f>'Alt. scenario COM'!L10</f>
        <v>39501</v>
      </c>
      <c r="W99" s="230">
        <f>'Alt. scenario COM'!M10</f>
        <v>129482.71875</v>
      </c>
      <c r="X99" s="185">
        <f>'Key financial and ops fig.s COM'!N10</f>
        <v>44146.265625</v>
      </c>
      <c r="Y99" s="185">
        <f>'Key financial and ops fig.s COM'!O10</f>
        <v>48726.5625</v>
      </c>
      <c r="Z99" s="185">
        <f>'Key financial and ops fig.s COM'!P10</f>
        <v>53241.890625</v>
      </c>
      <c r="AA99" s="185">
        <f>'Key financial and ops fig.s COM'!Q10</f>
        <v>57692.25</v>
      </c>
      <c r="AB99" s="213">
        <f>'Key financial and ops fig.s COM'!R10</f>
        <v>203806.96875</v>
      </c>
      <c r="AC99" s="185">
        <f>'Alt. scenario COM'!N10</f>
        <v>44146.265625</v>
      </c>
      <c r="AD99" s="185">
        <f>'Alt. scenario COM'!O10</f>
        <v>48726.5625</v>
      </c>
      <c r="AE99" s="185">
        <f>'Alt. scenario COM'!P10</f>
        <v>53241.890625</v>
      </c>
      <c r="AF99" s="185">
        <f>'Alt. scenario COM'!Q10</f>
        <v>57692.25</v>
      </c>
      <c r="AG99" s="230">
        <f>'Alt. scenario COM'!R10</f>
        <v>203806.96875</v>
      </c>
      <c r="AH99" s="185">
        <f>'Key financial and ops fig.s COM'!S10</f>
        <v>62077.640625</v>
      </c>
      <c r="AI99" s="185">
        <f>'Key financial and ops fig.s COM'!T10</f>
        <v>66398.0625</v>
      </c>
      <c r="AJ99" s="185">
        <f>'Key financial and ops fig.s COM'!U10</f>
        <v>70653.515625</v>
      </c>
      <c r="AK99" s="185">
        <f>'Key financial and ops fig.s COM'!V10</f>
        <v>74844</v>
      </c>
      <c r="AL99" s="213">
        <f>'Key financial and ops fig.s COM'!W10</f>
        <v>273973.21875</v>
      </c>
      <c r="AM99" s="185">
        <f>'Alt. scenario COM'!S10</f>
        <v>62077.640625</v>
      </c>
      <c r="AN99" s="185">
        <f>'Alt. scenario COM'!T10</f>
        <v>66398.0625</v>
      </c>
      <c r="AO99" s="185">
        <f>'Alt. scenario COM'!U10</f>
        <v>70653.515625</v>
      </c>
      <c r="AP99" s="185">
        <f>'Alt. scenario COM'!V10</f>
        <v>74844</v>
      </c>
      <c r="AQ99" s="230">
        <f>'Alt. scenario COM'!W10</f>
        <v>273973.21875</v>
      </c>
      <c r="AR99" s="185">
        <f>'Key financial and ops fig.s COM'!X10</f>
        <v>78969.515625</v>
      </c>
      <c r="AS99" s="185">
        <f>'Key financial and ops fig.s COM'!Y10</f>
        <v>83030.0625</v>
      </c>
      <c r="AT99" s="185">
        <f>'Key financial and ops fig.s COM'!Z10</f>
        <v>87025.640625</v>
      </c>
      <c r="AU99" s="185">
        <f>'Key financial and ops fig.s COM'!AA10</f>
        <v>90956.25</v>
      </c>
      <c r="AV99" s="213">
        <f>'Key financial and ops fig.s COM'!AB10</f>
        <v>339981.46875</v>
      </c>
      <c r="AW99" s="185">
        <f>'Alt. scenario COM'!X10</f>
        <v>78969.515625</v>
      </c>
      <c r="AX99" s="185">
        <f>'Alt. scenario COM'!Y10</f>
        <v>83030.0625</v>
      </c>
      <c r="AY99" s="185">
        <f>'Alt. scenario COM'!Z10</f>
        <v>87025.640625</v>
      </c>
      <c r="AZ99" s="185">
        <f>'Alt. scenario COM'!AA10</f>
        <v>90956.25</v>
      </c>
      <c r="BA99" s="230">
        <f>'Alt. scenario COM'!AB10</f>
        <v>339981.46875</v>
      </c>
      <c r="BB99" s="185">
        <f>'Key financial and ops fig.s COM'!AC10</f>
        <v>90306.5625</v>
      </c>
      <c r="BC99" s="185">
        <f>'Key financial and ops fig.s COM'!AD10</f>
        <v>89656.875</v>
      </c>
      <c r="BD99" s="185">
        <f>'Key financial and ops fig.s COM'!AE10</f>
        <v>89007.1875</v>
      </c>
      <c r="BE99" s="185">
        <f>'Key financial and ops fig.s COM'!AF10</f>
        <v>88357.5</v>
      </c>
      <c r="BF99" s="213">
        <f>'Key financial and ops fig.s COM'!AG10</f>
        <v>357328.125</v>
      </c>
      <c r="BG99" s="185">
        <f>'Alt. scenario COM'!AC10</f>
        <v>90306.5625</v>
      </c>
      <c r="BH99" s="185">
        <f>'Alt. scenario COM'!AD10</f>
        <v>89656.875</v>
      </c>
      <c r="BI99" s="185">
        <f>'Alt. scenario COM'!AE10</f>
        <v>89007.1875</v>
      </c>
      <c r="BJ99" s="185">
        <f>'Alt. scenario COM'!AF10</f>
        <v>88357.5</v>
      </c>
      <c r="BK99" s="230">
        <f>'Alt. scenario COM'!AG10</f>
        <v>357328.125</v>
      </c>
      <c r="BL99" s="185">
        <f>'Key financial and ops fig.s COM'!AH10</f>
        <v>87707.8125</v>
      </c>
      <c r="BM99" s="185">
        <f>'Key financial and ops fig.s COM'!AI10</f>
        <v>87058.125</v>
      </c>
      <c r="BN99" s="185">
        <f>'Key financial and ops fig.s COM'!AJ10</f>
        <v>86408.4375</v>
      </c>
      <c r="BO99" s="185">
        <f>'Key financial and ops fig.s COM'!AK10</f>
        <v>85758.75</v>
      </c>
      <c r="BP99" s="213">
        <f>'Key financial and ops fig.s COM'!AL10</f>
        <v>346933.125</v>
      </c>
      <c r="BQ99" s="185">
        <f>'Alt. scenario COM'!AH10</f>
        <v>87707.8125</v>
      </c>
      <c r="BR99" s="185">
        <f>'Alt. scenario COM'!AI10</f>
        <v>87058.125</v>
      </c>
      <c r="BS99" s="185">
        <f>'Alt. scenario COM'!AJ10</f>
        <v>86408.4375</v>
      </c>
      <c r="BT99" s="185">
        <f>'Alt. scenario COM'!AK10</f>
        <v>85758.75</v>
      </c>
      <c r="BU99" s="230">
        <f>'Alt. scenario COM'!AL10</f>
        <v>346933.125</v>
      </c>
    </row>
    <row r="100" spans="1:73" ht="17.100000000000001" hidden="1" outlineLevel="1" thickBot="1">
      <c r="A100" s="31"/>
      <c r="B100" s="34" t="s">
        <v>254</v>
      </c>
      <c r="C100" s="34"/>
      <c r="D100" s="184">
        <f>'Key financial and ops fig.s COM'!D11</f>
        <v>190993.78125</v>
      </c>
      <c r="E100" s="184">
        <f>'Key financial and ops fig.s COM'!E11</f>
        <v>379585.125</v>
      </c>
      <c r="F100" s="184">
        <f>'Key financial and ops fig.s COM'!F11</f>
        <v>565774.03125000012</v>
      </c>
      <c r="G100" s="184">
        <f>'Key financial and ops fig.s COM'!G11</f>
        <v>749560.5</v>
      </c>
      <c r="H100" s="214">
        <f>'Key financial and ops fig.s COM'!H11</f>
        <v>1885913.4375</v>
      </c>
      <c r="I100" s="184">
        <f>'Alt. scenario COM'!D11</f>
        <v>190993.78125</v>
      </c>
      <c r="J100" s="184">
        <f>'Alt. scenario COM'!E11</f>
        <v>379585.125</v>
      </c>
      <c r="K100" s="184">
        <f>'Alt. scenario COM'!F11</f>
        <v>565774.03125000012</v>
      </c>
      <c r="L100" s="184">
        <f>'Alt. scenario COM'!G11</f>
        <v>749560.5</v>
      </c>
      <c r="M100" s="231">
        <f>'Alt. scenario COM'!H11</f>
        <v>1885913.4375</v>
      </c>
      <c r="N100" s="184">
        <f>'Key financial and ops fig.s COM'!I11</f>
        <v>930944.53125</v>
      </c>
      <c r="O100" s="184">
        <f>'Key financial and ops fig.s COM'!J11</f>
        <v>1109926.1250000002</v>
      </c>
      <c r="P100" s="184">
        <f>'Key financial and ops fig.s COM'!K11</f>
        <v>1286505.2812500002</v>
      </c>
      <c r="Q100" s="184">
        <f>'Key financial and ops fig.s COM'!L11</f>
        <v>1460682</v>
      </c>
      <c r="R100" s="214">
        <f>'Key financial and ops fig.s COM'!M11</f>
        <v>4788057.9375</v>
      </c>
      <c r="S100" s="184">
        <f>'Alt. scenario COM'!I11</f>
        <v>930944.53125</v>
      </c>
      <c r="T100" s="184">
        <f>'Alt. scenario COM'!J11</f>
        <v>1109926.1250000002</v>
      </c>
      <c r="U100" s="184">
        <f>'Alt. scenario COM'!K11</f>
        <v>1286505.2812500002</v>
      </c>
      <c r="V100" s="184">
        <f>'Alt. scenario COM'!L11</f>
        <v>1460682</v>
      </c>
      <c r="W100" s="231">
        <f>'Alt. scenario COM'!M11</f>
        <v>4788057.9375</v>
      </c>
      <c r="X100" s="184">
        <f>'Key financial and ops fig.s COM'!N11</f>
        <v>1632456.28125</v>
      </c>
      <c r="Y100" s="184">
        <f>'Key financial and ops fig.s COM'!O11</f>
        <v>1801828.125</v>
      </c>
      <c r="Z100" s="184">
        <f>'Key financial and ops fig.s COM'!P11</f>
        <v>1968797.5312500005</v>
      </c>
      <c r="AA100" s="184">
        <f>'Key financial and ops fig.s COM'!Q11</f>
        <v>2133364.5000000005</v>
      </c>
      <c r="AB100" s="214">
        <f>'Key financial and ops fig.s COM'!R11</f>
        <v>7536446.4375</v>
      </c>
      <c r="AC100" s="184">
        <f>'Alt. scenario COM'!N11</f>
        <v>1632456.28125</v>
      </c>
      <c r="AD100" s="184">
        <f>'Alt. scenario COM'!O11</f>
        <v>1801828.125</v>
      </c>
      <c r="AE100" s="184">
        <f>'Alt. scenario COM'!P11</f>
        <v>1968797.5312500005</v>
      </c>
      <c r="AF100" s="184">
        <f>'Alt. scenario COM'!Q11</f>
        <v>2133364.5000000005</v>
      </c>
      <c r="AG100" s="231">
        <f>'Alt. scenario COM'!R11</f>
        <v>7536446.4375</v>
      </c>
      <c r="AH100" s="184">
        <f>'Key financial and ops fig.s COM'!S11</f>
        <v>2295529.0312500005</v>
      </c>
      <c r="AI100" s="184">
        <f>'Key financial and ops fig.s COM'!T11</f>
        <v>2455291.1250000005</v>
      </c>
      <c r="AJ100" s="184">
        <f>'Key financial and ops fig.s COM'!U11</f>
        <v>2612650.7812500005</v>
      </c>
      <c r="AK100" s="184">
        <f>'Key financial and ops fig.s COM'!V11</f>
        <v>2767608</v>
      </c>
      <c r="AL100" s="214">
        <f>'Key financial and ops fig.s COM'!W11</f>
        <v>10131078.937500002</v>
      </c>
      <c r="AM100" s="184">
        <f>'Alt. scenario COM'!S11</f>
        <v>2295529.0312500005</v>
      </c>
      <c r="AN100" s="184">
        <f>'Alt. scenario COM'!T11</f>
        <v>2455291.1250000005</v>
      </c>
      <c r="AO100" s="184">
        <f>'Alt. scenario COM'!U11</f>
        <v>2612650.7812500005</v>
      </c>
      <c r="AP100" s="184">
        <f>'Alt. scenario COM'!V11</f>
        <v>2767608</v>
      </c>
      <c r="AQ100" s="231">
        <f>'Alt. scenario COM'!W11</f>
        <v>10131078.937500002</v>
      </c>
      <c r="AR100" s="184">
        <f>'Key financial and ops fig.s COM'!X11</f>
        <v>2920162.78125</v>
      </c>
      <c r="AS100" s="184">
        <f>'Key financial and ops fig.s COM'!Y11</f>
        <v>3070315.125</v>
      </c>
      <c r="AT100" s="184">
        <f>'Key financial and ops fig.s COM'!Z11</f>
        <v>3218065.03125</v>
      </c>
      <c r="AU100" s="184">
        <f>'Key financial and ops fig.s COM'!AA11</f>
        <v>3363412.5</v>
      </c>
      <c r="AV100" s="214">
        <f>'Key financial and ops fig.s COM'!AB11</f>
        <v>12571955.4375</v>
      </c>
      <c r="AW100" s="184">
        <f>'Alt. scenario COM'!X11</f>
        <v>2920162.78125</v>
      </c>
      <c r="AX100" s="184">
        <f>'Alt. scenario COM'!Y11</f>
        <v>3070315.125</v>
      </c>
      <c r="AY100" s="184">
        <f>'Alt. scenario COM'!Z11</f>
        <v>3218065.03125</v>
      </c>
      <c r="AZ100" s="184">
        <f>'Alt. scenario COM'!AA11</f>
        <v>3363412.5</v>
      </c>
      <c r="BA100" s="231">
        <f>'Alt. scenario COM'!AB11</f>
        <v>12571955.4375</v>
      </c>
      <c r="BB100" s="184">
        <f>'Key financial and ops fig.s COM'!AC11</f>
        <v>3339388.125</v>
      </c>
      <c r="BC100" s="184">
        <f>'Key financial and ops fig.s COM'!AD11</f>
        <v>3315363.75</v>
      </c>
      <c r="BD100" s="184">
        <f>'Key financial and ops fig.s COM'!AE11</f>
        <v>3291339.375</v>
      </c>
      <c r="BE100" s="184">
        <f>'Key financial and ops fig.s COM'!AF11</f>
        <v>3267315</v>
      </c>
      <c r="BF100" s="214">
        <f>'Key financial and ops fig.s COM'!AG11</f>
        <v>13213406.25</v>
      </c>
      <c r="BG100" s="184">
        <f>'Alt. scenario COM'!AC11</f>
        <v>3339388.125</v>
      </c>
      <c r="BH100" s="184">
        <f>'Alt. scenario COM'!AD11</f>
        <v>3315363.75</v>
      </c>
      <c r="BI100" s="184">
        <f>'Alt. scenario COM'!AE11</f>
        <v>3291339.375</v>
      </c>
      <c r="BJ100" s="184">
        <f>'Alt. scenario COM'!AF11</f>
        <v>3267315</v>
      </c>
      <c r="BK100" s="231">
        <f>'Alt. scenario COM'!AG11</f>
        <v>13213406.25</v>
      </c>
      <c r="BL100" s="184">
        <f>'Key financial and ops fig.s COM'!AH11</f>
        <v>3243290.625</v>
      </c>
      <c r="BM100" s="184">
        <f>'Key financial and ops fig.s COM'!AI11</f>
        <v>3219266.25</v>
      </c>
      <c r="BN100" s="184">
        <f>'Key financial and ops fig.s COM'!AJ11</f>
        <v>3195241.875</v>
      </c>
      <c r="BO100" s="184">
        <f>'Key financial and ops fig.s COM'!AK11</f>
        <v>3171217.5</v>
      </c>
      <c r="BP100" s="214">
        <f>'Key financial and ops fig.s COM'!AL11</f>
        <v>12829016.25</v>
      </c>
      <c r="BQ100" s="184">
        <f>'Alt. scenario COM'!AH11</f>
        <v>3243290.625</v>
      </c>
      <c r="BR100" s="184">
        <f>'Alt. scenario COM'!AI11</f>
        <v>3219266.25</v>
      </c>
      <c r="BS100" s="184">
        <f>'Alt. scenario COM'!AJ11</f>
        <v>3195241.875</v>
      </c>
      <c r="BT100" s="184">
        <f>'Alt. scenario COM'!AK11</f>
        <v>3171217.5</v>
      </c>
      <c r="BU100" s="231">
        <f>'Alt. scenario COM'!AL11</f>
        <v>12829016.25</v>
      </c>
    </row>
    <row r="101" spans="1:73" ht="17.100000000000001" collapsed="1" thickBot="1">
      <c r="A101" s="36" t="s">
        <v>255</v>
      </c>
      <c r="B101" s="37"/>
      <c r="C101" s="38"/>
      <c r="D101" s="51">
        <f>'Key financial and ops fig.s COM'!D12</f>
        <v>190993.78125</v>
      </c>
      <c r="E101" s="51">
        <f>'Key financial and ops fig.s COM'!E12</f>
        <v>379585.125</v>
      </c>
      <c r="F101" s="51">
        <f>'Key financial and ops fig.s COM'!F12</f>
        <v>565774.03125000012</v>
      </c>
      <c r="G101" s="51">
        <f>'Key financial and ops fig.s COM'!G12</f>
        <v>749560.5</v>
      </c>
      <c r="H101" s="215">
        <f>'Key financial and ops fig.s COM'!H12</f>
        <v>1885913.4375</v>
      </c>
      <c r="I101" s="51">
        <f>'Alt. scenario COM'!D12</f>
        <v>190993.78125</v>
      </c>
      <c r="J101" s="51">
        <f>'Alt. scenario COM'!E12</f>
        <v>379585.125</v>
      </c>
      <c r="K101" s="51">
        <f>'Alt. scenario COM'!F12</f>
        <v>565774.03125000012</v>
      </c>
      <c r="L101" s="51">
        <f>'Alt. scenario COM'!G12</f>
        <v>749560.5</v>
      </c>
      <c r="M101" s="232">
        <f>'Alt. scenario COM'!H12</f>
        <v>1885913.4375</v>
      </c>
      <c r="N101" s="51">
        <f>'Key financial and ops fig.s COM'!I12</f>
        <v>930944.53125</v>
      </c>
      <c r="O101" s="51">
        <f>'Key financial and ops fig.s COM'!J12</f>
        <v>1109926.1250000002</v>
      </c>
      <c r="P101" s="51">
        <f>'Key financial and ops fig.s COM'!K12</f>
        <v>1286505.2812500002</v>
      </c>
      <c r="Q101" s="51">
        <f>'Key financial and ops fig.s COM'!L12</f>
        <v>1460682</v>
      </c>
      <c r="R101" s="215">
        <f>'Key financial and ops fig.s COM'!M12</f>
        <v>4788057.9375</v>
      </c>
      <c r="S101" s="51">
        <f>'Alt. scenario COM'!I12</f>
        <v>930944.53125</v>
      </c>
      <c r="T101" s="51">
        <f>'Alt. scenario COM'!J12</f>
        <v>1109926.1250000002</v>
      </c>
      <c r="U101" s="51">
        <f>'Alt. scenario COM'!K12</f>
        <v>1286505.2812500002</v>
      </c>
      <c r="V101" s="51">
        <f>'Alt. scenario COM'!L12</f>
        <v>1460682</v>
      </c>
      <c r="W101" s="232">
        <f>'Alt. scenario COM'!M12</f>
        <v>4788057.9375</v>
      </c>
      <c r="X101" s="51">
        <f>'Key financial and ops fig.s COM'!N12</f>
        <v>1632456.28125</v>
      </c>
      <c r="Y101" s="51">
        <f>'Key financial and ops fig.s COM'!O12</f>
        <v>1801828.125</v>
      </c>
      <c r="Z101" s="51">
        <f>'Key financial and ops fig.s COM'!P12</f>
        <v>1968797.5312500005</v>
      </c>
      <c r="AA101" s="51">
        <f>'Key financial and ops fig.s COM'!Q12</f>
        <v>2133364.5000000005</v>
      </c>
      <c r="AB101" s="215">
        <f>'Key financial and ops fig.s COM'!R12</f>
        <v>7536446.4375</v>
      </c>
      <c r="AC101" s="51">
        <f>'Alt. scenario COM'!N12</f>
        <v>1632456.28125</v>
      </c>
      <c r="AD101" s="51">
        <f>'Alt. scenario COM'!O12</f>
        <v>1801828.125</v>
      </c>
      <c r="AE101" s="51">
        <f>'Alt. scenario COM'!P12</f>
        <v>1968797.5312500005</v>
      </c>
      <c r="AF101" s="51">
        <f>'Alt. scenario COM'!Q12</f>
        <v>2133364.5000000005</v>
      </c>
      <c r="AG101" s="232">
        <f>'Alt. scenario COM'!R12</f>
        <v>7536446.4375</v>
      </c>
      <c r="AH101" s="51">
        <f>'Key financial and ops fig.s COM'!S12</f>
        <v>2295529.0312500005</v>
      </c>
      <c r="AI101" s="51">
        <f>'Key financial and ops fig.s COM'!T12</f>
        <v>2455291.1250000005</v>
      </c>
      <c r="AJ101" s="51">
        <f>'Key financial and ops fig.s COM'!U12</f>
        <v>2612650.7812500005</v>
      </c>
      <c r="AK101" s="51">
        <f>'Key financial and ops fig.s COM'!V12</f>
        <v>2767608</v>
      </c>
      <c r="AL101" s="215">
        <f>'Key financial and ops fig.s COM'!W12</f>
        <v>10131078.937500002</v>
      </c>
      <c r="AM101" s="51">
        <f>'Alt. scenario COM'!S12</f>
        <v>2295529.0312500005</v>
      </c>
      <c r="AN101" s="51">
        <f>'Alt. scenario COM'!T12</f>
        <v>2455291.1250000005</v>
      </c>
      <c r="AO101" s="51">
        <f>'Alt. scenario COM'!U12</f>
        <v>2612650.7812500005</v>
      </c>
      <c r="AP101" s="51">
        <f>'Alt. scenario COM'!V12</f>
        <v>2767608</v>
      </c>
      <c r="AQ101" s="232">
        <f>'Alt. scenario COM'!W12</f>
        <v>10131078.937500002</v>
      </c>
      <c r="AR101" s="51">
        <f>'Key financial and ops fig.s COM'!X12</f>
        <v>2920162.78125</v>
      </c>
      <c r="AS101" s="51">
        <f>'Key financial and ops fig.s COM'!Y12</f>
        <v>3070315.125</v>
      </c>
      <c r="AT101" s="51">
        <f>'Key financial and ops fig.s COM'!Z12</f>
        <v>3218065.03125</v>
      </c>
      <c r="AU101" s="51">
        <f>'Key financial and ops fig.s COM'!AA12</f>
        <v>3363412.5</v>
      </c>
      <c r="AV101" s="215">
        <f>'Key financial and ops fig.s COM'!AB12</f>
        <v>12571955.4375</v>
      </c>
      <c r="AW101" s="51">
        <f>'Alt. scenario COM'!X12</f>
        <v>2920162.78125</v>
      </c>
      <c r="AX101" s="51">
        <f>'Alt. scenario COM'!Y12</f>
        <v>3070315.125</v>
      </c>
      <c r="AY101" s="51">
        <f>'Alt. scenario COM'!Z12</f>
        <v>3218065.03125</v>
      </c>
      <c r="AZ101" s="51">
        <f>'Alt. scenario COM'!AA12</f>
        <v>3363412.5</v>
      </c>
      <c r="BA101" s="232">
        <f>'Alt. scenario COM'!AB12</f>
        <v>12571955.4375</v>
      </c>
      <c r="BB101" s="51">
        <f>'Key financial and ops fig.s COM'!AC12</f>
        <v>3339388.125</v>
      </c>
      <c r="BC101" s="51">
        <f>'Key financial and ops fig.s COM'!AD12</f>
        <v>3315363.75</v>
      </c>
      <c r="BD101" s="51">
        <f>'Key financial and ops fig.s COM'!AE12</f>
        <v>3291339.375</v>
      </c>
      <c r="BE101" s="51">
        <f>'Key financial and ops fig.s COM'!AF12</f>
        <v>3267315</v>
      </c>
      <c r="BF101" s="215">
        <f>'Key financial and ops fig.s COM'!AG12</f>
        <v>13213406.25</v>
      </c>
      <c r="BG101" s="51">
        <f>'Alt. scenario COM'!AC12</f>
        <v>3339388.125</v>
      </c>
      <c r="BH101" s="51">
        <f>'Alt. scenario COM'!AD12</f>
        <v>3315363.75</v>
      </c>
      <c r="BI101" s="51">
        <f>'Alt. scenario COM'!AE12</f>
        <v>3291339.375</v>
      </c>
      <c r="BJ101" s="51">
        <f>'Alt. scenario COM'!AF12</f>
        <v>3267315</v>
      </c>
      <c r="BK101" s="232">
        <f>'Alt. scenario COM'!AG12</f>
        <v>13213406.25</v>
      </c>
      <c r="BL101" s="51">
        <f>'Key financial and ops fig.s COM'!AH12</f>
        <v>3243290.625</v>
      </c>
      <c r="BM101" s="51">
        <f>'Key financial and ops fig.s COM'!AI12</f>
        <v>3219266.25</v>
      </c>
      <c r="BN101" s="51">
        <f>'Key financial and ops fig.s COM'!AJ12</f>
        <v>3195241.875</v>
      </c>
      <c r="BO101" s="51">
        <f>'Key financial and ops fig.s COM'!AK12</f>
        <v>3171217.5</v>
      </c>
      <c r="BP101" s="215">
        <f>'Key financial and ops fig.s COM'!AL12</f>
        <v>12829016.25</v>
      </c>
      <c r="BQ101" s="51">
        <f>'Alt. scenario COM'!AH12</f>
        <v>3243290.625</v>
      </c>
      <c r="BR101" s="51">
        <f>'Alt. scenario COM'!AI12</f>
        <v>3219266.25</v>
      </c>
      <c r="BS101" s="51">
        <f>'Alt. scenario COM'!AJ12</f>
        <v>3195241.875</v>
      </c>
      <c r="BT101" s="51">
        <f>'Alt. scenario COM'!AK12</f>
        <v>3171217.5</v>
      </c>
      <c r="BU101" s="232">
        <f>'Alt. scenario COM'!AL12</f>
        <v>12829016.25</v>
      </c>
    </row>
    <row r="102" spans="1:73" ht="17.100000000000001" hidden="1" outlineLevel="2" thickBot="1">
      <c r="A102" s="31"/>
      <c r="C102" s="32" t="s">
        <v>256</v>
      </c>
      <c r="D102" s="183">
        <f>'Key financial and ops fig.s COM'!D13</f>
        <v>12396.0375</v>
      </c>
      <c r="E102" s="183">
        <f>'Key financial and ops fig.s COM'!E13</f>
        <v>24636.15</v>
      </c>
      <c r="F102" s="183">
        <f>'Key financial and ops fig.s COM'!F13</f>
        <v>36720.337500000001</v>
      </c>
      <c r="G102" s="183">
        <f>'Key financial and ops fig.s COM'!G13</f>
        <v>48648.6</v>
      </c>
      <c r="H102" s="213">
        <f>'Key financial and ops fig.s COM'!H13</f>
        <v>122401.125</v>
      </c>
      <c r="I102" s="183">
        <f>'Alt. scenario COM'!D13</f>
        <v>12396.0375</v>
      </c>
      <c r="J102" s="183">
        <f>'Alt. scenario COM'!E13</f>
        <v>24636.15</v>
      </c>
      <c r="K102" s="183">
        <f>'Alt. scenario COM'!F13</f>
        <v>36720.337500000001</v>
      </c>
      <c r="L102" s="183">
        <f>'Alt. scenario COM'!G13</f>
        <v>48648.6</v>
      </c>
      <c r="M102" s="230">
        <f>'Alt. scenario COM'!H13</f>
        <v>122401.125</v>
      </c>
      <c r="N102" s="183">
        <f>'Key financial and ops fig.s COM'!I13</f>
        <v>60420.9375</v>
      </c>
      <c r="O102" s="183">
        <f>'Key financial and ops fig.s COM'!J13</f>
        <v>72037.350000000006</v>
      </c>
      <c r="P102" s="183">
        <f>'Key financial and ops fig.s COM'!K13</f>
        <v>83497.837500000009</v>
      </c>
      <c r="Q102" s="183">
        <f>'Key financial and ops fig.s COM'!L13</f>
        <v>94802.400000000009</v>
      </c>
      <c r="R102" s="213">
        <f>'Key financial and ops fig.s COM'!M13</f>
        <v>310758.52500000002</v>
      </c>
      <c r="S102" s="183">
        <f>'Alt. scenario COM'!I13</f>
        <v>60420.9375</v>
      </c>
      <c r="T102" s="183">
        <f>'Alt. scenario COM'!J13</f>
        <v>72037.350000000006</v>
      </c>
      <c r="U102" s="183">
        <f>'Alt. scenario COM'!K13</f>
        <v>83497.837500000009</v>
      </c>
      <c r="V102" s="183">
        <f>'Alt. scenario COM'!L13</f>
        <v>94802.400000000009</v>
      </c>
      <c r="W102" s="230">
        <f>'Alt. scenario COM'!M13</f>
        <v>310758.52500000002</v>
      </c>
      <c r="X102" s="183">
        <f>'Key financial and ops fig.s COM'!N13</f>
        <v>105951.03750000001</v>
      </c>
      <c r="Y102" s="183">
        <f>'Key financial and ops fig.s COM'!O13</f>
        <v>116943.75</v>
      </c>
      <c r="Z102" s="183">
        <f>'Key financial and ops fig.s COM'!P13</f>
        <v>127780.53750000001</v>
      </c>
      <c r="AA102" s="183">
        <f>'Key financial and ops fig.s COM'!Q13</f>
        <v>138461.4</v>
      </c>
      <c r="AB102" s="213">
        <f>'Key financial and ops fig.s COM'!R13</f>
        <v>489136.72499999998</v>
      </c>
      <c r="AC102" s="183">
        <f>'Alt. scenario COM'!N13</f>
        <v>105951.03750000001</v>
      </c>
      <c r="AD102" s="183">
        <f>'Alt. scenario COM'!O13</f>
        <v>116943.75</v>
      </c>
      <c r="AE102" s="183">
        <f>'Alt. scenario COM'!P13</f>
        <v>127780.53750000001</v>
      </c>
      <c r="AF102" s="183">
        <f>'Alt. scenario COM'!Q13</f>
        <v>138461.4</v>
      </c>
      <c r="AG102" s="230">
        <f>'Alt. scenario COM'!R13</f>
        <v>489136.72499999998</v>
      </c>
      <c r="AH102" s="183">
        <f>'Key financial and ops fig.s COM'!S13</f>
        <v>148986.33749999999</v>
      </c>
      <c r="AI102" s="183">
        <f>'Key financial and ops fig.s COM'!T13</f>
        <v>159355.35</v>
      </c>
      <c r="AJ102" s="183">
        <f>'Key financial and ops fig.s COM'!U13</f>
        <v>169568.4375</v>
      </c>
      <c r="AK102" s="183">
        <f>'Key financial and ops fig.s COM'!V13</f>
        <v>179625.60000000001</v>
      </c>
      <c r="AL102" s="213">
        <f>'Key financial and ops fig.s COM'!W13</f>
        <v>657535.72499999998</v>
      </c>
      <c r="AM102" s="183">
        <f>'Alt. scenario COM'!S13</f>
        <v>148986.33749999999</v>
      </c>
      <c r="AN102" s="183">
        <f>'Alt. scenario COM'!T13</f>
        <v>159355.35</v>
      </c>
      <c r="AO102" s="183">
        <f>'Alt. scenario COM'!U13</f>
        <v>169568.4375</v>
      </c>
      <c r="AP102" s="183">
        <f>'Alt. scenario COM'!V13</f>
        <v>179625.60000000001</v>
      </c>
      <c r="AQ102" s="230">
        <f>'Alt. scenario COM'!W13</f>
        <v>657535.72499999998</v>
      </c>
      <c r="AR102" s="183">
        <f>'Key financial and ops fig.s COM'!X13</f>
        <v>189526.83749999999</v>
      </c>
      <c r="AS102" s="183">
        <f>'Key financial and ops fig.s COM'!Y13</f>
        <v>199272.15</v>
      </c>
      <c r="AT102" s="183">
        <f>'Key financial and ops fig.s COM'!Z13</f>
        <v>208861.53750000001</v>
      </c>
      <c r="AU102" s="183">
        <f>'Key financial and ops fig.s COM'!AA13</f>
        <v>218295</v>
      </c>
      <c r="AV102" s="213">
        <f>'Key financial and ops fig.s COM'!AB13</f>
        <v>815955.52500000002</v>
      </c>
      <c r="AW102" s="183">
        <f>'Alt. scenario COM'!X13</f>
        <v>189526.83749999999</v>
      </c>
      <c r="AX102" s="183">
        <f>'Alt. scenario COM'!Y13</f>
        <v>199272.15</v>
      </c>
      <c r="AY102" s="183">
        <f>'Alt. scenario COM'!Z13</f>
        <v>208861.53750000001</v>
      </c>
      <c r="AZ102" s="183">
        <f>'Alt. scenario COM'!AA13</f>
        <v>218295</v>
      </c>
      <c r="BA102" s="230">
        <f>'Alt. scenario COM'!AB13</f>
        <v>815955.52500000002</v>
      </c>
      <c r="BB102" s="183">
        <f>'Key financial and ops fig.s COM'!AC13</f>
        <v>216735.75</v>
      </c>
      <c r="BC102" s="183">
        <f>'Key financial and ops fig.s COM'!AD13</f>
        <v>215176.5</v>
      </c>
      <c r="BD102" s="183">
        <f>'Key financial and ops fig.s COM'!AE13</f>
        <v>213617.25</v>
      </c>
      <c r="BE102" s="183">
        <f>'Key financial and ops fig.s COM'!AF13</f>
        <v>212058</v>
      </c>
      <c r="BF102" s="213">
        <f>'Key financial and ops fig.s COM'!AG13</f>
        <v>857587.5</v>
      </c>
      <c r="BG102" s="183">
        <f>'Alt. scenario COM'!AC13</f>
        <v>216735.75</v>
      </c>
      <c r="BH102" s="183">
        <f>'Alt. scenario COM'!AD13</f>
        <v>215176.5</v>
      </c>
      <c r="BI102" s="183">
        <f>'Alt. scenario COM'!AE13</f>
        <v>213617.25</v>
      </c>
      <c r="BJ102" s="183">
        <f>'Alt. scenario COM'!AF13</f>
        <v>212058</v>
      </c>
      <c r="BK102" s="230">
        <f>'Alt. scenario COM'!AG13</f>
        <v>857587.5</v>
      </c>
      <c r="BL102" s="183">
        <f>'Key financial and ops fig.s COM'!AH13</f>
        <v>210498.75</v>
      </c>
      <c r="BM102" s="183">
        <f>'Key financial and ops fig.s COM'!AI13</f>
        <v>208939.5</v>
      </c>
      <c r="BN102" s="183">
        <f>'Key financial and ops fig.s COM'!AJ13</f>
        <v>207380.25</v>
      </c>
      <c r="BO102" s="183">
        <f>'Key financial and ops fig.s COM'!AK13</f>
        <v>205821</v>
      </c>
      <c r="BP102" s="213">
        <f>'Key financial and ops fig.s COM'!AL13</f>
        <v>832639.5</v>
      </c>
      <c r="BQ102" s="183">
        <f>'Alt. scenario COM'!AH13</f>
        <v>210498.75</v>
      </c>
      <c r="BR102" s="183">
        <f>'Alt. scenario COM'!AI13</f>
        <v>208939.5</v>
      </c>
      <c r="BS102" s="183">
        <f>'Alt. scenario COM'!AJ13</f>
        <v>207380.25</v>
      </c>
      <c r="BT102" s="183">
        <f>'Alt. scenario COM'!AK13</f>
        <v>205821</v>
      </c>
      <c r="BU102" s="230">
        <f>'Alt. scenario COM'!AL13</f>
        <v>832639.5</v>
      </c>
    </row>
    <row r="103" spans="1:73" ht="17.100000000000001" hidden="1" outlineLevel="2" thickBot="1">
      <c r="A103" s="31"/>
      <c r="C103" s="32" t="s">
        <v>257</v>
      </c>
      <c r="D103" s="185">
        <f>'Key financial and ops fig.s COM'!D14</f>
        <v>30990.09375</v>
      </c>
      <c r="E103" s="185">
        <f>'Key financial and ops fig.s COM'!E14</f>
        <v>61590.375</v>
      </c>
      <c r="F103" s="185">
        <f>'Key financial and ops fig.s COM'!F14</f>
        <v>91800.84375</v>
      </c>
      <c r="G103" s="185">
        <f>'Key financial and ops fig.s COM'!G14</f>
        <v>121621.5</v>
      </c>
      <c r="H103" s="213">
        <f>'Key financial and ops fig.s COM'!H14</f>
        <v>306002.8125</v>
      </c>
      <c r="I103" s="185">
        <f>'Alt. scenario COM'!D14</f>
        <v>30990.09375</v>
      </c>
      <c r="J103" s="185">
        <f>'Alt. scenario COM'!E14</f>
        <v>61590.375</v>
      </c>
      <c r="K103" s="185">
        <f>'Alt. scenario COM'!F14</f>
        <v>91800.84375</v>
      </c>
      <c r="L103" s="185">
        <f>'Alt. scenario COM'!G14</f>
        <v>121621.5</v>
      </c>
      <c r="M103" s="230">
        <f>'Alt. scenario COM'!H14</f>
        <v>306002.8125</v>
      </c>
      <c r="N103" s="185">
        <f>'Key financial and ops fig.s COM'!I14</f>
        <v>151052.34375</v>
      </c>
      <c r="O103" s="185">
        <f>'Key financial and ops fig.s COM'!J14</f>
        <v>180093.375</v>
      </c>
      <c r="P103" s="185">
        <f>'Key financial and ops fig.s COM'!K14</f>
        <v>208744.59375</v>
      </c>
      <c r="Q103" s="185">
        <f>'Key financial and ops fig.s COM'!L14</f>
        <v>237006</v>
      </c>
      <c r="R103" s="213">
        <f>'Key financial and ops fig.s COM'!M14</f>
        <v>776896.3125</v>
      </c>
      <c r="S103" s="185">
        <f>'Alt. scenario COM'!I14</f>
        <v>151052.34375</v>
      </c>
      <c r="T103" s="185">
        <f>'Alt. scenario COM'!J14</f>
        <v>180093.375</v>
      </c>
      <c r="U103" s="185">
        <f>'Alt. scenario COM'!K14</f>
        <v>208744.59375</v>
      </c>
      <c r="V103" s="185">
        <f>'Alt. scenario COM'!L14</f>
        <v>237006</v>
      </c>
      <c r="W103" s="230">
        <f>'Alt. scenario COM'!M14</f>
        <v>776896.3125</v>
      </c>
      <c r="X103" s="185">
        <f>'Key financial and ops fig.s COM'!N14</f>
        <v>264877.59375</v>
      </c>
      <c r="Y103" s="185">
        <f>'Key financial and ops fig.s COM'!O14</f>
        <v>292359.375</v>
      </c>
      <c r="Z103" s="185">
        <f>'Key financial and ops fig.s COM'!P14</f>
        <v>319451.34375</v>
      </c>
      <c r="AA103" s="185">
        <f>'Key financial and ops fig.s COM'!Q14</f>
        <v>346153.5</v>
      </c>
      <c r="AB103" s="213">
        <f>'Key financial and ops fig.s COM'!R14</f>
        <v>1222841.8125</v>
      </c>
      <c r="AC103" s="185">
        <f>'Alt. scenario COM'!N14</f>
        <v>264877.59375</v>
      </c>
      <c r="AD103" s="185">
        <f>'Alt. scenario COM'!O14</f>
        <v>292359.375</v>
      </c>
      <c r="AE103" s="185">
        <f>'Alt. scenario COM'!P14</f>
        <v>319451.34375</v>
      </c>
      <c r="AF103" s="185">
        <f>'Alt. scenario COM'!Q14</f>
        <v>346153.5</v>
      </c>
      <c r="AG103" s="230">
        <f>'Alt. scenario COM'!R14</f>
        <v>1222841.8125</v>
      </c>
      <c r="AH103" s="185">
        <f>'Key financial and ops fig.s COM'!S14</f>
        <v>372465.84375</v>
      </c>
      <c r="AI103" s="185">
        <f>'Key financial and ops fig.s COM'!T14</f>
        <v>398388.375</v>
      </c>
      <c r="AJ103" s="185">
        <f>'Key financial and ops fig.s COM'!U14</f>
        <v>423921.09375</v>
      </c>
      <c r="AK103" s="185">
        <f>'Key financial and ops fig.s COM'!V14</f>
        <v>449064</v>
      </c>
      <c r="AL103" s="213">
        <f>'Key financial and ops fig.s COM'!W14</f>
        <v>1643839.3125</v>
      </c>
      <c r="AM103" s="185">
        <f>'Alt. scenario COM'!S14</f>
        <v>372465.84375</v>
      </c>
      <c r="AN103" s="185">
        <f>'Alt. scenario COM'!T14</f>
        <v>398388.375</v>
      </c>
      <c r="AO103" s="185">
        <f>'Alt. scenario COM'!U14</f>
        <v>423921.09375</v>
      </c>
      <c r="AP103" s="185">
        <f>'Alt. scenario COM'!V14</f>
        <v>449064</v>
      </c>
      <c r="AQ103" s="230">
        <f>'Alt. scenario COM'!W14</f>
        <v>1643839.3125</v>
      </c>
      <c r="AR103" s="185">
        <f>'Key financial and ops fig.s COM'!X14</f>
        <v>473817.09375</v>
      </c>
      <c r="AS103" s="185">
        <f>'Key financial and ops fig.s COM'!Y14</f>
        <v>498180.375</v>
      </c>
      <c r="AT103" s="185">
        <f>'Key financial and ops fig.s COM'!Z14</f>
        <v>522153.84375</v>
      </c>
      <c r="AU103" s="185">
        <f>'Key financial and ops fig.s COM'!AA14</f>
        <v>545737.5</v>
      </c>
      <c r="AV103" s="213">
        <f>'Key financial and ops fig.s COM'!AB14</f>
        <v>2039888.8125</v>
      </c>
      <c r="AW103" s="185">
        <f>'Alt. scenario COM'!X14</f>
        <v>473817.09375</v>
      </c>
      <c r="AX103" s="185">
        <f>'Alt. scenario COM'!Y14</f>
        <v>498180.375</v>
      </c>
      <c r="AY103" s="185">
        <f>'Alt. scenario COM'!Z14</f>
        <v>522153.84375</v>
      </c>
      <c r="AZ103" s="185">
        <f>'Alt. scenario COM'!AA14</f>
        <v>545737.5</v>
      </c>
      <c r="BA103" s="230">
        <f>'Alt. scenario COM'!AB14</f>
        <v>2039888.8125</v>
      </c>
      <c r="BB103" s="185">
        <f>'Key financial and ops fig.s COM'!AC14</f>
        <v>541839.375</v>
      </c>
      <c r="BC103" s="185">
        <f>'Key financial and ops fig.s COM'!AD14</f>
        <v>537941.25</v>
      </c>
      <c r="BD103" s="185">
        <f>'Key financial and ops fig.s COM'!AE14</f>
        <v>534043.125</v>
      </c>
      <c r="BE103" s="185">
        <f>'Key financial and ops fig.s COM'!AF14</f>
        <v>530145</v>
      </c>
      <c r="BF103" s="213">
        <f>'Key financial and ops fig.s COM'!AG14</f>
        <v>2143968.75</v>
      </c>
      <c r="BG103" s="185">
        <f>'Alt. scenario COM'!AC14</f>
        <v>541839.375</v>
      </c>
      <c r="BH103" s="185">
        <f>'Alt. scenario COM'!AD14</f>
        <v>537941.25</v>
      </c>
      <c r="BI103" s="185">
        <f>'Alt. scenario COM'!AE14</f>
        <v>534043.125</v>
      </c>
      <c r="BJ103" s="185">
        <f>'Alt. scenario COM'!AF14</f>
        <v>530145</v>
      </c>
      <c r="BK103" s="230">
        <f>'Alt. scenario COM'!AG14</f>
        <v>2143968.75</v>
      </c>
      <c r="BL103" s="185">
        <f>'Key financial and ops fig.s COM'!AH14</f>
        <v>526246.875</v>
      </c>
      <c r="BM103" s="185">
        <f>'Key financial and ops fig.s COM'!AI14</f>
        <v>522348.75</v>
      </c>
      <c r="BN103" s="185">
        <f>'Key financial and ops fig.s COM'!AJ14</f>
        <v>518450.625</v>
      </c>
      <c r="BO103" s="185">
        <f>'Key financial and ops fig.s COM'!AK14</f>
        <v>514552.5</v>
      </c>
      <c r="BP103" s="213">
        <f>'Key financial and ops fig.s COM'!AL14</f>
        <v>2081598.75</v>
      </c>
      <c r="BQ103" s="185">
        <f>'Alt. scenario COM'!AH14</f>
        <v>526246.875</v>
      </c>
      <c r="BR103" s="185">
        <f>'Alt. scenario COM'!AI14</f>
        <v>522348.75</v>
      </c>
      <c r="BS103" s="185">
        <f>'Alt. scenario COM'!AJ14</f>
        <v>518450.625</v>
      </c>
      <c r="BT103" s="185">
        <f>'Alt. scenario COM'!AK14</f>
        <v>514552.5</v>
      </c>
      <c r="BU103" s="230">
        <f>'Alt. scenario COM'!AL14</f>
        <v>2081598.75</v>
      </c>
    </row>
    <row r="104" spans="1:73" ht="17.100000000000001" hidden="1" outlineLevel="2" thickBot="1">
      <c r="A104" s="31"/>
      <c r="C104" s="32" t="s">
        <v>258</v>
      </c>
      <c r="D104" s="185">
        <f>'Key financial and ops fig.s COM'!D15</f>
        <v>61980.1875</v>
      </c>
      <c r="E104" s="185">
        <f>'Key financial and ops fig.s COM'!E15</f>
        <v>123180.75</v>
      </c>
      <c r="F104" s="185">
        <f>'Key financial and ops fig.s COM'!F15</f>
        <v>183601.6875</v>
      </c>
      <c r="G104" s="185">
        <f>'Key financial and ops fig.s COM'!G15</f>
        <v>243243</v>
      </c>
      <c r="H104" s="213">
        <f>'Key financial and ops fig.s COM'!H15</f>
        <v>612005.625</v>
      </c>
      <c r="I104" s="185">
        <f>'Alt. scenario COM'!D15</f>
        <v>61980.1875</v>
      </c>
      <c r="J104" s="185">
        <f>'Alt. scenario COM'!E15</f>
        <v>123180.75</v>
      </c>
      <c r="K104" s="185">
        <f>'Alt. scenario COM'!F15</f>
        <v>183601.6875</v>
      </c>
      <c r="L104" s="185">
        <f>'Alt. scenario COM'!G15</f>
        <v>243243</v>
      </c>
      <c r="M104" s="230">
        <f>'Alt. scenario COM'!H15</f>
        <v>612005.625</v>
      </c>
      <c r="N104" s="185">
        <f>'Key financial and ops fig.s COM'!I15</f>
        <v>302104.6875</v>
      </c>
      <c r="O104" s="185">
        <f>'Key financial and ops fig.s COM'!J15</f>
        <v>360186.75</v>
      </c>
      <c r="P104" s="185">
        <f>'Key financial and ops fig.s COM'!K15</f>
        <v>417489.1875</v>
      </c>
      <c r="Q104" s="185">
        <f>'Key financial and ops fig.s COM'!L15</f>
        <v>474012</v>
      </c>
      <c r="R104" s="213">
        <f>'Key financial and ops fig.s COM'!M15</f>
        <v>1553792.625</v>
      </c>
      <c r="S104" s="185">
        <f>'Alt. scenario COM'!I15</f>
        <v>302104.6875</v>
      </c>
      <c r="T104" s="185">
        <f>'Alt. scenario COM'!J15</f>
        <v>360186.75</v>
      </c>
      <c r="U104" s="185">
        <f>'Alt. scenario COM'!K15</f>
        <v>417489.1875</v>
      </c>
      <c r="V104" s="185">
        <f>'Alt. scenario COM'!L15</f>
        <v>474012</v>
      </c>
      <c r="W104" s="230">
        <f>'Alt. scenario COM'!M15</f>
        <v>1553792.625</v>
      </c>
      <c r="X104" s="185">
        <f>'Key financial and ops fig.s COM'!N15</f>
        <v>529755.1875</v>
      </c>
      <c r="Y104" s="185">
        <f>'Key financial and ops fig.s COM'!O15</f>
        <v>584718.75</v>
      </c>
      <c r="Z104" s="185">
        <f>'Key financial and ops fig.s COM'!P15</f>
        <v>638902.6875</v>
      </c>
      <c r="AA104" s="185">
        <f>'Key financial and ops fig.s COM'!Q15</f>
        <v>692307</v>
      </c>
      <c r="AB104" s="213">
        <f>'Key financial and ops fig.s COM'!R15</f>
        <v>2445683.625</v>
      </c>
      <c r="AC104" s="185">
        <f>'Alt. scenario COM'!N15</f>
        <v>529755.1875</v>
      </c>
      <c r="AD104" s="185">
        <f>'Alt. scenario COM'!O15</f>
        <v>584718.75</v>
      </c>
      <c r="AE104" s="185">
        <f>'Alt. scenario COM'!P15</f>
        <v>638902.6875</v>
      </c>
      <c r="AF104" s="185">
        <f>'Alt. scenario COM'!Q15</f>
        <v>692307</v>
      </c>
      <c r="AG104" s="230">
        <f>'Alt. scenario COM'!R15</f>
        <v>2445683.625</v>
      </c>
      <c r="AH104" s="185">
        <f>'Key financial and ops fig.s COM'!S15</f>
        <v>744931.6875</v>
      </c>
      <c r="AI104" s="185">
        <f>'Key financial and ops fig.s COM'!T15</f>
        <v>796776.75</v>
      </c>
      <c r="AJ104" s="185">
        <f>'Key financial and ops fig.s COM'!U15</f>
        <v>847842.1875</v>
      </c>
      <c r="AK104" s="185">
        <f>'Key financial and ops fig.s COM'!V15</f>
        <v>898128</v>
      </c>
      <c r="AL104" s="213">
        <f>'Key financial and ops fig.s COM'!W15</f>
        <v>3287678.625</v>
      </c>
      <c r="AM104" s="185">
        <f>'Alt. scenario COM'!S15</f>
        <v>744931.6875</v>
      </c>
      <c r="AN104" s="185">
        <f>'Alt. scenario COM'!T15</f>
        <v>796776.75</v>
      </c>
      <c r="AO104" s="185">
        <f>'Alt. scenario COM'!U15</f>
        <v>847842.1875</v>
      </c>
      <c r="AP104" s="185">
        <f>'Alt. scenario COM'!V15</f>
        <v>898128</v>
      </c>
      <c r="AQ104" s="230">
        <f>'Alt. scenario COM'!W15</f>
        <v>3287678.625</v>
      </c>
      <c r="AR104" s="185">
        <f>'Key financial and ops fig.s COM'!X15</f>
        <v>947634.1875</v>
      </c>
      <c r="AS104" s="185">
        <f>'Key financial and ops fig.s COM'!Y15</f>
        <v>996360.75</v>
      </c>
      <c r="AT104" s="185">
        <f>'Key financial and ops fig.s COM'!Z15</f>
        <v>1044307.6875</v>
      </c>
      <c r="AU104" s="185">
        <f>'Key financial and ops fig.s COM'!AA15</f>
        <v>1091475</v>
      </c>
      <c r="AV104" s="213">
        <f>'Key financial and ops fig.s COM'!AB15</f>
        <v>4079777.625</v>
      </c>
      <c r="AW104" s="185">
        <f>'Alt. scenario COM'!X15</f>
        <v>947634.1875</v>
      </c>
      <c r="AX104" s="185">
        <f>'Alt. scenario COM'!Y15</f>
        <v>996360.75</v>
      </c>
      <c r="AY104" s="185">
        <f>'Alt. scenario COM'!Z15</f>
        <v>1044307.6875</v>
      </c>
      <c r="AZ104" s="185">
        <f>'Alt. scenario COM'!AA15</f>
        <v>1091475</v>
      </c>
      <c r="BA104" s="230">
        <f>'Alt. scenario COM'!AB15</f>
        <v>4079777.625</v>
      </c>
      <c r="BB104" s="185">
        <f>'Key financial and ops fig.s COM'!AC15</f>
        <v>1083678.75</v>
      </c>
      <c r="BC104" s="185">
        <f>'Key financial and ops fig.s COM'!AD15</f>
        <v>1075882.5</v>
      </c>
      <c r="BD104" s="185">
        <f>'Key financial and ops fig.s COM'!AE15</f>
        <v>1068086.25</v>
      </c>
      <c r="BE104" s="185">
        <f>'Key financial and ops fig.s COM'!AF15</f>
        <v>1060290</v>
      </c>
      <c r="BF104" s="213">
        <f>'Key financial and ops fig.s COM'!AG15</f>
        <v>4287937.5</v>
      </c>
      <c r="BG104" s="185">
        <f>'Alt. scenario COM'!AC15</f>
        <v>1083678.75</v>
      </c>
      <c r="BH104" s="185">
        <f>'Alt. scenario COM'!AD15</f>
        <v>1075882.5</v>
      </c>
      <c r="BI104" s="185">
        <f>'Alt. scenario COM'!AE15</f>
        <v>1068086.25</v>
      </c>
      <c r="BJ104" s="185">
        <f>'Alt. scenario COM'!AF15</f>
        <v>1060290</v>
      </c>
      <c r="BK104" s="230">
        <f>'Alt. scenario COM'!AG15</f>
        <v>4287937.5</v>
      </c>
      <c r="BL104" s="185">
        <f>'Key financial and ops fig.s COM'!AH15</f>
        <v>1052493.75</v>
      </c>
      <c r="BM104" s="185">
        <f>'Key financial and ops fig.s COM'!AI15</f>
        <v>1044697.5</v>
      </c>
      <c r="BN104" s="185">
        <f>'Key financial and ops fig.s COM'!AJ15</f>
        <v>1036901.25</v>
      </c>
      <c r="BO104" s="185">
        <f>'Key financial and ops fig.s COM'!AK15</f>
        <v>1029105</v>
      </c>
      <c r="BP104" s="213">
        <f>'Key financial and ops fig.s COM'!AL15</f>
        <v>4163197.5</v>
      </c>
      <c r="BQ104" s="185">
        <f>'Alt. scenario COM'!AH15</f>
        <v>1052493.75</v>
      </c>
      <c r="BR104" s="185">
        <f>'Alt. scenario COM'!AI15</f>
        <v>1044697.5</v>
      </c>
      <c r="BS104" s="185">
        <f>'Alt. scenario COM'!AJ15</f>
        <v>1036901.25</v>
      </c>
      <c r="BT104" s="185">
        <f>'Alt. scenario COM'!AK15</f>
        <v>1029105</v>
      </c>
      <c r="BU104" s="230">
        <f>'Alt. scenario COM'!AL15</f>
        <v>4163197.5</v>
      </c>
    </row>
    <row r="105" spans="1:73" ht="17.100000000000001" hidden="1" outlineLevel="2" thickBot="1">
      <c r="A105" s="31"/>
      <c r="C105" s="32" t="s">
        <v>259</v>
      </c>
      <c r="D105" s="185">
        <f>'Key financial and ops fig.s COM'!D16</f>
        <v>300569.625</v>
      </c>
      <c r="E105" s="185">
        <f>'Key financial and ops fig.s COM'!E16</f>
        <v>296788.875</v>
      </c>
      <c r="F105" s="185">
        <f>'Key financial and ops fig.s COM'!F16</f>
        <v>293008.125</v>
      </c>
      <c r="G105" s="185">
        <f>'Key financial and ops fig.s COM'!G16</f>
        <v>289227.375</v>
      </c>
      <c r="H105" s="213">
        <f>'Key financial and ops fig.s COM'!H16</f>
        <v>1179594</v>
      </c>
      <c r="I105" s="185">
        <f>'Alt. scenario COM'!D16</f>
        <v>300569.625</v>
      </c>
      <c r="J105" s="185">
        <f>'Alt. scenario COM'!E16</f>
        <v>296788.875</v>
      </c>
      <c r="K105" s="185">
        <f>'Alt. scenario COM'!F16</f>
        <v>293008.125</v>
      </c>
      <c r="L105" s="185">
        <f>'Alt. scenario COM'!G16</f>
        <v>289227.375</v>
      </c>
      <c r="M105" s="230">
        <f>'Alt. scenario COM'!H16</f>
        <v>1179594</v>
      </c>
      <c r="N105" s="185">
        <f>'Key financial and ops fig.s COM'!I16</f>
        <v>285446.625</v>
      </c>
      <c r="O105" s="185">
        <f>'Key financial and ops fig.s COM'!J16</f>
        <v>281665.875</v>
      </c>
      <c r="P105" s="185">
        <f>'Key financial and ops fig.s COM'!K16</f>
        <v>277885.125</v>
      </c>
      <c r="Q105" s="185">
        <f>'Key financial and ops fig.s COM'!L16</f>
        <v>274104.375</v>
      </c>
      <c r="R105" s="213">
        <f>'Key financial and ops fig.s COM'!M16</f>
        <v>1119102</v>
      </c>
      <c r="S105" s="185">
        <f>'Alt. scenario COM'!I16</f>
        <v>285446.625</v>
      </c>
      <c r="T105" s="185">
        <f>'Alt. scenario COM'!J16</f>
        <v>281665.875</v>
      </c>
      <c r="U105" s="185">
        <f>'Alt. scenario COM'!K16</f>
        <v>277885.125</v>
      </c>
      <c r="V105" s="185">
        <f>'Alt. scenario COM'!L16</f>
        <v>274104.375</v>
      </c>
      <c r="W105" s="230">
        <f>'Alt. scenario COM'!M16</f>
        <v>1119102</v>
      </c>
      <c r="X105" s="185">
        <f>'Key financial and ops fig.s COM'!N16</f>
        <v>270323.625</v>
      </c>
      <c r="Y105" s="185">
        <f>'Key financial and ops fig.s COM'!O16</f>
        <v>266542.875</v>
      </c>
      <c r="Z105" s="185">
        <f>'Key financial and ops fig.s COM'!P16</f>
        <v>262762.125</v>
      </c>
      <c r="AA105" s="185">
        <f>'Key financial and ops fig.s COM'!Q16</f>
        <v>258981.375</v>
      </c>
      <c r="AB105" s="213">
        <f>'Key financial and ops fig.s COM'!R16</f>
        <v>1058610</v>
      </c>
      <c r="AC105" s="185">
        <f>'Alt. scenario COM'!N16</f>
        <v>270323.625</v>
      </c>
      <c r="AD105" s="185">
        <f>'Alt. scenario COM'!O16</f>
        <v>266542.875</v>
      </c>
      <c r="AE105" s="185">
        <f>'Alt. scenario COM'!P16</f>
        <v>262762.125</v>
      </c>
      <c r="AF105" s="185">
        <f>'Alt. scenario COM'!Q16</f>
        <v>258981.375</v>
      </c>
      <c r="AG105" s="230">
        <f>'Alt. scenario COM'!R16</f>
        <v>1058610</v>
      </c>
      <c r="AH105" s="185">
        <f>'Key financial and ops fig.s COM'!S16</f>
        <v>255200.625</v>
      </c>
      <c r="AI105" s="185">
        <f>'Key financial and ops fig.s COM'!T16</f>
        <v>251419.875</v>
      </c>
      <c r="AJ105" s="185">
        <f>'Key financial and ops fig.s COM'!U16</f>
        <v>247639.125</v>
      </c>
      <c r="AK105" s="185">
        <f>'Key financial and ops fig.s COM'!V16</f>
        <v>243858.375</v>
      </c>
      <c r="AL105" s="213">
        <f>'Key financial and ops fig.s COM'!W16</f>
        <v>998118</v>
      </c>
      <c r="AM105" s="185">
        <f>'Alt. scenario COM'!S16</f>
        <v>255200.625</v>
      </c>
      <c r="AN105" s="185">
        <f>'Alt. scenario COM'!T16</f>
        <v>251419.875</v>
      </c>
      <c r="AO105" s="185">
        <f>'Alt. scenario COM'!U16</f>
        <v>247639.125</v>
      </c>
      <c r="AP105" s="185">
        <f>'Alt. scenario COM'!V16</f>
        <v>243858.375</v>
      </c>
      <c r="AQ105" s="230">
        <f>'Alt. scenario COM'!W16</f>
        <v>998118</v>
      </c>
      <c r="AR105" s="185">
        <f>'Key financial and ops fig.s COM'!X16</f>
        <v>240077.625</v>
      </c>
      <c r="AS105" s="185">
        <f>'Key financial and ops fig.s COM'!Y16</f>
        <v>236296.875</v>
      </c>
      <c r="AT105" s="185">
        <f>'Key financial and ops fig.s COM'!Z16</f>
        <v>232516.125</v>
      </c>
      <c r="AU105" s="185">
        <f>'Key financial and ops fig.s COM'!AA16</f>
        <v>228735.375</v>
      </c>
      <c r="AV105" s="213">
        <f>'Key financial and ops fig.s COM'!AB16</f>
        <v>937626</v>
      </c>
      <c r="AW105" s="185">
        <f>'Alt. scenario COM'!X16</f>
        <v>240077.625</v>
      </c>
      <c r="AX105" s="185">
        <f>'Alt. scenario COM'!Y16</f>
        <v>236296.875</v>
      </c>
      <c r="AY105" s="185">
        <f>'Alt. scenario COM'!Z16</f>
        <v>232516.125</v>
      </c>
      <c r="AZ105" s="185">
        <f>'Alt. scenario COM'!AA16</f>
        <v>228735.375</v>
      </c>
      <c r="BA105" s="230">
        <f>'Alt. scenario COM'!AB16</f>
        <v>937626</v>
      </c>
      <c r="BB105" s="185">
        <f>'Key financial and ops fig.s COM'!AC16</f>
        <v>-37807.5</v>
      </c>
      <c r="BC105" s="185">
        <f>'Key financial and ops fig.s COM'!AD16</f>
        <v>-37807.5</v>
      </c>
      <c r="BD105" s="185">
        <f>'Key financial and ops fig.s COM'!AE16</f>
        <v>-37807.5</v>
      </c>
      <c r="BE105" s="185">
        <f>'Key financial and ops fig.s COM'!AF16</f>
        <v>-37807.5</v>
      </c>
      <c r="BF105" s="213">
        <f>'Key financial and ops fig.s COM'!AG16</f>
        <v>-151230</v>
      </c>
      <c r="BG105" s="185">
        <f>'Alt. scenario COM'!AC16</f>
        <v>-37807.5</v>
      </c>
      <c r="BH105" s="185">
        <f>'Alt. scenario COM'!AD16</f>
        <v>-37807.5</v>
      </c>
      <c r="BI105" s="185">
        <f>'Alt. scenario COM'!AE16</f>
        <v>-37807.5</v>
      </c>
      <c r="BJ105" s="185">
        <f>'Alt. scenario COM'!AF16</f>
        <v>-37807.5</v>
      </c>
      <c r="BK105" s="230">
        <f>'Alt. scenario COM'!AG16</f>
        <v>-151230</v>
      </c>
      <c r="BL105" s="185">
        <f>'Key financial and ops fig.s COM'!AH16</f>
        <v>-37807.5</v>
      </c>
      <c r="BM105" s="185">
        <f>'Key financial and ops fig.s COM'!AI16</f>
        <v>-37807.5</v>
      </c>
      <c r="BN105" s="185">
        <f>'Key financial and ops fig.s COM'!AJ16</f>
        <v>-37807.5</v>
      </c>
      <c r="BO105" s="185">
        <f>'Key financial and ops fig.s COM'!AK16</f>
        <v>-37807.5</v>
      </c>
      <c r="BP105" s="213">
        <f>'Key financial and ops fig.s COM'!AL16</f>
        <v>-151230</v>
      </c>
      <c r="BQ105" s="185">
        <f>'Alt. scenario COM'!AH16</f>
        <v>-37807.5</v>
      </c>
      <c r="BR105" s="185">
        <f>'Alt. scenario COM'!AI16</f>
        <v>-37807.5</v>
      </c>
      <c r="BS105" s="185">
        <f>'Alt. scenario COM'!AJ16</f>
        <v>-37807.5</v>
      </c>
      <c r="BT105" s="185">
        <f>'Alt. scenario COM'!AK16</f>
        <v>-37807.5</v>
      </c>
      <c r="BU105" s="230">
        <f>'Alt. scenario COM'!AL16</f>
        <v>-151230</v>
      </c>
    </row>
    <row r="106" spans="1:73" ht="17.100000000000001" hidden="1" outlineLevel="1" thickBot="1">
      <c r="A106" s="31"/>
      <c r="B106" s="34" t="s">
        <v>260</v>
      </c>
      <c r="C106" s="34"/>
      <c r="D106" s="184">
        <f>'Key financial and ops fig.s COM'!D17</f>
        <v>405935.94374999998</v>
      </c>
      <c r="E106" s="184">
        <f>'Key financial and ops fig.s COM'!E17</f>
        <v>506196.15</v>
      </c>
      <c r="F106" s="184">
        <f>'Key financial and ops fig.s COM'!F17</f>
        <v>605130.99375000002</v>
      </c>
      <c r="G106" s="184">
        <f>'Key financial and ops fig.s COM'!G17</f>
        <v>702740.47499999998</v>
      </c>
      <c r="H106" s="214">
        <f>'Key financial and ops fig.s COM'!H17</f>
        <v>2220003.5625</v>
      </c>
      <c r="I106" s="184">
        <f>'Alt. scenario COM'!D17</f>
        <v>405935.94374999998</v>
      </c>
      <c r="J106" s="184">
        <f>'Alt. scenario COM'!E17</f>
        <v>506196.15</v>
      </c>
      <c r="K106" s="184">
        <f>'Alt. scenario COM'!F17</f>
        <v>605130.99375000002</v>
      </c>
      <c r="L106" s="184">
        <f>'Alt. scenario COM'!G17</f>
        <v>702740.47499999998</v>
      </c>
      <c r="M106" s="231">
        <f>'Alt. scenario COM'!H17</f>
        <v>2220003.5625</v>
      </c>
      <c r="N106" s="184">
        <f>'Key financial and ops fig.s COM'!I17</f>
        <v>799024.59375</v>
      </c>
      <c r="O106" s="184">
        <f>'Key financial and ops fig.s COM'!J17</f>
        <v>893983.35</v>
      </c>
      <c r="P106" s="184">
        <f>'Key financial and ops fig.s COM'!K17</f>
        <v>987616.74375000002</v>
      </c>
      <c r="Q106" s="184">
        <f>'Key financial and ops fig.s COM'!L17</f>
        <v>1079924.7749999999</v>
      </c>
      <c r="R106" s="214">
        <f>'Key financial and ops fig.s COM'!M17</f>
        <v>3760549.4624999999</v>
      </c>
      <c r="S106" s="184">
        <f>'Alt. scenario COM'!I17</f>
        <v>799024.59375</v>
      </c>
      <c r="T106" s="184">
        <f>'Alt. scenario COM'!J17</f>
        <v>893983.35</v>
      </c>
      <c r="U106" s="184">
        <f>'Alt. scenario COM'!K17</f>
        <v>987616.74375000002</v>
      </c>
      <c r="V106" s="184">
        <f>'Alt. scenario COM'!L17</f>
        <v>1079924.7749999999</v>
      </c>
      <c r="W106" s="231">
        <f>'Alt. scenario COM'!M17</f>
        <v>3760549.4624999999</v>
      </c>
      <c r="X106" s="184">
        <f>'Key financial and ops fig.s COM'!N17</f>
        <v>1170907.4437500001</v>
      </c>
      <c r="Y106" s="184">
        <f>'Key financial and ops fig.s COM'!O17</f>
        <v>1260564.75</v>
      </c>
      <c r="Z106" s="184">
        <f>'Key financial and ops fig.s COM'!P17</f>
        <v>1348896.6937500001</v>
      </c>
      <c r="AA106" s="184">
        <f>'Key financial and ops fig.s COM'!Q17</f>
        <v>1435903.2749999999</v>
      </c>
      <c r="AB106" s="214">
        <f>'Key financial and ops fig.s COM'!R17</f>
        <v>5216272.1624999996</v>
      </c>
      <c r="AC106" s="184">
        <f>'Alt. scenario COM'!N17</f>
        <v>1170907.4437500001</v>
      </c>
      <c r="AD106" s="184">
        <f>'Alt. scenario COM'!O17</f>
        <v>1260564.75</v>
      </c>
      <c r="AE106" s="184">
        <f>'Alt. scenario COM'!P17</f>
        <v>1348896.6937500001</v>
      </c>
      <c r="AF106" s="184">
        <f>'Alt. scenario COM'!Q17</f>
        <v>1435903.2749999999</v>
      </c>
      <c r="AG106" s="231">
        <f>'Alt. scenario COM'!R17</f>
        <v>5216272.1624999996</v>
      </c>
      <c r="AH106" s="184">
        <f>'Key financial and ops fig.s COM'!S17</f>
        <v>1521584.4937499999</v>
      </c>
      <c r="AI106" s="184">
        <f>'Key financial and ops fig.s COM'!T17</f>
        <v>1605940.35</v>
      </c>
      <c r="AJ106" s="184">
        <f>'Key financial and ops fig.s COM'!U17</f>
        <v>1688970.84375</v>
      </c>
      <c r="AK106" s="184">
        <f>'Key financial and ops fig.s COM'!V17</f>
        <v>1770675.9750000001</v>
      </c>
      <c r="AL106" s="214">
        <f>'Key financial and ops fig.s COM'!W17</f>
        <v>6587171.6624999996</v>
      </c>
      <c r="AM106" s="184">
        <f>'Alt. scenario COM'!S17</f>
        <v>1521584.4937499999</v>
      </c>
      <c r="AN106" s="184">
        <f>'Alt. scenario COM'!T17</f>
        <v>1605940.35</v>
      </c>
      <c r="AO106" s="184">
        <f>'Alt. scenario COM'!U17</f>
        <v>1688970.84375</v>
      </c>
      <c r="AP106" s="184">
        <f>'Alt. scenario COM'!V17</f>
        <v>1770675.9750000001</v>
      </c>
      <c r="AQ106" s="231">
        <f>'Alt. scenario COM'!W17</f>
        <v>6587171.6624999996</v>
      </c>
      <c r="AR106" s="184">
        <f>'Key financial and ops fig.s COM'!X17</f>
        <v>1851055.7437499999</v>
      </c>
      <c r="AS106" s="184">
        <f>'Key financial and ops fig.s COM'!Y17</f>
        <v>1930110.15</v>
      </c>
      <c r="AT106" s="184">
        <f>'Key financial and ops fig.s COM'!Z17</f>
        <v>2007839.1937500001</v>
      </c>
      <c r="AU106" s="184">
        <f>'Key financial and ops fig.s COM'!AA17</f>
        <v>2084242.875</v>
      </c>
      <c r="AV106" s="214">
        <f>'Key financial and ops fig.s COM'!AB17</f>
        <v>7873247.9625000004</v>
      </c>
      <c r="AW106" s="184">
        <f>'Alt. scenario COM'!X17</f>
        <v>1851055.7437499999</v>
      </c>
      <c r="AX106" s="184">
        <f>'Alt. scenario COM'!Y17</f>
        <v>1930110.15</v>
      </c>
      <c r="AY106" s="184">
        <f>'Alt. scenario COM'!Z17</f>
        <v>2007839.1937500001</v>
      </c>
      <c r="AZ106" s="184">
        <f>'Alt. scenario COM'!AA17</f>
        <v>2084242.875</v>
      </c>
      <c r="BA106" s="231">
        <f>'Alt. scenario COM'!AB17</f>
        <v>7873247.9625000004</v>
      </c>
      <c r="BB106" s="184">
        <f>'Key financial and ops fig.s COM'!AC17</f>
        <v>1804446.375</v>
      </c>
      <c r="BC106" s="184">
        <f>'Key financial and ops fig.s COM'!AD17</f>
        <v>1791192.75</v>
      </c>
      <c r="BD106" s="184">
        <f>'Key financial and ops fig.s COM'!AE17</f>
        <v>1777939.125</v>
      </c>
      <c r="BE106" s="184">
        <f>'Key financial and ops fig.s COM'!AF17</f>
        <v>1764685.5</v>
      </c>
      <c r="BF106" s="214">
        <f>'Key financial and ops fig.s COM'!AG17</f>
        <v>7138263.75</v>
      </c>
      <c r="BG106" s="184">
        <f>'Alt. scenario COM'!AC17</f>
        <v>1804446.375</v>
      </c>
      <c r="BH106" s="184">
        <f>'Alt. scenario COM'!AD17</f>
        <v>1791192.75</v>
      </c>
      <c r="BI106" s="184">
        <f>'Alt. scenario COM'!AE17</f>
        <v>1777939.125</v>
      </c>
      <c r="BJ106" s="184">
        <f>'Alt. scenario COM'!AF17</f>
        <v>1764685.5</v>
      </c>
      <c r="BK106" s="231">
        <f>'Alt. scenario COM'!AG17</f>
        <v>7138263.75</v>
      </c>
      <c r="BL106" s="184">
        <f>'Key financial and ops fig.s COM'!AH17</f>
        <v>1751431.875</v>
      </c>
      <c r="BM106" s="184">
        <f>'Key financial and ops fig.s COM'!AI17</f>
        <v>1738178.25</v>
      </c>
      <c r="BN106" s="184">
        <f>'Key financial and ops fig.s COM'!AJ17</f>
        <v>1724924.625</v>
      </c>
      <c r="BO106" s="184">
        <f>'Key financial and ops fig.s COM'!AK17</f>
        <v>1711671</v>
      </c>
      <c r="BP106" s="214">
        <f>'Key financial and ops fig.s COM'!AL17</f>
        <v>6926205.75</v>
      </c>
      <c r="BQ106" s="184">
        <f>'Alt. scenario COM'!AH17</f>
        <v>1751431.875</v>
      </c>
      <c r="BR106" s="184">
        <f>'Alt. scenario COM'!AI17</f>
        <v>1738178.25</v>
      </c>
      <c r="BS106" s="184">
        <f>'Alt. scenario COM'!AJ17</f>
        <v>1724924.625</v>
      </c>
      <c r="BT106" s="184">
        <f>'Alt. scenario COM'!AK17</f>
        <v>1711671</v>
      </c>
      <c r="BU106" s="231">
        <f>'Alt. scenario COM'!AL17</f>
        <v>6926205.75</v>
      </c>
    </row>
    <row r="107" spans="1:73" ht="17.100000000000001" collapsed="1" thickBot="1">
      <c r="A107" s="36" t="s">
        <v>261</v>
      </c>
      <c r="B107" s="37"/>
      <c r="C107" s="38"/>
      <c r="D107" s="51">
        <f>'Key financial and ops fig.s COM'!D18</f>
        <v>405935.94374999998</v>
      </c>
      <c r="E107" s="51">
        <f>'Key financial and ops fig.s COM'!E18</f>
        <v>506196.15</v>
      </c>
      <c r="F107" s="51">
        <f>'Key financial and ops fig.s COM'!F18</f>
        <v>605130.99375000002</v>
      </c>
      <c r="G107" s="51">
        <f>'Key financial and ops fig.s COM'!G18</f>
        <v>702740.47499999998</v>
      </c>
      <c r="H107" s="215">
        <f>'Key financial and ops fig.s COM'!H18</f>
        <v>2220003.5625</v>
      </c>
      <c r="I107" s="51">
        <f>'Alt. scenario COM'!D18</f>
        <v>405935.94374999998</v>
      </c>
      <c r="J107" s="51">
        <f>'Alt. scenario COM'!E18</f>
        <v>506196.15</v>
      </c>
      <c r="K107" s="51">
        <f>'Alt. scenario COM'!F18</f>
        <v>605130.99375000002</v>
      </c>
      <c r="L107" s="51">
        <f>'Alt. scenario COM'!G18</f>
        <v>702740.47499999998</v>
      </c>
      <c r="M107" s="232">
        <f>'Alt. scenario COM'!H18</f>
        <v>2220003.5625</v>
      </c>
      <c r="N107" s="51">
        <f>'Key financial and ops fig.s COM'!I18</f>
        <v>799024.59375</v>
      </c>
      <c r="O107" s="51">
        <f>'Key financial and ops fig.s COM'!J18</f>
        <v>893983.35</v>
      </c>
      <c r="P107" s="51">
        <f>'Key financial and ops fig.s COM'!K18</f>
        <v>987616.74375000002</v>
      </c>
      <c r="Q107" s="51">
        <f>'Key financial and ops fig.s COM'!L18</f>
        <v>1079924.7749999999</v>
      </c>
      <c r="R107" s="215">
        <f>'Key financial and ops fig.s COM'!M18</f>
        <v>3760549.4624999999</v>
      </c>
      <c r="S107" s="51">
        <f>'Alt. scenario COM'!I18</f>
        <v>799024.59375</v>
      </c>
      <c r="T107" s="51">
        <f>'Alt. scenario COM'!J18</f>
        <v>893983.35</v>
      </c>
      <c r="U107" s="51">
        <f>'Alt. scenario COM'!K18</f>
        <v>987616.74375000002</v>
      </c>
      <c r="V107" s="51">
        <f>'Alt. scenario COM'!L18</f>
        <v>1079924.7749999999</v>
      </c>
      <c r="W107" s="232">
        <f>'Alt. scenario COM'!M18</f>
        <v>3760549.4624999999</v>
      </c>
      <c r="X107" s="51">
        <f>'Key financial and ops fig.s COM'!N18</f>
        <v>1170907.4437500001</v>
      </c>
      <c r="Y107" s="51">
        <f>'Key financial and ops fig.s COM'!O18</f>
        <v>1260564.75</v>
      </c>
      <c r="Z107" s="51">
        <f>'Key financial and ops fig.s COM'!P18</f>
        <v>1348896.6937500001</v>
      </c>
      <c r="AA107" s="51">
        <f>'Key financial and ops fig.s COM'!Q18</f>
        <v>1435903.2749999999</v>
      </c>
      <c r="AB107" s="215">
        <f>'Key financial and ops fig.s COM'!R18</f>
        <v>5216272.1624999996</v>
      </c>
      <c r="AC107" s="51">
        <f>'Alt. scenario COM'!N18</f>
        <v>1170907.4437500001</v>
      </c>
      <c r="AD107" s="51">
        <f>'Alt. scenario COM'!O18</f>
        <v>1260564.75</v>
      </c>
      <c r="AE107" s="51">
        <f>'Alt. scenario COM'!P18</f>
        <v>1348896.6937500001</v>
      </c>
      <c r="AF107" s="51">
        <f>'Alt. scenario COM'!Q18</f>
        <v>1435903.2749999999</v>
      </c>
      <c r="AG107" s="232">
        <f>'Alt. scenario COM'!R18</f>
        <v>5216272.1624999996</v>
      </c>
      <c r="AH107" s="51">
        <f>'Key financial and ops fig.s COM'!S18</f>
        <v>1521584.4937499999</v>
      </c>
      <c r="AI107" s="51">
        <f>'Key financial and ops fig.s COM'!T18</f>
        <v>1605940.35</v>
      </c>
      <c r="AJ107" s="51">
        <f>'Key financial and ops fig.s COM'!U18</f>
        <v>1688970.84375</v>
      </c>
      <c r="AK107" s="51">
        <f>'Key financial and ops fig.s COM'!V18</f>
        <v>1770675.9750000001</v>
      </c>
      <c r="AL107" s="215">
        <f>'Key financial and ops fig.s COM'!W18</f>
        <v>6587171.6624999996</v>
      </c>
      <c r="AM107" s="51">
        <f>'Alt. scenario COM'!S18</f>
        <v>1521584.4937499999</v>
      </c>
      <c r="AN107" s="51">
        <f>'Alt. scenario COM'!T18</f>
        <v>1605940.35</v>
      </c>
      <c r="AO107" s="51">
        <f>'Alt. scenario COM'!U18</f>
        <v>1688970.84375</v>
      </c>
      <c r="AP107" s="51">
        <f>'Alt. scenario COM'!V18</f>
        <v>1770675.9750000001</v>
      </c>
      <c r="AQ107" s="232">
        <f>'Alt. scenario COM'!W18</f>
        <v>6587171.6624999996</v>
      </c>
      <c r="AR107" s="51">
        <f>'Key financial and ops fig.s COM'!X18</f>
        <v>1851055.7437499999</v>
      </c>
      <c r="AS107" s="51">
        <f>'Key financial and ops fig.s COM'!Y18</f>
        <v>1930110.15</v>
      </c>
      <c r="AT107" s="51">
        <f>'Key financial and ops fig.s COM'!Z18</f>
        <v>2007839.1937500001</v>
      </c>
      <c r="AU107" s="51">
        <f>'Key financial and ops fig.s COM'!AA18</f>
        <v>2084242.875</v>
      </c>
      <c r="AV107" s="215">
        <f>'Key financial and ops fig.s COM'!AB18</f>
        <v>7873247.9625000004</v>
      </c>
      <c r="AW107" s="51">
        <f>'Alt. scenario COM'!X18</f>
        <v>1851055.7437499999</v>
      </c>
      <c r="AX107" s="51">
        <f>'Alt. scenario COM'!Y18</f>
        <v>1930110.15</v>
      </c>
      <c r="AY107" s="51">
        <f>'Alt. scenario COM'!Z18</f>
        <v>2007839.1937500001</v>
      </c>
      <c r="AZ107" s="51">
        <f>'Alt. scenario COM'!AA18</f>
        <v>2084242.875</v>
      </c>
      <c r="BA107" s="232">
        <f>'Alt. scenario COM'!AB18</f>
        <v>7873247.9625000004</v>
      </c>
      <c r="BB107" s="51">
        <f>'Key financial and ops fig.s COM'!AC18</f>
        <v>1804446.375</v>
      </c>
      <c r="BC107" s="51">
        <f>'Key financial and ops fig.s COM'!AD18</f>
        <v>1791192.75</v>
      </c>
      <c r="BD107" s="51">
        <f>'Key financial and ops fig.s COM'!AE18</f>
        <v>1777939.125</v>
      </c>
      <c r="BE107" s="51">
        <f>'Key financial and ops fig.s COM'!AF18</f>
        <v>1764685.5</v>
      </c>
      <c r="BF107" s="215">
        <f>'Key financial and ops fig.s COM'!AG18</f>
        <v>7138263.75</v>
      </c>
      <c r="BG107" s="51">
        <f>'Alt. scenario COM'!AC18</f>
        <v>1804446.375</v>
      </c>
      <c r="BH107" s="51">
        <f>'Alt. scenario COM'!AD18</f>
        <v>1791192.75</v>
      </c>
      <c r="BI107" s="51">
        <f>'Alt. scenario COM'!AE18</f>
        <v>1777939.125</v>
      </c>
      <c r="BJ107" s="51">
        <f>'Alt. scenario COM'!AF18</f>
        <v>1764685.5</v>
      </c>
      <c r="BK107" s="232">
        <f>'Alt. scenario COM'!AG18</f>
        <v>7138263.75</v>
      </c>
      <c r="BL107" s="51">
        <f>'Key financial and ops fig.s COM'!AH18</f>
        <v>1751431.875</v>
      </c>
      <c r="BM107" s="51">
        <f>'Key financial and ops fig.s COM'!AI18</f>
        <v>1738178.25</v>
      </c>
      <c r="BN107" s="51">
        <f>'Key financial and ops fig.s COM'!AJ18</f>
        <v>1724924.625</v>
      </c>
      <c r="BO107" s="51">
        <f>'Key financial and ops fig.s COM'!AK18</f>
        <v>1711671</v>
      </c>
      <c r="BP107" s="215">
        <f>'Key financial and ops fig.s COM'!AL18</f>
        <v>6926205.75</v>
      </c>
      <c r="BQ107" s="51">
        <f>'Alt. scenario COM'!AH18</f>
        <v>1751431.875</v>
      </c>
      <c r="BR107" s="51">
        <f>'Alt. scenario COM'!AI18</f>
        <v>1738178.25</v>
      </c>
      <c r="BS107" s="51">
        <f>'Alt. scenario COM'!AJ18</f>
        <v>1724924.625</v>
      </c>
      <c r="BT107" s="51">
        <f>'Alt. scenario COM'!AK18</f>
        <v>1711671</v>
      </c>
      <c r="BU107" s="232">
        <f>'Alt. scenario COM'!AL18</f>
        <v>6926205.75</v>
      </c>
    </row>
    <row r="108" spans="1:73" ht="17.100000000000001" hidden="1" outlineLevel="2" thickBot="1">
      <c r="A108" s="31"/>
      <c r="C108" s="32" t="s">
        <v>262</v>
      </c>
      <c r="D108" s="183">
        <f>'Key financial and ops fig.s COM'!D19</f>
        <v>68866.875</v>
      </c>
      <c r="E108" s="183">
        <f>'Key financial and ops fig.s COM'!E19</f>
        <v>136867.5</v>
      </c>
      <c r="F108" s="183">
        <f>'Key financial and ops fig.s COM'!F19</f>
        <v>204001.875</v>
      </c>
      <c r="G108" s="183">
        <f>'Key financial and ops fig.s COM'!G19</f>
        <v>270270</v>
      </c>
      <c r="H108" s="213">
        <f>'Key financial and ops fig.s COM'!H19</f>
        <v>680006.25</v>
      </c>
      <c r="I108" s="183">
        <f>'Alt. scenario COM'!D19</f>
        <v>68866.875</v>
      </c>
      <c r="J108" s="183">
        <f>'Alt. scenario COM'!E19</f>
        <v>136867.5</v>
      </c>
      <c r="K108" s="183">
        <f>'Alt. scenario COM'!F19</f>
        <v>204001.875</v>
      </c>
      <c r="L108" s="183">
        <f>'Alt. scenario COM'!G19</f>
        <v>270270</v>
      </c>
      <c r="M108" s="230">
        <f>'Alt. scenario COM'!H19</f>
        <v>680006.25</v>
      </c>
      <c r="N108" s="183">
        <f>'Key financial and ops fig.s COM'!I19</f>
        <v>335671.875</v>
      </c>
      <c r="O108" s="183">
        <f>'Key financial and ops fig.s COM'!J19</f>
        <v>400207.5</v>
      </c>
      <c r="P108" s="183">
        <f>'Key financial and ops fig.s COM'!K19</f>
        <v>463876.875</v>
      </c>
      <c r="Q108" s="183">
        <f>'Key financial and ops fig.s COM'!L19</f>
        <v>526680</v>
      </c>
      <c r="R108" s="213">
        <f>'Key financial and ops fig.s COM'!M19</f>
        <v>1726436.25</v>
      </c>
      <c r="S108" s="183">
        <f>'Alt. scenario COM'!I19</f>
        <v>335671.875</v>
      </c>
      <c r="T108" s="183">
        <f>'Alt. scenario COM'!J19</f>
        <v>400207.5</v>
      </c>
      <c r="U108" s="183">
        <f>'Alt. scenario COM'!K19</f>
        <v>463876.875</v>
      </c>
      <c r="V108" s="183">
        <f>'Alt. scenario COM'!L19</f>
        <v>526680</v>
      </c>
      <c r="W108" s="230">
        <f>'Alt. scenario COM'!M19</f>
        <v>1726436.25</v>
      </c>
      <c r="X108" s="183">
        <f>'Key financial and ops fig.s COM'!N19</f>
        <v>588616.875</v>
      </c>
      <c r="Y108" s="183">
        <f>'Key financial and ops fig.s COM'!O19</f>
        <v>649687.5</v>
      </c>
      <c r="Z108" s="183">
        <f>'Key financial and ops fig.s COM'!P19</f>
        <v>709891.875</v>
      </c>
      <c r="AA108" s="183">
        <f>'Key financial and ops fig.s COM'!Q19</f>
        <v>769230</v>
      </c>
      <c r="AB108" s="213">
        <f>'Key financial and ops fig.s COM'!R19</f>
        <v>2717426.25</v>
      </c>
      <c r="AC108" s="183">
        <f>'Alt. scenario COM'!N19</f>
        <v>588616.875</v>
      </c>
      <c r="AD108" s="183">
        <f>'Alt. scenario COM'!O19</f>
        <v>649687.5</v>
      </c>
      <c r="AE108" s="183">
        <f>'Alt. scenario COM'!P19</f>
        <v>709891.875</v>
      </c>
      <c r="AF108" s="183">
        <f>'Alt. scenario COM'!Q19</f>
        <v>769230</v>
      </c>
      <c r="AG108" s="230">
        <f>'Alt. scenario COM'!R19</f>
        <v>2717426.25</v>
      </c>
      <c r="AH108" s="183">
        <f>'Key financial and ops fig.s COM'!S19</f>
        <v>827701.875</v>
      </c>
      <c r="AI108" s="183">
        <f>'Key financial and ops fig.s COM'!T19</f>
        <v>885307.5</v>
      </c>
      <c r="AJ108" s="183">
        <f>'Key financial and ops fig.s COM'!U19</f>
        <v>942046.875</v>
      </c>
      <c r="AK108" s="183">
        <f>'Key financial and ops fig.s COM'!V19</f>
        <v>997920</v>
      </c>
      <c r="AL108" s="213">
        <f>'Key financial and ops fig.s COM'!W19</f>
        <v>3652976.25</v>
      </c>
      <c r="AM108" s="183">
        <f>'Alt. scenario COM'!S19</f>
        <v>827701.875</v>
      </c>
      <c r="AN108" s="183">
        <f>'Alt. scenario COM'!T19</f>
        <v>885307.5</v>
      </c>
      <c r="AO108" s="183">
        <f>'Alt. scenario COM'!U19</f>
        <v>942046.875</v>
      </c>
      <c r="AP108" s="183">
        <f>'Alt. scenario COM'!V19</f>
        <v>997920</v>
      </c>
      <c r="AQ108" s="230">
        <f>'Alt. scenario COM'!W19</f>
        <v>3652976.25</v>
      </c>
      <c r="AR108" s="183">
        <f>'Key financial and ops fig.s COM'!X19</f>
        <v>1052926.875</v>
      </c>
      <c r="AS108" s="183">
        <f>'Key financial and ops fig.s COM'!Y19</f>
        <v>1107067.5</v>
      </c>
      <c r="AT108" s="183">
        <f>'Key financial and ops fig.s COM'!Z19</f>
        <v>1160341.875</v>
      </c>
      <c r="AU108" s="183">
        <f>'Key financial and ops fig.s COM'!AA19</f>
        <v>1212750</v>
      </c>
      <c r="AV108" s="213">
        <f>'Key financial and ops fig.s COM'!AB19</f>
        <v>4533086.25</v>
      </c>
      <c r="AW108" s="183">
        <f>'Alt. scenario COM'!X19</f>
        <v>1052926.875</v>
      </c>
      <c r="AX108" s="183">
        <f>'Alt. scenario COM'!Y19</f>
        <v>1107067.5</v>
      </c>
      <c r="AY108" s="183">
        <f>'Alt. scenario COM'!Z19</f>
        <v>1160341.875</v>
      </c>
      <c r="AZ108" s="183">
        <f>'Alt. scenario COM'!AA19</f>
        <v>1212750</v>
      </c>
      <c r="BA108" s="230">
        <f>'Alt. scenario COM'!AB19</f>
        <v>4533086.25</v>
      </c>
      <c r="BB108" s="183">
        <f>'Key financial and ops fig.s COM'!AC19</f>
        <v>1204087.5</v>
      </c>
      <c r="BC108" s="183">
        <f>'Key financial and ops fig.s COM'!AD19</f>
        <v>1195425</v>
      </c>
      <c r="BD108" s="183">
        <f>'Key financial and ops fig.s COM'!AE19</f>
        <v>1186762.5</v>
      </c>
      <c r="BE108" s="183">
        <f>'Key financial and ops fig.s COM'!AF19</f>
        <v>1178100</v>
      </c>
      <c r="BF108" s="213">
        <f>'Key financial and ops fig.s COM'!AG19</f>
        <v>4764375</v>
      </c>
      <c r="BG108" s="183">
        <f>'Alt. scenario COM'!AC19</f>
        <v>1204087.5</v>
      </c>
      <c r="BH108" s="183">
        <f>'Alt. scenario COM'!AD19</f>
        <v>1195425</v>
      </c>
      <c r="BI108" s="183">
        <f>'Alt. scenario COM'!AE19</f>
        <v>1186762.5</v>
      </c>
      <c r="BJ108" s="183">
        <f>'Alt. scenario COM'!AF19</f>
        <v>1178100</v>
      </c>
      <c r="BK108" s="230">
        <f>'Alt. scenario COM'!AG19</f>
        <v>4764375</v>
      </c>
      <c r="BL108" s="183">
        <f>'Key financial and ops fig.s COM'!AH19</f>
        <v>1169437.5</v>
      </c>
      <c r="BM108" s="183">
        <f>'Key financial and ops fig.s COM'!AI19</f>
        <v>1160775</v>
      </c>
      <c r="BN108" s="183">
        <f>'Key financial and ops fig.s COM'!AJ19</f>
        <v>1152112.5</v>
      </c>
      <c r="BO108" s="183">
        <f>'Key financial and ops fig.s COM'!AK19</f>
        <v>1143450</v>
      </c>
      <c r="BP108" s="213">
        <f>'Key financial and ops fig.s COM'!AL19</f>
        <v>4625775</v>
      </c>
      <c r="BQ108" s="183">
        <f>'Alt. scenario COM'!AH19</f>
        <v>1169437.5</v>
      </c>
      <c r="BR108" s="183">
        <f>'Alt. scenario COM'!AI19</f>
        <v>1160775</v>
      </c>
      <c r="BS108" s="183">
        <f>'Alt. scenario COM'!AJ19</f>
        <v>1152112.5</v>
      </c>
      <c r="BT108" s="183">
        <f>'Alt. scenario COM'!AK19</f>
        <v>1143450</v>
      </c>
      <c r="BU108" s="230">
        <f>'Alt. scenario COM'!AL19</f>
        <v>4625775</v>
      </c>
    </row>
    <row r="109" spans="1:73" ht="17.100000000000001" hidden="1" outlineLevel="2" thickBot="1">
      <c r="A109" s="31"/>
      <c r="C109" s="32" t="s">
        <v>263</v>
      </c>
      <c r="D109" s="185">
        <f>'Key financial and ops fig.s COM'!D20</f>
        <v>30000</v>
      </c>
      <c r="E109" s="185">
        <f>'Key financial and ops fig.s COM'!E20</f>
        <v>30000</v>
      </c>
      <c r="F109" s="185">
        <f>'Key financial and ops fig.s COM'!F20</f>
        <v>30000</v>
      </c>
      <c r="G109" s="185">
        <f>'Key financial and ops fig.s COM'!G20</f>
        <v>30000</v>
      </c>
      <c r="H109" s="213">
        <f>'Key financial and ops fig.s COM'!H20</f>
        <v>120000</v>
      </c>
      <c r="I109" s="185">
        <f>'Alt. scenario COM'!D20</f>
        <v>30000</v>
      </c>
      <c r="J109" s="185">
        <f>'Alt. scenario COM'!E20</f>
        <v>30000</v>
      </c>
      <c r="K109" s="185">
        <f>'Alt. scenario COM'!F20</f>
        <v>30000</v>
      </c>
      <c r="L109" s="185">
        <f>'Alt. scenario COM'!G20</f>
        <v>30000</v>
      </c>
      <c r="M109" s="230">
        <f>'Alt. scenario COM'!H20</f>
        <v>120000</v>
      </c>
      <c r="N109" s="185">
        <f>'Key financial and ops fig.s COM'!I20</f>
        <v>30000</v>
      </c>
      <c r="O109" s="185">
        <f>'Key financial and ops fig.s COM'!J20</f>
        <v>30000</v>
      </c>
      <c r="P109" s="185">
        <f>'Key financial and ops fig.s COM'!K20</f>
        <v>30000</v>
      </c>
      <c r="Q109" s="185">
        <f>'Key financial and ops fig.s COM'!L20</f>
        <v>30000</v>
      </c>
      <c r="R109" s="213">
        <f>'Key financial and ops fig.s COM'!M20</f>
        <v>120000</v>
      </c>
      <c r="S109" s="185">
        <f>'Alt. scenario COM'!I20</f>
        <v>30000</v>
      </c>
      <c r="T109" s="185">
        <f>'Alt. scenario COM'!J20</f>
        <v>30000</v>
      </c>
      <c r="U109" s="185">
        <f>'Alt. scenario COM'!K20</f>
        <v>30000</v>
      </c>
      <c r="V109" s="185">
        <f>'Alt. scenario COM'!L20</f>
        <v>30000</v>
      </c>
      <c r="W109" s="230">
        <f>'Alt. scenario COM'!M20</f>
        <v>120000</v>
      </c>
      <c r="X109" s="185">
        <f>'Key financial and ops fig.s COM'!N20</f>
        <v>30000</v>
      </c>
      <c r="Y109" s="185">
        <f>'Key financial and ops fig.s COM'!O20</f>
        <v>30000</v>
      </c>
      <c r="Z109" s="185">
        <f>'Key financial and ops fig.s COM'!P20</f>
        <v>30000</v>
      </c>
      <c r="AA109" s="185">
        <f>'Key financial and ops fig.s COM'!Q20</f>
        <v>30000</v>
      </c>
      <c r="AB109" s="213">
        <f>'Key financial and ops fig.s COM'!R20</f>
        <v>120000</v>
      </c>
      <c r="AC109" s="185">
        <f>'Alt. scenario COM'!N20</f>
        <v>30000</v>
      </c>
      <c r="AD109" s="185">
        <f>'Alt. scenario COM'!O20</f>
        <v>30000</v>
      </c>
      <c r="AE109" s="185">
        <f>'Alt. scenario COM'!P20</f>
        <v>30000</v>
      </c>
      <c r="AF109" s="185">
        <f>'Alt. scenario COM'!Q20</f>
        <v>30000</v>
      </c>
      <c r="AG109" s="230">
        <f>'Alt. scenario COM'!R20</f>
        <v>120000</v>
      </c>
      <c r="AH109" s="185">
        <f>'Key financial and ops fig.s COM'!S20</f>
        <v>30000</v>
      </c>
      <c r="AI109" s="185">
        <f>'Key financial and ops fig.s COM'!T20</f>
        <v>30000</v>
      </c>
      <c r="AJ109" s="185">
        <f>'Key financial and ops fig.s COM'!U20</f>
        <v>30000</v>
      </c>
      <c r="AK109" s="185">
        <f>'Key financial and ops fig.s COM'!V20</f>
        <v>30000</v>
      </c>
      <c r="AL109" s="213">
        <f>'Key financial and ops fig.s COM'!W20</f>
        <v>120000</v>
      </c>
      <c r="AM109" s="185">
        <f>'Alt. scenario COM'!S20</f>
        <v>30000</v>
      </c>
      <c r="AN109" s="185">
        <f>'Alt. scenario COM'!T20</f>
        <v>30000</v>
      </c>
      <c r="AO109" s="185">
        <f>'Alt. scenario COM'!U20</f>
        <v>30000</v>
      </c>
      <c r="AP109" s="185">
        <f>'Alt. scenario COM'!V20</f>
        <v>30000</v>
      </c>
      <c r="AQ109" s="230">
        <f>'Alt. scenario COM'!W20</f>
        <v>120000</v>
      </c>
      <c r="AR109" s="185">
        <f>'Key financial and ops fig.s COM'!X20</f>
        <v>30000</v>
      </c>
      <c r="AS109" s="185">
        <f>'Key financial and ops fig.s COM'!Y20</f>
        <v>30000</v>
      </c>
      <c r="AT109" s="185">
        <f>'Key financial and ops fig.s COM'!Z20</f>
        <v>30000</v>
      </c>
      <c r="AU109" s="185">
        <f>'Key financial and ops fig.s COM'!AA20</f>
        <v>30000</v>
      </c>
      <c r="AV109" s="213">
        <f>'Key financial and ops fig.s COM'!AB20</f>
        <v>120000</v>
      </c>
      <c r="AW109" s="185">
        <f>'Alt. scenario COM'!X20</f>
        <v>30000</v>
      </c>
      <c r="AX109" s="185">
        <f>'Alt. scenario COM'!Y20</f>
        <v>30000</v>
      </c>
      <c r="AY109" s="185">
        <f>'Alt. scenario COM'!Z20</f>
        <v>30000</v>
      </c>
      <c r="AZ109" s="185">
        <f>'Alt. scenario COM'!AA20</f>
        <v>30000</v>
      </c>
      <c r="BA109" s="230">
        <f>'Alt. scenario COM'!AB20</f>
        <v>120000</v>
      </c>
      <c r="BB109" s="185">
        <f>'Key financial and ops fig.s COM'!AC20</f>
        <v>30000</v>
      </c>
      <c r="BC109" s="185">
        <f>'Key financial and ops fig.s COM'!AD20</f>
        <v>30000</v>
      </c>
      <c r="BD109" s="185">
        <f>'Key financial and ops fig.s COM'!AE20</f>
        <v>30000</v>
      </c>
      <c r="BE109" s="185">
        <f>'Key financial and ops fig.s COM'!AF20</f>
        <v>30000</v>
      </c>
      <c r="BF109" s="213">
        <f>'Key financial and ops fig.s COM'!AG20</f>
        <v>120000</v>
      </c>
      <c r="BG109" s="185">
        <f>'Alt. scenario COM'!AC20</f>
        <v>30000</v>
      </c>
      <c r="BH109" s="185">
        <f>'Alt. scenario COM'!AD20</f>
        <v>30000</v>
      </c>
      <c r="BI109" s="185">
        <f>'Alt. scenario COM'!AE20</f>
        <v>30000</v>
      </c>
      <c r="BJ109" s="185">
        <f>'Alt. scenario COM'!AF20</f>
        <v>30000</v>
      </c>
      <c r="BK109" s="230">
        <f>'Alt. scenario COM'!AG20</f>
        <v>120000</v>
      </c>
      <c r="BL109" s="185">
        <f>'Key financial and ops fig.s COM'!AH20</f>
        <v>30000</v>
      </c>
      <c r="BM109" s="185">
        <f>'Key financial and ops fig.s COM'!AI20</f>
        <v>30000</v>
      </c>
      <c r="BN109" s="185">
        <f>'Key financial and ops fig.s COM'!AJ20</f>
        <v>30000</v>
      </c>
      <c r="BO109" s="185">
        <f>'Key financial and ops fig.s COM'!AK20</f>
        <v>30000</v>
      </c>
      <c r="BP109" s="213">
        <f>'Key financial and ops fig.s COM'!AL20</f>
        <v>120000</v>
      </c>
      <c r="BQ109" s="185">
        <f>'Alt. scenario COM'!AH20</f>
        <v>30000</v>
      </c>
      <c r="BR109" s="185">
        <f>'Alt. scenario COM'!AI20</f>
        <v>30000</v>
      </c>
      <c r="BS109" s="185">
        <f>'Alt. scenario COM'!AJ20</f>
        <v>30000</v>
      </c>
      <c r="BT109" s="185">
        <f>'Alt. scenario COM'!AK20</f>
        <v>30000</v>
      </c>
      <c r="BU109" s="230">
        <f>'Alt. scenario COM'!AL20</f>
        <v>120000</v>
      </c>
    </row>
    <row r="110" spans="1:73" ht="17.100000000000001" hidden="1" outlineLevel="2" thickBot="1">
      <c r="A110" s="31"/>
      <c r="C110" s="32" t="s">
        <v>264</v>
      </c>
      <c r="D110" s="185">
        <f>'Key financial and ops fig.s COM'!D21</f>
        <v>-75000</v>
      </c>
      <c r="E110" s="185">
        <f>'Key financial and ops fig.s COM'!E21</f>
        <v>-75000</v>
      </c>
      <c r="F110" s="185">
        <f>'Key financial and ops fig.s COM'!F21</f>
        <v>-75000</v>
      </c>
      <c r="G110" s="185">
        <f>'Key financial and ops fig.s COM'!G21</f>
        <v>-75000</v>
      </c>
      <c r="H110" s="213">
        <f>'Key financial and ops fig.s COM'!H21</f>
        <v>-300000</v>
      </c>
      <c r="I110" s="185">
        <f>'Alt. scenario COM'!D21</f>
        <v>-75000</v>
      </c>
      <c r="J110" s="185">
        <f>'Alt. scenario COM'!E21</f>
        <v>-75000</v>
      </c>
      <c r="K110" s="185">
        <f>'Alt. scenario COM'!F21</f>
        <v>-75000</v>
      </c>
      <c r="L110" s="185">
        <f>'Alt. scenario COM'!G21</f>
        <v>-75000</v>
      </c>
      <c r="M110" s="230">
        <f>'Alt. scenario COM'!H21</f>
        <v>-300000</v>
      </c>
      <c r="N110" s="185">
        <f>'Key financial and ops fig.s COM'!I21</f>
        <v>-75000</v>
      </c>
      <c r="O110" s="185">
        <f>'Key financial and ops fig.s COM'!J21</f>
        <v>-75000</v>
      </c>
      <c r="P110" s="185">
        <f>'Key financial and ops fig.s COM'!K21</f>
        <v>-75000</v>
      </c>
      <c r="Q110" s="185">
        <f>'Key financial and ops fig.s COM'!L21</f>
        <v>-75000</v>
      </c>
      <c r="R110" s="213">
        <f>'Key financial and ops fig.s COM'!M21</f>
        <v>-300000</v>
      </c>
      <c r="S110" s="185">
        <f>'Alt. scenario COM'!I21</f>
        <v>-75000</v>
      </c>
      <c r="T110" s="185">
        <f>'Alt. scenario COM'!J21</f>
        <v>-75000</v>
      </c>
      <c r="U110" s="185">
        <f>'Alt. scenario COM'!K21</f>
        <v>-75000</v>
      </c>
      <c r="V110" s="185">
        <f>'Alt. scenario COM'!L21</f>
        <v>-75000</v>
      </c>
      <c r="W110" s="230">
        <f>'Alt. scenario COM'!M21</f>
        <v>-300000</v>
      </c>
      <c r="X110" s="185">
        <f>'Key financial and ops fig.s COM'!N21</f>
        <v>-75000</v>
      </c>
      <c r="Y110" s="185">
        <f>'Key financial and ops fig.s COM'!O21</f>
        <v>-75000</v>
      </c>
      <c r="Z110" s="185">
        <f>'Key financial and ops fig.s COM'!P21</f>
        <v>-75000</v>
      </c>
      <c r="AA110" s="185">
        <f>'Key financial and ops fig.s COM'!Q21</f>
        <v>-75000</v>
      </c>
      <c r="AB110" s="213">
        <f>'Key financial and ops fig.s COM'!R21</f>
        <v>-300000</v>
      </c>
      <c r="AC110" s="185">
        <f>'Alt. scenario COM'!N21</f>
        <v>-75000</v>
      </c>
      <c r="AD110" s="185">
        <f>'Alt. scenario COM'!O21</f>
        <v>-75000</v>
      </c>
      <c r="AE110" s="185">
        <f>'Alt. scenario COM'!P21</f>
        <v>-75000</v>
      </c>
      <c r="AF110" s="185">
        <f>'Alt. scenario COM'!Q21</f>
        <v>-75000</v>
      </c>
      <c r="AG110" s="230">
        <f>'Alt. scenario COM'!R21</f>
        <v>-300000</v>
      </c>
      <c r="AH110" s="185">
        <f>'Key financial and ops fig.s COM'!S21</f>
        <v>-75000</v>
      </c>
      <c r="AI110" s="185">
        <f>'Key financial and ops fig.s COM'!T21</f>
        <v>-75000</v>
      </c>
      <c r="AJ110" s="185">
        <f>'Key financial and ops fig.s COM'!U21</f>
        <v>-75000</v>
      </c>
      <c r="AK110" s="185">
        <f>'Key financial and ops fig.s COM'!V21</f>
        <v>-75000</v>
      </c>
      <c r="AL110" s="213">
        <f>'Key financial and ops fig.s COM'!W21</f>
        <v>-300000</v>
      </c>
      <c r="AM110" s="185">
        <f>'Alt. scenario COM'!S21</f>
        <v>-75000</v>
      </c>
      <c r="AN110" s="185">
        <f>'Alt. scenario COM'!T21</f>
        <v>-75000</v>
      </c>
      <c r="AO110" s="185">
        <f>'Alt. scenario COM'!U21</f>
        <v>-75000</v>
      </c>
      <c r="AP110" s="185">
        <f>'Alt. scenario COM'!V21</f>
        <v>-75000</v>
      </c>
      <c r="AQ110" s="230">
        <f>'Alt. scenario COM'!W21</f>
        <v>-300000</v>
      </c>
      <c r="AR110" s="185">
        <f>'Key financial and ops fig.s COM'!X21</f>
        <v>-75000</v>
      </c>
      <c r="AS110" s="185">
        <f>'Key financial and ops fig.s COM'!Y21</f>
        <v>-75000</v>
      </c>
      <c r="AT110" s="185">
        <f>'Key financial and ops fig.s COM'!Z21</f>
        <v>-75000</v>
      </c>
      <c r="AU110" s="185">
        <f>'Key financial and ops fig.s COM'!AA21</f>
        <v>-75000</v>
      </c>
      <c r="AV110" s="213">
        <f>'Key financial and ops fig.s COM'!AB21</f>
        <v>-300000</v>
      </c>
      <c r="AW110" s="185">
        <f>'Alt. scenario COM'!X21</f>
        <v>-75000</v>
      </c>
      <c r="AX110" s="185">
        <f>'Alt. scenario COM'!Y21</f>
        <v>-75000</v>
      </c>
      <c r="AY110" s="185">
        <f>'Alt. scenario COM'!Z21</f>
        <v>-75000</v>
      </c>
      <c r="AZ110" s="185">
        <f>'Alt. scenario COM'!AA21</f>
        <v>-75000</v>
      </c>
      <c r="BA110" s="230">
        <f>'Alt. scenario COM'!AB21</f>
        <v>-300000</v>
      </c>
      <c r="BB110" s="185">
        <f>'Key financial and ops fig.s COM'!AC21</f>
        <v>-75000</v>
      </c>
      <c r="BC110" s="185">
        <f>'Key financial and ops fig.s COM'!AD21</f>
        <v>-75000</v>
      </c>
      <c r="BD110" s="185">
        <f>'Key financial and ops fig.s COM'!AE21</f>
        <v>-75000</v>
      </c>
      <c r="BE110" s="185">
        <f>'Key financial and ops fig.s COM'!AF21</f>
        <v>-75000</v>
      </c>
      <c r="BF110" s="213">
        <f>'Key financial and ops fig.s COM'!AG21</f>
        <v>-300000</v>
      </c>
      <c r="BG110" s="185">
        <f>'Alt. scenario COM'!AC21</f>
        <v>-75000</v>
      </c>
      <c r="BH110" s="185">
        <f>'Alt. scenario COM'!AD21</f>
        <v>-75000</v>
      </c>
      <c r="BI110" s="185">
        <f>'Alt. scenario COM'!AE21</f>
        <v>-75000</v>
      </c>
      <c r="BJ110" s="185">
        <f>'Alt. scenario COM'!AF21</f>
        <v>-75000</v>
      </c>
      <c r="BK110" s="230">
        <f>'Alt. scenario COM'!AG21</f>
        <v>-300000</v>
      </c>
      <c r="BL110" s="185">
        <f>'Key financial and ops fig.s COM'!AH21</f>
        <v>-75000</v>
      </c>
      <c r="BM110" s="185">
        <f>'Key financial and ops fig.s COM'!AI21</f>
        <v>-75000</v>
      </c>
      <c r="BN110" s="185">
        <f>'Key financial and ops fig.s COM'!AJ21</f>
        <v>-75000</v>
      </c>
      <c r="BO110" s="185">
        <f>'Key financial and ops fig.s COM'!AK21</f>
        <v>-75000</v>
      </c>
      <c r="BP110" s="213">
        <f>'Key financial and ops fig.s COM'!AL21</f>
        <v>-300000</v>
      </c>
      <c r="BQ110" s="185">
        <f>'Alt. scenario COM'!AH21</f>
        <v>-75000</v>
      </c>
      <c r="BR110" s="185">
        <f>'Alt. scenario COM'!AI21</f>
        <v>-75000</v>
      </c>
      <c r="BS110" s="185">
        <f>'Alt. scenario COM'!AJ21</f>
        <v>-75000</v>
      </c>
      <c r="BT110" s="185">
        <f>'Alt. scenario COM'!AK21</f>
        <v>-75000</v>
      </c>
      <c r="BU110" s="230">
        <f>'Alt. scenario COM'!AL21</f>
        <v>-300000</v>
      </c>
    </row>
    <row r="111" spans="1:73" ht="17.100000000000001" hidden="1" outlineLevel="2" thickBot="1">
      <c r="A111" s="31"/>
      <c r="C111" s="32" t="s">
        <v>265</v>
      </c>
      <c r="D111" s="185">
        <f>'Key financial and ops fig.s COM'!D22</f>
        <v>-45000</v>
      </c>
      <c r="E111" s="185">
        <f>'Key financial and ops fig.s COM'!E22</f>
        <v>-45000</v>
      </c>
      <c r="F111" s="185">
        <f>'Key financial and ops fig.s COM'!F22</f>
        <v>-45000</v>
      </c>
      <c r="G111" s="185">
        <f>'Key financial and ops fig.s COM'!G22</f>
        <v>-45000</v>
      </c>
      <c r="H111" s="213">
        <f>'Key financial and ops fig.s COM'!H22</f>
        <v>-180000</v>
      </c>
      <c r="I111" s="185">
        <f>'Alt. scenario COM'!D22</f>
        <v>-45000</v>
      </c>
      <c r="J111" s="185">
        <f>'Alt. scenario COM'!E22</f>
        <v>-45000</v>
      </c>
      <c r="K111" s="185">
        <f>'Alt. scenario COM'!F22</f>
        <v>-45000</v>
      </c>
      <c r="L111" s="185">
        <f>'Alt. scenario COM'!G22</f>
        <v>-45000</v>
      </c>
      <c r="M111" s="230">
        <f>'Alt. scenario COM'!H22</f>
        <v>-180000</v>
      </c>
      <c r="N111" s="185">
        <f>'Key financial and ops fig.s COM'!I22</f>
        <v>-45000</v>
      </c>
      <c r="O111" s="185">
        <f>'Key financial and ops fig.s COM'!J22</f>
        <v>-45000</v>
      </c>
      <c r="P111" s="185">
        <f>'Key financial and ops fig.s COM'!K22</f>
        <v>-45000</v>
      </c>
      <c r="Q111" s="185">
        <f>'Key financial and ops fig.s COM'!L22</f>
        <v>-45000</v>
      </c>
      <c r="R111" s="213">
        <f>'Key financial and ops fig.s COM'!M22</f>
        <v>-180000</v>
      </c>
      <c r="S111" s="185">
        <f>'Alt. scenario COM'!I22</f>
        <v>-45000</v>
      </c>
      <c r="T111" s="185">
        <f>'Alt. scenario COM'!J22</f>
        <v>-45000</v>
      </c>
      <c r="U111" s="185">
        <f>'Alt. scenario COM'!K22</f>
        <v>-45000</v>
      </c>
      <c r="V111" s="185">
        <f>'Alt. scenario COM'!L22</f>
        <v>-45000</v>
      </c>
      <c r="W111" s="230">
        <f>'Alt. scenario COM'!M22</f>
        <v>-180000</v>
      </c>
      <c r="X111" s="185">
        <f>'Key financial and ops fig.s COM'!N22</f>
        <v>-45000</v>
      </c>
      <c r="Y111" s="185">
        <f>'Key financial and ops fig.s COM'!O22</f>
        <v>-45000</v>
      </c>
      <c r="Z111" s="185">
        <f>'Key financial and ops fig.s COM'!P22</f>
        <v>-45000</v>
      </c>
      <c r="AA111" s="185">
        <f>'Key financial and ops fig.s COM'!Q22</f>
        <v>-45000</v>
      </c>
      <c r="AB111" s="213">
        <f>'Key financial and ops fig.s COM'!R22</f>
        <v>-180000</v>
      </c>
      <c r="AC111" s="185">
        <f>'Alt. scenario COM'!N22</f>
        <v>-45000</v>
      </c>
      <c r="AD111" s="185">
        <f>'Alt. scenario COM'!O22</f>
        <v>-45000</v>
      </c>
      <c r="AE111" s="185">
        <f>'Alt. scenario COM'!P22</f>
        <v>-45000</v>
      </c>
      <c r="AF111" s="185">
        <f>'Alt. scenario COM'!Q22</f>
        <v>-45000</v>
      </c>
      <c r="AG111" s="230">
        <f>'Alt. scenario COM'!R22</f>
        <v>-180000</v>
      </c>
      <c r="AH111" s="185">
        <f>'Key financial and ops fig.s COM'!S22</f>
        <v>-45000</v>
      </c>
      <c r="AI111" s="185">
        <f>'Key financial and ops fig.s COM'!T22</f>
        <v>-45000</v>
      </c>
      <c r="AJ111" s="185">
        <f>'Key financial and ops fig.s COM'!U22</f>
        <v>-45000</v>
      </c>
      <c r="AK111" s="185">
        <f>'Key financial and ops fig.s COM'!V22</f>
        <v>-45000</v>
      </c>
      <c r="AL111" s="213">
        <f>'Key financial and ops fig.s COM'!W22</f>
        <v>-180000</v>
      </c>
      <c r="AM111" s="185">
        <f>'Alt. scenario COM'!S22</f>
        <v>-45000</v>
      </c>
      <c r="AN111" s="185">
        <f>'Alt. scenario COM'!T22</f>
        <v>-45000</v>
      </c>
      <c r="AO111" s="185">
        <f>'Alt. scenario COM'!U22</f>
        <v>-45000</v>
      </c>
      <c r="AP111" s="185">
        <f>'Alt. scenario COM'!V22</f>
        <v>-45000</v>
      </c>
      <c r="AQ111" s="230">
        <f>'Alt. scenario COM'!W22</f>
        <v>-180000</v>
      </c>
      <c r="AR111" s="185">
        <f>'Key financial and ops fig.s COM'!X22</f>
        <v>-45000</v>
      </c>
      <c r="AS111" s="185">
        <f>'Key financial and ops fig.s COM'!Y22</f>
        <v>-45000</v>
      </c>
      <c r="AT111" s="185">
        <f>'Key financial and ops fig.s COM'!Z22</f>
        <v>-45000</v>
      </c>
      <c r="AU111" s="185">
        <f>'Key financial and ops fig.s COM'!AA22</f>
        <v>-45000</v>
      </c>
      <c r="AV111" s="213">
        <f>'Key financial and ops fig.s COM'!AB22</f>
        <v>-180000</v>
      </c>
      <c r="AW111" s="185">
        <f>'Alt. scenario COM'!X22</f>
        <v>-45000</v>
      </c>
      <c r="AX111" s="185">
        <f>'Alt. scenario COM'!Y22</f>
        <v>-45000</v>
      </c>
      <c r="AY111" s="185">
        <f>'Alt. scenario COM'!Z22</f>
        <v>-45000</v>
      </c>
      <c r="AZ111" s="185">
        <f>'Alt. scenario COM'!AA22</f>
        <v>-45000</v>
      </c>
      <c r="BA111" s="230">
        <f>'Alt. scenario COM'!AB22</f>
        <v>-180000</v>
      </c>
      <c r="BB111" s="185">
        <f>'Key financial and ops fig.s COM'!AC22</f>
        <v>-45000</v>
      </c>
      <c r="BC111" s="185">
        <f>'Key financial and ops fig.s COM'!AD22</f>
        <v>-45000</v>
      </c>
      <c r="BD111" s="185">
        <f>'Key financial and ops fig.s COM'!AE22</f>
        <v>-45000</v>
      </c>
      <c r="BE111" s="185">
        <f>'Key financial and ops fig.s COM'!AF22</f>
        <v>-45000</v>
      </c>
      <c r="BF111" s="213">
        <f>'Key financial and ops fig.s COM'!AG22</f>
        <v>-180000</v>
      </c>
      <c r="BG111" s="185">
        <f>'Alt. scenario COM'!AC22</f>
        <v>-45000</v>
      </c>
      <c r="BH111" s="185">
        <f>'Alt. scenario COM'!AD22</f>
        <v>-45000</v>
      </c>
      <c r="BI111" s="185">
        <f>'Alt. scenario COM'!AE22</f>
        <v>-45000</v>
      </c>
      <c r="BJ111" s="185">
        <f>'Alt. scenario COM'!AF22</f>
        <v>-45000</v>
      </c>
      <c r="BK111" s="230">
        <f>'Alt. scenario COM'!AG22</f>
        <v>-180000</v>
      </c>
      <c r="BL111" s="185">
        <f>'Key financial and ops fig.s COM'!AH22</f>
        <v>-45000</v>
      </c>
      <c r="BM111" s="185">
        <f>'Key financial and ops fig.s COM'!AI22</f>
        <v>-45000</v>
      </c>
      <c r="BN111" s="185">
        <f>'Key financial and ops fig.s COM'!AJ22</f>
        <v>-45000</v>
      </c>
      <c r="BO111" s="185">
        <f>'Key financial and ops fig.s COM'!AK22</f>
        <v>-45000</v>
      </c>
      <c r="BP111" s="213">
        <f>'Key financial and ops fig.s COM'!AL22</f>
        <v>-180000</v>
      </c>
      <c r="BQ111" s="185">
        <f>'Alt. scenario COM'!AH22</f>
        <v>-45000</v>
      </c>
      <c r="BR111" s="185">
        <f>'Alt. scenario COM'!AI22</f>
        <v>-45000</v>
      </c>
      <c r="BS111" s="185">
        <f>'Alt. scenario COM'!AJ22</f>
        <v>-45000</v>
      </c>
      <c r="BT111" s="185">
        <f>'Alt. scenario COM'!AK22</f>
        <v>-45000</v>
      </c>
      <c r="BU111" s="230">
        <f>'Alt. scenario COM'!AL22</f>
        <v>-180000</v>
      </c>
    </row>
    <row r="112" spans="1:73" ht="17.100000000000001" hidden="1" outlineLevel="1" thickBot="1">
      <c r="A112" s="31"/>
      <c r="B112" s="34" t="s">
        <v>266</v>
      </c>
      <c r="C112" s="34"/>
      <c r="D112" s="184">
        <f>'Key financial and ops fig.s COM'!D23</f>
        <v>23866.875</v>
      </c>
      <c r="E112" s="184">
        <f>'Key financial and ops fig.s COM'!E23</f>
        <v>91867.5</v>
      </c>
      <c r="F112" s="184">
        <f>'Key financial and ops fig.s COM'!F23</f>
        <v>159001.875</v>
      </c>
      <c r="G112" s="184">
        <f>'Key financial and ops fig.s COM'!G23</f>
        <v>225270</v>
      </c>
      <c r="H112" s="214">
        <f>'Key financial and ops fig.s COM'!H23</f>
        <v>500006.25</v>
      </c>
      <c r="I112" s="184">
        <f>'Alt. scenario COM'!D23</f>
        <v>23866.875</v>
      </c>
      <c r="J112" s="184">
        <f>'Alt. scenario COM'!E23</f>
        <v>91867.5</v>
      </c>
      <c r="K112" s="184">
        <f>'Alt. scenario COM'!F23</f>
        <v>159001.875</v>
      </c>
      <c r="L112" s="184">
        <f>'Alt. scenario COM'!G23</f>
        <v>225270</v>
      </c>
      <c r="M112" s="231">
        <f>'Alt. scenario COM'!H23</f>
        <v>500006.25</v>
      </c>
      <c r="N112" s="184">
        <f>'Key financial and ops fig.s COM'!I23</f>
        <v>290671.875</v>
      </c>
      <c r="O112" s="184">
        <f>'Key financial and ops fig.s COM'!J23</f>
        <v>355207.5</v>
      </c>
      <c r="P112" s="184">
        <f>'Key financial and ops fig.s COM'!K23</f>
        <v>418876.875</v>
      </c>
      <c r="Q112" s="184">
        <f>'Key financial and ops fig.s COM'!L23</f>
        <v>481680</v>
      </c>
      <c r="R112" s="214">
        <f>'Key financial and ops fig.s COM'!M23</f>
        <v>1546436.25</v>
      </c>
      <c r="S112" s="184">
        <f>'Alt. scenario COM'!I23</f>
        <v>290671.875</v>
      </c>
      <c r="T112" s="184">
        <f>'Alt. scenario COM'!J23</f>
        <v>355207.5</v>
      </c>
      <c r="U112" s="184">
        <f>'Alt. scenario COM'!K23</f>
        <v>418876.875</v>
      </c>
      <c r="V112" s="184">
        <f>'Alt. scenario COM'!L23</f>
        <v>481680</v>
      </c>
      <c r="W112" s="231">
        <f>'Alt. scenario COM'!M23</f>
        <v>1546436.25</v>
      </c>
      <c r="X112" s="184">
        <f>'Key financial and ops fig.s COM'!N23</f>
        <v>543616.875</v>
      </c>
      <c r="Y112" s="184">
        <f>'Key financial and ops fig.s COM'!O23</f>
        <v>604687.5</v>
      </c>
      <c r="Z112" s="184">
        <f>'Key financial and ops fig.s COM'!P23</f>
        <v>664891.875</v>
      </c>
      <c r="AA112" s="184">
        <f>'Key financial and ops fig.s COM'!Q23</f>
        <v>724230</v>
      </c>
      <c r="AB112" s="214">
        <f>'Key financial and ops fig.s COM'!R23</f>
        <v>2537426.25</v>
      </c>
      <c r="AC112" s="184">
        <f>'Alt. scenario COM'!N23</f>
        <v>543616.875</v>
      </c>
      <c r="AD112" s="184">
        <f>'Alt. scenario COM'!O23</f>
        <v>604687.5</v>
      </c>
      <c r="AE112" s="184">
        <f>'Alt. scenario COM'!P23</f>
        <v>664891.875</v>
      </c>
      <c r="AF112" s="184">
        <f>'Alt. scenario COM'!Q23</f>
        <v>724230</v>
      </c>
      <c r="AG112" s="231">
        <f>'Alt. scenario COM'!R23</f>
        <v>2537426.25</v>
      </c>
      <c r="AH112" s="184">
        <f>'Key financial and ops fig.s COM'!S23</f>
        <v>782701.875</v>
      </c>
      <c r="AI112" s="184">
        <f>'Key financial and ops fig.s COM'!T23</f>
        <v>840307.5</v>
      </c>
      <c r="AJ112" s="184">
        <f>'Key financial and ops fig.s COM'!U23</f>
        <v>897046.875</v>
      </c>
      <c r="AK112" s="184">
        <f>'Key financial and ops fig.s COM'!V23</f>
        <v>952920</v>
      </c>
      <c r="AL112" s="214">
        <f>'Key financial and ops fig.s COM'!W23</f>
        <v>3472976.25</v>
      </c>
      <c r="AM112" s="184">
        <f>'Alt. scenario COM'!S23</f>
        <v>782701.875</v>
      </c>
      <c r="AN112" s="184">
        <f>'Alt. scenario COM'!T23</f>
        <v>840307.5</v>
      </c>
      <c r="AO112" s="184">
        <f>'Alt. scenario COM'!U23</f>
        <v>897046.875</v>
      </c>
      <c r="AP112" s="184">
        <f>'Alt. scenario COM'!V23</f>
        <v>952920</v>
      </c>
      <c r="AQ112" s="231">
        <f>'Alt. scenario COM'!W23</f>
        <v>3472976.25</v>
      </c>
      <c r="AR112" s="184">
        <f>'Key financial and ops fig.s COM'!X23</f>
        <v>1007926.875</v>
      </c>
      <c r="AS112" s="184">
        <f>'Key financial and ops fig.s COM'!Y23</f>
        <v>1062067.5</v>
      </c>
      <c r="AT112" s="184">
        <f>'Key financial and ops fig.s COM'!Z23</f>
        <v>1115341.875</v>
      </c>
      <c r="AU112" s="184">
        <f>'Key financial and ops fig.s COM'!AA23</f>
        <v>1167750</v>
      </c>
      <c r="AV112" s="214">
        <f>'Key financial and ops fig.s COM'!AB23</f>
        <v>4353086.25</v>
      </c>
      <c r="AW112" s="184">
        <f>'Alt. scenario COM'!X23</f>
        <v>1007926.875</v>
      </c>
      <c r="AX112" s="184">
        <f>'Alt. scenario COM'!Y23</f>
        <v>1062067.5</v>
      </c>
      <c r="AY112" s="184">
        <f>'Alt. scenario COM'!Z23</f>
        <v>1115341.875</v>
      </c>
      <c r="AZ112" s="184">
        <f>'Alt. scenario COM'!AA23</f>
        <v>1167750</v>
      </c>
      <c r="BA112" s="231">
        <f>'Alt. scenario COM'!AB23</f>
        <v>4353086.25</v>
      </c>
      <c r="BB112" s="184">
        <f>'Key financial and ops fig.s COM'!AC23</f>
        <v>1159087.5</v>
      </c>
      <c r="BC112" s="184">
        <f>'Key financial and ops fig.s COM'!AD23</f>
        <v>1150425</v>
      </c>
      <c r="BD112" s="184">
        <f>'Key financial and ops fig.s COM'!AE23</f>
        <v>1141762.5</v>
      </c>
      <c r="BE112" s="184">
        <f>'Key financial and ops fig.s COM'!AF23</f>
        <v>1133100</v>
      </c>
      <c r="BF112" s="214">
        <f>'Key financial and ops fig.s COM'!AG23</f>
        <v>4584375</v>
      </c>
      <c r="BG112" s="184">
        <f>'Alt. scenario COM'!AC23</f>
        <v>1159087.5</v>
      </c>
      <c r="BH112" s="184">
        <f>'Alt. scenario COM'!AD23</f>
        <v>1150425</v>
      </c>
      <c r="BI112" s="184">
        <f>'Alt. scenario COM'!AE23</f>
        <v>1141762.5</v>
      </c>
      <c r="BJ112" s="184">
        <f>'Alt. scenario COM'!AF23</f>
        <v>1133100</v>
      </c>
      <c r="BK112" s="231">
        <f>'Alt. scenario COM'!AG23</f>
        <v>4584375</v>
      </c>
      <c r="BL112" s="184">
        <f>'Key financial and ops fig.s COM'!AH23</f>
        <v>1124437.5</v>
      </c>
      <c r="BM112" s="184">
        <f>'Key financial and ops fig.s COM'!AI23</f>
        <v>1115775</v>
      </c>
      <c r="BN112" s="184">
        <f>'Key financial and ops fig.s COM'!AJ23</f>
        <v>1107112.5</v>
      </c>
      <c r="BO112" s="184">
        <f>'Key financial and ops fig.s COM'!AK23</f>
        <v>1098450</v>
      </c>
      <c r="BP112" s="214">
        <f>'Key financial and ops fig.s COM'!AL23</f>
        <v>4445775</v>
      </c>
      <c r="BQ112" s="184">
        <f>'Alt. scenario COM'!AH23</f>
        <v>1124437.5</v>
      </c>
      <c r="BR112" s="184">
        <f>'Alt. scenario COM'!AI23</f>
        <v>1115775</v>
      </c>
      <c r="BS112" s="184">
        <f>'Alt. scenario COM'!AJ23</f>
        <v>1107112.5</v>
      </c>
      <c r="BT112" s="184">
        <f>'Alt. scenario COM'!AK23</f>
        <v>1098450</v>
      </c>
      <c r="BU112" s="231">
        <f>'Alt. scenario COM'!AL23</f>
        <v>4445775</v>
      </c>
    </row>
    <row r="113" spans="1:73" ht="17.100000000000001" collapsed="1" thickBot="1">
      <c r="A113" s="36" t="s">
        <v>267</v>
      </c>
      <c r="B113" s="37"/>
      <c r="C113" s="38"/>
      <c r="D113" s="53">
        <f>'Key financial and ops fig.s COM'!D24</f>
        <v>23866.875</v>
      </c>
      <c r="E113" s="53">
        <f>'Key financial and ops fig.s COM'!E24</f>
        <v>91867.5</v>
      </c>
      <c r="F113" s="53">
        <f>'Key financial and ops fig.s COM'!F24</f>
        <v>159001.875</v>
      </c>
      <c r="G113" s="53">
        <f>'Key financial and ops fig.s COM'!G24</f>
        <v>225270</v>
      </c>
      <c r="H113" s="215">
        <f>'Key financial and ops fig.s COM'!H24</f>
        <v>500006.25</v>
      </c>
      <c r="I113" s="53">
        <f>'Alt. scenario COM'!D24</f>
        <v>23866.875</v>
      </c>
      <c r="J113" s="53">
        <f>'Alt. scenario COM'!E24</f>
        <v>91867.5</v>
      </c>
      <c r="K113" s="53">
        <f>'Alt. scenario COM'!F24</f>
        <v>159001.875</v>
      </c>
      <c r="L113" s="53">
        <f>'Alt. scenario COM'!G24</f>
        <v>225270</v>
      </c>
      <c r="M113" s="232">
        <f>'Alt. scenario COM'!H24</f>
        <v>500006.25</v>
      </c>
      <c r="N113" s="53">
        <f>'Key financial and ops fig.s COM'!I24</f>
        <v>290671.875</v>
      </c>
      <c r="O113" s="53">
        <f>'Key financial and ops fig.s COM'!J24</f>
        <v>355207.5</v>
      </c>
      <c r="P113" s="53">
        <f>'Key financial and ops fig.s COM'!K24</f>
        <v>418876.875</v>
      </c>
      <c r="Q113" s="53">
        <f>'Key financial and ops fig.s COM'!L24</f>
        <v>481680</v>
      </c>
      <c r="R113" s="215">
        <f>'Key financial and ops fig.s COM'!M24</f>
        <v>1546436.25</v>
      </c>
      <c r="S113" s="53">
        <f>'Alt. scenario COM'!I24</f>
        <v>290671.875</v>
      </c>
      <c r="T113" s="53">
        <f>'Alt. scenario COM'!J24</f>
        <v>355207.5</v>
      </c>
      <c r="U113" s="53">
        <f>'Alt. scenario COM'!K24</f>
        <v>418876.875</v>
      </c>
      <c r="V113" s="53">
        <f>'Alt. scenario COM'!L24</f>
        <v>481680</v>
      </c>
      <c r="W113" s="232">
        <f>'Alt. scenario COM'!M24</f>
        <v>1546436.25</v>
      </c>
      <c r="X113" s="53">
        <f>'Key financial and ops fig.s COM'!N24</f>
        <v>543616.875</v>
      </c>
      <c r="Y113" s="53">
        <f>'Key financial and ops fig.s COM'!O24</f>
        <v>604687.5</v>
      </c>
      <c r="Z113" s="53">
        <f>'Key financial and ops fig.s COM'!P24</f>
        <v>664891.875</v>
      </c>
      <c r="AA113" s="53">
        <f>'Key financial and ops fig.s COM'!Q24</f>
        <v>724230</v>
      </c>
      <c r="AB113" s="215">
        <f>'Key financial and ops fig.s COM'!R24</f>
        <v>2537426.25</v>
      </c>
      <c r="AC113" s="53">
        <f>'Alt. scenario COM'!N24</f>
        <v>543616.875</v>
      </c>
      <c r="AD113" s="53">
        <f>'Alt. scenario COM'!O24</f>
        <v>604687.5</v>
      </c>
      <c r="AE113" s="53">
        <f>'Alt. scenario COM'!P24</f>
        <v>664891.875</v>
      </c>
      <c r="AF113" s="53">
        <f>'Alt. scenario COM'!Q24</f>
        <v>724230</v>
      </c>
      <c r="AG113" s="232">
        <f>'Alt. scenario COM'!R24</f>
        <v>2537426.25</v>
      </c>
      <c r="AH113" s="53">
        <f>'Key financial and ops fig.s COM'!S24</f>
        <v>782701.875</v>
      </c>
      <c r="AI113" s="53">
        <f>'Key financial and ops fig.s COM'!T24</f>
        <v>840307.5</v>
      </c>
      <c r="AJ113" s="53">
        <f>'Key financial and ops fig.s COM'!U24</f>
        <v>897046.875</v>
      </c>
      <c r="AK113" s="53">
        <f>'Key financial and ops fig.s COM'!V24</f>
        <v>952920</v>
      </c>
      <c r="AL113" s="215">
        <f>'Key financial and ops fig.s COM'!W24</f>
        <v>3472976.25</v>
      </c>
      <c r="AM113" s="53">
        <f>'Alt. scenario COM'!S24</f>
        <v>782701.875</v>
      </c>
      <c r="AN113" s="53">
        <f>'Alt. scenario COM'!T24</f>
        <v>840307.5</v>
      </c>
      <c r="AO113" s="53">
        <f>'Alt. scenario COM'!U24</f>
        <v>897046.875</v>
      </c>
      <c r="AP113" s="53">
        <f>'Alt. scenario COM'!V24</f>
        <v>952920</v>
      </c>
      <c r="AQ113" s="232">
        <f>'Alt. scenario COM'!W24</f>
        <v>3472976.25</v>
      </c>
      <c r="AR113" s="53">
        <f>'Key financial and ops fig.s COM'!X24</f>
        <v>1007926.875</v>
      </c>
      <c r="AS113" s="53">
        <f>'Key financial and ops fig.s COM'!Y24</f>
        <v>1062067.5</v>
      </c>
      <c r="AT113" s="53">
        <f>'Key financial and ops fig.s COM'!Z24</f>
        <v>1115341.875</v>
      </c>
      <c r="AU113" s="53">
        <f>'Key financial and ops fig.s COM'!AA24</f>
        <v>1167750</v>
      </c>
      <c r="AV113" s="215">
        <f>'Key financial and ops fig.s COM'!AB24</f>
        <v>4353086.25</v>
      </c>
      <c r="AW113" s="53">
        <f>'Alt. scenario COM'!X24</f>
        <v>1007926.875</v>
      </c>
      <c r="AX113" s="53">
        <f>'Alt. scenario COM'!Y24</f>
        <v>1062067.5</v>
      </c>
      <c r="AY113" s="53">
        <f>'Alt. scenario COM'!Z24</f>
        <v>1115341.875</v>
      </c>
      <c r="AZ113" s="53">
        <f>'Alt. scenario COM'!AA24</f>
        <v>1167750</v>
      </c>
      <c r="BA113" s="232">
        <f>'Alt. scenario COM'!AB24</f>
        <v>4353086.25</v>
      </c>
      <c r="BB113" s="53">
        <f>'Key financial and ops fig.s COM'!AC24</f>
        <v>1159087.5</v>
      </c>
      <c r="BC113" s="53">
        <f>'Key financial and ops fig.s COM'!AD24</f>
        <v>1150425</v>
      </c>
      <c r="BD113" s="53">
        <f>'Key financial and ops fig.s COM'!AE24</f>
        <v>1141762.5</v>
      </c>
      <c r="BE113" s="53">
        <f>'Key financial and ops fig.s COM'!AF24</f>
        <v>1133100</v>
      </c>
      <c r="BF113" s="215">
        <f>'Key financial and ops fig.s COM'!AG24</f>
        <v>4584375</v>
      </c>
      <c r="BG113" s="53">
        <f>'Alt. scenario COM'!AC24</f>
        <v>1159087.5</v>
      </c>
      <c r="BH113" s="53">
        <f>'Alt. scenario COM'!AD24</f>
        <v>1150425</v>
      </c>
      <c r="BI113" s="53">
        <f>'Alt. scenario COM'!AE24</f>
        <v>1141762.5</v>
      </c>
      <c r="BJ113" s="53">
        <f>'Alt. scenario COM'!AF24</f>
        <v>1133100</v>
      </c>
      <c r="BK113" s="232">
        <f>'Alt. scenario COM'!AG24</f>
        <v>4584375</v>
      </c>
      <c r="BL113" s="53">
        <f>'Key financial and ops fig.s COM'!AH24</f>
        <v>1124437.5</v>
      </c>
      <c r="BM113" s="53">
        <f>'Key financial and ops fig.s COM'!AI24</f>
        <v>1115775</v>
      </c>
      <c r="BN113" s="53">
        <f>'Key financial and ops fig.s COM'!AJ24</f>
        <v>1107112.5</v>
      </c>
      <c r="BO113" s="53">
        <f>'Key financial and ops fig.s COM'!AK24</f>
        <v>1098450</v>
      </c>
      <c r="BP113" s="215">
        <f>'Key financial and ops fig.s COM'!AL24</f>
        <v>4445775</v>
      </c>
      <c r="BQ113" s="53">
        <f>'Alt. scenario COM'!AH24</f>
        <v>1124437.5</v>
      </c>
      <c r="BR113" s="53">
        <f>'Alt. scenario COM'!AI24</f>
        <v>1115775</v>
      </c>
      <c r="BS113" s="53">
        <f>'Alt. scenario COM'!AJ24</f>
        <v>1107112.5</v>
      </c>
      <c r="BT113" s="53">
        <f>'Alt. scenario COM'!AK24</f>
        <v>1098450</v>
      </c>
      <c r="BU113" s="232">
        <f>'Alt. scenario COM'!AL24</f>
        <v>4445775</v>
      </c>
    </row>
    <row r="114" spans="1:73" ht="17.100000000000001" thickBot="1">
      <c r="A114" s="36" t="s">
        <v>268</v>
      </c>
      <c r="B114" s="37"/>
      <c r="C114" s="38"/>
      <c r="D114" s="182">
        <f>'Key financial and ops fig.s COM'!D25</f>
        <v>620796.6</v>
      </c>
      <c r="E114" s="182">
        <f>'Key financial and ops fig.s COM'!E25</f>
        <v>977648.77500000002</v>
      </c>
      <c r="F114" s="182">
        <f>'Key financial and ops fig.s COM'!F25</f>
        <v>1329906.9000000001</v>
      </c>
      <c r="G114" s="182">
        <f>'Key financial and ops fig.s COM'!G25</f>
        <v>1677570.9750000001</v>
      </c>
      <c r="H114" s="215">
        <f>'Key financial and ops fig.s COM'!H25</f>
        <v>4605923.25</v>
      </c>
      <c r="I114" s="182">
        <f>'Alt. scenario COM'!D25</f>
        <v>620796.6</v>
      </c>
      <c r="J114" s="182">
        <f>'Alt. scenario COM'!E25</f>
        <v>977648.77500000002</v>
      </c>
      <c r="K114" s="182">
        <f>'Alt. scenario COM'!F25</f>
        <v>1329906.9000000001</v>
      </c>
      <c r="L114" s="182">
        <f>'Alt. scenario COM'!G25</f>
        <v>1677570.9750000001</v>
      </c>
      <c r="M114" s="232">
        <f>'Alt. scenario COM'!H25</f>
        <v>4605923.25</v>
      </c>
      <c r="N114" s="182">
        <f>'Key financial and ops fig.s COM'!I25</f>
        <v>2020641</v>
      </c>
      <c r="O114" s="182">
        <f>'Key financial and ops fig.s COM'!J25</f>
        <v>2359116.9750000006</v>
      </c>
      <c r="P114" s="182">
        <f>'Key financial and ops fig.s COM'!K25</f>
        <v>2692998.9000000004</v>
      </c>
      <c r="Q114" s="182">
        <f>'Key financial and ops fig.s COM'!L25</f>
        <v>3022286.7749999999</v>
      </c>
      <c r="R114" s="215">
        <f>'Key financial and ops fig.s COM'!M25</f>
        <v>10095043.65</v>
      </c>
      <c r="S114" s="182">
        <f>'Alt. scenario COM'!I25</f>
        <v>2020641</v>
      </c>
      <c r="T114" s="182">
        <f>'Alt. scenario COM'!J25</f>
        <v>2359116.9750000006</v>
      </c>
      <c r="U114" s="182">
        <f>'Alt. scenario COM'!K25</f>
        <v>2692998.9000000004</v>
      </c>
      <c r="V114" s="182">
        <f>'Alt. scenario COM'!L25</f>
        <v>3022286.7749999999</v>
      </c>
      <c r="W114" s="232">
        <f>'Alt. scenario COM'!M25</f>
        <v>10095043.65</v>
      </c>
      <c r="X114" s="182">
        <f>'Key financial and ops fig.s COM'!N25</f>
        <v>3346980.6</v>
      </c>
      <c r="Y114" s="182">
        <f>'Key financial and ops fig.s COM'!O25</f>
        <v>3667080.375</v>
      </c>
      <c r="Z114" s="182">
        <f>'Key financial and ops fig.s COM'!P25</f>
        <v>3982586.1000000006</v>
      </c>
      <c r="AA114" s="182">
        <f>'Key financial and ops fig.s COM'!Q25</f>
        <v>4293497.7750000004</v>
      </c>
      <c r="AB114" s="215">
        <f>'Key financial and ops fig.s COM'!R25</f>
        <v>15290144.85</v>
      </c>
      <c r="AC114" s="182">
        <f>'Alt. scenario COM'!N25</f>
        <v>3346980.6</v>
      </c>
      <c r="AD114" s="182">
        <f>'Alt. scenario COM'!O25</f>
        <v>3667080.375</v>
      </c>
      <c r="AE114" s="182">
        <f>'Alt. scenario COM'!P25</f>
        <v>3982586.1000000006</v>
      </c>
      <c r="AF114" s="182">
        <f>'Alt. scenario COM'!Q25</f>
        <v>4293497.7750000004</v>
      </c>
      <c r="AG114" s="232">
        <f>'Alt. scenario COM'!R25</f>
        <v>15290144.85</v>
      </c>
      <c r="AH114" s="182">
        <f>'Key financial and ops fig.s COM'!S25</f>
        <v>4599815.4000000004</v>
      </c>
      <c r="AI114" s="182">
        <f>'Key financial and ops fig.s COM'!T25</f>
        <v>4901538.9750000006</v>
      </c>
      <c r="AJ114" s="182">
        <f>'Key financial and ops fig.s COM'!U25</f>
        <v>5198668.5</v>
      </c>
      <c r="AK114" s="182">
        <f>'Key financial and ops fig.s COM'!V25</f>
        <v>5491203.9749999996</v>
      </c>
      <c r="AL114" s="215">
        <f>'Key financial and ops fig.s COM'!W25</f>
        <v>20191226.850000001</v>
      </c>
      <c r="AM114" s="182">
        <f>'Alt. scenario COM'!S25</f>
        <v>4599815.4000000004</v>
      </c>
      <c r="AN114" s="182">
        <f>'Alt. scenario COM'!T25</f>
        <v>4901538.9750000006</v>
      </c>
      <c r="AO114" s="182">
        <f>'Alt. scenario COM'!U25</f>
        <v>5198668.5</v>
      </c>
      <c r="AP114" s="182">
        <f>'Alt. scenario COM'!V25</f>
        <v>5491203.9749999996</v>
      </c>
      <c r="AQ114" s="232">
        <f>'Alt. scenario COM'!W25</f>
        <v>20191226.850000001</v>
      </c>
      <c r="AR114" s="182">
        <f>'Key financial and ops fig.s COM'!X25</f>
        <v>5779145.4000000004</v>
      </c>
      <c r="AS114" s="182">
        <f>'Key financial and ops fig.s COM'!Y25</f>
        <v>6062492.7750000004</v>
      </c>
      <c r="AT114" s="182">
        <f>'Key financial and ops fig.s COM'!Z25</f>
        <v>6341246.0999999996</v>
      </c>
      <c r="AU114" s="182">
        <f>'Key financial and ops fig.s COM'!AA25</f>
        <v>6615405.375</v>
      </c>
      <c r="AV114" s="215">
        <f>'Key financial and ops fig.s COM'!AB25</f>
        <v>24798289.649999999</v>
      </c>
      <c r="AW114" s="182">
        <f>'Alt. scenario COM'!X25</f>
        <v>5779145.4000000004</v>
      </c>
      <c r="AX114" s="182">
        <f>'Alt. scenario COM'!Y25</f>
        <v>6062492.7750000004</v>
      </c>
      <c r="AY114" s="182">
        <f>'Alt. scenario COM'!Z25</f>
        <v>6341246.0999999996</v>
      </c>
      <c r="AZ114" s="182">
        <f>'Alt. scenario COM'!AA25</f>
        <v>6615405.375</v>
      </c>
      <c r="BA114" s="232">
        <f>'Alt. scenario COM'!AB25</f>
        <v>24798289.649999999</v>
      </c>
      <c r="BB114" s="182">
        <f>'Key financial and ops fig.s COM'!AC25</f>
        <v>6302922</v>
      </c>
      <c r="BC114" s="182">
        <f>'Key financial and ops fig.s COM'!AD25</f>
        <v>6256981.5</v>
      </c>
      <c r="BD114" s="182">
        <f>'Key financial and ops fig.s COM'!AE25</f>
        <v>6211041</v>
      </c>
      <c r="BE114" s="182">
        <f>'Key financial and ops fig.s COM'!AF25</f>
        <v>6165100.5</v>
      </c>
      <c r="BF114" s="215">
        <f>'Key financial and ops fig.s COM'!AG25</f>
        <v>24936045</v>
      </c>
      <c r="BG114" s="182">
        <f>'Alt. scenario COM'!AC25</f>
        <v>6302922</v>
      </c>
      <c r="BH114" s="182">
        <f>'Alt. scenario COM'!AD25</f>
        <v>6256981.5</v>
      </c>
      <c r="BI114" s="182">
        <f>'Alt. scenario COM'!AE25</f>
        <v>6211041</v>
      </c>
      <c r="BJ114" s="182">
        <f>'Alt. scenario COM'!AF25</f>
        <v>6165100.5</v>
      </c>
      <c r="BK114" s="232">
        <f>'Alt. scenario COM'!AG25</f>
        <v>24936045</v>
      </c>
      <c r="BL114" s="182">
        <f>'Key financial and ops fig.s COM'!AH25</f>
        <v>6119160</v>
      </c>
      <c r="BM114" s="182">
        <f>'Key financial and ops fig.s COM'!AI25</f>
        <v>6073219.5</v>
      </c>
      <c r="BN114" s="182">
        <f>'Key financial and ops fig.s COM'!AJ25</f>
        <v>6027279</v>
      </c>
      <c r="BO114" s="182">
        <f>'Key financial and ops fig.s COM'!AK25</f>
        <v>5981338.5</v>
      </c>
      <c r="BP114" s="215">
        <f>'Key financial and ops fig.s COM'!AL25</f>
        <v>24200997</v>
      </c>
      <c r="BQ114" s="182">
        <f>'Alt. scenario COM'!AH25</f>
        <v>6119160</v>
      </c>
      <c r="BR114" s="182">
        <f>'Alt. scenario COM'!AI25</f>
        <v>6073219.5</v>
      </c>
      <c r="BS114" s="182">
        <f>'Alt. scenario COM'!AJ25</f>
        <v>6027279</v>
      </c>
      <c r="BT114" s="182">
        <f>'Alt. scenario COM'!AK25</f>
        <v>5981338.5</v>
      </c>
      <c r="BU114" s="232">
        <f>'Alt. scenario COM'!AL25</f>
        <v>24200997</v>
      </c>
    </row>
    <row r="115" spans="1:73" ht="17.100000000000001" hidden="1" outlineLevel="2" thickBot="1">
      <c r="A115" s="31"/>
      <c r="C115" s="32" t="s">
        <v>269</v>
      </c>
      <c r="D115" s="183">
        <f>'Key financial and ops fig.s COM'!D26</f>
        <v>-75142.40625</v>
      </c>
      <c r="E115" s="183">
        <f>'Key financial and ops fig.s COM'!E26</f>
        <v>-149339.625</v>
      </c>
      <c r="F115" s="183">
        <f>'Key financial and ops fig.s COM'!F26</f>
        <v>-222591.65625</v>
      </c>
      <c r="G115" s="183">
        <f>'Key financial and ops fig.s COM'!G26</f>
        <v>-294898.5</v>
      </c>
      <c r="H115" s="213">
        <f>'Key financial and ops fig.s COM'!H26</f>
        <v>-741972.1875</v>
      </c>
      <c r="I115" s="183">
        <f>'Alt. scenario COM'!D26</f>
        <v>-75142.40625</v>
      </c>
      <c r="J115" s="183">
        <f>'Alt. scenario COM'!E26</f>
        <v>-149339.625</v>
      </c>
      <c r="K115" s="183">
        <f>'Alt. scenario COM'!F26</f>
        <v>-222591.65625</v>
      </c>
      <c r="L115" s="183">
        <f>'Alt. scenario COM'!G26</f>
        <v>-294898.5</v>
      </c>
      <c r="M115" s="230">
        <f>'Alt. scenario COM'!H26</f>
        <v>-741972.1875</v>
      </c>
      <c r="N115" s="183">
        <f>'Key financial and ops fig.s COM'!I26</f>
        <v>-366260.15625</v>
      </c>
      <c r="O115" s="183">
        <f>'Key financial and ops fig.s COM'!J26</f>
        <v>-436676.625</v>
      </c>
      <c r="P115" s="183">
        <f>'Key financial and ops fig.s COM'!K26</f>
        <v>-506147.90625</v>
      </c>
      <c r="Q115" s="183">
        <f>'Key financial and ops fig.s COM'!L26</f>
        <v>-574674</v>
      </c>
      <c r="R115" s="213">
        <f>'Key financial and ops fig.s COM'!M26</f>
        <v>-1883758.6875</v>
      </c>
      <c r="S115" s="183">
        <f>'Alt. scenario COM'!I26</f>
        <v>-366260.15625</v>
      </c>
      <c r="T115" s="183">
        <f>'Alt. scenario COM'!J26</f>
        <v>-436676.625</v>
      </c>
      <c r="U115" s="183">
        <f>'Alt. scenario COM'!K26</f>
        <v>-506147.90625</v>
      </c>
      <c r="V115" s="183">
        <f>'Alt. scenario COM'!L26</f>
        <v>-574674</v>
      </c>
      <c r="W115" s="230">
        <f>'Alt. scenario COM'!M26</f>
        <v>-1883758.6875</v>
      </c>
      <c r="X115" s="183">
        <f>'Key financial and ops fig.s COM'!N26</f>
        <v>-642254.90625</v>
      </c>
      <c r="Y115" s="183">
        <f>'Key financial and ops fig.s COM'!O26</f>
        <v>-708890.625</v>
      </c>
      <c r="Z115" s="183">
        <f>'Key financial and ops fig.s COM'!P26</f>
        <v>-774581.15625</v>
      </c>
      <c r="AA115" s="183">
        <f>'Key financial and ops fig.s COM'!Q26</f>
        <v>-839326.5</v>
      </c>
      <c r="AB115" s="213">
        <f>'Key financial and ops fig.s COM'!R26</f>
        <v>-2965053.1875</v>
      </c>
      <c r="AC115" s="183">
        <f>'Alt. scenario COM'!N26</f>
        <v>-642254.90625</v>
      </c>
      <c r="AD115" s="183">
        <f>'Alt. scenario COM'!O26</f>
        <v>-708890.625</v>
      </c>
      <c r="AE115" s="183">
        <f>'Alt. scenario COM'!P26</f>
        <v>-774581.15625</v>
      </c>
      <c r="AF115" s="183">
        <f>'Alt. scenario COM'!Q26</f>
        <v>-839326.5</v>
      </c>
      <c r="AG115" s="230">
        <f>'Alt. scenario COM'!R26</f>
        <v>-2965053.1875</v>
      </c>
      <c r="AH115" s="183">
        <f>'Key financial and ops fig.s COM'!S26</f>
        <v>-903126.65625</v>
      </c>
      <c r="AI115" s="183">
        <f>'Key financial and ops fig.s COM'!T26</f>
        <v>-965981.625</v>
      </c>
      <c r="AJ115" s="183">
        <f>'Key financial and ops fig.s COM'!U26</f>
        <v>-1027891.40625</v>
      </c>
      <c r="AK115" s="183">
        <f>'Key financial and ops fig.s COM'!V26</f>
        <v>-1088856</v>
      </c>
      <c r="AL115" s="213">
        <f>'Key financial and ops fig.s COM'!W26</f>
        <v>-3985855.6875</v>
      </c>
      <c r="AM115" s="183">
        <f>'Alt. scenario COM'!S26</f>
        <v>-903126.65625</v>
      </c>
      <c r="AN115" s="183">
        <f>'Alt. scenario COM'!T26</f>
        <v>-965981.625</v>
      </c>
      <c r="AO115" s="183">
        <f>'Alt. scenario COM'!U26</f>
        <v>-1027891.40625</v>
      </c>
      <c r="AP115" s="183">
        <f>'Alt. scenario COM'!V26</f>
        <v>-1088856</v>
      </c>
      <c r="AQ115" s="230">
        <f>'Alt. scenario COM'!W26</f>
        <v>-3985855.6875</v>
      </c>
      <c r="AR115" s="183">
        <f>'Key financial and ops fig.s COM'!X26</f>
        <v>-1148875.40625</v>
      </c>
      <c r="AS115" s="183">
        <f>'Key financial and ops fig.s COM'!Y26</f>
        <v>-1207949.625</v>
      </c>
      <c r="AT115" s="183">
        <f>'Key financial and ops fig.s COM'!Z26</f>
        <v>-1266078.65625</v>
      </c>
      <c r="AU115" s="183">
        <f>'Key financial and ops fig.s COM'!AA26</f>
        <v>-1323262.5</v>
      </c>
      <c r="AV115" s="213">
        <f>'Key financial and ops fig.s COM'!AB26</f>
        <v>-4946166.1875</v>
      </c>
      <c r="AW115" s="183">
        <f>'Alt. scenario COM'!X26</f>
        <v>-1148875.40625</v>
      </c>
      <c r="AX115" s="183">
        <f>'Alt. scenario COM'!Y26</f>
        <v>-1207949.625</v>
      </c>
      <c r="AY115" s="183">
        <f>'Alt. scenario COM'!Z26</f>
        <v>-1266078.65625</v>
      </c>
      <c r="AZ115" s="183">
        <f>'Alt. scenario COM'!AA26</f>
        <v>-1323262.5</v>
      </c>
      <c r="BA115" s="230">
        <f>'Alt. scenario COM'!AB26</f>
        <v>-4946166.1875</v>
      </c>
      <c r="BB115" s="183">
        <f>'Key financial and ops fig.s COM'!AC26</f>
        <v>-1313810.625</v>
      </c>
      <c r="BC115" s="183">
        <f>'Key financial and ops fig.s COM'!AD26</f>
        <v>-1304358.75</v>
      </c>
      <c r="BD115" s="183">
        <f>'Key financial and ops fig.s COM'!AE26</f>
        <v>-1294906.875</v>
      </c>
      <c r="BE115" s="183">
        <f>'Key financial and ops fig.s COM'!AF26</f>
        <v>-1285455</v>
      </c>
      <c r="BF115" s="213">
        <f>'Key financial and ops fig.s COM'!AG26</f>
        <v>-5198531.25</v>
      </c>
      <c r="BG115" s="183">
        <f>'Alt. scenario COM'!AC26</f>
        <v>-1313810.625</v>
      </c>
      <c r="BH115" s="183">
        <f>'Alt. scenario COM'!AD26</f>
        <v>-1304358.75</v>
      </c>
      <c r="BI115" s="183">
        <f>'Alt. scenario COM'!AE26</f>
        <v>-1294906.875</v>
      </c>
      <c r="BJ115" s="183">
        <f>'Alt. scenario COM'!AF26</f>
        <v>-1285455</v>
      </c>
      <c r="BK115" s="230">
        <f>'Alt. scenario COM'!AG26</f>
        <v>-5198531.25</v>
      </c>
      <c r="BL115" s="183">
        <f>'Key financial and ops fig.s COM'!AH26</f>
        <v>-1276003.125</v>
      </c>
      <c r="BM115" s="183">
        <f>'Key financial and ops fig.s COM'!AI26</f>
        <v>-1266551.25</v>
      </c>
      <c r="BN115" s="183">
        <f>'Key financial and ops fig.s COM'!AJ26</f>
        <v>-1257099.375</v>
      </c>
      <c r="BO115" s="183">
        <f>'Key financial and ops fig.s COM'!AK26</f>
        <v>-1247647.5</v>
      </c>
      <c r="BP115" s="213">
        <f>'Key financial and ops fig.s COM'!AL26</f>
        <v>-5047301.25</v>
      </c>
      <c r="BQ115" s="183">
        <f>'Alt. scenario COM'!AH26</f>
        <v>-1276003.125</v>
      </c>
      <c r="BR115" s="183">
        <f>'Alt. scenario COM'!AI26</f>
        <v>-1266551.25</v>
      </c>
      <c r="BS115" s="183">
        <f>'Alt. scenario COM'!AJ26</f>
        <v>-1257099.375</v>
      </c>
      <c r="BT115" s="183">
        <f>'Alt. scenario COM'!AK26</f>
        <v>-1247647.5</v>
      </c>
      <c r="BU115" s="230">
        <f>'Alt. scenario COM'!AL26</f>
        <v>-5047301.25</v>
      </c>
    </row>
    <row r="116" spans="1:73" ht="17.100000000000001" hidden="1" outlineLevel="1" thickBot="1">
      <c r="A116" s="31"/>
      <c r="B116" s="34" t="s">
        <v>269</v>
      </c>
      <c r="C116" s="34"/>
      <c r="D116" s="184">
        <f>'Key financial and ops fig.s COM'!D27</f>
        <v>-75142.40625</v>
      </c>
      <c r="E116" s="184">
        <f>'Key financial and ops fig.s COM'!E27</f>
        <v>-149339.625</v>
      </c>
      <c r="F116" s="184">
        <f>'Key financial and ops fig.s COM'!F27</f>
        <v>-222591.65625</v>
      </c>
      <c r="G116" s="184">
        <f>'Key financial and ops fig.s COM'!G27</f>
        <v>-294898.5</v>
      </c>
      <c r="H116" s="214">
        <f>'Key financial and ops fig.s COM'!H27</f>
        <v>-741972.1875</v>
      </c>
      <c r="I116" s="184">
        <f>'Alt. scenario COM'!D27</f>
        <v>-75142.40625</v>
      </c>
      <c r="J116" s="184">
        <f>'Alt. scenario COM'!E27</f>
        <v>-149339.625</v>
      </c>
      <c r="K116" s="184">
        <f>'Alt. scenario COM'!F27</f>
        <v>-222591.65625</v>
      </c>
      <c r="L116" s="184">
        <f>'Alt. scenario COM'!G27</f>
        <v>-294898.5</v>
      </c>
      <c r="M116" s="231">
        <f>'Alt. scenario COM'!H27</f>
        <v>-741972.1875</v>
      </c>
      <c r="N116" s="184">
        <f>'Key financial and ops fig.s COM'!I27</f>
        <v>-366260.15625</v>
      </c>
      <c r="O116" s="184">
        <f>'Key financial and ops fig.s COM'!J27</f>
        <v>-436676.625</v>
      </c>
      <c r="P116" s="184">
        <f>'Key financial and ops fig.s COM'!K27</f>
        <v>-506147.90625</v>
      </c>
      <c r="Q116" s="184">
        <f>'Key financial and ops fig.s COM'!L27</f>
        <v>-574674</v>
      </c>
      <c r="R116" s="214">
        <f>'Key financial and ops fig.s COM'!M27</f>
        <v>-1883758.6875</v>
      </c>
      <c r="S116" s="184">
        <f>'Alt. scenario COM'!I27</f>
        <v>-366260.15625</v>
      </c>
      <c r="T116" s="184">
        <f>'Alt. scenario COM'!J27</f>
        <v>-436676.625</v>
      </c>
      <c r="U116" s="184">
        <f>'Alt. scenario COM'!K27</f>
        <v>-506147.90625</v>
      </c>
      <c r="V116" s="184">
        <f>'Alt. scenario COM'!L27</f>
        <v>-574674</v>
      </c>
      <c r="W116" s="231">
        <f>'Alt. scenario COM'!M27</f>
        <v>-1883758.6875</v>
      </c>
      <c r="X116" s="184">
        <f>'Key financial and ops fig.s COM'!N27</f>
        <v>-642254.90625</v>
      </c>
      <c r="Y116" s="184">
        <f>'Key financial and ops fig.s COM'!O27</f>
        <v>-708890.625</v>
      </c>
      <c r="Z116" s="184">
        <f>'Key financial and ops fig.s COM'!P27</f>
        <v>-774581.15625</v>
      </c>
      <c r="AA116" s="184">
        <f>'Key financial and ops fig.s COM'!Q27</f>
        <v>-839326.5</v>
      </c>
      <c r="AB116" s="214">
        <f>'Key financial and ops fig.s COM'!R27</f>
        <v>-2965053.1875</v>
      </c>
      <c r="AC116" s="184">
        <f>'Alt. scenario COM'!N27</f>
        <v>-642254.90625</v>
      </c>
      <c r="AD116" s="184">
        <f>'Alt. scenario COM'!O27</f>
        <v>-708890.625</v>
      </c>
      <c r="AE116" s="184">
        <f>'Alt. scenario COM'!P27</f>
        <v>-774581.15625</v>
      </c>
      <c r="AF116" s="184">
        <f>'Alt. scenario COM'!Q27</f>
        <v>-839326.5</v>
      </c>
      <c r="AG116" s="231">
        <f>'Alt. scenario COM'!R27</f>
        <v>-2965053.1875</v>
      </c>
      <c r="AH116" s="184">
        <f>'Key financial and ops fig.s COM'!S27</f>
        <v>-903126.65625</v>
      </c>
      <c r="AI116" s="184">
        <f>'Key financial and ops fig.s COM'!T27</f>
        <v>-965981.625</v>
      </c>
      <c r="AJ116" s="184">
        <f>'Key financial and ops fig.s COM'!U27</f>
        <v>-1027891.40625</v>
      </c>
      <c r="AK116" s="184">
        <f>'Key financial and ops fig.s COM'!V27</f>
        <v>-1088856</v>
      </c>
      <c r="AL116" s="214">
        <f>'Key financial and ops fig.s COM'!W27</f>
        <v>-3985855.6875</v>
      </c>
      <c r="AM116" s="184">
        <f>'Alt. scenario COM'!S27</f>
        <v>-903126.65625</v>
      </c>
      <c r="AN116" s="184">
        <f>'Alt. scenario COM'!T27</f>
        <v>-965981.625</v>
      </c>
      <c r="AO116" s="184">
        <f>'Alt. scenario COM'!U27</f>
        <v>-1027891.40625</v>
      </c>
      <c r="AP116" s="184">
        <f>'Alt. scenario COM'!V27</f>
        <v>-1088856</v>
      </c>
      <c r="AQ116" s="231">
        <f>'Alt. scenario COM'!W27</f>
        <v>-3985855.6875</v>
      </c>
      <c r="AR116" s="184">
        <f>'Key financial and ops fig.s COM'!X27</f>
        <v>-1148875.40625</v>
      </c>
      <c r="AS116" s="184">
        <f>'Key financial and ops fig.s COM'!Y27</f>
        <v>-1207949.625</v>
      </c>
      <c r="AT116" s="184">
        <f>'Key financial and ops fig.s COM'!Z27</f>
        <v>-1266078.65625</v>
      </c>
      <c r="AU116" s="184">
        <f>'Key financial and ops fig.s COM'!AA27</f>
        <v>-1323262.5</v>
      </c>
      <c r="AV116" s="214">
        <f>'Key financial and ops fig.s COM'!AB27</f>
        <v>-4946166.1875</v>
      </c>
      <c r="AW116" s="184">
        <f>'Alt. scenario COM'!X27</f>
        <v>-1148875.40625</v>
      </c>
      <c r="AX116" s="184">
        <f>'Alt. scenario COM'!Y27</f>
        <v>-1207949.625</v>
      </c>
      <c r="AY116" s="184">
        <f>'Alt. scenario COM'!Z27</f>
        <v>-1266078.65625</v>
      </c>
      <c r="AZ116" s="184">
        <f>'Alt. scenario COM'!AA27</f>
        <v>-1323262.5</v>
      </c>
      <c r="BA116" s="231">
        <f>'Alt. scenario COM'!AB27</f>
        <v>-4946166.1875</v>
      </c>
      <c r="BB116" s="184">
        <f>'Key financial and ops fig.s COM'!AC27</f>
        <v>-1313810.625</v>
      </c>
      <c r="BC116" s="184">
        <f>'Key financial and ops fig.s COM'!AD27</f>
        <v>-1304358.75</v>
      </c>
      <c r="BD116" s="184">
        <f>'Key financial and ops fig.s COM'!AE27</f>
        <v>-1294906.875</v>
      </c>
      <c r="BE116" s="184">
        <f>'Key financial and ops fig.s COM'!AF27</f>
        <v>-1285455</v>
      </c>
      <c r="BF116" s="214">
        <f>'Key financial and ops fig.s COM'!AG27</f>
        <v>-5198531.25</v>
      </c>
      <c r="BG116" s="184">
        <f>'Alt. scenario COM'!AC27</f>
        <v>-1313810.625</v>
      </c>
      <c r="BH116" s="184">
        <f>'Alt. scenario COM'!AD27</f>
        <v>-1304358.75</v>
      </c>
      <c r="BI116" s="184">
        <f>'Alt. scenario COM'!AE27</f>
        <v>-1294906.875</v>
      </c>
      <c r="BJ116" s="184">
        <f>'Alt. scenario COM'!AF27</f>
        <v>-1285455</v>
      </c>
      <c r="BK116" s="231">
        <f>'Alt. scenario COM'!AG27</f>
        <v>-5198531.25</v>
      </c>
      <c r="BL116" s="184">
        <f>'Key financial and ops fig.s COM'!AH27</f>
        <v>-1276003.125</v>
      </c>
      <c r="BM116" s="184">
        <f>'Key financial and ops fig.s COM'!AI27</f>
        <v>-1266551.25</v>
      </c>
      <c r="BN116" s="184">
        <f>'Key financial and ops fig.s COM'!AJ27</f>
        <v>-1257099.375</v>
      </c>
      <c r="BO116" s="184">
        <f>'Key financial and ops fig.s COM'!AK27</f>
        <v>-1247647.5</v>
      </c>
      <c r="BP116" s="214">
        <f>'Key financial and ops fig.s COM'!AL27</f>
        <v>-5047301.25</v>
      </c>
      <c r="BQ116" s="184">
        <f>'Alt. scenario COM'!AH27</f>
        <v>-1276003.125</v>
      </c>
      <c r="BR116" s="184">
        <f>'Alt. scenario COM'!AI27</f>
        <v>-1266551.25</v>
      </c>
      <c r="BS116" s="184">
        <f>'Alt. scenario COM'!AJ27</f>
        <v>-1257099.375</v>
      </c>
      <c r="BT116" s="184">
        <f>'Alt. scenario COM'!AK27</f>
        <v>-1247647.5</v>
      </c>
      <c r="BU116" s="231">
        <f>'Alt. scenario COM'!AL27</f>
        <v>-5047301.25</v>
      </c>
    </row>
    <row r="117" spans="1:73" ht="17.100000000000001" collapsed="1" thickBot="1">
      <c r="A117" s="36" t="s">
        <v>270</v>
      </c>
      <c r="B117" s="37"/>
      <c r="C117" s="38"/>
      <c r="D117" s="51">
        <f>'Key financial and ops fig.s COM'!D28</f>
        <v>695939.00624999998</v>
      </c>
      <c r="E117" s="51">
        <f>'Key financial and ops fig.s COM'!E28</f>
        <v>1126988.3999999999</v>
      </c>
      <c r="F117" s="51">
        <f>'Key financial and ops fig.s COM'!F28</f>
        <v>1552498.5562500001</v>
      </c>
      <c r="G117" s="51">
        <f>'Key financial and ops fig.s COM'!G28</f>
        <v>1972469.4750000001</v>
      </c>
      <c r="H117" s="215">
        <f>'Key financial and ops fig.s COM'!H28</f>
        <v>5347895.4375</v>
      </c>
      <c r="I117" s="51">
        <f>'Alt. scenario COM'!D28</f>
        <v>695939.00624999998</v>
      </c>
      <c r="J117" s="51">
        <f>'Alt. scenario COM'!E28</f>
        <v>1126988.3999999999</v>
      </c>
      <c r="K117" s="51">
        <f>'Alt. scenario COM'!F28</f>
        <v>1552498.5562500001</v>
      </c>
      <c r="L117" s="51">
        <f>'Alt. scenario COM'!G28</f>
        <v>1972469.4750000001</v>
      </c>
      <c r="M117" s="232">
        <f>'Alt. scenario COM'!H28</f>
        <v>5347895.4375</v>
      </c>
      <c r="N117" s="51">
        <f>'Key financial and ops fig.s COM'!I28</f>
        <v>2386901.15625</v>
      </c>
      <c r="O117" s="51">
        <f>'Key financial and ops fig.s COM'!J28</f>
        <v>2795793.6000000006</v>
      </c>
      <c r="P117" s="51">
        <f>'Key financial and ops fig.s COM'!K28</f>
        <v>3199146.8062500004</v>
      </c>
      <c r="Q117" s="51">
        <f>'Key financial and ops fig.s COM'!L28</f>
        <v>3596960.7749999999</v>
      </c>
      <c r="R117" s="215">
        <f>'Key financial and ops fig.s COM'!M28</f>
        <v>11978802.3375</v>
      </c>
      <c r="S117" s="51">
        <f>'Alt. scenario COM'!I28</f>
        <v>2386901.15625</v>
      </c>
      <c r="T117" s="51">
        <f>'Alt. scenario COM'!J28</f>
        <v>2795793.6000000006</v>
      </c>
      <c r="U117" s="51">
        <f>'Alt. scenario COM'!K28</f>
        <v>3199146.8062500004</v>
      </c>
      <c r="V117" s="51">
        <f>'Alt. scenario COM'!L28</f>
        <v>3596960.7749999999</v>
      </c>
      <c r="W117" s="232">
        <f>'Alt. scenario COM'!M28</f>
        <v>11978802.3375</v>
      </c>
      <c r="X117" s="51">
        <f>'Key financial and ops fig.s COM'!N28</f>
        <v>3989235.5062500001</v>
      </c>
      <c r="Y117" s="51">
        <f>'Key financial and ops fig.s COM'!O28</f>
        <v>4375971</v>
      </c>
      <c r="Z117" s="51">
        <f>'Key financial and ops fig.s COM'!P28</f>
        <v>4757167.2562500006</v>
      </c>
      <c r="AA117" s="51">
        <f>'Key financial and ops fig.s COM'!Q28</f>
        <v>5132824.2750000004</v>
      </c>
      <c r="AB117" s="215">
        <f>'Key financial and ops fig.s COM'!R28</f>
        <v>18255198.037500001</v>
      </c>
      <c r="AC117" s="51">
        <f>'Alt. scenario COM'!N28</f>
        <v>3989235.5062500001</v>
      </c>
      <c r="AD117" s="51">
        <f>'Alt. scenario COM'!O28</f>
        <v>4375971</v>
      </c>
      <c r="AE117" s="51">
        <f>'Alt. scenario COM'!P28</f>
        <v>4757167.2562500006</v>
      </c>
      <c r="AF117" s="51">
        <f>'Alt. scenario COM'!Q28</f>
        <v>5132824.2750000004</v>
      </c>
      <c r="AG117" s="232">
        <f>'Alt. scenario COM'!R28</f>
        <v>18255198.037500001</v>
      </c>
      <c r="AH117" s="51">
        <f>'Key financial and ops fig.s COM'!S28</f>
        <v>5502942.0562500004</v>
      </c>
      <c r="AI117" s="51">
        <f>'Key financial and ops fig.s COM'!T28</f>
        <v>5867520.6000000006</v>
      </c>
      <c r="AJ117" s="51">
        <f>'Key financial and ops fig.s COM'!U28</f>
        <v>6226559.90625</v>
      </c>
      <c r="AK117" s="51">
        <f>'Key financial and ops fig.s COM'!V28</f>
        <v>6580059.9749999996</v>
      </c>
      <c r="AL117" s="215">
        <f>'Key financial and ops fig.s COM'!W28</f>
        <v>24177082.537500001</v>
      </c>
      <c r="AM117" s="51">
        <f>'Alt. scenario COM'!S28</f>
        <v>5502942.0562500004</v>
      </c>
      <c r="AN117" s="51">
        <f>'Alt. scenario COM'!T28</f>
        <v>5867520.6000000006</v>
      </c>
      <c r="AO117" s="51">
        <f>'Alt. scenario COM'!U28</f>
        <v>6226559.90625</v>
      </c>
      <c r="AP117" s="51">
        <f>'Alt. scenario COM'!V28</f>
        <v>6580059.9749999996</v>
      </c>
      <c r="AQ117" s="232">
        <f>'Alt. scenario COM'!W28</f>
        <v>24177082.537500001</v>
      </c>
      <c r="AR117" s="51">
        <f>'Key financial and ops fig.s COM'!X28</f>
        <v>6928020.8062500004</v>
      </c>
      <c r="AS117" s="51">
        <f>'Key financial and ops fig.s COM'!Y28</f>
        <v>7270442.4000000004</v>
      </c>
      <c r="AT117" s="51">
        <f>'Key financial and ops fig.s COM'!Z28</f>
        <v>7607324.7562499996</v>
      </c>
      <c r="AU117" s="51">
        <f>'Key financial and ops fig.s COM'!AA28</f>
        <v>7938667.875</v>
      </c>
      <c r="AV117" s="215">
        <f>'Key financial and ops fig.s COM'!AB28</f>
        <v>29744455.837499999</v>
      </c>
      <c r="AW117" s="51">
        <f>'Alt. scenario COM'!X28</f>
        <v>6928020.8062500004</v>
      </c>
      <c r="AX117" s="51">
        <f>'Alt. scenario COM'!Y28</f>
        <v>7270442.4000000004</v>
      </c>
      <c r="AY117" s="51">
        <f>'Alt. scenario COM'!Z28</f>
        <v>7607324.7562499996</v>
      </c>
      <c r="AZ117" s="51">
        <f>'Alt. scenario COM'!AA28</f>
        <v>7938667.875</v>
      </c>
      <c r="BA117" s="232">
        <f>'Alt. scenario COM'!AB28</f>
        <v>29744455.837499999</v>
      </c>
      <c r="BB117" s="51">
        <f>'Key financial and ops fig.s COM'!AC28</f>
        <v>7616732.625</v>
      </c>
      <c r="BC117" s="51">
        <f>'Key financial and ops fig.s COM'!AD28</f>
        <v>7561340.25</v>
      </c>
      <c r="BD117" s="51">
        <f>'Key financial and ops fig.s COM'!AE28</f>
        <v>7505947.875</v>
      </c>
      <c r="BE117" s="51">
        <f>'Key financial and ops fig.s COM'!AF28</f>
        <v>7450555.5</v>
      </c>
      <c r="BF117" s="215">
        <f>'Key financial and ops fig.s COM'!AG28</f>
        <v>30134576.25</v>
      </c>
      <c r="BG117" s="51">
        <f>'Alt. scenario COM'!AC28</f>
        <v>7616732.625</v>
      </c>
      <c r="BH117" s="51">
        <f>'Alt. scenario COM'!AD28</f>
        <v>7561340.25</v>
      </c>
      <c r="BI117" s="51">
        <f>'Alt. scenario COM'!AE28</f>
        <v>7505947.875</v>
      </c>
      <c r="BJ117" s="51">
        <f>'Alt. scenario COM'!AF28</f>
        <v>7450555.5</v>
      </c>
      <c r="BK117" s="232">
        <f>'Alt. scenario COM'!AG28</f>
        <v>30134576.25</v>
      </c>
      <c r="BL117" s="51">
        <f>'Key financial and ops fig.s COM'!AH28</f>
        <v>7395163.125</v>
      </c>
      <c r="BM117" s="51">
        <f>'Key financial and ops fig.s COM'!AI28</f>
        <v>7339770.75</v>
      </c>
      <c r="BN117" s="51">
        <f>'Key financial and ops fig.s COM'!AJ28</f>
        <v>7284378.375</v>
      </c>
      <c r="BO117" s="51">
        <f>'Key financial and ops fig.s COM'!AK28</f>
        <v>7228986</v>
      </c>
      <c r="BP117" s="215">
        <f>'Key financial and ops fig.s COM'!AL28</f>
        <v>29248298.25</v>
      </c>
      <c r="BQ117" s="51">
        <f>'Alt. scenario COM'!AH28</f>
        <v>7395163.125</v>
      </c>
      <c r="BR117" s="51">
        <f>'Alt. scenario COM'!AI28</f>
        <v>7339770.75</v>
      </c>
      <c r="BS117" s="51">
        <f>'Alt. scenario COM'!AJ28</f>
        <v>7284378.375</v>
      </c>
      <c r="BT117" s="51">
        <f>'Alt. scenario COM'!AK28</f>
        <v>7228986</v>
      </c>
      <c r="BU117" s="232">
        <f>'Alt. scenario COM'!AL28</f>
        <v>29248298.25</v>
      </c>
    </row>
    <row r="118" spans="1:73" ht="17.100000000000001" hidden="1" outlineLevel="2" thickBot="1">
      <c r="A118" s="31"/>
      <c r="C118" s="32" t="s">
        <v>271</v>
      </c>
      <c r="D118" s="183">
        <f>'Key financial and ops fig.s COM'!D29</f>
        <v>-27000</v>
      </c>
      <c r="E118" s="183">
        <f>'Key financial and ops fig.s COM'!E29</f>
        <v>-54000</v>
      </c>
      <c r="F118" s="183">
        <f>'Key financial and ops fig.s COM'!F29</f>
        <v>-81000</v>
      </c>
      <c r="G118" s="183">
        <f>'Key financial and ops fig.s COM'!G29</f>
        <v>-103500</v>
      </c>
      <c r="H118" s="213">
        <f>'Key financial and ops fig.s COM'!H29</f>
        <v>-265500</v>
      </c>
      <c r="I118" s="183">
        <f>'Alt. scenario COM'!D29</f>
        <v>-27000</v>
      </c>
      <c r="J118" s="183">
        <f>'Alt. scenario COM'!E29</f>
        <v>-54000</v>
      </c>
      <c r="K118" s="183">
        <f>'Alt. scenario COM'!F29</f>
        <v>-81000</v>
      </c>
      <c r="L118" s="183">
        <f>'Alt. scenario COM'!G29</f>
        <v>-103500</v>
      </c>
      <c r="M118" s="230">
        <f>'Alt. scenario COM'!H29</f>
        <v>-265500</v>
      </c>
      <c r="N118" s="183">
        <f>'Key financial and ops fig.s COM'!I29</f>
        <v>-126000</v>
      </c>
      <c r="O118" s="183">
        <f>'Key financial and ops fig.s COM'!J29</f>
        <v>-153000</v>
      </c>
      <c r="P118" s="183">
        <f>'Key financial and ops fig.s COM'!K29</f>
        <v>-175500</v>
      </c>
      <c r="Q118" s="183">
        <f>'Key financial and ops fig.s COM'!L29</f>
        <v>-198000</v>
      </c>
      <c r="R118" s="213">
        <f>'Key financial and ops fig.s COM'!M29</f>
        <v>-652500</v>
      </c>
      <c r="S118" s="183">
        <f>'Alt. scenario COM'!I29</f>
        <v>-126000</v>
      </c>
      <c r="T118" s="183">
        <f>'Alt. scenario COM'!J29</f>
        <v>-153000</v>
      </c>
      <c r="U118" s="183">
        <f>'Alt. scenario COM'!K29</f>
        <v>-175500</v>
      </c>
      <c r="V118" s="183">
        <f>'Alt. scenario COM'!L29</f>
        <v>-198000</v>
      </c>
      <c r="W118" s="230">
        <f>'Alt. scenario COM'!M29</f>
        <v>-652500</v>
      </c>
      <c r="X118" s="183">
        <f>'Key financial and ops fig.s COM'!N29</f>
        <v>-225000</v>
      </c>
      <c r="Y118" s="183">
        <f>'Key financial and ops fig.s COM'!O29</f>
        <v>-247500</v>
      </c>
      <c r="Z118" s="183">
        <f>'Key financial and ops fig.s COM'!P29</f>
        <v>-270000</v>
      </c>
      <c r="AA118" s="183">
        <f>'Key financial and ops fig.s COM'!Q29</f>
        <v>-292500</v>
      </c>
      <c r="AB118" s="213">
        <f>'Key financial and ops fig.s COM'!R29</f>
        <v>-1035000</v>
      </c>
      <c r="AC118" s="183">
        <f>'Alt. scenario COM'!N29</f>
        <v>-225000</v>
      </c>
      <c r="AD118" s="183">
        <f>'Alt. scenario COM'!O29</f>
        <v>-247500</v>
      </c>
      <c r="AE118" s="183">
        <f>'Alt. scenario COM'!P29</f>
        <v>-270000</v>
      </c>
      <c r="AF118" s="183">
        <f>'Alt. scenario COM'!Q29</f>
        <v>-292500</v>
      </c>
      <c r="AG118" s="230">
        <f>'Alt. scenario COM'!R29</f>
        <v>-1035000</v>
      </c>
      <c r="AH118" s="183">
        <f>'Key financial and ops fig.s COM'!S29</f>
        <v>-310500</v>
      </c>
      <c r="AI118" s="183">
        <f>'Key financial and ops fig.s COM'!T29</f>
        <v>-333000</v>
      </c>
      <c r="AJ118" s="183">
        <f>'Key financial and ops fig.s COM'!U29</f>
        <v>-355500</v>
      </c>
      <c r="AK118" s="183">
        <f>'Key financial and ops fig.s COM'!V29</f>
        <v>-378000</v>
      </c>
      <c r="AL118" s="213">
        <f>'Key financial and ops fig.s COM'!W29</f>
        <v>-1377000</v>
      </c>
      <c r="AM118" s="183">
        <f>'Alt. scenario COM'!S29</f>
        <v>-310500</v>
      </c>
      <c r="AN118" s="183">
        <f>'Alt. scenario COM'!T29</f>
        <v>-333000</v>
      </c>
      <c r="AO118" s="183">
        <f>'Alt. scenario COM'!U29</f>
        <v>-355500</v>
      </c>
      <c r="AP118" s="183">
        <f>'Alt. scenario COM'!V29</f>
        <v>-378000</v>
      </c>
      <c r="AQ118" s="230">
        <f>'Alt. scenario COM'!W29</f>
        <v>-1377000</v>
      </c>
      <c r="AR118" s="183">
        <f>'Key financial and ops fig.s COM'!X29</f>
        <v>-396000</v>
      </c>
      <c r="AS118" s="183">
        <f>'Key financial and ops fig.s COM'!Y29</f>
        <v>-418500</v>
      </c>
      <c r="AT118" s="183">
        <f>'Key financial and ops fig.s COM'!Z29</f>
        <v>-436500</v>
      </c>
      <c r="AU118" s="183">
        <f>'Key financial and ops fig.s COM'!AA29</f>
        <v>-459000</v>
      </c>
      <c r="AV118" s="213">
        <f>'Key financial and ops fig.s COM'!AB29</f>
        <v>-1710000</v>
      </c>
      <c r="AW118" s="183">
        <f>'Alt. scenario COM'!X29</f>
        <v>-396000</v>
      </c>
      <c r="AX118" s="183">
        <f>'Alt. scenario COM'!Y29</f>
        <v>-418500</v>
      </c>
      <c r="AY118" s="183">
        <f>'Alt. scenario COM'!Z29</f>
        <v>-436500</v>
      </c>
      <c r="AZ118" s="183">
        <f>'Alt. scenario COM'!AA29</f>
        <v>-459000</v>
      </c>
      <c r="BA118" s="230">
        <f>'Alt. scenario COM'!AB29</f>
        <v>-1710000</v>
      </c>
      <c r="BB118" s="183">
        <f>'Key financial and ops fig.s COM'!AC29</f>
        <v>-454500</v>
      </c>
      <c r="BC118" s="183">
        <f>'Key financial and ops fig.s COM'!AD29</f>
        <v>-450000</v>
      </c>
      <c r="BD118" s="183">
        <f>'Key financial and ops fig.s COM'!AE29</f>
        <v>-445500</v>
      </c>
      <c r="BE118" s="183">
        <f>'Key financial and ops fig.s COM'!AF29</f>
        <v>-445500</v>
      </c>
      <c r="BF118" s="213">
        <f>'Key financial and ops fig.s COM'!AG29</f>
        <v>-1795500</v>
      </c>
      <c r="BG118" s="183">
        <f>'Alt. scenario COM'!AC29</f>
        <v>-454500</v>
      </c>
      <c r="BH118" s="183">
        <f>'Alt. scenario COM'!AD29</f>
        <v>-450000</v>
      </c>
      <c r="BI118" s="183">
        <f>'Alt. scenario COM'!AE29</f>
        <v>-445500</v>
      </c>
      <c r="BJ118" s="183">
        <f>'Alt. scenario COM'!AF29</f>
        <v>-445500</v>
      </c>
      <c r="BK118" s="230">
        <f>'Alt. scenario COM'!AG29</f>
        <v>-1795500</v>
      </c>
      <c r="BL118" s="105">
        <f>'Key financial and ops fig.s COM'!AH29</f>
        <v>-441000</v>
      </c>
      <c r="BM118" s="106">
        <f>'Key financial and ops fig.s COM'!AI29</f>
        <v>-436500</v>
      </c>
      <c r="BN118" s="106">
        <f>'Key financial and ops fig.s COM'!AJ29</f>
        <v>-436500</v>
      </c>
      <c r="BO118" s="107">
        <f>'Key financial and ops fig.s COM'!AK29</f>
        <v>-432000</v>
      </c>
      <c r="BP118" s="213">
        <f>'Key financial and ops fig.s COM'!AL29</f>
        <v>-1746000</v>
      </c>
      <c r="BQ118" s="183">
        <f>'Alt. scenario COM'!AH29</f>
        <v>-441000</v>
      </c>
      <c r="BR118" s="183">
        <f>'Alt. scenario COM'!AI29</f>
        <v>-436500</v>
      </c>
      <c r="BS118" s="183">
        <f>'Alt. scenario COM'!AJ29</f>
        <v>-436500</v>
      </c>
      <c r="BT118" s="183">
        <f>'Alt. scenario COM'!AK29</f>
        <v>-432000</v>
      </c>
      <c r="BU118" s="230">
        <f>'Alt. scenario COM'!AL29</f>
        <v>-1746000</v>
      </c>
    </row>
    <row r="119" spans="1:73" ht="17.100000000000001" hidden="1" outlineLevel="2" thickBot="1">
      <c r="A119" s="31"/>
      <c r="C119" s="32" t="s">
        <v>272</v>
      </c>
      <c r="D119" s="185">
        <f>'Key financial and ops fig.s COM'!D30</f>
        <v>-18000</v>
      </c>
      <c r="E119" s="185">
        <f>'Key financial and ops fig.s COM'!E30</f>
        <v>-30000</v>
      </c>
      <c r="F119" s="185">
        <f>'Key financial and ops fig.s COM'!F30</f>
        <v>-42000</v>
      </c>
      <c r="G119" s="185">
        <f>'Key financial and ops fig.s COM'!G30</f>
        <v>-60000</v>
      </c>
      <c r="H119" s="213">
        <f>'Key financial and ops fig.s COM'!H30</f>
        <v>-150000</v>
      </c>
      <c r="I119" s="185">
        <f>'Alt. scenario COM'!D30</f>
        <v>-18000</v>
      </c>
      <c r="J119" s="185">
        <f>'Alt. scenario COM'!E30</f>
        <v>-30000</v>
      </c>
      <c r="K119" s="185">
        <f>'Alt. scenario COM'!F30</f>
        <v>-42000</v>
      </c>
      <c r="L119" s="185">
        <f>'Alt. scenario COM'!G30</f>
        <v>-60000</v>
      </c>
      <c r="M119" s="230">
        <f>'Alt. scenario COM'!H30</f>
        <v>-150000</v>
      </c>
      <c r="N119" s="185">
        <f>'Key financial and ops fig.s COM'!I30</f>
        <v>-72000</v>
      </c>
      <c r="O119" s="185">
        <f>'Key financial and ops fig.s COM'!J30</f>
        <v>-84000</v>
      </c>
      <c r="P119" s="185">
        <f>'Key financial and ops fig.s COM'!K30</f>
        <v>-96000</v>
      </c>
      <c r="Q119" s="185">
        <f>'Key financial and ops fig.s COM'!L30</f>
        <v>-108000</v>
      </c>
      <c r="R119" s="213">
        <f>'Key financial and ops fig.s COM'!M30</f>
        <v>-360000</v>
      </c>
      <c r="S119" s="185">
        <f>'Alt. scenario COM'!I30</f>
        <v>-72000</v>
      </c>
      <c r="T119" s="185">
        <f>'Alt. scenario COM'!J30</f>
        <v>-84000</v>
      </c>
      <c r="U119" s="185">
        <f>'Alt. scenario COM'!K30</f>
        <v>-96000</v>
      </c>
      <c r="V119" s="185">
        <f>'Alt. scenario COM'!L30</f>
        <v>-108000</v>
      </c>
      <c r="W119" s="230">
        <f>'Alt. scenario COM'!M30</f>
        <v>-360000</v>
      </c>
      <c r="X119" s="185">
        <f>'Key financial and ops fig.s COM'!N30</f>
        <v>-120000</v>
      </c>
      <c r="Y119" s="185">
        <f>'Key financial and ops fig.s COM'!O30</f>
        <v>-132000</v>
      </c>
      <c r="Z119" s="185">
        <f>'Key financial and ops fig.s COM'!P30</f>
        <v>-144000</v>
      </c>
      <c r="AA119" s="185">
        <f>'Key financial and ops fig.s COM'!Q30</f>
        <v>-156000</v>
      </c>
      <c r="AB119" s="213">
        <f>'Key financial and ops fig.s COM'!R30</f>
        <v>-552000</v>
      </c>
      <c r="AC119" s="185">
        <f>'Alt. scenario COM'!N30</f>
        <v>-120000</v>
      </c>
      <c r="AD119" s="185">
        <f>'Alt. scenario COM'!O30</f>
        <v>-132000</v>
      </c>
      <c r="AE119" s="185">
        <f>'Alt. scenario COM'!P30</f>
        <v>-144000</v>
      </c>
      <c r="AF119" s="185">
        <f>'Alt. scenario COM'!Q30</f>
        <v>-156000</v>
      </c>
      <c r="AG119" s="230">
        <f>'Alt. scenario COM'!R30</f>
        <v>-552000</v>
      </c>
      <c r="AH119" s="185">
        <f>'Key financial and ops fig.s COM'!S30</f>
        <v>-168000</v>
      </c>
      <c r="AI119" s="185">
        <f>'Key financial and ops fig.s COM'!T30</f>
        <v>-180000</v>
      </c>
      <c r="AJ119" s="185">
        <f>'Key financial and ops fig.s COM'!U30</f>
        <v>-192000</v>
      </c>
      <c r="AK119" s="185">
        <f>'Key financial and ops fig.s COM'!V30</f>
        <v>-204000</v>
      </c>
      <c r="AL119" s="213">
        <f>'Key financial and ops fig.s COM'!W30</f>
        <v>-744000</v>
      </c>
      <c r="AM119" s="185">
        <f>'Alt. scenario COM'!S30</f>
        <v>-168000</v>
      </c>
      <c r="AN119" s="185">
        <f>'Alt. scenario COM'!T30</f>
        <v>-180000</v>
      </c>
      <c r="AO119" s="185">
        <f>'Alt. scenario COM'!U30</f>
        <v>-192000</v>
      </c>
      <c r="AP119" s="185">
        <f>'Alt. scenario COM'!V30</f>
        <v>-204000</v>
      </c>
      <c r="AQ119" s="230">
        <f>'Alt. scenario COM'!W30</f>
        <v>-744000</v>
      </c>
      <c r="AR119" s="185">
        <f>'Key financial and ops fig.s COM'!X30</f>
        <v>-216000</v>
      </c>
      <c r="AS119" s="185">
        <f>'Key financial and ops fig.s COM'!Y30</f>
        <v>-222000</v>
      </c>
      <c r="AT119" s="185">
        <f>'Key financial and ops fig.s COM'!Z30</f>
        <v>-234000</v>
      </c>
      <c r="AU119" s="185">
        <f>'Key financial and ops fig.s COM'!AA30</f>
        <v>-246000</v>
      </c>
      <c r="AV119" s="213">
        <f>'Key financial and ops fig.s COM'!AB30</f>
        <v>-918000</v>
      </c>
      <c r="AW119" s="185">
        <f>'Alt. scenario COM'!X30</f>
        <v>-216000</v>
      </c>
      <c r="AX119" s="185">
        <f>'Alt. scenario COM'!Y30</f>
        <v>-222000</v>
      </c>
      <c r="AY119" s="185">
        <f>'Alt. scenario COM'!Z30</f>
        <v>-234000</v>
      </c>
      <c r="AZ119" s="185">
        <f>'Alt. scenario COM'!AA30</f>
        <v>-246000</v>
      </c>
      <c r="BA119" s="230">
        <f>'Alt. scenario COM'!AB30</f>
        <v>-918000</v>
      </c>
      <c r="BB119" s="185">
        <f>'Key financial and ops fig.s COM'!AC30</f>
        <v>-246000</v>
      </c>
      <c r="BC119" s="185">
        <f>'Key financial and ops fig.s COM'!AD30</f>
        <v>-240000</v>
      </c>
      <c r="BD119" s="185">
        <f>'Key financial and ops fig.s COM'!AE30</f>
        <v>-240000</v>
      </c>
      <c r="BE119" s="185">
        <f>'Key financial and ops fig.s COM'!AF30</f>
        <v>-240000</v>
      </c>
      <c r="BF119" s="213">
        <f>'Key financial and ops fig.s COM'!AG30</f>
        <v>-966000</v>
      </c>
      <c r="BG119" s="185">
        <f>'Alt. scenario COM'!AC30</f>
        <v>-246000</v>
      </c>
      <c r="BH119" s="185">
        <f>'Alt. scenario COM'!AD30</f>
        <v>-240000</v>
      </c>
      <c r="BI119" s="185">
        <f>'Alt. scenario COM'!AE30</f>
        <v>-240000</v>
      </c>
      <c r="BJ119" s="185">
        <f>'Alt. scenario COM'!AF30</f>
        <v>-240000</v>
      </c>
      <c r="BK119" s="230">
        <f>'Alt. scenario COM'!AG30</f>
        <v>-966000</v>
      </c>
      <c r="BL119" s="63">
        <f>'Key financial and ops fig.s COM'!AH30</f>
        <v>-234000</v>
      </c>
      <c r="BM119" s="64">
        <f>'Key financial and ops fig.s COM'!AI30</f>
        <v>-234000</v>
      </c>
      <c r="BN119" s="64">
        <f>'Key financial and ops fig.s COM'!AJ30</f>
        <v>-234000</v>
      </c>
      <c r="BO119" s="108">
        <f>'Key financial and ops fig.s COM'!AK30</f>
        <v>-234000</v>
      </c>
      <c r="BP119" s="213">
        <f>'Key financial and ops fig.s COM'!AL30</f>
        <v>-936000</v>
      </c>
      <c r="BQ119" s="185">
        <f>'Alt. scenario COM'!AH30</f>
        <v>-234000</v>
      </c>
      <c r="BR119" s="185">
        <f>'Alt. scenario COM'!AI30</f>
        <v>-234000</v>
      </c>
      <c r="BS119" s="185">
        <f>'Alt. scenario COM'!AJ30</f>
        <v>-234000</v>
      </c>
      <c r="BT119" s="185">
        <f>'Alt. scenario COM'!AK30</f>
        <v>-234000</v>
      </c>
      <c r="BU119" s="230">
        <f>'Alt. scenario COM'!AL30</f>
        <v>-936000</v>
      </c>
    </row>
    <row r="120" spans="1:73" ht="17.100000000000001" hidden="1" outlineLevel="2" thickBot="1">
      <c r="A120" s="31"/>
      <c r="C120" s="32" t="s">
        <v>273</v>
      </c>
      <c r="D120" s="185">
        <f>'Key financial and ops fig.s COM'!D31</f>
        <v>-12000</v>
      </c>
      <c r="E120" s="185">
        <f>'Key financial and ops fig.s COM'!E31</f>
        <v>-18000</v>
      </c>
      <c r="F120" s="185">
        <f>'Key financial and ops fig.s COM'!F31</f>
        <v>-24000</v>
      </c>
      <c r="G120" s="185">
        <f>'Key financial and ops fig.s COM'!G31</f>
        <v>-30000</v>
      </c>
      <c r="H120" s="213">
        <f>'Key financial and ops fig.s COM'!H31</f>
        <v>-84000</v>
      </c>
      <c r="I120" s="185">
        <f>'Alt. scenario COM'!D31</f>
        <v>-12000</v>
      </c>
      <c r="J120" s="185">
        <f>'Alt. scenario COM'!E31</f>
        <v>-18000</v>
      </c>
      <c r="K120" s="185">
        <f>'Alt. scenario COM'!F31</f>
        <v>-24000</v>
      </c>
      <c r="L120" s="185">
        <f>'Alt. scenario COM'!G31</f>
        <v>-30000</v>
      </c>
      <c r="M120" s="230">
        <f>'Alt. scenario COM'!H31</f>
        <v>-84000</v>
      </c>
      <c r="N120" s="185">
        <f>'Key financial and ops fig.s COM'!I31</f>
        <v>-42000</v>
      </c>
      <c r="O120" s="185">
        <f>'Key financial and ops fig.s COM'!J31</f>
        <v>-48000</v>
      </c>
      <c r="P120" s="185">
        <f>'Key financial and ops fig.s COM'!K31</f>
        <v>-54000</v>
      </c>
      <c r="Q120" s="185">
        <f>'Key financial and ops fig.s COM'!L31</f>
        <v>-60000</v>
      </c>
      <c r="R120" s="213">
        <f>'Key financial and ops fig.s COM'!M31</f>
        <v>-204000</v>
      </c>
      <c r="S120" s="185">
        <f>'Alt. scenario COM'!I31</f>
        <v>-42000</v>
      </c>
      <c r="T120" s="185">
        <f>'Alt. scenario COM'!J31</f>
        <v>-48000</v>
      </c>
      <c r="U120" s="185">
        <f>'Alt. scenario COM'!K31</f>
        <v>-54000</v>
      </c>
      <c r="V120" s="185">
        <f>'Alt. scenario COM'!L31</f>
        <v>-60000</v>
      </c>
      <c r="W120" s="230">
        <f>'Alt. scenario COM'!M31</f>
        <v>-204000</v>
      </c>
      <c r="X120" s="185">
        <f>'Key financial and ops fig.s COM'!N31</f>
        <v>-66000</v>
      </c>
      <c r="Y120" s="185">
        <f>'Key financial and ops fig.s COM'!O31</f>
        <v>-72000</v>
      </c>
      <c r="Z120" s="185">
        <f>'Key financial and ops fig.s COM'!P31</f>
        <v>-84000</v>
      </c>
      <c r="AA120" s="185">
        <f>'Key financial and ops fig.s COM'!Q31</f>
        <v>-90000</v>
      </c>
      <c r="AB120" s="213">
        <f>'Key financial and ops fig.s COM'!R31</f>
        <v>-312000</v>
      </c>
      <c r="AC120" s="185">
        <f>'Alt. scenario COM'!N31</f>
        <v>-66000</v>
      </c>
      <c r="AD120" s="185">
        <f>'Alt. scenario COM'!O31</f>
        <v>-72000</v>
      </c>
      <c r="AE120" s="185">
        <f>'Alt. scenario COM'!P31</f>
        <v>-84000</v>
      </c>
      <c r="AF120" s="185">
        <f>'Alt. scenario COM'!Q31</f>
        <v>-90000</v>
      </c>
      <c r="AG120" s="230">
        <f>'Alt. scenario COM'!R31</f>
        <v>-312000</v>
      </c>
      <c r="AH120" s="185">
        <f>'Key financial and ops fig.s COM'!S31</f>
        <v>-96000</v>
      </c>
      <c r="AI120" s="185">
        <f>'Key financial and ops fig.s COM'!T31</f>
        <v>-102000</v>
      </c>
      <c r="AJ120" s="185">
        <f>'Key financial and ops fig.s COM'!U31</f>
        <v>-108000</v>
      </c>
      <c r="AK120" s="185">
        <f>'Key financial and ops fig.s COM'!V31</f>
        <v>-114000</v>
      </c>
      <c r="AL120" s="213">
        <f>'Key financial and ops fig.s COM'!W31</f>
        <v>-420000</v>
      </c>
      <c r="AM120" s="185">
        <f>'Alt. scenario COM'!S31</f>
        <v>-96000</v>
      </c>
      <c r="AN120" s="185">
        <f>'Alt. scenario COM'!T31</f>
        <v>-102000</v>
      </c>
      <c r="AO120" s="185">
        <f>'Alt. scenario COM'!U31</f>
        <v>-108000</v>
      </c>
      <c r="AP120" s="185">
        <f>'Alt. scenario COM'!V31</f>
        <v>-114000</v>
      </c>
      <c r="AQ120" s="230">
        <f>'Alt. scenario COM'!W31</f>
        <v>-420000</v>
      </c>
      <c r="AR120" s="185">
        <f>'Key financial and ops fig.s COM'!X31</f>
        <v>-120000</v>
      </c>
      <c r="AS120" s="185">
        <f>'Key financial and ops fig.s COM'!Y31</f>
        <v>-126000</v>
      </c>
      <c r="AT120" s="185">
        <f>'Key financial and ops fig.s COM'!Z31</f>
        <v>-132000</v>
      </c>
      <c r="AU120" s="185">
        <f>'Key financial and ops fig.s COM'!AA31</f>
        <v>-138000</v>
      </c>
      <c r="AV120" s="213">
        <f>'Key financial and ops fig.s COM'!AB31</f>
        <v>-516000</v>
      </c>
      <c r="AW120" s="185">
        <f>'Alt. scenario COM'!X31</f>
        <v>-120000</v>
      </c>
      <c r="AX120" s="185">
        <f>'Alt. scenario COM'!Y31</f>
        <v>-126000</v>
      </c>
      <c r="AY120" s="185">
        <f>'Alt. scenario COM'!Z31</f>
        <v>-132000</v>
      </c>
      <c r="AZ120" s="185">
        <f>'Alt. scenario COM'!AA31</f>
        <v>-138000</v>
      </c>
      <c r="BA120" s="230">
        <f>'Alt. scenario COM'!AB31</f>
        <v>-516000</v>
      </c>
      <c r="BB120" s="185">
        <f>'Key financial and ops fig.s COM'!AC31</f>
        <v>-138000</v>
      </c>
      <c r="BC120" s="185">
        <f>'Key financial and ops fig.s COM'!AD31</f>
        <v>-132000</v>
      </c>
      <c r="BD120" s="185">
        <f>'Key financial and ops fig.s COM'!AE31</f>
        <v>-132000</v>
      </c>
      <c r="BE120" s="185">
        <f>'Key financial and ops fig.s COM'!AF31</f>
        <v>-132000</v>
      </c>
      <c r="BF120" s="213">
        <f>'Key financial and ops fig.s COM'!AG31</f>
        <v>-534000</v>
      </c>
      <c r="BG120" s="185">
        <f>'Alt. scenario COM'!AC31</f>
        <v>-138000</v>
      </c>
      <c r="BH120" s="185">
        <f>'Alt. scenario COM'!AD31</f>
        <v>-132000</v>
      </c>
      <c r="BI120" s="185">
        <f>'Alt. scenario COM'!AE31</f>
        <v>-132000</v>
      </c>
      <c r="BJ120" s="185">
        <f>'Alt. scenario COM'!AF31</f>
        <v>-132000</v>
      </c>
      <c r="BK120" s="230">
        <f>'Alt. scenario COM'!AG31</f>
        <v>-534000</v>
      </c>
      <c r="BL120" s="63">
        <f>'Key financial and ops fig.s COM'!AH31</f>
        <v>-132000</v>
      </c>
      <c r="BM120" s="64">
        <f>'Key financial and ops fig.s COM'!AI31</f>
        <v>-132000</v>
      </c>
      <c r="BN120" s="64">
        <f>'Key financial and ops fig.s COM'!AJ31</f>
        <v>-132000</v>
      </c>
      <c r="BO120" s="108">
        <f>'Key financial and ops fig.s COM'!AK31</f>
        <v>-126000</v>
      </c>
      <c r="BP120" s="213">
        <f>'Key financial and ops fig.s COM'!AL31</f>
        <v>-522000</v>
      </c>
      <c r="BQ120" s="185">
        <f>'Alt. scenario COM'!AH31</f>
        <v>-132000</v>
      </c>
      <c r="BR120" s="185">
        <f>'Alt. scenario COM'!AI31</f>
        <v>-132000</v>
      </c>
      <c r="BS120" s="185">
        <f>'Alt. scenario COM'!AJ31</f>
        <v>-132000</v>
      </c>
      <c r="BT120" s="185">
        <f>'Alt. scenario COM'!AK31</f>
        <v>-126000</v>
      </c>
      <c r="BU120" s="230">
        <f>'Alt. scenario COM'!AL31</f>
        <v>-522000</v>
      </c>
    </row>
    <row r="121" spans="1:73" ht="17.100000000000001" hidden="1" outlineLevel="2" thickBot="1">
      <c r="A121" s="31"/>
      <c r="C121" s="32" t="s">
        <v>274</v>
      </c>
      <c r="D121" s="185">
        <f>'Key financial and ops fig.s COM'!D32</f>
        <v>-36000</v>
      </c>
      <c r="E121" s="185">
        <f>'Key financial and ops fig.s COM'!E32</f>
        <v>-60000</v>
      </c>
      <c r="F121" s="185">
        <f>'Key financial and ops fig.s COM'!F32</f>
        <v>-84000</v>
      </c>
      <c r="G121" s="185">
        <f>'Key financial and ops fig.s COM'!G32</f>
        <v>-120000</v>
      </c>
      <c r="H121" s="213">
        <f>'Key financial and ops fig.s COM'!H32</f>
        <v>-300000</v>
      </c>
      <c r="I121" s="185">
        <f>'Alt. scenario COM'!D32</f>
        <v>-36000</v>
      </c>
      <c r="J121" s="185">
        <f>'Alt. scenario COM'!E32</f>
        <v>-60000</v>
      </c>
      <c r="K121" s="185">
        <f>'Alt. scenario COM'!F32</f>
        <v>-84000</v>
      </c>
      <c r="L121" s="185">
        <f>'Alt. scenario COM'!G32</f>
        <v>-120000</v>
      </c>
      <c r="M121" s="230">
        <f>'Alt. scenario COM'!H32</f>
        <v>-300000</v>
      </c>
      <c r="N121" s="185">
        <f>'Key financial and ops fig.s COM'!I32</f>
        <v>-144000</v>
      </c>
      <c r="O121" s="185">
        <f>'Key financial and ops fig.s COM'!J32</f>
        <v>-168000</v>
      </c>
      <c r="P121" s="185">
        <f>'Key financial and ops fig.s COM'!K32</f>
        <v>-192000</v>
      </c>
      <c r="Q121" s="185">
        <f>'Key financial and ops fig.s COM'!L32</f>
        <v>-216000</v>
      </c>
      <c r="R121" s="213">
        <f>'Key financial and ops fig.s COM'!M32</f>
        <v>-720000</v>
      </c>
      <c r="S121" s="185">
        <f>'Alt. scenario COM'!I32</f>
        <v>-144000</v>
      </c>
      <c r="T121" s="185">
        <f>'Alt. scenario COM'!J32</f>
        <v>-168000</v>
      </c>
      <c r="U121" s="185">
        <f>'Alt. scenario COM'!K32</f>
        <v>-192000</v>
      </c>
      <c r="V121" s="185">
        <f>'Alt. scenario COM'!L32</f>
        <v>-216000</v>
      </c>
      <c r="W121" s="230">
        <f>'Alt. scenario COM'!M32</f>
        <v>-720000</v>
      </c>
      <c r="X121" s="185">
        <f>'Key financial and ops fig.s COM'!N32</f>
        <v>-240000</v>
      </c>
      <c r="Y121" s="185">
        <f>'Key financial and ops fig.s COM'!O32</f>
        <v>-264000</v>
      </c>
      <c r="Z121" s="185">
        <f>'Key financial and ops fig.s COM'!P32</f>
        <v>-288000</v>
      </c>
      <c r="AA121" s="185">
        <f>'Key financial and ops fig.s COM'!Q32</f>
        <v>-312000</v>
      </c>
      <c r="AB121" s="213">
        <f>'Key financial and ops fig.s COM'!R32</f>
        <v>-1104000</v>
      </c>
      <c r="AC121" s="185">
        <f>'Alt. scenario COM'!N32</f>
        <v>-240000</v>
      </c>
      <c r="AD121" s="185">
        <f>'Alt. scenario COM'!O32</f>
        <v>-264000</v>
      </c>
      <c r="AE121" s="185">
        <f>'Alt. scenario COM'!P32</f>
        <v>-288000</v>
      </c>
      <c r="AF121" s="185">
        <f>'Alt. scenario COM'!Q32</f>
        <v>-312000</v>
      </c>
      <c r="AG121" s="230">
        <f>'Alt. scenario COM'!R32</f>
        <v>-1104000</v>
      </c>
      <c r="AH121" s="185">
        <f>'Key financial and ops fig.s COM'!S32</f>
        <v>-336000</v>
      </c>
      <c r="AI121" s="185">
        <f>'Key financial and ops fig.s COM'!T32</f>
        <v>-360000</v>
      </c>
      <c r="AJ121" s="185">
        <f>'Key financial and ops fig.s COM'!U32</f>
        <v>-384000</v>
      </c>
      <c r="AK121" s="185">
        <f>'Key financial and ops fig.s COM'!V32</f>
        <v>-408000</v>
      </c>
      <c r="AL121" s="213">
        <f>'Key financial and ops fig.s COM'!W32</f>
        <v>-1488000</v>
      </c>
      <c r="AM121" s="185">
        <f>'Alt. scenario COM'!S32</f>
        <v>-336000</v>
      </c>
      <c r="AN121" s="185">
        <f>'Alt. scenario COM'!T32</f>
        <v>-360000</v>
      </c>
      <c r="AO121" s="185">
        <f>'Alt. scenario COM'!U32</f>
        <v>-384000</v>
      </c>
      <c r="AP121" s="185">
        <f>'Alt. scenario COM'!V32</f>
        <v>-408000</v>
      </c>
      <c r="AQ121" s="230">
        <f>'Alt. scenario COM'!W32</f>
        <v>-1488000</v>
      </c>
      <c r="AR121" s="185">
        <f>'Key financial and ops fig.s COM'!X32</f>
        <v>-432000</v>
      </c>
      <c r="AS121" s="185">
        <f>'Key financial and ops fig.s COM'!Y32</f>
        <v>-444000</v>
      </c>
      <c r="AT121" s="185">
        <f>'Key financial and ops fig.s COM'!Z32</f>
        <v>-468000</v>
      </c>
      <c r="AU121" s="185">
        <f>'Key financial and ops fig.s COM'!AA32</f>
        <v>-492000</v>
      </c>
      <c r="AV121" s="213">
        <f>'Key financial and ops fig.s COM'!AB32</f>
        <v>-1836000</v>
      </c>
      <c r="AW121" s="185">
        <f>'Alt. scenario COM'!X32</f>
        <v>-432000</v>
      </c>
      <c r="AX121" s="185">
        <f>'Alt. scenario COM'!Y32</f>
        <v>-444000</v>
      </c>
      <c r="AY121" s="185">
        <f>'Alt. scenario COM'!Z32</f>
        <v>-468000</v>
      </c>
      <c r="AZ121" s="185">
        <f>'Alt. scenario COM'!AA32</f>
        <v>-492000</v>
      </c>
      <c r="BA121" s="230">
        <f>'Alt. scenario COM'!AB32</f>
        <v>-1836000</v>
      </c>
      <c r="BB121" s="185">
        <f>'Key financial and ops fig.s COM'!AC32</f>
        <v>-492000</v>
      </c>
      <c r="BC121" s="185">
        <f>'Key financial and ops fig.s COM'!AD32</f>
        <v>-480000</v>
      </c>
      <c r="BD121" s="185">
        <f>'Key financial and ops fig.s COM'!AE32</f>
        <v>-480000</v>
      </c>
      <c r="BE121" s="185">
        <f>'Key financial and ops fig.s COM'!AF32</f>
        <v>-480000</v>
      </c>
      <c r="BF121" s="213">
        <f>'Key financial and ops fig.s COM'!AG32</f>
        <v>-1932000</v>
      </c>
      <c r="BG121" s="185">
        <f>'Alt. scenario COM'!AC32</f>
        <v>-492000</v>
      </c>
      <c r="BH121" s="185">
        <f>'Alt. scenario COM'!AD32</f>
        <v>-480000</v>
      </c>
      <c r="BI121" s="185">
        <f>'Alt. scenario COM'!AE32</f>
        <v>-480000</v>
      </c>
      <c r="BJ121" s="185">
        <f>'Alt. scenario COM'!AF32</f>
        <v>-480000</v>
      </c>
      <c r="BK121" s="230">
        <f>'Alt. scenario COM'!AG32</f>
        <v>-1932000</v>
      </c>
      <c r="BL121" s="63">
        <f>'Key financial and ops fig.s COM'!AH32</f>
        <v>-468000</v>
      </c>
      <c r="BM121" s="64">
        <f>'Key financial and ops fig.s COM'!AI32</f>
        <v>-468000</v>
      </c>
      <c r="BN121" s="64">
        <f>'Key financial and ops fig.s COM'!AJ32</f>
        <v>-468000</v>
      </c>
      <c r="BO121" s="108">
        <f>'Key financial and ops fig.s COM'!AK32</f>
        <v>-468000</v>
      </c>
      <c r="BP121" s="213">
        <f>'Key financial and ops fig.s COM'!AL32</f>
        <v>-1872000</v>
      </c>
      <c r="BQ121" s="185">
        <f>'Alt. scenario COM'!AH32</f>
        <v>-468000</v>
      </c>
      <c r="BR121" s="185">
        <f>'Alt. scenario COM'!AI32</f>
        <v>-468000</v>
      </c>
      <c r="BS121" s="185">
        <f>'Alt. scenario COM'!AJ32</f>
        <v>-468000</v>
      </c>
      <c r="BT121" s="185">
        <f>'Alt. scenario COM'!AK32</f>
        <v>-468000</v>
      </c>
      <c r="BU121" s="230">
        <f>'Alt. scenario COM'!AL32</f>
        <v>-1872000</v>
      </c>
    </row>
    <row r="122" spans="1:73" ht="17.100000000000001" hidden="1" outlineLevel="1" thickBot="1">
      <c r="A122" s="31"/>
      <c r="B122" s="34" t="s">
        <v>166</v>
      </c>
      <c r="C122" s="34"/>
      <c r="D122" s="186">
        <f>'Key financial and ops fig.s COM'!D33</f>
        <v>-93000</v>
      </c>
      <c r="E122" s="186">
        <f>'Key financial and ops fig.s COM'!E33</f>
        <v>-162000</v>
      </c>
      <c r="F122" s="186">
        <f>'Key financial and ops fig.s COM'!F33</f>
        <v>-231000</v>
      </c>
      <c r="G122" s="186">
        <f>'Key financial and ops fig.s COM'!G33</f>
        <v>-313500</v>
      </c>
      <c r="H122" s="214">
        <f>'Key financial and ops fig.s COM'!H33</f>
        <v>-799500</v>
      </c>
      <c r="I122" s="186">
        <f>'Alt. scenario COM'!D33</f>
        <v>-93000</v>
      </c>
      <c r="J122" s="186">
        <f>'Alt. scenario COM'!E33</f>
        <v>-162000</v>
      </c>
      <c r="K122" s="186">
        <f>'Alt. scenario COM'!F33</f>
        <v>-231000</v>
      </c>
      <c r="L122" s="186">
        <f>'Alt. scenario COM'!G33</f>
        <v>-313500</v>
      </c>
      <c r="M122" s="231">
        <f>'Alt. scenario COM'!H33</f>
        <v>-799500</v>
      </c>
      <c r="N122" s="186">
        <f>'Key financial and ops fig.s COM'!I33</f>
        <v>-384000</v>
      </c>
      <c r="O122" s="186">
        <f>'Key financial and ops fig.s COM'!J33</f>
        <v>-453000</v>
      </c>
      <c r="P122" s="186">
        <f>'Key financial and ops fig.s COM'!K33</f>
        <v>-517500</v>
      </c>
      <c r="Q122" s="186">
        <f>'Key financial and ops fig.s COM'!L33</f>
        <v>-582000</v>
      </c>
      <c r="R122" s="214">
        <f>'Key financial and ops fig.s COM'!M33</f>
        <v>-1936500</v>
      </c>
      <c r="S122" s="186">
        <f>'Alt. scenario COM'!I33</f>
        <v>-384000</v>
      </c>
      <c r="T122" s="186">
        <f>'Alt. scenario COM'!J33</f>
        <v>-453000</v>
      </c>
      <c r="U122" s="186">
        <f>'Alt. scenario COM'!K33</f>
        <v>-517500</v>
      </c>
      <c r="V122" s="186">
        <f>'Alt. scenario COM'!L33</f>
        <v>-582000</v>
      </c>
      <c r="W122" s="231">
        <f>'Alt. scenario COM'!M33</f>
        <v>-1936500</v>
      </c>
      <c r="X122" s="186">
        <f>'Key financial and ops fig.s COM'!N33</f>
        <v>-651000</v>
      </c>
      <c r="Y122" s="186">
        <f>'Key financial and ops fig.s COM'!O33</f>
        <v>-715500</v>
      </c>
      <c r="Z122" s="186">
        <f>'Key financial and ops fig.s COM'!P33</f>
        <v>-786000</v>
      </c>
      <c r="AA122" s="186">
        <f>'Key financial and ops fig.s COM'!Q33</f>
        <v>-850500</v>
      </c>
      <c r="AB122" s="214">
        <f>'Key financial and ops fig.s COM'!R33</f>
        <v>-3003000</v>
      </c>
      <c r="AC122" s="186">
        <f>'Alt. scenario COM'!N33</f>
        <v>-651000</v>
      </c>
      <c r="AD122" s="186">
        <f>'Alt. scenario COM'!O33</f>
        <v>-715500</v>
      </c>
      <c r="AE122" s="186">
        <f>'Alt. scenario COM'!P33</f>
        <v>-786000</v>
      </c>
      <c r="AF122" s="186">
        <f>'Alt. scenario COM'!Q33</f>
        <v>-850500</v>
      </c>
      <c r="AG122" s="231">
        <f>'Alt. scenario COM'!R33</f>
        <v>-3003000</v>
      </c>
      <c r="AH122" s="186">
        <f>'Key financial and ops fig.s COM'!S33</f>
        <v>-910500</v>
      </c>
      <c r="AI122" s="186">
        <f>'Key financial and ops fig.s COM'!T33</f>
        <v>-975000</v>
      </c>
      <c r="AJ122" s="186">
        <f>'Key financial and ops fig.s COM'!U33</f>
        <v>-1039500</v>
      </c>
      <c r="AK122" s="186">
        <f>'Key financial and ops fig.s COM'!V33</f>
        <v>-1104000</v>
      </c>
      <c r="AL122" s="214">
        <f>'Key financial and ops fig.s COM'!W33</f>
        <v>-4029000</v>
      </c>
      <c r="AM122" s="186">
        <f>'Alt. scenario COM'!S33</f>
        <v>-910500</v>
      </c>
      <c r="AN122" s="186">
        <f>'Alt. scenario COM'!T33</f>
        <v>-975000</v>
      </c>
      <c r="AO122" s="186">
        <f>'Alt. scenario COM'!U33</f>
        <v>-1039500</v>
      </c>
      <c r="AP122" s="186">
        <f>'Alt. scenario COM'!V33</f>
        <v>-1104000</v>
      </c>
      <c r="AQ122" s="231">
        <f>'Alt. scenario COM'!W33</f>
        <v>-4029000</v>
      </c>
      <c r="AR122" s="186">
        <f>'Key financial and ops fig.s COM'!X33</f>
        <v>-1164000</v>
      </c>
      <c r="AS122" s="186">
        <f>'Key financial and ops fig.s COM'!Y33</f>
        <v>-1210500</v>
      </c>
      <c r="AT122" s="186">
        <f>'Key financial and ops fig.s COM'!Z33</f>
        <v>-1270500</v>
      </c>
      <c r="AU122" s="186">
        <f>'Key financial and ops fig.s COM'!AA33</f>
        <v>-1335000</v>
      </c>
      <c r="AV122" s="214">
        <f>'Key financial and ops fig.s COM'!AB33</f>
        <v>-4980000</v>
      </c>
      <c r="AW122" s="186">
        <f>'Alt. scenario COM'!X33</f>
        <v>-1164000</v>
      </c>
      <c r="AX122" s="186">
        <f>'Alt. scenario COM'!Y33</f>
        <v>-1210500</v>
      </c>
      <c r="AY122" s="186">
        <f>'Alt. scenario COM'!Z33</f>
        <v>-1270500</v>
      </c>
      <c r="AZ122" s="186">
        <f>'Alt. scenario COM'!AA33</f>
        <v>-1335000</v>
      </c>
      <c r="BA122" s="231">
        <f>'Alt. scenario COM'!AB33</f>
        <v>-4980000</v>
      </c>
      <c r="BB122" s="186">
        <f>'Key financial and ops fig.s COM'!AC33</f>
        <v>-1330500</v>
      </c>
      <c r="BC122" s="186">
        <f>'Key financial and ops fig.s COM'!AD33</f>
        <v>-1302000</v>
      </c>
      <c r="BD122" s="186">
        <f>'Key financial and ops fig.s COM'!AE33</f>
        <v>-1297500</v>
      </c>
      <c r="BE122" s="186">
        <f>'Key financial and ops fig.s COM'!AF33</f>
        <v>-1297500</v>
      </c>
      <c r="BF122" s="214">
        <f>'Key financial and ops fig.s COM'!AG33</f>
        <v>-5227500</v>
      </c>
      <c r="BG122" s="186">
        <f>'Alt. scenario COM'!AC33</f>
        <v>-1330500</v>
      </c>
      <c r="BH122" s="186">
        <f>'Alt. scenario COM'!AD33</f>
        <v>-1302000</v>
      </c>
      <c r="BI122" s="186">
        <f>'Alt. scenario COM'!AE33</f>
        <v>-1297500</v>
      </c>
      <c r="BJ122" s="186">
        <f>'Alt. scenario COM'!AF33</f>
        <v>-1297500</v>
      </c>
      <c r="BK122" s="231">
        <f>'Alt. scenario COM'!AG33</f>
        <v>-5227500</v>
      </c>
      <c r="BL122" s="65">
        <f>'Key financial and ops fig.s COM'!AH33</f>
        <v>-1275000</v>
      </c>
      <c r="BM122" s="66">
        <f>'Key financial and ops fig.s COM'!AI33</f>
        <v>-1270500</v>
      </c>
      <c r="BN122" s="66">
        <f>'Key financial and ops fig.s COM'!AJ33</f>
        <v>-1270500</v>
      </c>
      <c r="BO122" s="141">
        <f>'Key financial and ops fig.s COM'!AK33</f>
        <v>-1260000</v>
      </c>
      <c r="BP122" s="214">
        <f>'Key financial and ops fig.s COM'!AL33</f>
        <v>-5076000</v>
      </c>
      <c r="BQ122" s="186">
        <f>'Alt. scenario COM'!AH33</f>
        <v>-1275000</v>
      </c>
      <c r="BR122" s="186">
        <f>'Alt. scenario COM'!AI33</f>
        <v>-1270500</v>
      </c>
      <c r="BS122" s="186">
        <f>'Alt. scenario COM'!AJ33</f>
        <v>-1270500</v>
      </c>
      <c r="BT122" s="186">
        <f>'Alt. scenario COM'!AK33</f>
        <v>-1260000</v>
      </c>
      <c r="BU122" s="231">
        <f>'Alt. scenario COM'!AL33</f>
        <v>-5076000</v>
      </c>
    </row>
    <row r="123" spans="1:73" ht="17.100000000000001" hidden="1" outlineLevel="2" thickBot="1">
      <c r="A123" s="31"/>
      <c r="C123" s="32" t="s">
        <v>275</v>
      </c>
      <c r="D123" s="185">
        <f>'Key financial and ops fig.s COM'!D34</f>
        <v>-900</v>
      </c>
      <c r="E123" s="185">
        <f>'Key financial and ops fig.s COM'!E34</f>
        <v>-1607.1428571428571</v>
      </c>
      <c r="F123" s="185">
        <f>'Key financial and ops fig.s COM'!F34</f>
        <v>-2314.2857142857147</v>
      </c>
      <c r="G123" s="185">
        <f>'Key financial and ops fig.s COM'!G34</f>
        <v>-3085.7142857142858</v>
      </c>
      <c r="H123" s="213">
        <f>'Key financial and ops fig.s COM'!H34</f>
        <v>-7907.1428571428569</v>
      </c>
      <c r="I123" s="185">
        <f>'Alt. scenario COM'!D34</f>
        <v>-900</v>
      </c>
      <c r="J123" s="185">
        <f>'Alt. scenario COM'!E34</f>
        <v>-1607.1428571428571</v>
      </c>
      <c r="K123" s="185">
        <f>'Alt. scenario COM'!F34</f>
        <v>-2314.2857142857147</v>
      </c>
      <c r="L123" s="185">
        <f>'Alt. scenario COM'!G34</f>
        <v>-3085.7142857142858</v>
      </c>
      <c r="M123" s="230">
        <f>'Alt. scenario COM'!H34</f>
        <v>-7907.1428571428569</v>
      </c>
      <c r="N123" s="185">
        <f>'Key financial and ops fig.s COM'!I34</f>
        <v>-3792.8571428571431</v>
      </c>
      <c r="O123" s="185">
        <f>'Key financial and ops fig.s COM'!J34</f>
        <v>-4500</v>
      </c>
      <c r="P123" s="185">
        <f>'Key financial and ops fig.s COM'!K34</f>
        <v>-5142.8571428571431</v>
      </c>
      <c r="Q123" s="185">
        <f>'Key financial and ops fig.s COM'!L34</f>
        <v>-5785.7142857142862</v>
      </c>
      <c r="R123" s="213">
        <f>'Key financial and ops fig.s COM'!M34</f>
        <v>-19221.428571428572</v>
      </c>
      <c r="S123" s="185">
        <f>'Alt. scenario COM'!I34</f>
        <v>-3792.8571428571431</v>
      </c>
      <c r="T123" s="185">
        <f>'Alt. scenario COM'!J34</f>
        <v>-4500</v>
      </c>
      <c r="U123" s="185">
        <f>'Alt. scenario COM'!K34</f>
        <v>-5142.8571428571431</v>
      </c>
      <c r="V123" s="185">
        <f>'Alt. scenario COM'!L34</f>
        <v>-5785.7142857142862</v>
      </c>
      <c r="W123" s="230">
        <f>'Alt. scenario COM'!M34</f>
        <v>-19221.428571428572</v>
      </c>
      <c r="X123" s="185">
        <f>'Key financial and ops fig.s COM'!N34</f>
        <v>-6492.8571428571422</v>
      </c>
      <c r="Y123" s="185">
        <f>'Key financial and ops fig.s COM'!O34</f>
        <v>-7135.7142857142862</v>
      </c>
      <c r="Z123" s="185">
        <f>'Key financial and ops fig.s COM'!P34</f>
        <v>-7842.8571428571422</v>
      </c>
      <c r="AA123" s="185">
        <f>'Key financial and ops fig.s COM'!Q34</f>
        <v>-8485.7142857142862</v>
      </c>
      <c r="AB123" s="213">
        <f>'Key financial and ops fig.s COM'!R34</f>
        <v>-29957.142857142855</v>
      </c>
      <c r="AC123" s="185">
        <f>'Alt. scenario COM'!N34</f>
        <v>-6492.8571428571422</v>
      </c>
      <c r="AD123" s="185">
        <f>'Alt. scenario COM'!O34</f>
        <v>-7135.7142857142862</v>
      </c>
      <c r="AE123" s="185">
        <f>'Alt. scenario COM'!P34</f>
        <v>-7842.8571428571422</v>
      </c>
      <c r="AF123" s="185">
        <f>'Alt. scenario COM'!Q34</f>
        <v>-8485.7142857142862</v>
      </c>
      <c r="AG123" s="230">
        <f>'Alt. scenario COM'!R34</f>
        <v>-29957.142857142855</v>
      </c>
      <c r="AH123" s="185">
        <f>'Key financial and ops fig.s COM'!S34</f>
        <v>-9064.2857142857138</v>
      </c>
      <c r="AI123" s="185">
        <f>'Key financial and ops fig.s COM'!T34</f>
        <v>-9707.1428571428587</v>
      </c>
      <c r="AJ123" s="185">
        <f>'Key financial and ops fig.s COM'!U34</f>
        <v>-10350</v>
      </c>
      <c r="AK123" s="185">
        <f>'Key financial and ops fig.s COM'!V34</f>
        <v>-10992.857142857143</v>
      </c>
      <c r="AL123" s="213">
        <f>'Key financial and ops fig.s COM'!W34</f>
        <v>-40114.285714285717</v>
      </c>
      <c r="AM123" s="185">
        <f>'Alt. scenario COM'!S34</f>
        <v>-9064.2857142857138</v>
      </c>
      <c r="AN123" s="185">
        <f>'Alt. scenario COM'!T34</f>
        <v>-9707.1428571428587</v>
      </c>
      <c r="AO123" s="185">
        <f>'Alt. scenario COM'!U34</f>
        <v>-10350</v>
      </c>
      <c r="AP123" s="185">
        <f>'Alt. scenario COM'!V34</f>
        <v>-10992.857142857143</v>
      </c>
      <c r="AQ123" s="230">
        <f>'Alt. scenario COM'!W34</f>
        <v>-40114.285714285717</v>
      </c>
      <c r="AR123" s="185">
        <f>'Key financial and ops fig.s COM'!X34</f>
        <v>-11571.428571428572</v>
      </c>
      <c r="AS123" s="185">
        <f>'Key financial and ops fig.s COM'!Y34</f>
        <v>-12085.714285714286</v>
      </c>
      <c r="AT123" s="185">
        <f>'Key financial and ops fig.s COM'!Z34</f>
        <v>-12664.285714285716</v>
      </c>
      <c r="AU123" s="185">
        <f>'Key financial and ops fig.s COM'!AA34</f>
        <v>-13307.142857142857</v>
      </c>
      <c r="AV123" s="213">
        <f>'Key financial and ops fig.s COM'!AB34</f>
        <v>-49628.571428571428</v>
      </c>
      <c r="AW123" s="185">
        <f>'Alt. scenario COM'!X34</f>
        <v>-11571.428571428572</v>
      </c>
      <c r="AX123" s="185">
        <f>'Alt. scenario COM'!Y34</f>
        <v>-12085.714285714286</v>
      </c>
      <c r="AY123" s="185">
        <f>'Alt. scenario COM'!Z34</f>
        <v>-12664.285714285716</v>
      </c>
      <c r="AZ123" s="185">
        <f>'Alt. scenario COM'!AA34</f>
        <v>-13307.142857142857</v>
      </c>
      <c r="BA123" s="230">
        <f>'Alt. scenario COM'!AB34</f>
        <v>-49628.571428571428</v>
      </c>
      <c r="BB123" s="185">
        <f>'Key financial and ops fig.s COM'!AC34</f>
        <v>-13242.857142857143</v>
      </c>
      <c r="BC123" s="185">
        <f>'Key financial and ops fig.s COM'!AD34</f>
        <v>-12985.714285714284</v>
      </c>
      <c r="BD123" s="185">
        <f>'Key financial and ops fig.s COM'!AE34</f>
        <v>-12921.428571428572</v>
      </c>
      <c r="BE123" s="185">
        <f>'Key financial and ops fig.s COM'!AF34</f>
        <v>-12921.428571428572</v>
      </c>
      <c r="BF123" s="213">
        <f>'Key financial and ops fig.s COM'!AG34</f>
        <v>-52071.428571428572</v>
      </c>
      <c r="BG123" s="185">
        <f>'Alt. scenario COM'!AC34</f>
        <v>-13242.857142857143</v>
      </c>
      <c r="BH123" s="185">
        <f>'Alt. scenario COM'!AD34</f>
        <v>-12985.714285714284</v>
      </c>
      <c r="BI123" s="185">
        <f>'Alt. scenario COM'!AE34</f>
        <v>-12921.428571428572</v>
      </c>
      <c r="BJ123" s="185">
        <f>'Alt. scenario COM'!AF34</f>
        <v>-12921.428571428572</v>
      </c>
      <c r="BK123" s="230">
        <f>'Alt. scenario COM'!AG34</f>
        <v>-52071.428571428572</v>
      </c>
      <c r="BL123" s="63">
        <f>'Key financial and ops fig.s COM'!AH34</f>
        <v>-12728.571428571428</v>
      </c>
      <c r="BM123" s="64">
        <f>'Key financial and ops fig.s COM'!AI34</f>
        <v>-12664.285714285716</v>
      </c>
      <c r="BN123" s="64">
        <f>'Key financial and ops fig.s COM'!AJ34</f>
        <v>-12664.285714285716</v>
      </c>
      <c r="BO123" s="108">
        <f>'Key financial and ops fig.s COM'!AK34</f>
        <v>-12535.714285714286</v>
      </c>
      <c r="BP123" s="213">
        <f>'Key financial and ops fig.s COM'!AL34</f>
        <v>-50592.857142857145</v>
      </c>
      <c r="BQ123" s="185">
        <f>'Alt. scenario COM'!AH34</f>
        <v>-12728.571428571428</v>
      </c>
      <c r="BR123" s="185">
        <f>'Alt. scenario COM'!AI34</f>
        <v>-12664.285714285716</v>
      </c>
      <c r="BS123" s="185">
        <f>'Alt. scenario COM'!AJ34</f>
        <v>-12664.285714285716</v>
      </c>
      <c r="BT123" s="185">
        <f>'Alt. scenario COM'!AK34</f>
        <v>-12535.714285714286</v>
      </c>
      <c r="BU123" s="230">
        <f>'Alt. scenario COM'!AL34</f>
        <v>-50592.857142857145</v>
      </c>
    </row>
    <row r="124" spans="1:73" ht="17.100000000000001" hidden="1" outlineLevel="2" thickBot="1">
      <c r="A124" s="31"/>
      <c r="C124" s="32" t="s">
        <v>276</v>
      </c>
      <c r="D124" s="185">
        <f>'Key financial and ops fig.s COM'!D35</f>
        <v>-8571.4285714285725</v>
      </c>
      <c r="E124" s="185">
        <f>'Key financial and ops fig.s COM'!E35</f>
        <v>-12857.142857142857</v>
      </c>
      <c r="F124" s="185">
        <f>'Key financial and ops fig.s COM'!F35</f>
        <v>-17142.857142857145</v>
      </c>
      <c r="G124" s="185">
        <f>'Key financial and ops fig.s COM'!G35</f>
        <v>-21428.571428571428</v>
      </c>
      <c r="H124" s="213">
        <f>'Key financial and ops fig.s COM'!H35</f>
        <v>-60000</v>
      </c>
      <c r="I124" s="185">
        <f>'Alt. scenario COM'!D35</f>
        <v>-8571.4285714285725</v>
      </c>
      <c r="J124" s="185">
        <f>'Alt. scenario COM'!E35</f>
        <v>-12857.142857142857</v>
      </c>
      <c r="K124" s="185">
        <f>'Alt. scenario COM'!F35</f>
        <v>-17142.857142857145</v>
      </c>
      <c r="L124" s="185">
        <f>'Alt. scenario COM'!G35</f>
        <v>-21428.571428571428</v>
      </c>
      <c r="M124" s="230">
        <f>'Alt. scenario COM'!H35</f>
        <v>-60000</v>
      </c>
      <c r="N124" s="185">
        <f>'Key financial and ops fig.s COM'!I35</f>
        <v>-25714.285714285714</v>
      </c>
      <c r="O124" s="185">
        <f>'Key financial and ops fig.s COM'!J35</f>
        <v>-30000</v>
      </c>
      <c r="P124" s="185">
        <f>'Key financial and ops fig.s COM'!K35</f>
        <v>-34285.71428571429</v>
      </c>
      <c r="Q124" s="185">
        <f>'Key financial and ops fig.s COM'!L35</f>
        <v>-38571.428571428572</v>
      </c>
      <c r="R124" s="213">
        <f>'Key financial and ops fig.s COM'!M35</f>
        <v>-128571.42857142858</v>
      </c>
      <c r="S124" s="185">
        <f>'Alt. scenario COM'!I35</f>
        <v>-25714.285714285714</v>
      </c>
      <c r="T124" s="185">
        <f>'Alt. scenario COM'!J35</f>
        <v>-30000</v>
      </c>
      <c r="U124" s="185">
        <f>'Alt. scenario COM'!K35</f>
        <v>-34285.71428571429</v>
      </c>
      <c r="V124" s="185">
        <f>'Alt. scenario COM'!L35</f>
        <v>-38571.428571428572</v>
      </c>
      <c r="W124" s="230">
        <f>'Alt. scenario COM'!M35</f>
        <v>-128571.42857142858</v>
      </c>
      <c r="X124" s="185">
        <f>'Key financial and ops fig.s COM'!N35</f>
        <v>-42857.142857142855</v>
      </c>
      <c r="Y124" s="185">
        <f>'Key financial and ops fig.s COM'!O35</f>
        <v>-47142.857142857145</v>
      </c>
      <c r="Z124" s="185">
        <f>'Key financial and ops fig.s COM'!P35</f>
        <v>-51428.571428571428</v>
      </c>
      <c r="AA124" s="185">
        <f>'Key financial and ops fig.s COM'!Q35</f>
        <v>-55714.285714285717</v>
      </c>
      <c r="AB124" s="213">
        <f>'Key financial and ops fig.s COM'!R35</f>
        <v>-197142.85714285713</v>
      </c>
      <c r="AC124" s="185">
        <f>'Alt. scenario COM'!N35</f>
        <v>-42857.142857142855</v>
      </c>
      <c r="AD124" s="185">
        <f>'Alt. scenario COM'!O35</f>
        <v>-47142.857142857145</v>
      </c>
      <c r="AE124" s="185">
        <f>'Alt. scenario COM'!P35</f>
        <v>-51428.571428571428</v>
      </c>
      <c r="AF124" s="185">
        <f>'Alt. scenario COM'!Q35</f>
        <v>-55714.285714285717</v>
      </c>
      <c r="AG124" s="230">
        <f>'Alt. scenario COM'!R35</f>
        <v>-197142.85714285713</v>
      </c>
      <c r="AH124" s="185">
        <f>'Key financial and ops fig.s COM'!S35</f>
        <v>-60000</v>
      </c>
      <c r="AI124" s="185">
        <f>'Key financial and ops fig.s COM'!T35</f>
        <v>-64285.71428571429</v>
      </c>
      <c r="AJ124" s="185">
        <f>'Key financial and ops fig.s COM'!U35</f>
        <v>-68571.42857142858</v>
      </c>
      <c r="AK124" s="185">
        <f>'Key financial and ops fig.s COM'!V35</f>
        <v>-72857.14285714287</v>
      </c>
      <c r="AL124" s="213">
        <f>'Key financial and ops fig.s COM'!W35</f>
        <v>-265714.28571428574</v>
      </c>
      <c r="AM124" s="185">
        <f>'Alt. scenario COM'!S35</f>
        <v>-60000</v>
      </c>
      <c r="AN124" s="185">
        <f>'Alt. scenario COM'!T35</f>
        <v>-64285.71428571429</v>
      </c>
      <c r="AO124" s="185">
        <f>'Alt. scenario COM'!U35</f>
        <v>-68571.42857142858</v>
      </c>
      <c r="AP124" s="185">
        <f>'Alt. scenario COM'!V35</f>
        <v>-72857.14285714287</v>
      </c>
      <c r="AQ124" s="230">
        <f>'Alt. scenario COM'!W35</f>
        <v>-265714.28571428574</v>
      </c>
      <c r="AR124" s="185">
        <f>'Key financial and ops fig.s COM'!X35</f>
        <v>-77142.857142857145</v>
      </c>
      <c r="AS124" s="185">
        <f>'Key financial and ops fig.s COM'!Y35</f>
        <v>-81428.57142857142</v>
      </c>
      <c r="AT124" s="185">
        <f>'Key financial and ops fig.s COM'!Z35</f>
        <v>-85714.28571428571</v>
      </c>
      <c r="AU124" s="185">
        <f>'Key financial and ops fig.s COM'!AA35</f>
        <v>-90000</v>
      </c>
      <c r="AV124" s="213">
        <f>'Key financial and ops fig.s COM'!AB35</f>
        <v>-334285.71428571432</v>
      </c>
      <c r="AW124" s="185">
        <f>'Alt. scenario COM'!X35</f>
        <v>-77142.857142857145</v>
      </c>
      <c r="AX124" s="185">
        <f>'Alt. scenario COM'!Y35</f>
        <v>-81428.57142857142</v>
      </c>
      <c r="AY124" s="185">
        <f>'Alt. scenario COM'!Z35</f>
        <v>-85714.28571428571</v>
      </c>
      <c r="AZ124" s="185">
        <f>'Alt. scenario COM'!AA35</f>
        <v>-90000</v>
      </c>
      <c r="BA124" s="230">
        <f>'Alt. scenario COM'!AB35</f>
        <v>-334285.71428571432</v>
      </c>
      <c r="BB124" s="185">
        <f>'Key financial and ops fig.s COM'!AC35</f>
        <v>-90000</v>
      </c>
      <c r="BC124" s="185">
        <f>'Key financial and ops fig.s COM'!AD35</f>
        <v>-85714.28571428571</v>
      </c>
      <c r="BD124" s="185">
        <f>'Key financial and ops fig.s COM'!AE35</f>
        <v>-85714.28571428571</v>
      </c>
      <c r="BE124" s="185">
        <f>'Key financial and ops fig.s COM'!AF35</f>
        <v>-85714.28571428571</v>
      </c>
      <c r="BF124" s="213">
        <f>'Key financial and ops fig.s COM'!AG35</f>
        <v>-347142.85714285716</v>
      </c>
      <c r="BG124" s="185">
        <f>'Alt. scenario COM'!AC35</f>
        <v>-90000</v>
      </c>
      <c r="BH124" s="185">
        <f>'Alt. scenario COM'!AD35</f>
        <v>-85714.28571428571</v>
      </c>
      <c r="BI124" s="185">
        <f>'Alt. scenario COM'!AE35</f>
        <v>-85714.28571428571</v>
      </c>
      <c r="BJ124" s="185">
        <f>'Alt. scenario COM'!AF35</f>
        <v>-85714.28571428571</v>
      </c>
      <c r="BK124" s="230">
        <f>'Alt. scenario COM'!AG35</f>
        <v>-347142.85714285716</v>
      </c>
      <c r="BL124" s="63">
        <f>'Key financial and ops fig.s COM'!AH35</f>
        <v>-85714.28571428571</v>
      </c>
      <c r="BM124" s="64">
        <f>'Key financial and ops fig.s COM'!AI35</f>
        <v>-85714.28571428571</v>
      </c>
      <c r="BN124" s="64">
        <f>'Key financial and ops fig.s COM'!AJ35</f>
        <v>-85714.28571428571</v>
      </c>
      <c r="BO124" s="108">
        <f>'Key financial and ops fig.s COM'!AK35</f>
        <v>-85714.28571428571</v>
      </c>
      <c r="BP124" s="213">
        <f>'Key financial and ops fig.s COM'!AL35</f>
        <v>-342857.14285714284</v>
      </c>
      <c r="BQ124" s="185">
        <f>'Alt. scenario COM'!AH35</f>
        <v>-85714.28571428571</v>
      </c>
      <c r="BR124" s="185">
        <f>'Alt. scenario COM'!AI35</f>
        <v>-85714.28571428571</v>
      </c>
      <c r="BS124" s="185">
        <f>'Alt. scenario COM'!AJ35</f>
        <v>-85714.28571428571</v>
      </c>
      <c r="BT124" s="185">
        <f>'Alt. scenario COM'!AK35</f>
        <v>-85714.28571428571</v>
      </c>
      <c r="BU124" s="230">
        <f>'Alt. scenario COM'!AL35</f>
        <v>-342857.14285714284</v>
      </c>
    </row>
    <row r="125" spans="1:73" ht="17.100000000000001" hidden="1" outlineLevel="2" thickBot="1">
      <c r="A125" s="31"/>
      <c r="C125" s="32" t="s">
        <v>277</v>
      </c>
      <c r="D125" s="185">
        <f>'Key financial and ops fig.s COM'!D36</f>
        <v>-107142.85714285714</v>
      </c>
      <c r="E125" s="185">
        <f>'Key financial and ops fig.s COM'!E36</f>
        <v>-107142.85714285714</v>
      </c>
      <c r="F125" s="185">
        <f>'Key financial and ops fig.s COM'!F36</f>
        <v>-107142.85714285714</v>
      </c>
      <c r="G125" s="185">
        <f>'Key financial and ops fig.s COM'!G36</f>
        <v>-107142.85714285714</v>
      </c>
      <c r="H125" s="213">
        <f>'Key financial and ops fig.s COM'!H36</f>
        <v>-428571.42857142858</v>
      </c>
      <c r="I125" s="185">
        <f>'Alt. scenario COM'!D36</f>
        <v>-107142.85714285714</v>
      </c>
      <c r="J125" s="185">
        <f>'Alt. scenario COM'!E36</f>
        <v>-107142.85714285714</v>
      </c>
      <c r="K125" s="185">
        <f>'Alt. scenario COM'!F36</f>
        <v>-107142.85714285714</v>
      </c>
      <c r="L125" s="185">
        <f>'Alt. scenario COM'!G36</f>
        <v>-107142.85714285714</v>
      </c>
      <c r="M125" s="230">
        <f>'Alt. scenario COM'!H36</f>
        <v>-428571.42857142858</v>
      </c>
      <c r="N125" s="185">
        <f>'Key financial and ops fig.s COM'!I36</f>
        <v>-107142.85714285714</v>
      </c>
      <c r="O125" s="185">
        <f>'Key financial and ops fig.s COM'!J36</f>
        <v>-107142.85714285714</v>
      </c>
      <c r="P125" s="185">
        <f>'Key financial and ops fig.s COM'!K36</f>
        <v>-107142.85714285714</v>
      </c>
      <c r="Q125" s="185">
        <f>'Key financial and ops fig.s COM'!L36</f>
        <v>-107142.85714285714</v>
      </c>
      <c r="R125" s="213">
        <f>'Key financial and ops fig.s COM'!M36</f>
        <v>-428571.42857142858</v>
      </c>
      <c r="S125" s="185">
        <f>'Alt. scenario COM'!I36</f>
        <v>-107142.85714285714</v>
      </c>
      <c r="T125" s="185">
        <f>'Alt. scenario COM'!J36</f>
        <v>-107142.85714285714</v>
      </c>
      <c r="U125" s="185">
        <f>'Alt. scenario COM'!K36</f>
        <v>-107142.85714285714</v>
      </c>
      <c r="V125" s="185">
        <f>'Alt. scenario COM'!L36</f>
        <v>-107142.85714285714</v>
      </c>
      <c r="W125" s="230">
        <f>'Alt. scenario COM'!M36</f>
        <v>-428571.42857142858</v>
      </c>
      <c r="X125" s="185">
        <f>'Key financial and ops fig.s COM'!N36</f>
        <v>-107142.85714285714</v>
      </c>
      <c r="Y125" s="185">
        <f>'Key financial and ops fig.s COM'!O36</f>
        <v>-107142.85714285714</v>
      </c>
      <c r="Z125" s="185">
        <f>'Key financial and ops fig.s COM'!P36</f>
        <v>-107142.85714285714</v>
      </c>
      <c r="AA125" s="185">
        <f>'Key financial and ops fig.s COM'!Q36</f>
        <v>-107142.85714285714</v>
      </c>
      <c r="AB125" s="213">
        <f>'Key financial and ops fig.s COM'!R36</f>
        <v>-428571.42857142858</v>
      </c>
      <c r="AC125" s="185">
        <f>'Alt. scenario COM'!N36</f>
        <v>-107142.85714285714</v>
      </c>
      <c r="AD125" s="185">
        <f>'Alt. scenario COM'!O36</f>
        <v>-107142.85714285714</v>
      </c>
      <c r="AE125" s="185">
        <f>'Alt. scenario COM'!P36</f>
        <v>-107142.85714285714</v>
      </c>
      <c r="AF125" s="185">
        <f>'Alt. scenario COM'!Q36</f>
        <v>-107142.85714285714</v>
      </c>
      <c r="AG125" s="230">
        <f>'Alt. scenario COM'!R36</f>
        <v>-428571.42857142858</v>
      </c>
      <c r="AH125" s="185">
        <f>'Key financial and ops fig.s COM'!S36</f>
        <v>-107142.85714285714</v>
      </c>
      <c r="AI125" s="185">
        <f>'Key financial and ops fig.s COM'!T36</f>
        <v>-107142.85714285714</v>
      </c>
      <c r="AJ125" s="185">
        <f>'Key financial and ops fig.s COM'!U36</f>
        <v>-107142.85714285714</v>
      </c>
      <c r="AK125" s="185">
        <f>'Key financial and ops fig.s COM'!V36</f>
        <v>-107142.85714285714</v>
      </c>
      <c r="AL125" s="213">
        <f>'Key financial and ops fig.s COM'!W36</f>
        <v>-428571.42857142858</v>
      </c>
      <c r="AM125" s="185">
        <f>'Alt. scenario COM'!S36</f>
        <v>-107142.85714285714</v>
      </c>
      <c r="AN125" s="185">
        <f>'Alt. scenario COM'!T36</f>
        <v>-107142.85714285714</v>
      </c>
      <c r="AO125" s="185">
        <f>'Alt. scenario COM'!U36</f>
        <v>-107142.85714285714</v>
      </c>
      <c r="AP125" s="185">
        <f>'Alt. scenario COM'!V36</f>
        <v>-107142.85714285714</v>
      </c>
      <c r="AQ125" s="230">
        <f>'Alt. scenario COM'!W36</f>
        <v>-428571.42857142858</v>
      </c>
      <c r="AR125" s="185">
        <f>'Key financial and ops fig.s COM'!X36</f>
        <v>-107142.85714285714</v>
      </c>
      <c r="AS125" s="185">
        <f>'Key financial and ops fig.s COM'!Y36</f>
        <v>-107142.85714285714</v>
      </c>
      <c r="AT125" s="185">
        <f>'Key financial and ops fig.s COM'!Z36</f>
        <v>-107142.85714285714</v>
      </c>
      <c r="AU125" s="185">
        <f>'Key financial and ops fig.s COM'!AA36</f>
        <v>-107142.85714285714</v>
      </c>
      <c r="AV125" s="213">
        <f>'Key financial and ops fig.s COM'!AB36</f>
        <v>-428571.42857142858</v>
      </c>
      <c r="AW125" s="185">
        <f>'Alt. scenario COM'!X36</f>
        <v>-107142.85714285714</v>
      </c>
      <c r="AX125" s="185">
        <f>'Alt. scenario COM'!Y36</f>
        <v>-107142.85714285714</v>
      </c>
      <c r="AY125" s="185">
        <f>'Alt. scenario COM'!Z36</f>
        <v>-107142.85714285714</v>
      </c>
      <c r="AZ125" s="185">
        <f>'Alt. scenario COM'!AA36</f>
        <v>-107142.85714285714</v>
      </c>
      <c r="BA125" s="230">
        <f>'Alt. scenario COM'!AB36</f>
        <v>-428571.42857142858</v>
      </c>
      <c r="BB125" s="185">
        <f>'Key financial and ops fig.s COM'!AC36</f>
        <v>-107142.85714285714</v>
      </c>
      <c r="BC125" s="185">
        <f>'Key financial and ops fig.s COM'!AD36</f>
        <v>-107142.85714285714</v>
      </c>
      <c r="BD125" s="185">
        <f>'Key financial and ops fig.s COM'!AE36</f>
        <v>-107142.85714285714</v>
      </c>
      <c r="BE125" s="185">
        <f>'Key financial and ops fig.s COM'!AF36</f>
        <v>-107142.85714285714</v>
      </c>
      <c r="BF125" s="213">
        <f>'Key financial and ops fig.s COM'!AG36</f>
        <v>-428571.42857142858</v>
      </c>
      <c r="BG125" s="185">
        <f>'Alt. scenario COM'!AC36</f>
        <v>-107142.85714285714</v>
      </c>
      <c r="BH125" s="185">
        <f>'Alt. scenario COM'!AD36</f>
        <v>-107142.85714285714</v>
      </c>
      <c r="BI125" s="185">
        <f>'Alt. scenario COM'!AE36</f>
        <v>-107142.85714285714</v>
      </c>
      <c r="BJ125" s="185">
        <f>'Alt. scenario COM'!AF36</f>
        <v>-107142.85714285714</v>
      </c>
      <c r="BK125" s="230">
        <f>'Alt. scenario COM'!AG36</f>
        <v>-428571.42857142858</v>
      </c>
      <c r="BL125" s="63">
        <f>'Key financial and ops fig.s COM'!AH36</f>
        <v>-107142.85714285714</v>
      </c>
      <c r="BM125" s="64">
        <f>'Key financial and ops fig.s COM'!AI36</f>
        <v>-107142.85714285714</v>
      </c>
      <c r="BN125" s="64">
        <f>'Key financial and ops fig.s COM'!AJ36</f>
        <v>-107142.85714285714</v>
      </c>
      <c r="BO125" s="108">
        <f>'Key financial and ops fig.s COM'!AK36</f>
        <v>-107142.85714285714</v>
      </c>
      <c r="BP125" s="213">
        <f>'Key financial and ops fig.s COM'!AL36</f>
        <v>-428571.42857142858</v>
      </c>
      <c r="BQ125" s="185">
        <f>'Alt. scenario COM'!AH36</f>
        <v>-107142.85714285714</v>
      </c>
      <c r="BR125" s="185">
        <f>'Alt. scenario COM'!AI36</f>
        <v>-107142.85714285714</v>
      </c>
      <c r="BS125" s="185">
        <f>'Alt. scenario COM'!AJ36</f>
        <v>-107142.85714285714</v>
      </c>
      <c r="BT125" s="185">
        <f>'Alt. scenario COM'!AK36</f>
        <v>-107142.85714285714</v>
      </c>
      <c r="BU125" s="230">
        <f>'Alt. scenario COM'!AL36</f>
        <v>-428571.42857142858</v>
      </c>
    </row>
    <row r="126" spans="1:73" ht="17.100000000000001" hidden="1" outlineLevel="1" thickBot="1">
      <c r="A126" s="31"/>
      <c r="B126" s="34" t="s">
        <v>278</v>
      </c>
      <c r="C126" s="34"/>
      <c r="D126" s="186">
        <f>'Key financial and ops fig.s COM'!D37</f>
        <v>-116614.28571428571</v>
      </c>
      <c r="E126" s="186">
        <f>'Key financial and ops fig.s COM'!E37</f>
        <v>-121607.14285714286</v>
      </c>
      <c r="F126" s="186">
        <f>'Key financial and ops fig.s COM'!F37</f>
        <v>-126600</v>
      </c>
      <c r="G126" s="186">
        <f>'Key financial and ops fig.s COM'!G37</f>
        <v>-131657.14285714287</v>
      </c>
      <c r="H126" s="214">
        <f>'Key financial and ops fig.s COM'!H37</f>
        <v>-496478.57142857148</v>
      </c>
      <c r="I126" s="186">
        <f>'Alt. scenario COM'!D37</f>
        <v>-116614.28571428571</v>
      </c>
      <c r="J126" s="186">
        <f>'Alt. scenario COM'!E37</f>
        <v>-121607.14285714286</v>
      </c>
      <c r="K126" s="186">
        <f>'Alt. scenario COM'!F37</f>
        <v>-126600</v>
      </c>
      <c r="L126" s="186">
        <f>'Alt. scenario COM'!G37</f>
        <v>-131657.14285714287</v>
      </c>
      <c r="M126" s="231">
        <f>'Alt. scenario COM'!H37</f>
        <v>-496478.57142857148</v>
      </c>
      <c r="N126" s="186">
        <f>'Key financial and ops fig.s COM'!I37</f>
        <v>-136650</v>
      </c>
      <c r="O126" s="186">
        <f>'Key financial and ops fig.s COM'!J37</f>
        <v>-141642.85714285716</v>
      </c>
      <c r="P126" s="186">
        <f>'Key financial and ops fig.s COM'!K37</f>
        <v>-146571.42857142858</v>
      </c>
      <c r="Q126" s="186">
        <f>'Key financial and ops fig.s COM'!L37</f>
        <v>-151500</v>
      </c>
      <c r="R126" s="214">
        <f>'Key financial and ops fig.s COM'!M37</f>
        <v>-576364.28571428568</v>
      </c>
      <c r="S126" s="186">
        <f>'Alt. scenario COM'!I37</f>
        <v>-136650</v>
      </c>
      <c r="T126" s="186">
        <f>'Alt. scenario COM'!J37</f>
        <v>-141642.85714285716</v>
      </c>
      <c r="U126" s="186">
        <f>'Alt. scenario COM'!K37</f>
        <v>-146571.42857142858</v>
      </c>
      <c r="V126" s="186">
        <f>'Alt. scenario COM'!L37</f>
        <v>-151500</v>
      </c>
      <c r="W126" s="231">
        <f>'Alt. scenario COM'!M37</f>
        <v>-576364.28571428568</v>
      </c>
      <c r="X126" s="186">
        <f>'Key financial and ops fig.s COM'!N37</f>
        <v>-156492.85714285716</v>
      </c>
      <c r="Y126" s="186">
        <f>'Key financial and ops fig.s COM'!O37</f>
        <v>-161421.42857142858</v>
      </c>
      <c r="Z126" s="186">
        <f>'Key financial and ops fig.s COM'!P37</f>
        <v>-166414.28571428571</v>
      </c>
      <c r="AA126" s="186">
        <f>'Key financial and ops fig.s COM'!Q37</f>
        <v>-171342.85714285716</v>
      </c>
      <c r="AB126" s="214">
        <f>'Key financial and ops fig.s COM'!R37</f>
        <v>-655671.42857142864</v>
      </c>
      <c r="AC126" s="186">
        <f>'Alt. scenario COM'!N37</f>
        <v>-156492.85714285716</v>
      </c>
      <c r="AD126" s="186">
        <f>'Alt. scenario COM'!O37</f>
        <v>-161421.42857142858</v>
      </c>
      <c r="AE126" s="186">
        <f>'Alt. scenario COM'!P37</f>
        <v>-166414.28571428571</v>
      </c>
      <c r="AF126" s="186">
        <f>'Alt. scenario COM'!Q37</f>
        <v>-171342.85714285716</v>
      </c>
      <c r="AG126" s="231">
        <f>'Alt. scenario COM'!R37</f>
        <v>-655671.42857142864</v>
      </c>
      <c r="AH126" s="186">
        <f>'Key financial and ops fig.s COM'!S37</f>
        <v>-176207.14285714284</v>
      </c>
      <c r="AI126" s="186">
        <f>'Key financial and ops fig.s COM'!T37</f>
        <v>-181135.71428571429</v>
      </c>
      <c r="AJ126" s="186">
        <f>'Key financial and ops fig.s COM'!U37</f>
        <v>-186064.28571428574</v>
      </c>
      <c r="AK126" s="186">
        <f>'Key financial and ops fig.s COM'!V37</f>
        <v>-190992.85714285716</v>
      </c>
      <c r="AL126" s="214">
        <f>'Key financial and ops fig.s COM'!W37</f>
        <v>-734400.00000000012</v>
      </c>
      <c r="AM126" s="186">
        <f>'Alt. scenario COM'!S37</f>
        <v>-176207.14285714284</v>
      </c>
      <c r="AN126" s="186">
        <f>'Alt. scenario COM'!T37</f>
        <v>-181135.71428571429</v>
      </c>
      <c r="AO126" s="186">
        <f>'Alt. scenario COM'!U37</f>
        <v>-186064.28571428574</v>
      </c>
      <c r="AP126" s="186">
        <f>'Alt. scenario COM'!V37</f>
        <v>-190992.85714285716</v>
      </c>
      <c r="AQ126" s="231">
        <f>'Alt. scenario COM'!W37</f>
        <v>-734400.00000000012</v>
      </c>
      <c r="AR126" s="186">
        <f>'Key financial and ops fig.s COM'!X37</f>
        <v>-195857.14285714284</v>
      </c>
      <c r="AS126" s="186">
        <f>'Key financial and ops fig.s COM'!Y37</f>
        <v>-200657.14285714284</v>
      </c>
      <c r="AT126" s="186">
        <f>'Key financial and ops fig.s COM'!Z37</f>
        <v>-205521.42857142858</v>
      </c>
      <c r="AU126" s="186">
        <f>'Key financial and ops fig.s COM'!AA37</f>
        <v>-210450</v>
      </c>
      <c r="AV126" s="214">
        <f>'Key financial and ops fig.s COM'!AB37</f>
        <v>-812485.71428571432</v>
      </c>
      <c r="AW126" s="186">
        <f>'Alt. scenario COM'!X37</f>
        <v>-195857.14285714284</v>
      </c>
      <c r="AX126" s="186">
        <f>'Alt. scenario COM'!Y37</f>
        <v>-200657.14285714284</v>
      </c>
      <c r="AY126" s="186">
        <f>'Alt. scenario COM'!Z37</f>
        <v>-205521.42857142858</v>
      </c>
      <c r="AZ126" s="186">
        <f>'Alt. scenario COM'!AA37</f>
        <v>-210450</v>
      </c>
      <c r="BA126" s="231">
        <f>'Alt. scenario COM'!AB37</f>
        <v>-812485.71428571432</v>
      </c>
      <c r="BB126" s="186">
        <f>'Key financial and ops fig.s COM'!AC37</f>
        <v>-210385.71428571429</v>
      </c>
      <c r="BC126" s="186">
        <f>'Key financial and ops fig.s COM'!AD37</f>
        <v>-205842.85714285716</v>
      </c>
      <c r="BD126" s="186">
        <f>'Key financial and ops fig.s COM'!AE37</f>
        <v>-205778.57142857142</v>
      </c>
      <c r="BE126" s="186">
        <f>'Key financial and ops fig.s COM'!AF37</f>
        <v>-205778.57142857142</v>
      </c>
      <c r="BF126" s="214">
        <f>'Key financial and ops fig.s COM'!AG37</f>
        <v>-827785.71428571432</v>
      </c>
      <c r="BG126" s="186">
        <f>'Alt. scenario COM'!AC37</f>
        <v>-210385.71428571429</v>
      </c>
      <c r="BH126" s="186">
        <f>'Alt. scenario COM'!AD37</f>
        <v>-205842.85714285716</v>
      </c>
      <c r="BI126" s="186">
        <f>'Alt. scenario COM'!AE37</f>
        <v>-205778.57142857142</v>
      </c>
      <c r="BJ126" s="186">
        <f>'Alt. scenario COM'!AF37</f>
        <v>-205778.57142857142</v>
      </c>
      <c r="BK126" s="231">
        <f>'Alt. scenario COM'!AG37</f>
        <v>-827785.71428571432</v>
      </c>
      <c r="BL126" s="65">
        <f>'Key financial and ops fig.s COM'!AH37</f>
        <v>-205585.71428571426</v>
      </c>
      <c r="BM126" s="66">
        <f>'Key financial and ops fig.s COM'!AI37</f>
        <v>-205521.42857142858</v>
      </c>
      <c r="BN126" s="66">
        <f>'Key financial and ops fig.s COM'!AJ37</f>
        <v>-205521.42857142858</v>
      </c>
      <c r="BO126" s="141">
        <f>'Key financial and ops fig.s COM'!AK37</f>
        <v>-205392.85714285716</v>
      </c>
      <c r="BP126" s="214">
        <f>'Key financial and ops fig.s COM'!AL37</f>
        <v>-822021.42857142852</v>
      </c>
      <c r="BQ126" s="186">
        <f>'Alt. scenario COM'!AH37</f>
        <v>-205585.71428571426</v>
      </c>
      <c r="BR126" s="186">
        <f>'Alt. scenario COM'!AI37</f>
        <v>-205521.42857142858</v>
      </c>
      <c r="BS126" s="186">
        <f>'Alt. scenario COM'!AJ37</f>
        <v>-205521.42857142858</v>
      </c>
      <c r="BT126" s="186">
        <f>'Alt. scenario COM'!AK37</f>
        <v>-205392.85714285716</v>
      </c>
      <c r="BU126" s="231">
        <f>'Alt. scenario COM'!AL37</f>
        <v>-822021.42857142852</v>
      </c>
    </row>
    <row r="127" spans="1:73" ht="17.100000000000001" hidden="1" outlineLevel="2" thickBot="1">
      <c r="A127" s="31"/>
      <c r="C127" s="32" t="s">
        <v>279</v>
      </c>
      <c r="D127" s="185">
        <f>'Key financial and ops fig.s COM'!D38</f>
        <v>-30000</v>
      </c>
      <c r="E127" s="185">
        <f>'Key financial and ops fig.s COM'!E38</f>
        <v>-45000</v>
      </c>
      <c r="F127" s="185">
        <f>'Key financial and ops fig.s COM'!F38</f>
        <v>-60000</v>
      </c>
      <c r="G127" s="185">
        <f>'Key financial and ops fig.s COM'!G38</f>
        <v>-75000</v>
      </c>
      <c r="H127" s="213">
        <f>'Key financial and ops fig.s COM'!H38</f>
        <v>-210000</v>
      </c>
      <c r="I127" s="185">
        <f>'Alt. scenario COM'!D38</f>
        <v>-30000</v>
      </c>
      <c r="J127" s="185">
        <f>'Alt. scenario COM'!E38</f>
        <v>-45000</v>
      </c>
      <c r="K127" s="185">
        <f>'Alt. scenario COM'!F38</f>
        <v>-60000</v>
      </c>
      <c r="L127" s="185">
        <f>'Alt. scenario COM'!G38</f>
        <v>-75000</v>
      </c>
      <c r="M127" s="230">
        <f>'Alt. scenario COM'!H38</f>
        <v>-210000</v>
      </c>
      <c r="N127" s="185">
        <f>'Key financial and ops fig.s COM'!I38</f>
        <v>-90000</v>
      </c>
      <c r="O127" s="185">
        <f>'Key financial and ops fig.s COM'!J38</f>
        <v>-105000</v>
      </c>
      <c r="P127" s="185">
        <f>'Key financial and ops fig.s COM'!K38</f>
        <v>-120000</v>
      </c>
      <c r="Q127" s="185">
        <f>'Key financial and ops fig.s COM'!L38</f>
        <v>-135000</v>
      </c>
      <c r="R127" s="213">
        <f>'Key financial and ops fig.s COM'!M38</f>
        <v>-450000</v>
      </c>
      <c r="S127" s="185">
        <f>'Alt. scenario COM'!I38</f>
        <v>-90000</v>
      </c>
      <c r="T127" s="185">
        <f>'Alt. scenario COM'!J38</f>
        <v>-105000</v>
      </c>
      <c r="U127" s="185">
        <f>'Alt. scenario COM'!K38</f>
        <v>-120000</v>
      </c>
      <c r="V127" s="185">
        <f>'Alt. scenario COM'!L38</f>
        <v>-135000</v>
      </c>
      <c r="W127" s="230">
        <f>'Alt. scenario COM'!M38</f>
        <v>-450000</v>
      </c>
      <c r="X127" s="185">
        <f>'Key financial and ops fig.s COM'!N38</f>
        <v>-150000</v>
      </c>
      <c r="Y127" s="185">
        <f>'Key financial and ops fig.s COM'!O38</f>
        <v>-165000</v>
      </c>
      <c r="Z127" s="185">
        <f>'Key financial and ops fig.s COM'!P38</f>
        <v>-180000</v>
      </c>
      <c r="AA127" s="185">
        <f>'Key financial and ops fig.s COM'!Q38</f>
        <v>-195000</v>
      </c>
      <c r="AB127" s="213">
        <f>'Key financial and ops fig.s COM'!R38</f>
        <v>-690000</v>
      </c>
      <c r="AC127" s="185">
        <f>'Alt. scenario COM'!N38</f>
        <v>-150000</v>
      </c>
      <c r="AD127" s="185">
        <f>'Alt. scenario COM'!O38</f>
        <v>-165000</v>
      </c>
      <c r="AE127" s="185">
        <f>'Alt. scenario COM'!P38</f>
        <v>-180000</v>
      </c>
      <c r="AF127" s="185">
        <f>'Alt. scenario COM'!Q38</f>
        <v>-195000</v>
      </c>
      <c r="AG127" s="230">
        <f>'Alt. scenario COM'!R38</f>
        <v>-690000</v>
      </c>
      <c r="AH127" s="185">
        <f>'Key financial and ops fig.s COM'!S38</f>
        <v>-210000</v>
      </c>
      <c r="AI127" s="185">
        <f>'Key financial and ops fig.s COM'!T38</f>
        <v>-225000</v>
      </c>
      <c r="AJ127" s="185">
        <f>'Key financial and ops fig.s COM'!U38</f>
        <v>-240000</v>
      </c>
      <c r="AK127" s="185">
        <f>'Key financial and ops fig.s COM'!V38</f>
        <v>-255000</v>
      </c>
      <c r="AL127" s="213">
        <f>'Key financial and ops fig.s COM'!W38</f>
        <v>-930000</v>
      </c>
      <c r="AM127" s="185">
        <f>'Alt. scenario COM'!S38</f>
        <v>-210000</v>
      </c>
      <c r="AN127" s="185">
        <f>'Alt. scenario COM'!T38</f>
        <v>-225000</v>
      </c>
      <c r="AO127" s="185">
        <f>'Alt. scenario COM'!U38</f>
        <v>-240000</v>
      </c>
      <c r="AP127" s="185">
        <f>'Alt. scenario COM'!V38</f>
        <v>-255000</v>
      </c>
      <c r="AQ127" s="230">
        <f>'Alt. scenario COM'!W38</f>
        <v>-930000</v>
      </c>
      <c r="AR127" s="185">
        <f>'Key financial and ops fig.s COM'!X38</f>
        <v>-270000</v>
      </c>
      <c r="AS127" s="185">
        <f>'Key financial and ops fig.s COM'!Y38</f>
        <v>-285000</v>
      </c>
      <c r="AT127" s="185">
        <f>'Key financial and ops fig.s COM'!Z38</f>
        <v>-300000</v>
      </c>
      <c r="AU127" s="185">
        <f>'Key financial and ops fig.s COM'!AA38</f>
        <v>-315000</v>
      </c>
      <c r="AV127" s="213">
        <f>'Key financial and ops fig.s COM'!AB38</f>
        <v>-1170000</v>
      </c>
      <c r="AW127" s="185">
        <f>'Alt. scenario COM'!X38</f>
        <v>-270000</v>
      </c>
      <c r="AX127" s="185">
        <f>'Alt. scenario COM'!Y38</f>
        <v>-285000</v>
      </c>
      <c r="AY127" s="185">
        <f>'Alt. scenario COM'!Z38</f>
        <v>-300000</v>
      </c>
      <c r="AZ127" s="185">
        <f>'Alt. scenario COM'!AA38</f>
        <v>-315000</v>
      </c>
      <c r="BA127" s="230">
        <f>'Alt. scenario COM'!AB38</f>
        <v>-1170000</v>
      </c>
      <c r="BB127" s="185">
        <f>'Key financial and ops fig.s COM'!AC38</f>
        <v>-315000</v>
      </c>
      <c r="BC127" s="185">
        <f>'Key financial and ops fig.s COM'!AD38</f>
        <v>-300000</v>
      </c>
      <c r="BD127" s="185">
        <f>'Key financial and ops fig.s COM'!AE38</f>
        <v>-300000</v>
      </c>
      <c r="BE127" s="185">
        <f>'Key financial and ops fig.s COM'!AF38</f>
        <v>-300000</v>
      </c>
      <c r="BF127" s="213">
        <f>'Key financial and ops fig.s COM'!AG38</f>
        <v>-1215000</v>
      </c>
      <c r="BG127" s="185">
        <f>'Alt. scenario COM'!AC38</f>
        <v>-315000</v>
      </c>
      <c r="BH127" s="185">
        <f>'Alt. scenario COM'!AD38</f>
        <v>-300000</v>
      </c>
      <c r="BI127" s="185">
        <f>'Alt. scenario COM'!AE38</f>
        <v>-300000</v>
      </c>
      <c r="BJ127" s="185">
        <f>'Alt. scenario COM'!AF38</f>
        <v>-300000</v>
      </c>
      <c r="BK127" s="230">
        <f>'Alt. scenario COM'!AG38</f>
        <v>-1215000</v>
      </c>
      <c r="BL127" s="63">
        <f>'Key financial and ops fig.s COM'!AH38</f>
        <v>-300000</v>
      </c>
      <c r="BM127" s="64">
        <f>'Key financial and ops fig.s COM'!AI38</f>
        <v>-300000</v>
      </c>
      <c r="BN127" s="64">
        <f>'Key financial and ops fig.s COM'!AJ38</f>
        <v>-300000</v>
      </c>
      <c r="BO127" s="108">
        <f>'Key financial and ops fig.s COM'!AK38</f>
        <v>-300000</v>
      </c>
      <c r="BP127" s="213">
        <f>'Key financial and ops fig.s COM'!AL38</f>
        <v>-1200000</v>
      </c>
      <c r="BQ127" s="185">
        <f>'Alt. scenario COM'!AH38</f>
        <v>-300000</v>
      </c>
      <c r="BR127" s="185">
        <f>'Alt. scenario COM'!AI38</f>
        <v>-300000</v>
      </c>
      <c r="BS127" s="185">
        <f>'Alt. scenario COM'!AJ38</f>
        <v>-300000</v>
      </c>
      <c r="BT127" s="185">
        <f>'Alt. scenario COM'!AK38</f>
        <v>-300000</v>
      </c>
      <c r="BU127" s="230">
        <f>'Alt. scenario COM'!AL38</f>
        <v>-1200000</v>
      </c>
    </row>
    <row r="128" spans="1:73" ht="17.100000000000001" hidden="1" outlineLevel="2" thickBot="1">
      <c r="A128" s="31"/>
      <c r="C128" s="32" t="s">
        <v>280</v>
      </c>
      <c r="D128" s="185">
        <f>'Key financial and ops fig.s COM'!D39</f>
        <v>-3000</v>
      </c>
      <c r="E128" s="185">
        <f>'Key financial and ops fig.s COM'!E39</f>
        <v>-4500</v>
      </c>
      <c r="F128" s="185">
        <f>'Key financial and ops fig.s COM'!F39</f>
        <v>-6000</v>
      </c>
      <c r="G128" s="185">
        <f>'Key financial and ops fig.s COM'!G39</f>
        <v>-7500</v>
      </c>
      <c r="H128" s="213">
        <f>'Key financial and ops fig.s COM'!H39</f>
        <v>-21000</v>
      </c>
      <c r="I128" s="185">
        <f>'Alt. scenario COM'!D39</f>
        <v>-3000</v>
      </c>
      <c r="J128" s="185">
        <f>'Alt. scenario COM'!E39</f>
        <v>-4500</v>
      </c>
      <c r="K128" s="185">
        <f>'Alt. scenario COM'!F39</f>
        <v>-6000</v>
      </c>
      <c r="L128" s="185">
        <f>'Alt. scenario COM'!G39</f>
        <v>-7500</v>
      </c>
      <c r="M128" s="230">
        <f>'Alt. scenario COM'!H39</f>
        <v>-21000</v>
      </c>
      <c r="N128" s="185">
        <f>'Key financial and ops fig.s COM'!I39</f>
        <v>-9000</v>
      </c>
      <c r="O128" s="185">
        <f>'Key financial and ops fig.s COM'!J39</f>
        <v>-10500</v>
      </c>
      <c r="P128" s="185">
        <f>'Key financial and ops fig.s COM'!K39</f>
        <v>-12000</v>
      </c>
      <c r="Q128" s="185">
        <f>'Key financial and ops fig.s COM'!L39</f>
        <v>-13500</v>
      </c>
      <c r="R128" s="213">
        <f>'Key financial and ops fig.s COM'!M39</f>
        <v>-45000</v>
      </c>
      <c r="S128" s="185">
        <f>'Alt. scenario COM'!I39</f>
        <v>-9000</v>
      </c>
      <c r="T128" s="185">
        <f>'Alt. scenario COM'!J39</f>
        <v>-10500</v>
      </c>
      <c r="U128" s="185">
        <f>'Alt. scenario COM'!K39</f>
        <v>-12000</v>
      </c>
      <c r="V128" s="185">
        <f>'Alt. scenario COM'!L39</f>
        <v>-13500</v>
      </c>
      <c r="W128" s="230">
        <f>'Alt. scenario COM'!M39</f>
        <v>-45000</v>
      </c>
      <c r="X128" s="185">
        <f>'Key financial and ops fig.s COM'!N39</f>
        <v>-15000</v>
      </c>
      <c r="Y128" s="185">
        <f>'Key financial and ops fig.s COM'!O39</f>
        <v>-16500</v>
      </c>
      <c r="Z128" s="185">
        <f>'Key financial and ops fig.s COM'!P39</f>
        <v>-18000</v>
      </c>
      <c r="AA128" s="185">
        <f>'Key financial and ops fig.s COM'!Q39</f>
        <v>-19500</v>
      </c>
      <c r="AB128" s="213">
        <f>'Key financial and ops fig.s COM'!R39</f>
        <v>-69000</v>
      </c>
      <c r="AC128" s="185">
        <f>'Alt. scenario COM'!N39</f>
        <v>-15000</v>
      </c>
      <c r="AD128" s="185">
        <f>'Alt. scenario COM'!O39</f>
        <v>-16500</v>
      </c>
      <c r="AE128" s="185">
        <f>'Alt. scenario COM'!P39</f>
        <v>-18000</v>
      </c>
      <c r="AF128" s="185">
        <f>'Alt. scenario COM'!Q39</f>
        <v>-19500</v>
      </c>
      <c r="AG128" s="230">
        <f>'Alt. scenario COM'!R39</f>
        <v>-69000</v>
      </c>
      <c r="AH128" s="185">
        <f>'Key financial and ops fig.s COM'!S39</f>
        <v>-21000</v>
      </c>
      <c r="AI128" s="185">
        <f>'Key financial and ops fig.s COM'!T39</f>
        <v>-22500</v>
      </c>
      <c r="AJ128" s="185">
        <f>'Key financial and ops fig.s COM'!U39</f>
        <v>-24000</v>
      </c>
      <c r="AK128" s="185">
        <f>'Key financial and ops fig.s COM'!V39</f>
        <v>-25500</v>
      </c>
      <c r="AL128" s="213">
        <f>'Key financial and ops fig.s COM'!W39</f>
        <v>-93000</v>
      </c>
      <c r="AM128" s="185">
        <f>'Alt. scenario COM'!S39</f>
        <v>-21000</v>
      </c>
      <c r="AN128" s="185">
        <f>'Alt. scenario COM'!T39</f>
        <v>-22500</v>
      </c>
      <c r="AO128" s="185">
        <f>'Alt. scenario COM'!U39</f>
        <v>-24000</v>
      </c>
      <c r="AP128" s="185">
        <f>'Alt. scenario COM'!V39</f>
        <v>-25500</v>
      </c>
      <c r="AQ128" s="230">
        <f>'Alt. scenario COM'!W39</f>
        <v>-93000</v>
      </c>
      <c r="AR128" s="185">
        <f>'Key financial and ops fig.s COM'!X39</f>
        <v>-27000</v>
      </c>
      <c r="AS128" s="185">
        <f>'Key financial and ops fig.s COM'!Y39</f>
        <v>-28500</v>
      </c>
      <c r="AT128" s="185">
        <f>'Key financial and ops fig.s COM'!Z39</f>
        <v>-30000</v>
      </c>
      <c r="AU128" s="185">
        <f>'Key financial and ops fig.s COM'!AA39</f>
        <v>-31500</v>
      </c>
      <c r="AV128" s="213">
        <f>'Key financial and ops fig.s COM'!AB39</f>
        <v>-117000</v>
      </c>
      <c r="AW128" s="185">
        <f>'Alt. scenario COM'!X39</f>
        <v>-27000</v>
      </c>
      <c r="AX128" s="185">
        <f>'Alt. scenario COM'!Y39</f>
        <v>-28500</v>
      </c>
      <c r="AY128" s="185">
        <f>'Alt. scenario COM'!Z39</f>
        <v>-30000</v>
      </c>
      <c r="AZ128" s="185">
        <f>'Alt. scenario COM'!AA39</f>
        <v>-31500</v>
      </c>
      <c r="BA128" s="230">
        <f>'Alt. scenario COM'!AB39</f>
        <v>-117000</v>
      </c>
      <c r="BB128" s="185">
        <f>'Key financial and ops fig.s COM'!AC39</f>
        <v>-31500</v>
      </c>
      <c r="BC128" s="185">
        <f>'Key financial and ops fig.s COM'!AD39</f>
        <v>-30000</v>
      </c>
      <c r="BD128" s="185">
        <f>'Key financial and ops fig.s COM'!AE39</f>
        <v>-30000</v>
      </c>
      <c r="BE128" s="185">
        <f>'Key financial and ops fig.s COM'!AF39</f>
        <v>-30000</v>
      </c>
      <c r="BF128" s="213">
        <f>'Key financial and ops fig.s COM'!AG39</f>
        <v>-121500</v>
      </c>
      <c r="BG128" s="185">
        <f>'Alt. scenario COM'!AC39</f>
        <v>-31500</v>
      </c>
      <c r="BH128" s="185">
        <f>'Alt. scenario COM'!AD39</f>
        <v>-30000</v>
      </c>
      <c r="BI128" s="185">
        <f>'Alt. scenario COM'!AE39</f>
        <v>-30000</v>
      </c>
      <c r="BJ128" s="185">
        <f>'Alt. scenario COM'!AF39</f>
        <v>-30000</v>
      </c>
      <c r="BK128" s="230">
        <f>'Alt. scenario COM'!AG39</f>
        <v>-121500</v>
      </c>
      <c r="BL128" s="63">
        <f>'Key financial and ops fig.s COM'!AH39</f>
        <v>-30000</v>
      </c>
      <c r="BM128" s="64">
        <f>'Key financial and ops fig.s COM'!AI39</f>
        <v>-30000</v>
      </c>
      <c r="BN128" s="64">
        <f>'Key financial and ops fig.s COM'!AJ39</f>
        <v>-30000</v>
      </c>
      <c r="BO128" s="108">
        <f>'Key financial and ops fig.s COM'!AK39</f>
        <v>-30000</v>
      </c>
      <c r="BP128" s="213">
        <f>'Key financial and ops fig.s COM'!AL39</f>
        <v>-120000</v>
      </c>
      <c r="BQ128" s="185">
        <f>'Alt. scenario COM'!AH39</f>
        <v>-30000</v>
      </c>
      <c r="BR128" s="185">
        <f>'Alt. scenario COM'!AI39</f>
        <v>-30000</v>
      </c>
      <c r="BS128" s="185">
        <f>'Alt. scenario COM'!AJ39</f>
        <v>-30000</v>
      </c>
      <c r="BT128" s="185">
        <f>'Alt. scenario COM'!AK39</f>
        <v>-30000</v>
      </c>
      <c r="BU128" s="230">
        <f>'Alt. scenario COM'!AL39</f>
        <v>-120000</v>
      </c>
    </row>
    <row r="129" spans="1:73" ht="17.100000000000001" hidden="1" outlineLevel="2" thickBot="1">
      <c r="A129" s="31"/>
      <c r="C129" s="32" t="s">
        <v>281</v>
      </c>
      <c r="D129" s="185">
        <f>'Key financial and ops fig.s COM'!D40</f>
        <v>-1247400</v>
      </c>
      <c r="E129" s="185">
        <f>'Key financial and ops fig.s COM'!E40</f>
        <v>-995640</v>
      </c>
      <c r="F129" s="185">
        <f>'Key financial and ops fig.s COM'!F40</f>
        <v>-815460</v>
      </c>
      <c r="G129" s="185">
        <f>'Key financial and ops fig.s COM'!G40</f>
        <v>-635280</v>
      </c>
      <c r="H129" s="213">
        <f>'Key financial and ops fig.s COM'!H40</f>
        <v>-3693780</v>
      </c>
      <c r="I129" s="185">
        <f>'Alt. scenario COM'!D40</f>
        <v>-1247400</v>
      </c>
      <c r="J129" s="185">
        <f>'Alt. scenario COM'!E40</f>
        <v>-995640</v>
      </c>
      <c r="K129" s="185">
        <f>'Alt. scenario COM'!F40</f>
        <v>-815460</v>
      </c>
      <c r="L129" s="185">
        <f>'Alt. scenario COM'!G40</f>
        <v>-635280</v>
      </c>
      <c r="M129" s="230">
        <f>'Alt. scenario COM'!H40</f>
        <v>-3693780</v>
      </c>
      <c r="N129" s="185">
        <f>'Key financial and ops fig.s COM'!I40</f>
        <v>-455100</v>
      </c>
      <c r="O129" s="185">
        <f>'Key financial and ops fig.s COM'!J40</f>
        <v>-274920.00000000006</v>
      </c>
      <c r="P129" s="185">
        <f>'Key financial and ops fig.s COM'!K40</f>
        <v>-94740.000000000058</v>
      </c>
      <c r="Q129" s="185">
        <f>'Key financial and ops fig.s COM'!L40</f>
        <v>0</v>
      </c>
      <c r="R129" s="213">
        <f>'Key financial and ops fig.s COM'!M40</f>
        <v>-824760</v>
      </c>
      <c r="S129" s="185">
        <f>'Alt. scenario COM'!I40</f>
        <v>-455100</v>
      </c>
      <c r="T129" s="185">
        <f>'Alt. scenario COM'!J40</f>
        <v>-274920.00000000006</v>
      </c>
      <c r="U129" s="185">
        <f>'Alt. scenario COM'!K40</f>
        <v>-94740.000000000058</v>
      </c>
      <c r="V129" s="185">
        <f>'Alt. scenario COM'!L40</f>
        <v>0</v>
      </c>
      <c r="W129" s="230">
        <f>'Alt. scenario COM'!M40</f>
        <v>-824760</v>
      </c>
      <c r="X129" s="185">
        <f>'Key financial and ops fig.s COM'!N40</f>
        <v>0</v>
      </c>
      <c r="Y129" s="185">
        <f>'Key financial and ops fig.s COM'!O40</f>
        <v>0</v>
      </c>
      <c r="Z129" s="185">
        <f>'Key financial and ops fig.s COM'!P40</f>
        <v>0</v>
      </c>
      <c r="AA129" s="185">
        <f>'Key financial and ops fig.s COM'!Q40</f>
        <v>0</v>
      </c>
      <c r="AB129" s="213">
        <f>'Key financial and ops fig.s COM'!R40</f>
        <v>0</v>
      </c>
      <c r="AC129" s="185">
        <f>'Alt. scenario COM'!N40</f>
        <v>0</v>
      </c>
      <c r="AD129" s="185">
        <f>'Alt. scenario COM'!O40</f>
        <v>0</v>
      </c>
      <c r="AE129" s="185">
        <f>'Alt. scenario COM'!P40</f>
        <v>0</v>
      </c>
      <c r="AF129" s="185">
        <f>'Alt. scenario COM'!Q40</f>
        <v>0</v>
      </c>
      <c r="AG129" s="230">
        <f>'Alt. scenario COM'!R40</f>
        <v>0</v>
      </c>
      <c r="AH129" s="185">
        <f>'Key financial and ops fig.s COM'!S40</f>
        <v>0</v>
      </c>
      <c r="AI129" s="185">
        <f>'Key financial and ops fig.s COM'!T40</f>
        <v>0</v>
      </c>
      <c r="AJ129" s="185">
        <f>'Key financial and ops fig.s COM'!U40</f>
        <v>0</v>
      </c>
      <c r="AK129" s="185">
        <f>'Key financial and ops fig.s COM'!V40</f>
        <v>0</v>
      </c>
      <c r="AL129" s="213">
        <f>'Key financial and ops fig.s COM'!W40</f>
        <v>0</v>
      </c>
      <c r="AM129" s="185">
        <f>'Alt. scenario COM'!S40</f>
        <v>0</v>
      </c>
      <c r="AN129" s="185">
        <f>'Alt. scenario COM'!T40</f>
        <v>0</v>
      </c>
      <c r="AO129" s="185">
        <f>'Alt. scenario COM'!U40</f>
        <v>0</v>
      </c>
      <c r="AP129" s="185">
        <f>'Alt. scenario COM'!V40</f>
        <v>0</v>
      </c>
      <c r="AQ129" s="230">
        <f>'Alt. scenario COM'!W40</f>
        <v>0</v>
      </c>
      <c r="AR129" s="185">
        <f>'Key financial and ops fig.s COM'!X40</f>
        <v>0</v>
      </c>
      <c r="AS129" s="185">
        <f>'Key financial and ops fig.s COM'!Y40</f>
        <v>0</v>
      </c>
      <c r="AT129" s="185">
        <f>'Key financial and ops fig.s COM'!Z40</f>
        <v>0</v>
      </c>
      <c r="AU129" s="185">
        <f>'Key financial and ops fig.s COM'!AA40</f>
        <v>0</v>
      </c>
      <c r="AV129" s="213">
        <f>'Key financial and ops fig.s COM'!AB40</f>
        <v>0</v>
      </c>
      <c r="AW129" s="185">
        <f>'Alt. scenario COM'!X40</f>
        <v>0</v>
      </c>
      <c r="AX129" s="185">
        <f>'Alt. scenario COM'!Y40</f>
        <v>0</v>
      </c>
      <c r="AY129" s="185">
        <f>'Alt. scenario COM'!Z40</f>
        <v>0</v>
      </c>
      <c r="AZ129" s="185">
        <f>'Alt. scenario COM'!AA40</f>
        <v>0</v>
      </c>
      <c r="BA129" s="230">
        <f>'Alt. scenario COM'!AB40</f>
        <v>0</v>
      </c>
      <c r="BB129" s="185">
        <f>'Key financial and ops fig.s COM'!AC40</f>
        <v>0</v>
      </c>
      <c r="BC129" s="185">
        <f>'Key financial and ops fig.s COM'!AD40</f>
        <v>0</v>
      </c>
      <c r="BD129" s="185">
        <f>'Key financial and ops fig.s COM'!AE40</f>
        <v>0</v>
      </c>
      <c r="BE129" s="185">
        <f>'Key financial and ops fig.s COM'!AF40</f>
        <v>0</v>
      </c>
      <c r="BF129" s="213">
        <f>'Key financial and ops fig.s COM'!AG40</f>
        <v>0</v>
      </c>
      <c r="BG129" s="185">
        <f>'Alt. scenario COM'!AC40</f>
        <v>0</v>
      </c>
      <c r="BH129" s="185">
        <f>'Alt. scenario COM'!AD40</f>
        <v>0</v>
      </c>
      <c r="BI129" s="185">
        <f>'Alt. scenario COM'!AE40</f>
        <v>0</v>
      </c>
      <c r="BJ129" s="185">
        <f>'Alt. scenario COM'!AF40</f>
        <v>0</v>
      </c>
      <c r="BK129" s="230">
        <f>'Alt. scenario COM'!AG40</f>
        <v>0</v>
      </c>
      <c r="BL129" s="63">
        <f>'Key financial and ops fig.s COM'!AH40</f>
        <v>0</v>
      </c>
      <c r="BM129" s="64">
        <f>'Key financial and ops fig.s COM'!AI40</f>
        <v>0</v>
      </c>
      <c r="BN129" s="64">
        <f>'Key financial and ops fig.s COM'!AJ40</f>
        <v>0</v>
      </c>
      <c r="BO129" s="108">
        <f>'Key financial and ops fig.s COM'!AK40</f>
        <v>0</v>
      </c>
      <c r="BP129" s="213">
        <f>'Key financial and ops fig.s COM'!AL40</f>
        <v>0</v>
      </c>
      <c r="BQ129" s="185">
        <f>'Alt. scenario COM'!AH40</f>
        <v>0</v>
      </c>
      <c r="BR129" s="185">
        <f>'Alt. scenario COM'!AI40</f>
        <v>0</v>
      </c>
      <c r="BS129" s="185">
        <f>'Alt. scenario COM'!AJ40</f>
        <v>0</v>
      </c>
      <c r="BT129" s="185">
        <f>'Alt. scenario COM'!AK40</f>
        <v>0</v>
      </c>
      <c r="BU129" s="230">
        <f>'Alt. scenario COM'!AL40</f>
        <v>0</v>
      </c>
    </row>
    <row r="130" spans="1:73" ht="17.100000000000001" hidden="1" outlineLevel="2" thickBot="1">
      <c r="A130" s="31"/>
      <c r="C130" s="32" t="s">
        <v>282</v>
      </c>
      <c r="D130" s="185">
        <f>'Key financial and ops fig.s COM'!D41</f>
        <v>-55440</v>
      </c>
      <c r="E130" s="185">
        <f>'Key financial and ops fig.s COM'!E41</f>
        <v>-74400</v>
      </c>
      <c r="F130" s="185">
        <f>'Key financial and ops fig.s COM'!F41</f>
        <v>-74400</v>
      </c>
      <c r="G130" s="185">
        <f>'Key financial and ops fig.s COM'!G41</f>
        <v>-74400</v>
      </c>
      <c r="H130" s="213">
        <f>'Key financial and ops fig.s COM'!H41</f>
        <v>-278640</v>
      </c>
      <c r="I130" s="185">
        <f>'Alt. scenario COM'!D41</f>
        <v>-55440</v>
      </c>
      <c r="J130" s="185">
        <f>'Alt. scenario COM'!E41</f>
        <v>-74400</v>
      </c>
      <c r="K130" s="185">
        <f>'Alt. scenario COM'!F41</f>
        <v>-74400</v>
      </c>
      <c r="L130" s="185">
        <f>'Alt. scenario COM'!G41</f>
        <v>-74400</v>
      </c>
      <c r="M130" s="230">
        <f>'Alt. scenario COM'!H41</f>
        <v>-278640</v>
      </c>
      <c r="N130" s="185">
        <f>'Key financial and ops fig.s COM'!I41</f>
        <v>-74400</v>
      </c>
      <c r="O130" s="185">
        <f>'Key financial and ops fig.s COM'!J41</f>
        <v>-74400</v>
      </c>
      <c r="P130" s="185">
        <f>'Key financial and ops fig.s COM'!K41</f>
        <v>-74400</v>
      </c>
      <c r="Q130" s="185">
        <f>'Key financial and ops fig.s COM'!L41</f>
        <v>-74400</v>
      </c>
      <c r="R130" s="213">
        <f>'Key financial and ops fig.s COM'!M41</f>
        <v>-297600</v>
      </c>
      <c r="S130" s="185">
        <f>'Alt. scenario COM'!I41</f>
        <v>-74400</v>
      </c>
      <c r="T130" s="185">
        <f>'Alt. scenario COM'!J41</f>
        <v>-74400</v>
      </c>
      <c r="U130" s="185">
        <f>'Alt. scenario COM'!K41</f>
        <v>-74400</v>
      </c>
      <c r="V130" s="185">
        <f>'Alt. scenario COM'!L41</f>
        <v>-74400</v>
      </c>
      <c r="W130" s="230">
        <f>'Alt. scenario COM'!M41</f>
        <v>-297600</v>
      </c>
      <c r="X130" s="185">
        <f>'Key financial and ops fig.s COM'!N41</f>
        <v>-74400</v>
      </c>
      <c r="Y130" s="185">
        <f>'Key financial and ops fig.s COM'!O41</f>
        <v>-74400</v>
      </c>
      <c r="Z130" s="185">
        <f>'Key financial and ops fig.s COM'!P41</f>
        <v>-74400</v>
      </c>
      <c r="AA130" s="185">
        <f>'Key financial and ops fig.s COM'!Q41</f>
        <v>-74400</v>
      </c>
      <c r="AB130" s="213">
        <f>'Key financial and ops fig.s COM'!R41</f>
        <v>-297600</v>
      </c>
      <c r="AC130" s="185">
        <f>'Alt. scenario COM'!N41</f>
        <v>-74400</v>
      </c>
      <c r="AD130" s="185">
        <f>'Alt. scenario COM'!O41</f>
        <v>-74400</v>
      </c>
      <c r="AE130" s="185">
        <f>'Alt. scenario COM'!P41</f>
        <v>-74400</v>
      </c>
      <c r="AF130" s="185">
        <f>'Alt. scenario COM'!Q41</f>
        <v>-74400</v>
      </c>
      <c r="AG130" s="230">
        <f>'Alt. scenario COM'!R41</f>
        <v>-297600</v>
      </c>
      <c r="AH130" s="185">
        <f>'Key financial and ops fig.s COM'!S41</f>
        <v>-74400</v>
      </c>
      <c r="AI130" s="185">
        <f>'Key financial and ops fig.s COM'!T41</f>
        <v>-74400</v>
      </c>
      <c r="AJ130" s="185">
        <f>'Key financial and ops fig.s COM'!U41</f>
        <v>-74400</v>
      </c>
      <c r="AK130" s="185">
        <f>'Key financial and ops fig.s COM'!V41</f>
        <v>-74400</v>
      </c>
      <c r="AL130" s="213">
        <f>'Key financial and ops fig.s COM'!W41</f>
        <v>-297600</v>
      </c>
      <c r="AM130" s="185">
        <f>'Alt. scenario COM'!S41</f>
        <v>-74400</v>
      </c>
      <c r="AN130" s="185">
        <f>'Alt. scenario COM'!T41</f>
        <v>-74400</v>
      </c>
      <c r="AO130" s="185">
        <f>'Alt. scenario COM'!U41</f>
        <v>-74400</v>
      </c>
      <c r="AP130" s="185">
        <f>'Alt. scenario COM'!V41</f>
        <v>-74400</v>
      </c>
      <c r="AQ130" s="230">
        <f>'Alt. scenario COM'!W41</f>
        <v>-297600</v>
      </c>
      <c r="AR130" s="185">
        <f>'Key financial and ops fig.s COM'!X41</f>
        <v>-74400</v>
      </c>
      <c r="AS130" s="185">
        <f>'Key financial and ops fig.s COM'!Y41</f>
        <v>-74400</v>
      </c>
      <c r="AT130" s="185">
        <f>'Key financial and ops fig.s COM'!Z41</f>
        <v>-74400</v>
      </c>
      <c r="AU130" s="185">
        <f>'Key financial and ops fig.s COM'!AA41</f>
        <v>-74400</v>
      </c>
      <c r="AV130" s="213">
        <f>'Key financial and ops fig.s COM'!AB41</f>
        <v>-297600</v>
      </c>
      <c r="AW130" s="185">
        <f>'Alt. scenario COM'!X41</f>
        <v>-74400</v>
      </c>
      <c r="AX130" s="185">
        <f>'Alt. scenario COM'!Y41</f>
        <v>-74400</v>
      </c>
      <c r="AY130" s="185">
        <f>'Alt. scenario COM'!Z41</f>
        <v>-74400</v>
      </c>
      <c r="AZ130" s="185">
        <f>'Alt. scenario COM'!AA41</f>
        <v>-74400</v>
      </c>
      <c r="BA130" s="230">
        <f>'Alt. scenario COM'!AB41</f>
        <v>-297600</v>
      </c>
      <c r="BB130" s="185">
        <f>'Key financial and ops fig.s COM'!AC41</f>
        <v>0</v>
      </c>
      <c r="BC130" s="185">
        <f>'Key financial and ops fig.s COM'!AD41</f>
        <v>0</v>
      </c>
      <c r="BD130" s="185">
        <f>'Key financial and ops fig.s COM'!AE41</f>
        <v>0</v>
      </c>
      <c r="BE130" s="185">
        <f>'Key financial and ops fig.s COM'!AF41</f>
        <v>0</v>
      </c>
      <c r="BF130" s="213">
        <f>'Key financial and ops fig.s COM'!AG41</f>
        <v>0</v>
      </c>
      <c r="BG130" s="185">
        <f>'Alt. scenario COM'!AC41</f>
        <v>0</v>
      </c>
      <c r="BH130" s="185">
        <f>'Alt. scenario COM'!AD41</f>
        <v>0</v>
      </c>
      <c r="BI130" s="185">
        <f>'Alt. scenario COM'!AE41</f>
        <v>0</v>
      </c>
      <c r="BJ130" s="185">
        <f>'Alt. scenario COM'!AF41</f>
        <v>0</v>
      </c>
      <c r="BK130" s="230">
        <f>'Alt. scenario COM'!AG41</f>
        <v>0</v>
      </c>
      <c r="BL130" s="63">
        <f>'Key financial and ops fig.s COM'!AH41</f>
        <v>0</v>
      </c>
      <c r="BM130" s="64">
        <f>'Key financial and ops fig.s COM'!AI41</f>
        <v>0</v>
      </c>
      <c r="BN130" s="64">
        <f>'Key financial and ops fig.s COM'!AJ41</f>
        <v>0</v>
      </c>
      <c r="BO130" s="108">
        <f>'Key financial and ops fig.s COM'!AK41</f>
        <v>0</v>
      </c>
      <c r="BP130" s="213">
        <f>'Key financial and ops fig.s COM'!AL41</f>
        <v>0</v>
      </c>
      <c r="BQ130" s="185">
        <f>'Alt. scenario COM'!AH41</f>
        <v>0</v>
      </c>
      <c r="BR130" s="185">
        <f>'Alt. scenario COM'!AI41</f>
        <v>0</v>
      </c>
      <c r="BS130" s="185">
        <f>'Alt. scenario COM'!AJ41</f>
        <v>0</v>
      </c>
      <c r="BT130" s="185">
        <f>'Alt. scenario COM'!AK41</f>
        <v>0</v>
      </c>
      <c r="BU130" s="230">
        <f>'Alt. scenario COM'!AL41</f>
        <v>0</v>
      </c>
    </row>
    <row r="131" spans="1:73" ht="17.100000000000001" hidden="1" outlineLevel="2" thickBot="1">
      <c r="A131" s="31"/>
      <c r="C131" s="32" t="s">
        <v>283</v>
      </c>
      <c r="D131" s="185">
        <f>'Key financial and ops fig.s COM'!D42</f>
        <v>-13773.375</v>
      </c>
      <c r="E131" s="185">
        <f>'Key financial and ops fig.s COM'!E42</f>
        <v>-27373.5</v>
      </c>
      <c r="F131" s="185">
        <f>'Key financial and ops fig.s COM'!F42</f>
        <v>-40800.375</v>
      </c>
      <c r="G131" s="185">
        <f>'Key financial and ops fig.s COM'!G42</f>
        <v>-54054</v>
      </c>
      <c r="H131" s="213">
        <f>'Key financial and ops fig.s COM'!H42</f>
        <v>-136001.25</v>
      </c>
      <c r="I131" s="185">
        <f>'Alt. scenario COM'!D42</f>
        <v>-13773.375</v>
      </c>
      <c r="J131" s="185">
        <f>'Alt. scenario COM'!E42</f>
        <v>-27373.5</v>
      </c>
      <c r="K131" s="185">
        <f>'Alt. scenario COM'!F42</f>
        <v>-40800.375</v>
      </c>
      <c r="L131" s="185">
        <f>'Alt. scenario COM'!G42</f>
        <v>-54054</v>
      </c>
      <c r="M131" s="230">
        <f>'Alt. scenario COM'!H42</f>
        <v>-136001.25</v>
      </c>
      <c r="N131" s="185">
        <f>'Key financial and ops fig.s COM'!I42</f>
        <v>-67134.375</v>
      </c>
      <c r="O131" s="185">
        <f>'Key financial and ops fig.s COM'!J42</f>
        <v>-80041.5</v>
      </c>
      <c r="P131" s="185">
        <f>'Key financial and ops fig.s COM'!K42</f>
        <v>-92775.375000000015</v>
      </c>
      <c r="Q131" s="185">
        <f>'Key financial and ops fig.s COM'!L42</f>
        <v>-105336</v>
      </c>
      <c r="R131" s="213">
        <f>'Key financial and ops fig.s COM'!M42</f>
        <v>-345287.25</v>
      </c>
      <c r="S131" s="185">
        <f>'Alt. scenario COM'!I42</f>
        <v>-67134.375</v>
      </c>
      <c r="T131" s="185">
        <f>'Alt. scenario COM'!J42</f>
        <v>-80041.5</v>
      </c>
      <c r="U131" s="185">
        <f>'Alt. scenario COM'!K42</f>
        <v>-92775.375000000015</v>
      </c>
      <c r="V131" s="185">
        <f>'Alt. scenario COM'!L42</f>
        <v>-105336</v>
      </c>
      <c r="W131" s="230">
        <f>'Alt. scenario COM'!M42</f>
        <v>-345287.25</v>
      </c>
      <c r="X131" s="185">
        <f>'Key financial and ops fig.s COM'!N42</f>
        <v>-117723.375</v>
      </c>
      <c r="Y131" s="185">
        <f>'Key financial and ops fig.s COM'!O42</f>
        <v>-129937.5</v>
      </c>
      <c r="Z131" s="185">
        <f>'Key financial and ops fig.s COM'!P42</f>
        <v>-141978.375</v>
      </c>
      <c r="AA131" s="185">
        <f>'Key financial and ops fig.s COM'!Q42</f>
        <v>-153846.00000000003</v>
      </c>
      <c r="AB131" s="213">
        <f>'Key financial and ops fig.s COM'!R42</f>
        <v>-543485.25</v>
      </c>
      <c r="AC131" s="185">
        <f>'Alt. scenario COM'!N42</f>
        <v>-117723.375</v>
      </c>
      <c r="AD131" s="185">
        <f>'Alt. scenario COM'!O42</f>
        <v>-129937.5</v>
      </c>
      <c r="AE131" s="185">
        <f>'Alt. scenario COM'!P42</f>
        <v>-141978.375</v>
      </c>
      <c r="AF131" s="185">
        <f>'Alt. scenario COM'!Q42</f>
        <v>-153846.00000000003</v>
      </c>
      <c r="AG131" s="230">
        <f>'Alt. scenario COM'!R42</f>
        <v>-543485.25</v>
      </c>
      <c r="AH131" s="185">
        <f>'Key financial and ops fig.s COM'!S42</f>
        <v>-165540.375</v>
      </c>
      <c r="AI131" s="185">
        <f>'Key financial and ops fig.s COM'!T42</f>
        <v>-177061.50000000003</v>
      </c>
      <c r="AJ131" s="185">
        <f>'Key financial and ops fig.s COM'!U42</f>
        <v>-188409.375</v>
      </c>
      <c r="AK131" s="185">
        <f>'Key financial and ops fig.s COM'!V42</f>
        <v>-199584</v>
      </c>
      <c r="AL131" s="213">
        <f>'Key financial and ops fig.s COM'!W42</f>
        <v>-730595.25</v>
      </c>
      <c r="AM131" s="185">
        <f>'Alt. scenario COM'!S42</f>
        <v>-165540.375</v>
      </c>
      <c r="AN131" s="185">
        <f>'Alt. scenario COM'!T42</f>
        <v>-177061.50000000003</v>
      </c>
      <c r="AO131" s="185">
        <f>'Alt. scenario COM'!U42</f>
        <v>-188409.375</v>
      </c>
      <c r="AP131" s="185">
        <f>'Alt. scenario COM'!V42</f>
        <v>-199584</v>
      </c>
      <c r="AQ131" s="230">
        <f>'Alt. scenario COM'!W42</f>
        <v>-730595.25</v>
      </c>
      <c r="AR131" s="185">
        <f>'Key financial and ops fig.s COM'!X42</f>
        <v>-210585.375</v>
      </c>
      <c r="AS131" s="185">
        <f>'Key financial and ops fig.s COM'!Y42</f>
        <v>-221413.5</v>
      </c>
      <c r="AT131" s="185">
        <f>'Key financial and ops fig.s COM'!Z42</f>
        <v>-232068.375</v>
      </c>
      <c r="AU131" s="185">
        <f>'Key financial and ops fig.s COM'!AA42</f>
        <v>-242550</v>
      </c>
      <c r="AV131" s="213">
        <f>'Key financial and ops fig.s COM'!AB42</f>
        <v>-906617.25</v>
      </c>
      <c r="AW131" s="185">
        <f>'Alt. scenario COM'!X42</f>
        <v>-210585.375</v>
      </c>
      <c r="AX131" s="185">
        <f>'Alt. scenario COM'!Y42</f>
        <v>-221413.5</v>
      </c>
      <c r="AY131" s="185">
        <f>'Alt. scenario COM'!Z42</f>
        <v>-232068.375</v>
      </c>
      <c r="AZ131" s="185">
        <f>'Alt. scenario COM'!AA42</f>
        <v>-242550</v>
      </c>
      <c r="BA131" s="230">
        <f>'Alt. scenario COM'!AB42</f>
        <v>-906617.25</v>
      </c>
      <c r="BB131" s="185">
        <f>'Key financial and ops fig.s COM'!AC42</f>
        <v>-240817.5</v>
      </c>
      <c r="BC131" s="185">
        <f>'Key financial and ops fig.s COM'!AD42</f>
        <v>-239085</v>
      </c>
      <c r="BD131" s="185">
        <f>'Key financial and ops fig.s COM'!AE42</f>
        <v>-237352.5</v>
      </c>
      <c r="BE131" s="185">
        <f>'Key financial and ops fig.s COM'!AF42</f>
        <v>-235620</v>
      </c>
      <c r="BF131" s="213">
        <f>'Key financial and ops fig.s COM'!AG42</f>
        <v>-952875</v>
      </c>
      <c r="BG131" s="185">
        <f>'Alt. scenario COM'!AC42</f>
        <v>-240817.5</v>
      </c>
      <c r="BH131" s="185">
        <f>'Alt. scenario COM'!AD42</f>
        <v>-239085</v>
      </c>
      <c r="BI131" s="185">
        <f>'Alt. scenario COM'!AE42</f>
        <v>-237352.5</v>
      </c>
      <c r="BJ131" s="185">
        <f>'Alt. scenario COM'!AF42</f>
        <v>-235620</v>
      </c>
      <c r="BK131" s="230">
        <f>'Alt. scenario COM'!AG42</f>
        <v>-952875</v>
      </c>
      <c r="BL131" s="63">
        <f>'Key financial and ops fig.s COM'!AH42</f>
        <v>-233887.5</v>
      </c>
      <c r="BM131" s="64">
        <f>'Key financial and ops fig.s COM'!AI42</f>
        <v>-232155</v>
      </c>
      <c r="BN131" s="64">
        <f>'Key financial and ops fig.s COM'!AJ42</f>
        <v>-230422.5</v>
      </c>
      <c r="BO131" s="108">
        <f>'Key financial and ops fig.s COM'!AK42</f>
        <v>-228690</v>
      </c>
      <c r="BP131" s="213">
        <f>'Key financial and ops fig.s COM'!AL42</f>
        <v>-925155</v>
      </c>
      <c r="BQ131" s="185">
        <f>'Alt. scenario COM'!AH42</f>
        <v>-233887.5</v>
      </c>
      <c r="BR131" s="185">
        <f>'Alt. scenario COM'!AI42</f>
        <v>-232155</v>
      </c>
      <c r="BS131" s="185">
        <f>'Alt. scenario COM'!AJ42</f>
        <v>-230422.5</v>
      </c>
      <c r="BT131" s="185">
        <f>'Alt. scenario COM'!AK42</f>
        <v>-228690</v>
      </c>
      <c r="BU131" s="230">
        <f>'Alt. scenario COM'!AL42</f>
        <v>-925155</v>
      </c>
    </row>
    <row r="132" spans="1:73" ht="17.100000000000001" hidden="1" outlineLevel="2" thickBot="1">
      <c r="A132" s="31"/>
      <c r="C132" s="32" t="s">
        <v>284</v>
      </c>
      <c r="D132" s="185">
        <f>'Key financial and ops fig.s COM'!D43</f>
        <v>-150000</v>
      </c>
      <c r="E132" s="185">
        <f>'Key financial and ops fig.s COM'!E43</f>
        <v>-150000</v>
      </c>
      <c r="F132" s="185">
        <f>'Key financial and ops fig.s COM'!F43</f>
        <v>-150000</v>
      </c>
      <c r="G132" s="185">
        <f>'Key financial and ops fig.s COM'!G43</f>
        <v>-150000</v>
      </c>
      <c r="H132" s="213">
        <f>'Key financial and ops fig.s COM'!H43</f>
        <v>-600000</v>
      </c>
      <c r="I132" s="185">
        <f>'Alt. scenario COM'!D43</f>
        <v>-150000</v>
      </c>
      <c r="J132" s="185">
        <f>'Alt. scenario COM'!E43</f>
        <v>-150000</v>
      </c>
      <c r="K132" s="185">
        <f>'Alt. scenario COM'!F43</f>
        <v>-150000</v>
      </c>
      <c r="L132" s="185">
        <f>'Alt. scenario COM'!G43</f>
        <v>-150000</v>
      </c>
      <c r="M132" s="230">
        <f>'Alt. scenario COM'!H43</f>
        <v>-600000</v>
      </c>
      <c r="N132" s="185">
        <f>'Key financial and ops fig.s COM'!I43</f>
        <v>-150000</v>
      </c>
      <c r="O132" s="185">
        <f>'Key financial and ops fig.s COM'!J43</f>
        <v>-150000</v>
      </c>
      <c r="P132" s="185">
        <f>'Key financial and ops fig.s COM'!K43</f>
        <v>-150000</v>
      </c>
      <c r="Q132" s="185">
        <f>'Key financial and ops fig.s COM'!L43</f>
        <v>-150000</v>
      </c>
      <c r="R132" s="213">
        <f>'Key financial and ops fig.s COM'!M43</f>
        <v>-600000</v>
      </c>
      <c r="S132" s="185">
        <f>'Alt. scenario COM'!I43</f>
        <v>-150000</v>
      </c>
      <c r="T132" s="185">
        <f>'Alt. scenario COM'!J43</f>
        <v>-150000</v>
      </c>
      <c r="U132" s="185">
        <f>'Alt. scenario COM'!K43</f>
        <v>-150000</v>
      </c>
      <c r="V132" s="185">
        <f>'Alt. scenario COM'!L43</f>
        <v>-150000</v>
      </c>
      <c r="W132" s="230">
        <f>'Alt. scenario COM'!M43</f>
        <v>-600000</v>
      </c>
      <c r="X132" s="185">
        <f>'Key financial and ops fig.s COM'!N43</f>
        <v>-150000</v>
      </c>
      <c r="Y132" s="185">
        <f>'Key financial and ops fig.s COM'!O43</f>
        <v>-150000</v>
      </c>
      <c r="Z132" s="185">
        <f>'Key financial and ops fig.s COM'!P43</f>
        <v>-150000</v>
      </c>
      <c r="AA132" s="185">
        <f>'Key financial and ops fig.s COM'!Q43</f>
        <v>-150000</v>
      </c>
      <c r="AB132" s="213">
        <f>'Key financial and ops fig.s COM'!R43</f>
        <v>-600000</v>
      </c>
      <c r="AC132" s="185">
        <f>'Alt. scenario COM'!N43</f>
        <v>-150000</v>
      </c>
      <c r="AD132" s="185">
        <f>'Alt. scenario COM'!O43</f>
        <v>-150000</v>
      </c>
      <c r="AE132" s="185">
        <f>'Alt. scenario COM'!P43</f>
        <v>-150000</v>
      </c>
      <c r="AF132" s="185">
        <f>'Alt. scenario COM'!Q43</f>
        <v>-150000</v>
      </c>
      <c r="AG132" s="230">
        <f>'Alt. scenario COM'!R43</f>
        <v>-600000</v>
      </c>
      <c r="AH132" s="185">
        <f>'Key financial and ops fig.s COM'!S43</f>
        <v>-150000</v>
      </c>
      <c r="AI132" s="185">
        <f>'Key financial and ops fig.s COM'!T43</f>
        <v>-150000</v>
      </c>
      <c r="AJ132" s="185">
        <f>'Key financial and ops fig.s COM'!U43</f>
        <v>-150000</v>
      </c>
      <c r="AK132" s="185">
        <f>'Key financial and ops fig.s COM'!V43</f>
        <v>-150000</v>
      </c>
      <c r="AL132" s="213">
        <f>'Key financial and ops fig.s COM'!W43</f>
        <v>-600000</v>
      </c>
      <c r="AM132" s="185">
        <f>'Alt. scenario COM'!S43</f>
        <v>-150000</v>
      </c>
      <c r="AN132" s="185">
        <f>'Alt. scenario COM'!T43</f>
        <v>-150000</v>
      </c>
      <c r="AO132" s="185">
        <f>'Alt. scenario COM'!U43</f>
        <v>-150000</v>
      </c>
      <c r="AP132" s="185">
        <f>'Alt. scenario COM'!V43</f>
        <v>-150000</v>
      </c>
      <c r="AQ132" s="230">
        <f>'Alt. scenario COM'!W43</f>
        <v>-600000</v>
      </c>
      <c r="AR132" s="185">
        <f>'Key financial and ops fig.s COM'!X43</f>
        <v>-150000</v>
      </c>
      <c r="AS132" s="185">
        <f>'Key financial and ops fig.s COM'!Y43</f>
        <v>-150000</v>
      </c>
      <c r="AT132" s="185">
        <f>'Key financial and ops fig.s COM'!Z43</f>
        <v>-150000</v>
      </c>
      <c r="AU132" s="185">
        <f>'Key financial and ops fig.s COM'!AA43</f>
        <v>-150000</v>
      </c>
      <c r="AV132" s="213">
        <f>'Key financial and ops fig.s COM'!AB43</f>
        <v>-600000</v>
      </c>
      <c r="AW132" s="185">
        <f>'Alt. scenario COM'!X43</f>
        <v>-150000</v>
      </c>
      <c r="AX132" s="185">
        <f>'Alt. scenario COM'!Y43</f>
        <v>-150000</v>
      </c>
      <c r="AY132" s="185">
        <f>'Alt. scenario COM'!Z43</f>
        <v>-150000</v>
      </c>
      <c r="AZ132" s="185">
        <f>'Alt. scenario COM'!AA43</f>
        <v>-150000</v>
      </c>
      <c r="BA132" s="230">
        <f>'Alt. scenario COM'!AB43</f>
        <v>-600000</v>
      </c>
      <c r="BB132" s="185">
        <f>'Key financial and ops fig.s COM'!AC43</f>
        <v>-150000</v>
      </c>
      <c r="BC132" s="185">
        <f>'Key financial and ops fig.s COM'!AD43</f>
        <v>-150000</v>
      </c>
      <c r="BD132" s="185">
        <f>'Key financial and ops fig.s COM'!AE43</f>
        <v>-150000</v>
      </c>
      <c r="BE132" s="185">
        <f>'Key financial and ops fig.s COM'!AF43</f>
        <v>-150000</v>
      </c>
      <c r="BF132" s="213">
        <f>'Key financial and ops fig.s COM'!AG43</f>
        <v>-600000</v>
      </c>
      <c r="BG132" s="185">
        <f>'Alt. scenario COM'!AC43</f>
        <v>-150000</v>
      </c>
      <c r="BH132" s="185">
        <f>'Alt. scenario COM'!AD43</f>
        <v>-150000</v>
      </c>
      <c r="BI132" s="185">
        <f>'Alt. scenario COM'!AE43</f>
        <v>-150000</v>
      </c>
      <c r="BJ132" s="185">
        <f>'Alt. scenario COM'!AF43</f>
        <v>-150000</v>
      </c>
      <c r="BK132" s="230">
        <f>'Alt. scenario COM'!AG43</f>
        <v>-600000</v>
      </c>
      <c r="BL132" s="63">
        <f>'Key financial and ops fig.s COM'!AH43</f>
        <v>-150000</v>
      </c>
      <c r="BM132" s="64">
        <f>'Key financial and ops fig.s COM'!AI43</f>
        <v>-150000</v>
      </c>
      <c r="BN132" s="64">
        <f>'Key financial and ops fig.s COM'!AJ43</f>
        <v>-150000</v>
      </c>
      <c r="BO132" s="108">
        <f>'Key financial and ops fig.s COM'!AK43</f>
        <v>-150000</v>
      </c>
      <c r="BP132" s="213">
        <f>'Key financial and ops fig.s COM'!AL43</f>
        <v>-600000</v>
      </c>
      <c r="BQ132" s="185">
        <f>'Alt. scenario COM'!AH43</f>
        <v>-150000</v>
      </c>
      <c r="BR132" s="185">
        <f>'Alt. scenario COM'!AI43</f>
        <v>-150000</v>
      </c>
      <c r="BS132" s="185">
        <f>'Alt. scenario COM'!AJ43</f>
        <v>-150000</v>
      </c>
      <c r="BT132" s="185">
        <f>'Alt. scenario COM'!AK43</f>
        <v>-150000</v>
      </c>
      <c r="BU132" s="230">
        <f>'Alt. scenario COM'!AL43</f>
        <v>-600000</v>
      </c>
    </row>
    <row r="133" spans="1:73" ht="17.100000000000001" hidden="1" outlineLevel="1" thickBot="1">
      <c r="A133" s="31"/>
      <c r="B133" s="34" t="s">
        <v>285</v>
      </c>
      <c r="D133" s="184">
        <f>'Key financial and ops fig.s COM'!D44</f>
        <v>-1499613.375</v>
      </c>
      <c r="E133" s="184">
        <f>'Key financial and ops fig.s COM'!E44</f>
        <v>-1296913.5</v>
      </c>
      <c r="F133" s="184">
        <f>'Key financial and ops fig.s COM'!F44</f>
        <v>-1146660.375</v>
      </c>
      <c r="G133" s="184">
        <f>'Key financial and ops fig.s COM'!G44</f>
        <v>-996234</v>
      </c>
      <c r="H133" s="214">
        <f>'Key financial and ops fig.s COM'!H44</f>
        <v>-4939421.25</v>
      </c>
      <c r="I133" s="184">
        <f>'Alt. scenario COM'!D44</f>
        <v>-1499613.375</v>
      </c>
      <c r="J133" s="184">
        <f>'Alt. scenario COM'!E44</f>
        <v>-1296913.5</v>
      </c>
      <c r="K133" s="184">
        <f>'Alt. scenario COM'!F44</f>
        <v>-1146660.375</v>
      </c>
      <c r="L133" s="184">
        <f>'Alt. scenario COM'!G44</f>
        <v>-996234</v>
      </c>
      <c r="M133" s="231">
        <f>'Alt. scenario COM'!H44</f>
        <v>-4939421.25</v>
      </c>
      <c r="N133" s="184">
        <f>'Key financial and ops fig.s COM'!I44</f>
        <v>-845634.375</v>
      </c>
      <c r="O133" s="184">
        <f>'Key financial and ops fig.s COM'!J44</f>
        <v>-694861.5</v>
      </c>
      <c r="P133" s="184">
        <f>'Key financial and ops fig.s COM'!K44</f>
        <v>-543915.375</v>
      </c>
      <c r="Q133" s="184">
        <f>'Key financial and ops fig.s COM'!L44</f>
        <v>-478236</v>
      </c>
      <c r="R133" s="214">
        <f>'Key financial and ops fig.s COM'!M44</f>
        <v>-2562647.25</v>
      </c>
      <c r="S133" s="184">
        <f>'Alt. scenario COM'!I44</f>
        <v>-845634.375</v>
      </c>
      <c r="T133" s="184">
        <f>'Alt. scenario COM'!J44</f>
        <v>-694861.5</v>
      </c>
      <c r="U133" s="184">
        <f>'Alt. scenario COM'!K44</f>
        <v>-543915.375</v>
      </c>
      <c r="V133" s="184">
        <f>'Alt. scenario COM'!L44</f>
        <v>-478236</v>
      </c>
      <c r="W133" s="231">
        <f>'Alt. scenario COM'!M44</f>
        <v>-2562647.25</v>
      </c>
      <c r="X133" s="184">
        <f>'Key financial and ops fig.s COM'!N44</f>
        <v>-507123.375</v>
      </c>
      <c r="Y133" s="184">
        <f>'Key financial and ops fig.s COM'!O44</f>
        <v>-535837.5</v>
      </c>
      <c r="Z133" s="184">
        <f>'Key financial and ops fig.s COM'!P44</f>
        <v>-564378.375</v>
      </c>
      <c r="AA133" s="184">
        <f>'Key financial and ops fig.s COM'!Q44</f>
        <v>-592746</v>
      </c>
      <c r="AB133" s="214">
        <f>'Key financial and ops fig.s COM'!R44</f>
        <v>-2200085.25</v>
      </c>
      <c r="AC133" s="184">
        <f>'Alt. scenario COM'!N44</f>
        <v>-507123.375</v>
      </c>
      <c r="AD133" s="184">
        <f>'Alt. scenario COM'!O44</f>
        <v>-535837.5</v>
      </c>
      <c r="AE133" s="184">
        <f>'Alt. scenario COM'!P44</f>
        <v>-564378.375</v>
      </c>
      <c r="AF133" s="184">
        <f>'Alt. scenario COM'!Q44</f>
        <v>-592746</v>
      </c>
      <c r="AG133" s="231">
        <f>'Alt. scenario COM'!R44</f>
        <v>-2200085.25</v>
      </c>
      <c r="AH133" s="184">
        <f>'Key financial and ops fig.s COM'!S44</f>
        <v>-620940.375</v>
      </c>
      <c r="AI133" s="184">
        <f>'Key financial and ops fig.s COM'!T44</f>
        <v>-648961.5</v>
      </c>
      <c r="AJ133" s="184">
        <f>'Key financial and ops fig.s COM'!U44</f>
        <v>-676809.375</v>
      </c>
      <c r="AK133" s="184">
        <f>'Key financial and ops fig.s COM'!V44</f>
        <v>-704484</v>
      </c>
      <c r="AL133" s="214">
        <f>'Key financial and ops fig.s COM'!W44</f>
        <v>-2651195.25</v>
      </c>
      <c r="AM133" s="184">
        <f>'Alt. scenario COM'!S44</f>
        <v>-620940.375</v>
      </c>
      <c r="AN133" s="184">
        <f>'Alt. scenario COM'!T44</f>
        <v>-648961.5</v>
      </c>
      <c r="AO133" s="184">
        <f>'Alt. scenario COM'!U44</f>
        <v>-676809.375</v>
      </c>
      <c r="AP133" s="184">
        <f>'Alt. scenario COM'!V44</f>
        <v>-704484</v>
      </c>
      <c r="AQ133" s="231">
        <f>'Alt. scenario COM'!W44</f>
        <v>-2651195.25</v>
      </c>
      <c r="AR133" s="184">
        <f>'Key financial and ops fig.s COM'!X44</f>
        <v>-731985.375</v>
      </c>
      <c r="AS133" s="184">
        <f>'Key financial and ops fig.s COM'!Y44</f>
        <v>-759313.5</v>
      </c>
      <c r="AT133" s="184">
        <f>'Key financial and ops fig.s COM'!Z44</f>
        <v>-786468.375</v>
      </c>
      <c r="AU133" s="184">
        <f>'Key financial and ops fig.s COM'!AA44</f>
        <v>-813450</v>
      </c>
      <c r="AV133" s="214">
        <f>'Key financial and ops fig.s COM'!AB44</f>
        <v>-3091217.25</v>
      </c>
      <c r="AW133" s="184">
        <f>'Alt. scenario COM'!X44</f>
        <v>-731985.375</v>
      </c>
      <c r="AX133" s="184">
        <f>'Alt. scenario COM'!Y44</f>
        <v>-759313.5</v>
      </c>
      <c r="AY133" s="184">
        <f>'Alt. scenario COM'!Z44</f>
        <v>-786468.375</v>
      </c>
      <c r="AZ133" s="184">
        <f>'Alt. scenario COM'!AA44</f>
        <v>-813450</v>
      </c>
      <c r="BA133" s="231">
        <f>'Alt. scenario COM'!AB44</f>
        <v>-3091217.25</v>
      </c>
      <c r="BB133" s="184">
        <f>'Key financial and ops fig.s COM'!AC44</f>
        <v>-737317.5</v>
      </c>
      <c r="BC133" s="184">
        <f>'Key financial and ops fig.s COM'!AD44</f>
        <v>-719085</v>
      </c>
      <c r="BD133" s="184">
        <f>'Key financial and ops fig.s COM'!AE44</f>
        <v>-717352.5</v>
      </c>
      <c r="BE133" s="184">
        <f>'Key financial and ops fig.s COM'!AF44</f>
        <v>-715620</v>
      </c>
      <c r="BF133" s="214">
        <f>'Key financial and ops fig.s COM'!AG44</f>
        <v>-2889375</v>
      </c>
      <c r="BG133" s="184">
        <f>'Alt. scenario COM'!AC44</f>
        <v>-737317.5</v>
      </c>
      <c r="BH133" s="184">
        <f>'Alt. scenario COM'!AD44</f>
        <v>-719085</v>
      </c>
      <c r="BI133" s="184">
        <f>'Alt. scenario COM'!AE44</f>
        <v>-717352.5</v>
      </c>
      <c r="BJ133" s="184">
        <f>'Alt. scenario COM'!AF44</f>
        <v>-715620</v>
      </c>
      <c r="BK133" s="231">
        <f>'Alt. scenario COM'!AG44</f>
        <v>-2889375</v>
      </c>
      <c r="BL133" s="142">
        <f>'Key financial and ops fig.s COM'!AH44</f>
        <v>-713887.5</v>
      </c>
      <c r="BM133" s="143">
        <f>'Key financial and ops fig.s COM'!AI44</f>
        <v>-712155</v>
      </c>
      <c r="BN133" s="143">
        <f>'Key financial and ops fig.s COM'!AJ44</f>
        <v>-710422.5</v>
      </c>
      <c r="BO133" s="144">
        <f>'Key financial and ops fig.s COM'!AK44</f>
        <v>-708690</v>
      </c>
      <c r="BP133" s="214">
        <f>'Key financial and ops fig.s COM'!AL44</f>
        <v>-2845155</v>
      </c>
      <c r="BQ133" s="184">
        <f>'Alt. scenario COM'!AH44</f>
        <v>-713887.5</v>
      </c>
      <c r="BR133" s="184">
        <f>'Alt. scenario COM'!AI44</f>
        <v>-712155</v>
      </c>
      <c r="BS133" s="184">
        <f>'Alt. scenario COM'!AJ44</f>
        <v>-710422.5</v>
      </c>
      <c r="BT133" s="184">
        <f>'Alt. scenario COM'!AK44</f>
        <v>-708690</v>
      </c>
      <c r="BU133" s="231">
        <f>'Alt. scenario COM'!AL44</f>
        <v>-2845155</v>
      </c>
    </row>
    <row r="134" spans="1:73" ht="17.100000000000001" collapsed="1" thickBot="1">
      <c r="A134" s="36" t="s">
        <v>286</v>
      </c>
      <c r="B134" s="37"/>
      <c r="C134" s="38"/>
      <c r="D134" s="53">
        <f>'Key financial and ops fig.s COM'!D45</f>
        <v>-1013288.6544642857</v>
      </c>
      <c r="E134" s="53">
        <f>'Key financial and ops fig.s COM'!E45</f>
        <v>-453532.24285714293</v>
      </c>
      <c r="F134" s="53">
        <f>'Key financial and ops fig.s COM'!F45</f>
        <v>48238.18125000014</v>
      </c>
      <c r="G134" s="53">
        <f>'Key financial and ops fig.s COM'!G45</f>
        <v>531078.33214285714</v>
      </c>
      <c r="H134" s="215">
        <f>'Key financial and ops fig.s COM'!H45</f>
        <v>-887504.38392857136</v>
      </c>
      <c r="I134" s="53">
        <f>'Alt. scenario COM'!D45</f>
        <v>-1013288.6544642857</v>
      </c>
      <c r="J134" s="53">
        <f>'Alt. scenario COM'!E45</f>
        <v>-453532.24285714293</v>
      </c>
      <c r="K134" s="53">
        <f>'Alt. scenario COM'!F45</f>
        <v>48238.18125000014</v>
      </c>
      <c r="L134" s="53">
        <f>'Alt. scenario COM'!G45</f>
        <v>531078.33214285714</v>
      </c>
      <c r="M134" s="232">
        <f>'Alt. scenario COM'!H45</f>
        <v>-887504.38392857136</v>
      </c>
      <c r="N134" s="53">
        <f>'Key financial and ops fig.s COM'!I45</f>
        <v>1020616.78125</v>
      </c>
      <c r="O134" s="53">
        <f>'Key financial and ops fig.s COM'!J45</f>
        <v>1506289.2428571433</v>
      </c>
      <c r="P134" s="53">
        <f>'Key financial and ops fig.s COM'!K45</f>
        <v>1991160.0026785717</v>
      </c>
      <c r="Q134" s="53">
        <f>'Key financial and ops fig.s COM'!L45</f>
        <v>2385224.7749999999</v>
      </c>
      <c r="R134" s="215">
        <f>'Key financial and ops fig.s COM'!M45</f>
        <v>6903290.8017857149</v>
      </c>
      <c r="S134" s="53">
        <f>'Alt. scenario COM'!I45</f>
        <v>1020616.78125</v>
      </c>
      <c r="T134" s="53">
        <f>'Alt. scenario COM'!J45</f>
        <v>1506289.2428571433</v>
      </c>
      <c r="U134" s="53">
        <f>'Alt. scenario COM'!K45</f>
        <v>1991160.0026785717</v>
      </c>
      <c r="V134" s="53">
        <f>'Alt. scenario COM'!L45</f>
        <v>2385224.7749999999</v>
      </c>
      <c r="W134" s="232">
        <f>'Alt. scenario COM'!M45</f>
        <v>6903290.8017857149</v>
      </c>
      <c r="X134" s="53">
        <f>'Key financial and ops fig.s COM'!N45</f>
        <v>2674619.2741071428</v>
      </c>
      <c r="Y134" s="53">
        <f>'Key financial and ops fig.s COM'!O45</f>
        <v>2963212.0714285714</v>
      </c>
      <c r="Z134" s="53">
        <f>'Key financial and ops fig.s COM'!P45</f>
        <v>3240374.5955357146</v>
      </c>
      <c r="AA134" s="53">
        <f>'Key financial and ops fig.s COM'!Q45</f>
        <v>3518235.4178571431</v>
      </c>
      <c r="AB134" s="215">
        <f>'Key financial and ops fig.s COM'!R45</f>
        <v>12396441.358928572</v>
      </c>
      <c r="AC134" s="53">
        <f>'Alt. scenario COM'!N45</f>
        <v>2674619.2741071428</v>
      </c>
      <c r="AD134" s="53">
        <f>'Alt. scenario COM'!O45</f>
        <v>2963212.0714285714</v>
      </c>
      <c r="AE134" s="53">
        <f>'Alt. scenario COM'!P45</f>
        <v>3240374.5955357146</v>
      </c>
      <c r="AF134" s="53">
        <f>'Alt. scenario COM'!Q45</f>
        <v>3518235.4178571431</v>
      </c>
      <c r="AG134" s="232">
        <f>'Alt. scenario COM'!R45</f>
        <v>12396441.358928572</v>
      </c>
      <c r="AH134" s="53">
        <f>'Key financial and ops fig.s COM'!S45</f>
        <v>3795294.5383928576</v>
      </c>
      <c r="AI134" s="53">
        <f>'Key financial and ops fig.s COM'!T45</f>
        <v>4062423.385714286</v>
      </c>
      <c r="AJ134" s="53">
        <f>'Key financial and ops fig.s COM'!U45</f>
        <v>4324186.2455357146</v>
      </c>
      <c r="AK134" s="53">
        <f>'Key financial and ops fig.s COM'!V45</f>
        <v>4580583.1178571424</v>
      </c>
      <c r="AL134" s="215">
        <f>'Key financial and ops fig.s COM'!W45</f>
        <v>16762487.287500001</v>
      </c>
      <c r="AM134" s="53">
        <f>'Alt. scenario COM'!S45</f>
        <v>3795294.5383928576</v>
      </c>
      <c r="AN134" s="53">
        <f>'Alt. scenario COM'!T45</f>
        <v>4062423.385714286</v>
      </c>
      <c r="AO134" s="53">
        <f>'Alt. scenario COM'!U45</f>
        <v>4324186.2455357146</v>
      </c>
      <c r="AP134" s="53">
        <f>'Alt. scenario COM'!V45</f>
        <v>4580583.1178571424</v>
      </c>
      <c r="AQ134" s="232">
        <f>'Alt. scenario COM'!W45</f>
        <v>16762487.287500001</v>
      </c>
      <c r="AR134" s="53">
        <f>'Key financial and ops fig.s COM'!X45</f>
        <v>4836178.2883928576</v>
      </c>
      <c r="AS134" s="53">
        <f>'Key financial and ops fig.s COM'!Y45</f>
        <v>5099971.7571428576</v>
      </c>
      <c r="AT134" s="53">
        <f>'Key financial and ops fig.s COM'!Z45</f>
        <v>5344834.9526785715</v>
      </c>
      <c r="AU134" s="53">
        <f>'Key financial and ops fig.s COM'!AA45</f>
        <v>5579767.875</v>
      </c>
      <c r="AV134" s="215">
        <f>'Key financial and ops fig.s COM'!AB45</f>
        <v>20860752.873214286</v>
      </c>
      <c r="AW134" s="53">
        <f>'Alt. scenario COM'!X45</f>
        <v>4836178.2883928576</v>
      </c>
      <c r="AX134" s="53">
        <f>'Alt. scenario COM'!Y45</f>
        <v>5099971.7571428576</v>
      </c>
      <c r="AY134" s="53">
        <f>'Alt. scenario COM'!Z45</f>
        <v>5344834.9526785715</v>
      </c>
      <c r="AZ134" s="53">
        <f>'Alt. scenario COM'!AA45</f>
        <v>5579767.875</v>
      </c>
      <c r="BA134" s="232">
        <f>'Alt. scenario COM'!AB45</f>
        <v>20860752.873214286</v>
      </c>
      <c r="BB134" s="53">
        <f>'Key financial and ops fig.s COM'!AC45</f>
        <v>5338529.4107142854</v>
      </c>
      <c r="BC134" s="53">
        <f>'Key financial and ops fig.s COM'!AD45</f>
        <v>5334412.3928571427</v>
      </c>
      <c r="BD134" s="53">
        <f>'Key financial and ops fig.s COM'!AE45</f>
        <v>5285316.8035714282</v>
      </c>
      <c r="BE134" s="53">
        <f>'Key financial and ops fig.s COM'!AF45</f>
        <v>5231656.9285714282</v>
      </c>
      <c r="BF134" s="215">
        <f>'Key financial and ops fig.s COM'!AG45</f>
        <v>21189915.535714287</v>
      </c>
      <c r="BG134" s="53">
        <f>'Alt. scenario COM'!AC45</f>
        <v>5338529.4107142854</v>
      </c>
      <c r="BH134" s="53">
        <f>'Alt. scenario COM'!AD45</f>
        <v>5334412.3928571427</v>
      </c>
      <c r="BI134" s="53">
        <f>'Alt. scenario COM'!AE45</f>
        <v>5285316.8035714282</v>
      </c>
      <c r="BJ134" s="53">
        <f>'Alt. scenario COM'!AF45</f>
        <v>5231656.9285714282</v>
      </c>
      <c r="BK134" s="232">
        <f>'Alt. scenario COM'!AG45</f>
        <v>21189915.535714287</v>
      </c>
      <c r="BL134" s="52">
        <f>'Key financial and ops fig.s COM'!AH45</f>
        <v>5200689.9107142854</v>
      </c>
      <c r="BM134" s="52">
        <f>'Key financial and ops fig.s COM'!AI45</f>
        <v>5151594.3214285718</v>
      </c>
      <c r="BN134" s="52">
        <f>'Key financial and ops fig.s COM'!AJ45</f>
        <v>5097934.4464285718</v>
      </c>
      <c r="BO134" s="52">
        <f>'Key financial and ops fig.s COM'!AK45</f>
        <v>5054903.1428571427</v>
      </c>
      <c r="BP134" s="215">
        <f>'Key financial and ops fig.s COM'!AL45</f>
        <v>20505121.821428571</v>
      </c>
      <c r="BQ134" s="53">
        <f>'Alt. scenario COM'!AH45</f>
        <v>5200689.9107142854</v>
      </c>
      <c r="BR134" s="53">
        <f>'Alt. scenario COM'!AI45</f>
        <v>5151594.3214285718</v>
      </c>
      <c r="BS134" s="53">
        <f>'Alt. scenario COM'!AJ45</f>
        <v>5097934.4464285718</v>
      </c>
      <c r="BT134" s="53">
        <f>'Alt. scenario COM'!AK45</f>
        <v>5054903.1428571427</v>
      </c>
      <c r="BU134" s="232">
        <f>'Alt. scenario COM'!AL45</f>
        <v>20505121.821428571</v>
      </c>
    </row>
    <row r="135" spans="1:73" ht="15.95" hidden="1" outlineLevel="2">
      <c r="A135" s="31"/>
      <c r="C135" s="33"/>
      <c r="D135" s="46"/>
      <c r="E135" s="47"/>
      <c r="F135" s="47"/>
      <c r="G135" s="47"/>
      <c r="H135" s="216"/>
      <c r="I135" s="46"/>
      <c r="J135" s="47"/>
      <c r="K135" s="47"/>
      <c r="L135" s="47"/>
      <c r="M135" s="233"/>
      <c r="N135" s="46"/>
      <c r="O135" s="47"/>
      <c r="P135" s="47"/>
      <c r="Q135" s="47"/>
      <c r="R135" s="216"/>
      <c r="S135" s="46"/>
      <c r="T135" s="47"/>
      <c r="U135" s="47"/>
      <c r="V135" s="47"/>
      <c r="W135" s="233"/>
      <c r="X135" s="46"/>
      <c r="Y135" s="47"/>
      <c r="Z135" s="47"/>
      <c r="AA135" s="47"/>
      <c r="AB135" s="216"/>
      <c r="AC135" s="46"/>
      <c r="AD135" s="47"/>
      <c r="AE135" s="47"/>
      <c r="AF135" s="47"/>
      <c r="AG135" s="233"/>
      <c r="AH135" s="46"/>
      <c r="AI135" s="47"/>
      <c r="AJ135" s="47"/>
      <c r="AK135" s="47"/>
      <c r="AL135" s="216"/>
      <c r="AM135" s="46"/>
      <c r="AN135" s="47"/>
      <c r="AO135" s="47"/>
      <c r="AP135" s="47"/>
      <c r="AQ135" s="233"/>
      <c r="AR135" s="46"/>
      <c r="AS135" s="47"/>
      <c r="AT135" s="47"/>
      <c r="AU135" s="47"/>
      <c r="AV135" s="216"/>
      <c r="AW135" s="46"/>
      <c r="AX135" s="47"/>
      <c r="AY135" s="47"/>
      <c r="AZ135" s="47"/>
      <c r="BA135" s="233"/>
      <c r="BB135" s="46"/>
      <c r="BC135" s="47"/>
      <c r="BD135" s="47"/>
      <c r="BE135" s="47"/>
      <c r="BF135" s="216"/>
      <c r="BG135" s="46"/>
      <c r="BH135" s="47"/>
      <c r="BI135" s="47"/>
      <c r="BJ135" s="47"/>
      <c r="BK135" s="233"/>
      <c r="BL135" s="46"/>
      <c r="BM135" s="47"/>
      <c r="BN135" s="47"/>
      <c r="BO135" s="47"/>
      <c r="BP135" s="216"/>
      <c r="BQ135" s="46"/>
      <c r="BR135" s="47"/>
      <c r="BS135" s="47"/>
      <c r="BT135" s="47"/>
      <c r="BU135" s="233"/>
    </row>
    <row r="136" spans="1:73" ht="15.95" hidden="1" outlineLevel="1">
      <c r="A136" s="31"/>
      <c r="B136" s="34" t="s">
        <v>287</v>
      </c>
      <c r="C136" s="35"/>
      <c r="D136" s="49"/>
      <c r="E136" s="50"/>
      <c r="F136" s="50"/>
      <c r="G136" s="50"/>
      <c r="H136" s="217">
        <f>'Key financial and ops fig.s COM'!H47</f>
        <v>0</v>
      </c>
      <c r="I136" s="49">
        <f>'Alt. scenario COM'!D47</f>
        <v>0</v>
      </c>
      <c r="J136" s="50">
        <f>'Alt. scenario COM'!E47</f>
        <v>0</v>
      </c>
      <c r="K136" s="50">
        <f>'Alt. scenario COM'!F47</f>
        <v>0</v>
      </c>
      <c r="L136" s="50">
        <f>'Alt. scenario COM'!G47</f>
        <v>0</v>
      </c>
      <c r="M136" s="234">
        <f>'Alt. scenario COM'!H47</f>
        <v>0</v>
      </c>
      <c r="N136" s="49">
        <f>'Key financial and ops fig.s COM'!I47</f>
        <v>0</v>
      </c>
      <c r="O136" s="50">
        <f>'Key financial and ops fig.s COM'!J47</f>
        <v>0</v>
      </c>
      <c r="P136" s="50">
        <f>'Key financial and ops fig.s COM'!K47</f>
        <v>0</v>
      </c>
      <c r="Q136" s="50">
        <f>'Key financial and ops fig.s COM'!L47</f>
        <v>0</v>
      </c>
      <c r="R136" s="217">
        <f>'Key financial and ops fig.s COM'!M47</f>
        <v>-690329.08017857152</v>
      </c>
      <c r="S136" s="49">
        <f>'Alt. scenario COM'!I47</f>
        <v>0</v>
      </c>
      <c r="T136" s="50">
        <f>'Alt. scenario COM'!J47</f>
        <v>0</v>
      </c>
      <c r="U136" s="50">
        <f>'Alt. scenario COM'!K47</f>
        <v>0</v>
      </c>
      <c r="V136" s="50">
        <f>'Alt. scenario COM'!L47</f>
        <v>0</v>
      </c>
      <c r="W136" s="234">
        <f>'Alt. scenario COM'!M47</f>
        <v>-690329.08017857152</v>
      </c>
      <c r="X136" s="49">
        <f>'Key financial and ops fig.s COM'!N47</f>
        <v>0</v>
      </c>
      <c r="Y136" s="50">
        <f>'Key financial and ops fig.s COM'!O47</f>
        <v>0</v>
      </c>
      <c r="Z136" s="50">
        <f>'Key financial and ops fig.s COM'!P47</f>
        <v>0</v>
      </c>
      <c r="AA136" s="50">
        <f>'Key financial and ops fig.s COM'!Q47</f>
        <v>0</v>
      </c>
      <c r="AB136" s="217">
        <f>'Key financial and ops fig.s COM'!R47</f>
        <v>-1239644.1358928573</v>
      </c>
      <c r="AC136" s="49">
        <f>'Alt. scenario COM'!N47</f>
        <v>0</v>
      </c>
      <c r="AD136" s="50">
        <f>'Alt. scenario COM'!O47</f>
        <v>0</v>
      </c>
      <c r="AE136" s="50">
        <f>'Alt. scenario COM'!P47</f>
        <v>0</v>
      </c>
      <c r="AF136" s="50">
        <f>'Alt. scenario COM'!Q47</f>
        <v>0</v>
      </c>
      <c r="AG136" s="234">
        <f>'Alt. scenario COM'!R47</f>
        <v>-1239644.1358928573</v>
      </c>
      <c r="AH136" s="49">
        <f>'Key financial and ops fig.s COM'!S47</f>
        <v>0</v>
      </c>
      <c r="AI136" s="50">
        <f>'Key financial and ops fig.s COM'!T47</f>
        <v>0</v>
      </c>
      <c r="AJ136" s="50">
        <f>'Key financial and ops fig.s COM'!U47</f>
        <v>0</v>
      </c>
      <c r="AK136" s="50">
        <f>'Key financial and ops fig.s COM'!V47</f>
        <v>0</v>
      </c>
      <c r="AL136" s="217">
        <f>'Key financial and ops fig.s COM'!W47</f>
        <v>-1676248.7287500002</v>
      </c>
      <c r="AM136" s="49">
        <f>'Alt. scenario COM'!S47</f>
        <v>0</v>
      </c>
      <c r="AN136" s="50">
        <f>'Alt. scenario COM'!T47</f>
        <v>0</v>
      </c>
      <c r="AO136" s="50">
        <f>'Alt. scenario COM'!U47</f>
        <v>0</v>
      </c>
      <c r="AP136" s="50">
        <f>'Alt. scenario COM'!V47</f>
        <v>0</v>
      </c>
      <c r="AQ136" s="234">
        <f>'Alt. scenario COM'!W47</f>
        <v>-1676248.7287500002</v>
      </c>
      <c r="AR136" s="49">
        <f>'Key financial and ops fig.s COM'!X47</f>
        <v>0</v>
      </c>
      <c r="AS136" s="50">
        <f>'Key financial and ops fig.s COM'!Y47</f>
        <v>0</v>
      </c>
      <c r="AT136" s="50">
        <f>'Key financial and ops fig.s COM'!Z47</f>
        <v>0</v>
      </c>
      <c r="AU136" s="50">
        <f>'Key financial and ops fig.s COM'!AA47</f>
        <v>0</v>
      </c>
      <c r="AV136" s="217">
        <f>'Key financial and ops fig.s COM'!AB47</f>
        <v>-2086075.2873214288</v>
      </c>
      <c r="AW136" s="49">
        <f>'Alt. scenario COM'!X47</f>
        <v>0</v>
      </c>
      <c r="AX136" s="50">
        <f>'Alt. scenario COM'!Y47</f>
        <v>0</v>
      </c>
      <c r="AY136" s="50">
        <f>'Alt. scenario COM'!Z47</f>
        <v>0</v>
      </c>
      <c r="AZ136" s="50">
        <f>'Alt. scenario COM'!AA47</f>
        <v>0</v>
      </c>
      <c r="BA136" s="234">
        <f>'Alt. scenario COM'!AB47</f>
        <v>-2086075.2873214288</v>
      </c>
      <c r="BB136" s="49">
        <f>'Key financial and ops fig.s COM'!AC47</f>
        <v>0</v>
      </c>
      <c r="BC136" s="50">
        <f>'Key financial and ops fig.s COM'!AD47</f>
        <v>0</v>
      </c>
      <c r="BD136" s="50">
        <f>'Key financial and ops fig.s COM'!AE47</f>
        <v>0</v>
      </c>
      <c r="BE136" s="50">
        <f>'Key financial and ops fig.s COM'!AF47</f>
        <v>0</v>
      </c>
      <c r="BF136" s="217">
        <f>'Key financial and ops fig.s COM'!AG47</f>
        <v>-2118991.5535714286</v>
      </c>
      <c r="BG136" s="49"/>
      <c r="BH136" s="50"/>
      <c r="BI136" s="50"/>
      <c r="BJ136" s="50"/>
      <c r="BK136" s="234">
        <f>'Alt. scenario COM'!AG47</f>
        <v>-2118991.5535714286</v>
      </c>
      <c r="BL136" s="49"/>
      <c r="BM136" s="50"/>
      <c r="BN136" s="50"/>
      <c r="BO136" s="50"/>
      <c r="BP136" s="217">
        <f>'Key financial and ops fig.s COM'!AL47</f>
        <v>-2050512.1821428572</v>
      </c>
      <c r="BQ136" s="49"/>
      <c r="BR136" s="50"/>
      <c r="BS136" s="50"/>
      <c r="BT136" s="50"/>
      <c r="BU136" s="234">
        <f>'Alt. scenario COM'!AL47</f>
        <v>-2050512.1821428572</v>
      </c>
    </row>
    <row r="137" spans="1:73" ht="17.100000000000001" collapsed="1" thickBot="1">
      <c r="A137" s="39" t="s">
        <v>288</v>
      </c>
      <c r="B137" s="40"/>
      <c r="C137" s="41"/>
      <c r="D137" s="52"/>
      <c r="E137" s="45"/>
      <c r="F137" s="45"/>
      <c r="G137" s="45"/>
      <c r="H137" s="218">
        <f>'Key financial and ops fig.s COM'!H48</f>
        <v>-887504.38392857136</v>
      </c>
      <c r="I137" s="52">
        <f>'Alt. scenario COM'!D48</f>
        <v>0</v>
      </c>
      <c r="J137" s="45">
        <f>'Alt. scenario COM'!E48</f>
        <v>0</v>
      </c>
      <c r="K137" s="45">
        <f>'Alt. scenario COM'!F48</f>
        <v>0</v>
      </c>
      <c r="L137" s="45">
        <f>'Alt. scenario COM'!G48</f>
        <v>0</v>
      </c>
      <c r="M137" s="235">
        <f>'Alt. scenario COM'!H48</f>
        <v>-887504.38392857136</v>
      </c>
      <c r="N137" s="52">
        <f>'Key financial and ops fig.s COM'!I48</f>
        <v>0</v>
      </c>
      <c r="O137" s="45">
        <f>'Key financial and ops fig.s COM'!J48</f>
        <v>0</v>
      </c>
      <c r="P137" s="45">
        <f>'Key financial and ops fig.s COM'!K48</f>
        <v>0</v>
      </c>
      <c r="Q137" s="45">
        <f>'Key financial and ops fig.s COM'!L48</f>
        <v>0</v>
      </c>
      <c r="R137" s="218">
        <f>'Key financial and ops fig.s COM'!M48</f>
        <v>6212961.7216071431</v>
      </c>
      <c r="S137" s="52">
        <f>'Alt. scenario COM'!I48</f>
        <v>0</v>
      </c>
      <c r="T137" s="45">
        <f>'Alt. scenario COM'!J48</f>
        <v>0</v>
      </c>
      <c r="U137" s="45">
        <f>'Alt. scenario COM'!K48</f>
        <v>0</v>
      </c>
      <c r="V137" s="45">
        <f>'Alt. scenario COM'!L48</f>
        <v>0</v>
      </c>
      <c r="W137" s="235">
        <f>'Alt. scenario COM'!M48</f>
        <v>6212961.7216071431</v>
      </c>
      <c r="X137" s="52">
        <f>'Key financial and ops fig.s COM'!N48</f>
        <v>0</v>
      </c>
      <c r="Y137" s="45">
        <f>'Key financial and ops fig.s COM'!O48</f>
        <v>0</v>
      </c>
      <c r="Z137" s="45">
        <f>'Key financial and ops fig.s COM'!P48</f>
        <v>0</v>
      </c>
      <c r="AA137" s="45">
        <f>'Key financial and ops fig.s COM'!Q48</f>
        <v>0</v>
      </c>
      <c r="AB137" s="218">
        <f>'Key financial and ops fig.s COM'!R48</f>
        <v>11156797.223035716</v>
      </c>
      <c r="AC137" s="52">
        <f>'Alt. scenario COM'!N48</f>
        <v>0</v>
      </c>
      <c r="AD137" s="45">
        <f>'Alt. scenario COM'!O48</f>
        <v>0</v>
      </c>
      <c r="AE137" s="45">
        <f>'Alt. scenario COM'!P48</f>
        <v>0</v>
      </c>
      <c r="AF137" s="45">
        <f>'Alt. scenario COM'!Q48</f>
        <v>0</v>
      </c>
      <c r="AG137" s="235">
        <f>'Alt. scenario COM'!R48</f>
        <v>11156797.223035716</v>
      </c>
      <c r="AH137" s="52">
        <f>'Key financial and ops fig.s COM'!S48</f>
        <v>0</v>
      </c>
      <c r="AI137" s="45">
        <f>'Key financial and ops fig.s COM'!T48</f>
        <v>0</v>
      </c>
      <c r="AJ137" s="45">
        <f>'Key financial and ops fig.s COM'!U48</f>
        <v>0</v>
      </c>
      <c r="AK137" s="45">
        <f>'Key financial and ops fig.s COM'!V48</f>
        <v>0</v>
      </c>
      <c r="AL137" s="218">
        <f>'Key financial and ops fig.s COM'!W48</f>
        <v>15086238.558750002</v>
      </c>
      <c r="AM137" s="52">
        <f>'Alt. scenario COM'!S48</f>
        <v>0</v>
      </c>
      <c r="AN137" s="45">
        <f>'Alt. scenario COM'!T48</f>
        <v>0</v>
      </c>
      <c r="AO137" s="45">
        <f>'Alt. scenario COM'!U48</f>
        <v>0</v>
      </c>
      <c r="AP137" s="45">
        <f>'Alt. scenario COM'!V48</f>
        <v>0</v>
      </c>
      <c r="AQ137" s="235">
        <f>'Alt. scenario COM'!W48</f>
        <v>15086238.558750002</v>
      </c>
      <c r="AR137" s="52">
        <f>'Key financial and ops fig.s COM'!X48</f>
        <v>0</v>
      </c>
      <c r="AS137" s="45">
        <f>'Key financial and ops fig.s COM'!Y48</f>
        <v>0</v>
      </c>
      <c r="AT137" s="45">
        <f>'Key financial and ops fig.s COM'!Z48</f>
        <v>0</v>
      </c>
      <c r="AU137" s="45">
        <f>'Key financial and ops fig.s COM'!AA48</f>
        <v>0</v>
      </c>
      <c r="AV137" s="218">
        <f>'Key financial and ops fig.s COM'!AB48</f>
        <v>18774677.585892856</v>
      </c>
      <c r="AW137" s="52">
        <f>'Alt. scenario COM'!X48</f>
        <v>0</v>
      </c>
      <c r="AX137" s="45">
        <f>'Alt. scenario COM'!Y48</f>
        <v>0</v>
      </c>
      <c r="AY137" s="45">
        <f>'Alt. scenario COM'!Z48</f>
        <v>0</v>
      </c>
      <c r="AZ137" s="45">
        <f>'Alt. scenario COM'!AA48</f>
        <v>0</v>
      </c>
      <c r="BA137" s="235">
        <f>'Alt. scenario COM'!AB48</f>
        <v>18774677.585892856</v>
      </c>
      <c r="BB137" s="52">
        <f>'Key financial and ops fig.s COM'!AC48</f>
        <v>0</v>
      </c>
      <c r="BC137" s="45">
        <f>'Key financial and ops fig.s COM'!AD48</f>
        <v>0</v>
      </c>
      <c r="BD137" s="45">
        <f>'Key financial and ops fig.s COM'!AE48</f>
        <v>0</v>
      </c>
      <c r="BE137" s="45">
        <f>'Key financial and ops fig.s COM'!AF48</f>
        <v>0</v>
      </c>
      <c r="BF137" s="218">
        <f>'Key financial and ops fig.s COM'!AG48</f>
        <v>19070923.982142858</v>
      </c>
      <c r="BG137" s="52"/>
      <c r="BH137" s="45"/>
      <c r="BI137" s="45"/>
      <c r="BJ137" s="45"/>
      <c r="BK137" s="235">
        <f>'Alt. scenario COM'!AG48</f>
        <v>19070923.982142858</v>
      </c>
      <c r="BL137" s="52"/>
      <c r="BM137" s="45"/>
      <c r="BN137" s="45"/>
      <c r="BO137" s="45"/>
      <c r="BP137" s="218">
        <f>'Key financial and ops fig.s COM'!AL48</f>
        <v>18454609.639285713</v>
      </c>
      <c r="BQ137" s="52"/>
      <c r="BR137" s="45"/>
      <c r="BS137" s="45"/>
      <c r="BT137" s="45"/>
      <c r="BU137" s="235">
        <f>'Alt. scenario COM'!AL48</f>
        <v>18454609.639285713</v>
      </c>
    </row>
    <row r="138" spans="1:73" ht="18.95">
      <c r="A138" s="42" t="s">
        <v>289</v>
      </c>
      <c r="B138" s="42"/>
      <c r="C138" s="42"/>
      <c r="D138" s="54"/>
      <c r="E138" s="54"/>
      <c r="F138" s="54"/>
      <c r="G138" s="54"/>
      <c r="H138" s="219">
        <f>'Key financial and ops fig.s COM'!H49</f>
        <v>-887504.38392857136</v>
      </c>
      <c r="I138" s="54">
        <f>'Alt. scenario COM'!D49</f>
        <v>0</v>
      </c>
      <c r="J138" s="54">
        <f>'Alt. scenario COM'!E49</f>
        <v>0</v>
      </c>
      <c r="K138" s="54">
        <f>'Alt. scenario COM'!F49</f>
        <v>0</v>
      </c>
      <c r="L138" s="54">
        <f>'Alt. scenario COM'!G49</f>
        <v>0</v>
      </c>
      <c r="M138" s="236">
        <f>'Alt. scenario COM'!H49</f>
        <v>-887504.38392857136</v>
      </c>
      <c r="N138" s="54">
        <f>'Key financial and ops fig.s COM'!I49</f>
        <v>0</v>
      </c>
      <c r="O138" s="54">
        <f>'Key financial and ops fig.s COM'!J49</f>
        <v>0</v>
      </c>
      <c r="P138" s="54">
        <f>'Key financial and ops fig.s COM'!K49</f>
        <v>0</v>
      </c>
      <c r="Q138" s="54">
        <f>'Key financial and ops fig.s COM'!L49</f>
        <v>0</v>
      </c>
      <c r="R138" s="219">
        <f>'Key financial and ops fig.s COM'!M49</f>
        <v>5325457.3376785722</v>
      </c>
      <c r="S138" s="54">
        <f>'Alt. scenario COM'!I49</f>
        <v>0</v>
      </c>
      <c r="T138" s="54">
        <f>'Alt. scenario COM'!J49</f>
        <v>0</v>
      </c>
      <c r="U138" s="54">
        <f>'Alt. scenario COM'!K49</f>
        <v>0</v>
      </c>
      <c r="V138" s="54">
        <f>'Alt. scenario COM'!L49</f>
        <v>0</v>
      </c>
      <c r="W138" s="236">
        <f>'Alt. scenario COM'!M49</f>
        <v>5325457.3376785722</v>
      </c>
      <c r="X138" s="54">
        <f>'Key financial and ops fig.s COM'!N49</f>
        <v>0</v>
      </c>
      <c r="Y138" s="54">
        <f>'Key financial and ops fig.s COM'!O49</f>
        <v>0</v>
      </c>
      <c r="Z138" s="54">
        <f>'Key financial and ops fig.s COM'!P49</f>
        <v>0</v>
      </c>
      <c r="AA138" s="54">
        <f>'Key financial and ops fig.s COM'!Q49</f>
        <v>0</v>
      </c>
      <c r="AB138" s="219">
        <f>'Key financial and ops fig.s COM'!R49</f>
        <v>16482254.560714288</v>
      </c>
      <c r="AC138" s="54">
        <f>'Alt. scenario COM'!N49</f>
        <v>0</v>
      </c>
      <c r="AD138" s="54">
        <f>'Alt. scenario COM'!O49</f>
        <v>0</v>
      </c>
      <c r="AE138" s="54">
        <f>'Alt. scenario COM'!P49</f>
        <v>0</v>
      </c>
      <c r="AF138" s="54">
        <f>'Alt. scenario COM'!Q49</f>
        <v>0</v>
      </c>
      <c r="AG138" s="236">
        <f>'Alt. scenario COM'!R49</f>
        <v>16482254.560714288</v>
      </c>
      <c r="AH138" s="54">
        <f>'Key financial and ops fig.s COM'!S49</f>
        <v>0</v>
      </c>
      <c r="AI138" s="54">
        <f>'Key financial and ops fig.s COM'!T49</f>
        <v>0</v>
      </c>
      <c r="AJ138" s="54">
        <f>'Key financial and ops fig.s COM'!U49</f>
        <v>0</v>
      </c>
      <c r="AK138" s="54">
        <f>'Key financial and ops fig.s COM'!V49</f>
        <v>0</v>
      </c>
      <c r="AL138" s="219">
        <f>'Key financial and ops fig.s COM'!W49</f>
        <v>31568493.119464289</v>
      </c>
      <c r="AM138" s="54">
        <f>'Alt. scenario COM'!S49</f>
        <v>0</v>
      </c>
      <c r="AN138" s="54">
        <f>'Alt. scenario COM'!T49</f>
        <v>0</v>
      </c>
      <c r="AO138" s="54">
        <f>'Alt. scenario COM'!U49</f>
        <v>0</v>
      </c>
      <c r="AP138" s="54">
        <f>'Alt. scenario COM'!V49</f>
        <v>0</v>
      </c>
      <c r="AQ138" s="236">
        <f>'Alt. scenario COM'!W49</f>
        <v>31568493.119464289</v>
      </c>
      <c r="AR138" s="54">
        <f>'Key financial and ops fig.s COM'!X49</f>
        <v>0</v>
      </c>
      <c r="AS138" s="54">
        <f>'Key financial and ops fig.s COM'!Y49</f>
        <v>0</v>
      </c>
      <c r="AT138" s="54">
        <f>'Key financial and ops fig.s COM'!Z49</f>
        <v>0</v>
      </c>
      <c r="AU138" s="54">
        <f>'Key financial and ops fig.s COM'!AA49</f>
        <v>0</v>
      </c>
      <c r="AV138" s="219">
        <f>'Key financial and ops fig.s COM'!AB49</f>
        <v>50343170.705357149</v>
      </c>
      <c r="AW138" s="54">
        <f>'Alt. scenario COM'!X49</f>
        <v>0</v>
      </c>
      <c r="AX138" s="54">
        <f>'Alt. scenario COM'!Y49</f>
        <v>0</v>
      </c>
      <c r="AY138" s="54">
        <f>'Alt. scenario COM'!Z49</f>
        <v>0</v>
      </c>
      <c r="AZ138" s="54">
        <f>'Alt. scenario COM'!AA49</f>
        <v>0</v>
      </c>
      <c r="BA138" s="236">
        <f>'Alt. scenario COM'!AB49</f>
        <v>50343170.705357149</v>
      </c>
      <c r="BB138" s="54">
        <f>'Key financial and ops fig.s COM'!AC49</f>
        <v>0</v>
      </c>
      <c r="BC138" s="54">
        <f>'Key financial and ops fig.s COM'!AD49</f>
        <v>0</v>
      </c>
      <c r="BD138" s="54">
        <f>'Key financial and ops fig.s COM'!AE49</f>
        <v>0</v>
      </c>
      <c r="BE138" s="54">
        <f>'Key financial and ops fig.s COM'!AF49</f>
        <v>0</v>
      </c>
      <c r="BF138" s="219">
        <f>'Key financial and ops fig.s COM'!AG49</f>
        <v>69414094.6875</v>
      </c>
      <c r="BG138" s="54"/>
      <c r="BH138" s="54"/>
      <c r="BI138" s="54"/>
      <c r="BJ138" s="54"/>
      <c r="BK138" s="236">
        <f>'Alt. scenario COM'!AG49</f>
        <v>69414094.6875</v>
      </c>
      <c r="BL138" s="54"/>
      <c r="BM138" s="54"/>
      <c r="BN138" s="54"/>
      <c r="BO138" s="54"/>
      <c r="BP138" s="219">
        <f>'Key financial and ops fig.s COM'!AL49</f>
        <v>87868704.326785713</v>
      </c>
      <c r="BQ138" s="54"/>
      <c r="BR138" s="54"/>
      <c r="BS138" s="54"/>
      <c r="BT138" s="54"/>
      <c r="BU138" s="236">
        <f>'Alt. scenario COM'!AL49</f>
        <v>87868704.326785713</v>
      </c>
    </row>
    <row r="139" spans="1:73" ht="17.100000000000001" thickBot="1">
      <c r="A139" s="56"/>
      <c r="C139" s="56"/>
      <c r="D139" s="67"/>
      <c r="E139" s="67"/>
      <c r="F139" s="67"/>
      <c r="G139" s="67"/>
      <c r="H139" s="220"/>
      <c r="I139" s="67"/>
      <c r="J139" s="67"/>
      <c r="K139" s="67"/>
      <c r="L139" s="67"/>
      <c r="M139" s="237"/>
      <c r="N139" s="67"/>
      <c r="O139" s="67"/>
      <c r="P139" s="67"/>
      <c r="Q139" s="67"/>
      <c r="R139" s="220"/>
      <c r="S139" s="67"/>
      <c r="T139" s="67"/>
      <c r="U139" s="67"/>
      <c r="V139" s="67"/>
      <c r="W139" s="237"/>
      <c r="X139" s="67"/>
      <c r="Y139" s="67"/>
      <c r="Z139" s="67"/>
      <c r="AA139" s="67"/>
      <c r="AB139" s="220"/>
      <c r="AC139" s="67"/>
      <c r="AD139" s="67"/>
      <c r="AE139" s="67"/>
      <c r="AF139" s="67"/>
      <c r="AG139" s="237"/>
      <c r="AH139" s="67"/>
      <c r="AI139" s="67"/>
      <c r="AJ139" s="67"/>
      <c r="AK139" s="67"/>
      <c r="AL139" s="220"/>
      <c r="AM139" s="67"/>
      <c r="AN139" s="67"/>
      <c r="AO139" s="67"/>
      <c r="AP139" s="67"/>
      <c r="AQ139" s="237"/>
      <c r="AR139" s="67"/>
      <c r="AS139" s="67"/>
      <c r="AT139" s="67"/>
      <c r="AU139" s="67"/>
      <c r="AV139" s="220"/>
      <c r="AW139" s="67"/>
      <c r="AX139" s="67"/>
      <c r="AY139" s="67"/>
      <c r="AZ139" s="67"/>
      <c r="BA139" s="237"/>
      <c r="BB139" s="67"/>
      <c r="BC139" s="67"/>
      <c r="BD139" s="67"/>
      <c r="BE139" s="67"/>
      <c r="BF139" s="220"/>
      <c r="BG139" s="67"/>
      <c r="BH139" s="67"/>
      <c r="BI139" s="67"/>
      <c r="BJ139" s="67"/>
      <c r="BK139" s="237"/>
      <c r="BL139" s="67"/>
      <c r="BM139" s="67"/>
      <c r="BN139" s="67"/>
      <c r="BO139" s="67"/>
      <c r="BP139" s="220"/>
      <c r="BQ139" s="67"/>
      <c r="BR139" s="67"/>
      <c r="BS139" s="67"/>
      <c r="BT139" s="67"/>
      <c r="BU139" s="237"/>
    </row>
    <row r="140" spans="1:73" ht="35.1" thickBot="1">
      <c r="A140" s="28" t="s">
        <v>290</v>
      </c>
      <c r="B140" s="28"/>
      <c r="C140" s="28"/>
      <c r="D140" s="206" t="str">
        <f>D94</f>
        <v>Q1 Y1</v>
      </c>
      <c r="E140" s="207" t="str">
        <f t="shared" ref="E140:BP140" si="57">E94</f>
        <v>Q2 Y1</v>
      </c>
      <c r="F140" s="207" t="str">
        <f t="shared" si="57"/>
        <v>Q3 Y1</v>
      </c>
      <c r="G140" s="207" t="str">
        <f t="shared" si="57"/>
        <v>Q4 Y1</v>
      </c>
      <c r="H140" s="212" t="str">
        <f t="shared" si="57"/>
        <v>Y1</v>
      </c>
      <c r="I140" s="206" t="str">
        <f t="shared" si="57"/>
        <v>Alternative scenario for Q1 Y1</v>
      </c>
      <c r="J140" s="207" t="str">
        <f t="shared" si="57"/>
        <v>Alternative scenario for Q2 Y1</v>
      </c>
      <c r="K140" s="207" t="str">
        <f t="shared" si="57"/>
        <v>Alternative scenario for Q3 Y1</v>
      </c>
      <c r="L140" s="207" t="str">
        <f t="shared" si="57"/>
        <v>Alternative scenario for Q4 Y1</v>
      </c>
      <c r="M140" s="238" t="str">
        <f t="shared" si="57"/>
        <v>Alternative scenario for Y1</v>
      </c>
      <c r="N140" s="206" t="str">
        <f t="shared" si="57"/>
        <v>Q1 Y2</v>
      </c>
      <c r="O140" s="207" t="str">
        <f t="shared" si="57"/>
        <v>Q2 Y2</v>
      </c>
      <c r="P140" s="207" t="str">
        <f t="shared" si="57"/>
        <v>Q3 Y2</v>
      </c>
      <c r="Q140" s="207" t="str">
        <f t="shared" si="57"/>
        <v>Q4 Y2</v>
      </c>
      <c r="R140" s="212" t="str">
        <f t="shared" si="57"/>
        <v>Y2</v>
      </c>
      <c r="S140" s="206" t="str">
        <f t="shared" si="57"/>
        <v>Alternative scenario for Q1 Y2</v>
      </c>
      <c r="T140" s="207" t="str">
        <f t="shared" si="57"/>
        <v>Alternative scenario for Q2 Y2</v>
      </c>
      <c r="U140" s="207" t="str">
        <f t="shared" si="57"/>
        <v>Alternative scenario for Q3 Y2</v>
      </c>
      <c r="V140" s="207" t="str">
        <f t="shared" si="57"/>
        <v>Alternative scenario for Q4 Y2</v>
      </c>
      <c r="W140" s="238" t="str">
        <f t="shared" si="57"/>
        <v>Alternative scenario for Y2</v>
      </c>
      <c r="X140" s="206" t="str">
        <f t="shared" si="57"/>
        <v>Q1 Y3</v>
      </c>
      <c r="Y140" s="207" t="str">
        <f t="shared" si="57"/>
        <v>Q2 Y3</v>
      </c>
      <c r="Z140" s="207" t="str">
        <f t="shared" si="57"/>
        <v>Q3 Y3</v>
      </c>
      <c r="AA140" s="207" t="str">
        <f t="shared" si="57"/>
        <v>Q4 Y3</v>
      </c>
      <c r="AB140" s="212" t="str">
        <f t="shared" si="57"/>
        <v>Y3</v>
      </c>
      <c r="AC140" s="206" t="str">
        <f t="shared" si="57"/>
        <v>Alternative scenario for Q1 Y3</v>
      </c>
      <c r="AD140" s="207" t="str">
        <f t="shared" si="57"/>
        <v>Alternative scenario for Q2 Y3</v>
      </c>
      <c r="AE140" s="207" t="str">
        <f t="shared" si="57"/>
        <v>Alternative scenario for Q3 Y3</v>
      </c>
      <c r="AF140" s="207" t="str">
        <f t="shared" si="57"/>
        <v>Alternative scenario for Q4 Y3</v>
      </c>
      <c r="AG140" s="238" t="str">
        <f t="shared" si="57"/>
        <v>Alternative scenario for Y3</v>
      </c>
      <c r="AH140" s="206" t="str">
        <f t="shared" si="57"/>
        <v>Q1 Y4</v>
      </c>
      <c r="AI140" s="207" t="str">
        <f t="shared" si="57"/>
        <v>Q2 Y4</v>
      </c>
      <c r="AJ140" s="207" t="str">
        <f t="shared" si="57"/>
        <v>Q3 Y4</v>
      </c>
      <c r="AK140" s="207" t="str">
        <f t="shared" si="57"/>
        <v>Q4 Y4</v>
      </c>
      <c r="AL140" s="212" t="str">
        <f t="shared" si="57"/>
        <v>Y4</v>
      </c>
      <c r="AM140" s="206" t="str">
        <f t="shared" si="57"/>
        <v>Alternative scenario for Q1 Y4</v>
      </c>
      <c r="AN140" s="207" t="str">
        <f t="shared" si="57"/>
        <v>Alternative scenario for Q2 Y4</v>
      </c>
      <c r="AO140" s="207" t="str">
        <f t="shared" si="57"/>
        <v>Alternative scenario for Q3 Y4</v>
      </c>
      <c r="AP140" s="207" t="str">
        <f t="shared" si="57"/>
        <v>Alternative scenario for Q4 Y4</v>
      </c>
      <c r="AQ140" s="238" t="str">
        <f t="shared" si="57"/>
        <v>Alternative scenario for Y4</v>
      </c>
      <c r="AR140" s="206" t="str">
        <f t="shared" si="57"/>
        <v>Q1 Y5</v>
      </c>
      <c r="AS140" s="207" t="str">
        <f t="shared" si="57"/>
        <v>Q2 Y5</v>
      </c>
      <c r="AT140" s="207" t="str">
        <f t="shared" si="57"/>
        <v>Q3 Y5</v>
      </c>
      <c r="AU140" s="207" t="str">
        <f t="shared" si="57"/>
        <v>Q4 Y5</v>
      </c>
      <c r="AV140" s="212" t="str">
        <f t="shared" si="57"/>
        <v>Y5</v>
      </c>
      <c r="AW140" s="206" t="str">
        <f t="shared" si="57"/>
        <v>Alternative scenario for Q1 Y5</v>
      </c>
      <c r="AX140" s="207" t="str">
        <f t="shared" si="57"/>
        <v>Alternative scenario for Q2 Y5</v>
      </c>
      <c r="AY140" s="207" t="str">
        <f t="shared" si="57"/>
        <v>Alternative scenario for Q3 Y5</v>
      </c>
      <c r="AZ140" s="207" t="str">
        <f t="shared" si="57"/>
        <v>Alternative scenario for Q4 Y5</v>
      </c>
      <c r="BA140" s="238" t="str">
        <f t="shared" si="57"/>
        <v>Alternative scenario for Y5</v>
      </c>
      <c r="BB140" s="206" t="str">
        <f t="shared" si="57"/>
        <v>Q1 Y6</v>
      </c>
      <c r="BC140" s="207" t="str">
        <f t="shared" si="57"/>
        <v>Q2 Y6</v>
      </c>
      <c r="BD140" s="207" t="str">
        <f t="shared" si="57"/>
        <v>Q3 Y6</v>
      </c>
      <c r="BE140" s="207" t="str">
        <f t="shared" si="57"/>
        <v>Q4 Y6</v>
      </c>
      <c r="BF140" s="212" t="str">
        <f t="shared" si="57"/>
        <v>Y6</v>
      </c>
      <c r="BG140" s="206" t="str">
        <f t="shared" si="57"/>
        <v>Alternative scenario for Q1 Y6</v>
      </c>
      <c r="BH140" s="207" t="str">
        <f t="shared" si="57"/>
        <v>Alternative scenario for Q2 Y6</v>
      </c>
      <c r="BI140" s="207" t="str">
        <f t="shared" si="57"/>
        <v>Alternative scenario for Q3 Y6</v>
      </c>
      <c r="BJ140" s="207" t="str">
        <f t="shared" si="57"/>
        <v>Alternative scenario for Q4 Y6</v>
      </c>
      <c r="BK140" s="238" t="str">
        <f t="shared" si="57"/>
        <v>Alternative scenario for Y6</v>
      </c>
      <c r="BL140" s="206" t="str">
        <f t="shared" si="57"/>
        <v>Q1 Y7</v>
      </c>
      <c r="BM140" s="207" t="str">
        <f t="shared" si="57"/>
        <v>Q2 Y7</v>
      </c>
      <c r="BN140" s="207" t="str">
        <f t="shared" si="57"/>
        <v>Q3 Y7</v>
      </c>
      <c r="BO140" s="207" t="str">
        <f t="shared" si="57"/>
        <v>Q4 Y7</v>
      </c>
      <c r="BP140" s="212" t="str">
        <f t="shared" si="57"/>
        <v>Y7</v>
      </c>
      <c r="BQ140" s="206" t="str">
        <f t="shared" ref="BQ140:BU140" si="58">BQ94</f>
        <v>Alternative scenario for Q1 Y7</v>
      </c>
      <c r="BR140" s="207" t="str">
        <f t="shared" si="58"/>
        <v>Alternative scenario for Q2 Y7</v>
      </c>
      <c r="BS140" s="207" t="str">
        <f t="shared" si="58"/>
        <v>Alternative scenario for Q3 Y7</v>
      </c>
      <c r="BT140" s="207" t="str">
        <f t="shared" si="58"/>
        <v>Alternative scenario for Q4 Y7</v>
      </c>
      <c r="BU140" s="238" t="str">
        <f t="shared" si="58"/>
        <v>Alternative scenario for Y7</v>
      </c>
    </row>
    <row r="141" spans="1:73" ht="15.95">
      <c r="A141" s="36"/>
      <c r="B141" s="34" t="s">
        <v>255</v>
      </c>
      <c r="C141" s="56"/>
      <c r="D141" s="105">
        <f>'Key financial and ops fig.s COM'!D52</f>
        <v>190993.78125</v>
      </c>
      <c r="E141" s="106">
        <f>'Key financial and ops fig.s COM'!E52</f>
        <v>379585.125</v>
      </c>
      <c r="F141" s="106">
        <f>'Key financial and ops fig.s COM'!F52</f>
        <v>565774.03125000012</v>
      </c>
      <c r="G141" s="107">
        <f>'Key financial and ops fig.s COM'!G52</f>
        <v>749560.5</v>
      </c>
      <c r="H141" s="221">
        <f>'Key financial and ops fig.s COM'!H52</f>
        <v>1885913.4375</v>
      </c>
      <c r="I141" s="105">
        <f>'Alt. scenario COM'!D52</f>
        <v>190993.78125</v>
      </c>
      <c r="J141" s="106">
        <f>'Alt. scenario COM'!E52</f>
        <v>379585.125</v>
      </c>
      <c r="K141" s="106">
        <f>'Alt. scenario COM'!F52</f>
        <v>565774.03125000012</v>
      </c>
      <c r="L141" s="107">
        <f>'Alt. scenario COM'!G52</f>
        <v>749560.5</v>
      </c>
      <c r="M141" s="239">
        <f>'Alt. scenario COM'!H52</f>
        <v>1885913.4375</v>
      </c>
      <c r="N141" s="105">
        <f>'Key financial and ops fig.s COM'!I52</f>
        <v>930944.53125</v>
      </c>
      <c r="O141" s="106">
        <f>'Key financial and ops fig.s COM'!J52</f>
        <v>1109926.1250000002</v>
      </c>
      <c r="P141" s="106">
        <f>'Key financial and ops fig.s COM'!K52</f>
        <v>1286505.2812500002</v>
      </c>
      <c r="Q141" s="107">
        <f>'Key financial and ops fig.s COM'!L52</f>
        <v>1460682</v>
      </c>
      <c r="R141" s="221">
        <f>'Key financial and ops fig.s COM'!M52</f>
        <v>4788057.9375</v>
      </c>
      <c r="S141" s="105">
        <f>'Alt. scenario COM'!I52</f>
        <v>930944.53125</v>
      </c>
      <c r="T141" s="106">
        <f>'Alt. scenario COM'!J52</f>
        <v>1109926.1250000002</v>
      </c>
      <c r="U141" s="106">
        <f>'Alt. scenario COM'!K52</f>
        <v>1286505.2812500002</v>
      </c>
      <c r="V141" s="107">
        <f>'Alt. scenario COM'!L52</f>
        <v>1460682</v>
      </c>
      <c r="W141" s="239">
        <f>'Alt. scenario COM'!M52</f>
        <v>4788057.9375</v>
      </c>
      <c r="X141" s="105">
        <f>'Key financial and ops fig.s COM'!N52</f>
        <v>1632456.28125</v>
      </c>
      <c r="Y141" s="106">
        <f>'Key financial and ops fig.s COM'!O52</f>
        <v>1801828.125</v>
      </c>
      <c r="Z141" s="106">
        <f>'Key financial and ops fig.s COM'!P52</f>
        <v>1968797.5312500005</v>
      </c>
      <c r="AA141" s="107">
        <f>'Key financial and ops fig.s COM'!Q52</f>
        <v>2133364.5000000005</v>
      </c>
      <c r="AB141" s="221">
        <f>'Key financial and ops fig.s COM'!R52</f>
        <v>7536446.4375</v>
      </c>
      <c r="AC141" s="105">
        <f>'Alt. scenario COM'!N52</f>
        <v>1632456.28125</v>
      </c>
      <c r="AD141" s="106">
        <f>'Alt. scenario COM'!O52</f>
        <v>1801828.125</v>
      </c>
      <c r="AE141" s="106">
        <f>'Alt. scenario COM'!P52</f>
        <v>1968797.5312500005</v>
      </c>
      <c r="AF141" s="107">
        <f>'Alt. scenario COM'!Q52</f>
        <v>2133364.5000000005</v>
      </c>
      <c r="AG141" s="239">
        <f>'Alt. scenario COM'!R52</f>
        <v>7536446.4375</v>
      </c>
      <c r="AH141" s="105">
        <f>'Key financial and ops fig.s COM'!S52</f>
        <v>2295529.0312500005</v>
      </c>
      <c r="AI141" s="106">
        <f>'Key financial and ops fig.s COM'!T52</f>
        <v>2455291.1250000005</v>
      </c>
      <c r="AJ141" s="106">
        <f>'Key financial and ops fig.s COM'!U52</f>
        <v>2612650.7812500005</v>
      </c>
      <c r="AK141" s="107">
        <f>'Key financial and ops fig.s COM'!V52</f>
        <v>2767608</v>
      </c>
      <c r="AL141" s="221">
        <f>'Key financial and ops fig.s COM'!W52</f>
        <v>10131078.937500002</v>
      </c>
      <c r="AM141" s="105">
        <f>'Alt. scenario COM'!S52</f>
        <v>2295529.0312500005</v>
      </c>
      <c r="AN141" s="106">
        <f>'Alt. scenario COM'!T52</f>
        <v>2455291.1250000005</v>
      </c>
      <c r="AO141" s="106">
        <f>'Alt. scenario COM'!U52</f>
        <v>2612650.7812500005</v>
      </c>
      <c r="AP141" s="107">
        <f>'Alt. scenario COM'!V52</f>
        <v>2767608</v>
      </c>
      <c r="AQ141" s="239">
        <f>'Alt. scenario COM'!W52</f>
        <v>10131078.937500002</v>
      </c>
      <c r="AR141" s="105">
        <f>'Key financial and ops fig.s COM'!X52</f>
        <v>2920162.78125</v>
      </c>
      <c r="AS141" s="106">
        <f>'Key financial and ops fig.s COM'!Y52</f>
        <v>3070315.125</v>
      </c>
      <c r="AT141" s="106">
        <f>'Key financial and ops fig.s COM'!Z52</f>
        <v>3218065.03125</v>
      </c>
      <c r="AU141" s="107">
        <f>'Key financial and ops fig.s COM'!AA52</f>
        <v>3363412.5</v>
      </c>
      <c r="AV141" s="221">
        <f>'Key financial and ops fig.s COM'!AB52</f>
        <v>12571955.4375</v>
      </c>
      <c r="AW141" s="105">
        <f>'Alt. scenario COM'!X52</f>
        <v>2920162.78125</v>
      </c>
      <c r="AX141" s="106">
        <f>'Alt. scenario COM'!Y52</f>
        <v>3070315.125</v>
      </c>
      <c r="AY141" s="106">
        <f>'Alt. scenario COM'!Z52</f>
        <v>3218065.03125</v>
      </c>
      <c r="AZ141" s="107">
        <f>'Alt. scenario COM'!AA52</f>
        <v>3363412.5</v>
      </c>
      <c r="BA141" s="239">
        <f>'Alt. scenario COM'!AB52</f>
        <v>12571955.4375</v>
      </c>
      <c r="BB141" s="105">
        <f>'Key financial and ops fig.s COM'!AC52</f>
        <v>3339388.125</v>
      </c>
      <c r="BC141" s="106">
        <f>'Key financial and ops fig.s COM'!AD52</f>
        <v>3315363.75</v>
      </c>
      <c r="BD141" s="106">
        <f>'Key financial and ops fig.s COM'!AE52</f>
        <v>3291339.375</v>
      </c>
      <c r="BE141" s="107">
        <f>'Key financial and ops fig.s COM'!AF52</f>
        <v>3267315</v>
      </c>
      <c r="BF141" s="221">
        <f>'Key financial and ops fig.s COM'!AG52</f>
        <v>13213406.25</v>
      </c>
      <c r="BG141" s="105">
        <f>'Alt. scenario COM'!AC52</f>
        <v>3339388.125</v>
      </c>
      <c r="BH141" s="106">
        <f>'Alt. scenario COM'!AD52</f>
        <v>3315363.75</v>
      </c>
      <c r="BI141" s="106">
        <f>'Alt. scenario COM'!AE52</f>
        <v>3291339.375</v>
      </c>
      <c r="BJ141" s="107">
        <f>'Alt. scenario COM'!AF52</f>
        <v>3267315</v>
      </c>
      <c r="BK141" s="239">
        <f>'Alt. scenario COM'!AG52</f>
        <v>13213406.25</v>
      </c>
      <c r="BL141" s="105">
        <f>'Key financial and ops fig.s COM'!AH52</f>
        <v>3243290.625</v>
      </c>
      <c r="BM141" s="106">
        <f>'Key financial and ops fig.s COM'!AI52</f>
        <v>3219266.25</v>
      </c>
      <c r="BN141" s="106">
        <f>'Key financial and ops fig.s COM'!AJ52</f>
        <v>3195241.875</v>
      </c>
      <c r="BO141" s="107">
        <f>'Key financial and ops fig.s COM'!AK52</f>
        <v>3171217.5</v>
      </c>
      <c r="BP141" s="221">
        <f>'Key financial and ops fig.s COM'!AL52</f>
        <v>12829016.25</v>
      </c>
      <c r="BQ141" s="105">
        <f>'Alt. scenario COM'!AH52</f>
        <v>3243290.625</v>
      </c>
      <c r="BR141" s="106">
        <f>'Alt. scenario COM'!AI52</f>
        <v>3219266.25</v>
      </c>
      <c r="BS141" s="106">
        <f>'Alt. scenario COM'!AJ52</f>
        <v>3195241.875</v>
      </c>
      <c r="BT141" s="107">
        <f>'Alt. scenario COM'!AK52</f>
        <v>3171217.5</v>
      </c>
      <c r="BU141" s="239">
        <f>'Alt. scenario COM'!AL52</f>
        <v>12829016.25</v>
      </c>
    </row>
    <row r="142" spans="1:73" ht="15.95">
      <c r="A142" s="36"/>
      <c r="B142" s="34" t="s">
        <v>261</v>
      </c>
      <c r="C142" s="56"/>
      <c r="D142" s="63">
        <f>'Key financial and ops fig.s COM'!D53</f>
        <v>405935.94375000003</v>
      </c>
      <c r="E142" s="64">
        <f>'Key financial and ops fig.s COM'!E53</f>
        <v>506196.15</v>
      </c>
      <c r="F142" s="64">
        <f>'Key financial and ops fig.s COM'!F53</f>
        <v>605130.99375000002</v>
      </c>
      <c r="G142" s="108">
        <f>'Key financial and ops fig.s COM'!G53</f>
        <v>702740.47499999998</v>
      </c>
      <c r="H142" s="221">
        <f>'Key financial and ops fig.s COM'!H53</f>
        <v>2220003.5625</v>
      </c>
      <c r="I142" s="63">
        <f>'Alt. scenario COM'!D53</f>
        <v>405935.94375000003</v>
      </c>
      <c r="J142" s="64">
        <f>'Alt. scenario COM'!E53</f>
        <v>506196.15</v>
      </c>
      <c r="K142" s="64">
        <f>'Alt. scenario COM'!F53</f>
        <v>605130.99375000002</v>
      </c>
      <c r="L142" s="108">
        <f>'Alt. scenario COM'!G53</f>
        <v>702740.47499999998</v>
      </c>
      <c r="M142" s="239">
        <f>'Alt. scenario COM'!H53</f>
        <v>2220003.5625</v>
      </c>
      <c r="N142" s="63">
        <f>'Key financial and ops fig.s COM'!I53</f>
        <v>799024.59375</v>
      </c>
      <c r="O142" s="64">
        <f>'Key financial and ops fig.s COM'!J53</f>
        <v>893983.35</v>
      </c>
      <c r="P142" s="64">
        <f>'Key financial and ops fig.s COM'!K53</f>
        <v>987616.74375000002</v>
      </c>
      <c r="Q142" s="108">
        <f>'Key financial and ops fig.s COM'!L53</f>
        <v>1079924.7749999999</v>
      </c>
      <c r="R142" s="221">
        <f>'Key financial and ops fig.s COM'!M53</f>
        <v>3760549.4624999999</v>
      </c>
      <c r="S142" s="63">
        <f>'Alt. scenario COM'!I53</f>
        <v>799024.59375</v>
      </c>
      <c r="T142" s="64">
        <f>'Alt. scenario COM'!J53</f>
        <v>893983.35</v>
      </c>
      <c r="U142" s="64">
        <f>'Alt. scenario COM'!K53</f>
        <v>987616.74375000002</v>
      </c>
      <c r="V142" s="108">
        <f>'Alt. scenario COM'!L53</f>
        <v>1079924.7749999999</v>
      </c>
      <c r="W142" s="239">
        <f>'Alt. scenario COM'!M53</f>
        <v>3760549.4624999999</v>
      </c>
      <c r="X142" s="63">
        <f>'Key financial and ops fig.s COM'!N53</f>
        <v>1170907.4437500001</v>
      </c>
      <c r="Y142" s="64">
        <f>'Key financial and ops fig.s COM'!O53</f>
        <v>1260564.75</v>
      </c>
      <c r="Z142" s="64">
        <f>'Key financial and ops fig.s COM'!P53</f>
        <v>1348896.6937500001</v>
      </c>
      <c r="AA142" s="108">
        <f>'Key financial and ops fig.s COM'!Q53</f>
        <v>1435903.2750000001</v>
      </c>
      <c r="AB142" s="221">
        <f>'Key financial and ops fig.s COM'!R53</f>
        <v>5216272.1625000006</v>
      </c>
      <c r="AC142" s="63">
        <f>'Alt. scenario COM'!N53</f>
        <v>1170907.4437500001</v>
      </c>
      <c r="AD142" s="64">
        <f>'Alt. scenario COM'!O53</f>
        <v>1260564.75</v>
      </c>
      <c r="AE142" s="64">
        <f>'Alt. scenario COM'!P53</f>
        <v>1348896.6937500001</v>
      </c>
      <c r="AF142" s="108">
        <f>'Alt. scenario COM'!Q53</f>
        <v>1435903.2750000001</v>
      </c>
      <c r="AG142" s="239">
        <f>'Alt. scenario COM'!R53</f>
        <v>5216272.1625000006</v>
      </c>
      <c r="AH142" s="63">
        <f>'Key financial and ops fig.s COM'!S53</f>
        <v>1521584.4937500001</v>
      </c>
      <c r="AI142" s="64">
        <f>'Key financial and ops fig.s COM'!T53</f>
        <v>1605940.35</v>
      </c>
      <c r="AJ142" s="64">
        <f>'Key financial and ops fig.s COM'!U53</f>
        <v>1688970.84375</v>
      </c>
      <c r="AK142" s="108">
        <f>'Key financial and ops fig.s COM'!V53</f>
        <v>1770675.9750000001</v>
      </c>
      <c r="AL142" s="221">
        <f>'Key financial and ops fig.s COM'!W53</f>
        <v>6587171.6624999996</v>
      </c>
      <c r="AM142" s="63">
        <f>'Alt. scenario COM'!S53</f>
        <v>1521584.4937500001</v>
      </c>
      <c r="AN142" s="64">
        <f>'Alt. scenario COM'!T53</f>
        <v>1605940.35</v>
      </c>
      <c r="AO142" s="64">
        <f>'Alt. scenario COM'!U53</f>
        <v>1688970.84375</v>
      </c>
      <c r="AP142" s="108">
        <f>'Alt. scenario COM'!V53</f>
        <v>1770675.9750000001</v>
      </c>
      <c r="AQ142" s="239">
        <f>'Alt. scenario COM'!W53</f>
        <v>6587171.6624999996</v>
      </c>
      <c r="AR142" s="63">
        <f>'Key financial and ops fig.s COM'!X53</f>
        <v>1851055.7437500001</v>
      </c>
      <c r="AS142" s="64">
        <f>'Key financial and ops fig.s COM'!Y53</f>
        <v>1930110.1500000001</v>
      </c>
      <c r="AT142" s="64">
        <f>'Key financial and ops fig.s COM'!Z53</f>
        <v>2007839.1937500001</v>
      </c>
      <c r="AU142" s="108">
        <f>'Key financial and ops fig.s COM'!AA53</f>
        <v>2084242.875</v>
      </c>
      <c r="AV142" s="221">
        <f>'Key financial and ops fig.s COM'!AB53</f>
        <v>7873247.9625000004</v>
      </c>
      <c r="AW142" s="63">
        <f>'Alt. scenario COM'!X53</f>
        <v>1851055.7437500001</v>
      </c>
      <c r="AX142" s="64">
        <f>'Alt. scenario COM'!Y53</f>
        <v>1930110.1500000001</v>
      </c>
      <c r="AY142" s="64">
        <f>'Alt. scenario COM'!Z53</f>
        <v>2007839.1937500001</v>
      </c>
      <c r="AZ142" s="108">
        <f>'Alt. scenario COM'!AA53</f>
        <v>2084242.875</v>
      </c>
      <c r="BA142" s="239">
        <f>'Alt. scenario COM'!AB53</f>
        <v>7873247.9625000004</v>
      </c>
      <c r="BB142" s="63">
        <f>'Key financial and ops fig.s COM'!AC53</f>
        <v>1804446.375</v>
      </c>
      <c r="BC142" s="64">
        <f>'Key financial and ops fig.s COM'!AD53</f>
        <v>1791192.75</v>
      </c>
      <c r="BD142" s="64">
        <f>'Key financial and ops fig.s COM'!AE53</f>
        <v>1777939.125</v>
      </c>
      <c r="BE142" s="108">
        <f>'Key financial and ops fig.s COM'!AF53</f>
        <v>1764685.5</v>
      </c>
      <c r="BF142" s="221">
        <f>'Key financial and ops fig.s COM'!AG53</f>
        <v>7138263.75</v>
      </c>
      <c r="BG142" s="63">
        <f>'Alt. scenario COM'!AC53</f>
        <v>1804446.375</v>
      </c>
      <c r="BH142" s="64">
        <f>'Alt. scenario COM'!AD53</f>
        <v>1791192.75</v>
      </c>
      <c r="BI142" s="64">
        <f>'Alt. scenario COM'!AE53</f>
        <v>1777939.125</v>
      </c>
      <c r="BJ142" s="108">
        <f>'Alt. scenario COM'!AF53</f>
        <v>1764685.5</v>
      </c>
      <c r="BK142" s="239">
        <f>'Alt. scenario COM'!AG53</f>
        <v>7138263.75</v>
      </c>
      <c r="BL142" s="63">
        <f>'Key financial and ops fig.s COM'!AH53</f>
        <v>1751431.875</v>
      </c>
      <c r="BM142" s="64">
        <f>'Key financial and ops fig.s COM'!AI53</f>
        <v>1738178.25</v>
      </c>
      <c r="BN142" s="64">
        <f>'Key financial and ops fig.s COM'!AJ53</f>
        <v>1724924.625</v>
      </c>
      <c r="BO142" s="108">
        <f>'Key financial and ops fig.s COM'!AK53</f>
        <v>1711671</v>
      </c>
      <c r="BP142" s="221">
        <f>'Key financial and ops fig.s COM'!AL53</f>
        <v>6926205.75</v>
      </c>
      <c r="BQ142" s="63">
        <f>'Alt. scenario COM'!AH53</f>
        <v>1751431.875</v>
      </c>
      <c r="BR142" s="64">
        <f>'Alt. scenario COM'!AI53</f>
        <v>1738178.25</v>
      </c>
      <c r="BS142" s="64">
        <f>'Alt. scenario COM'!AJ53</f>
        <v>1724924.625</v>
      </c>
      <c r="BT142" s="108">
        <f>'Alt. scenario COM'!AK53</f>
        <v>1711671</v>
      </c>
      <c r="BU142" s="239">
        <f>'Alt. scenario COM'!AL53</f>
        <v>6926205.75</v>
      </c>
    </row>
    <row r="143" spans="1:73" ht="15.95">
      <c r="A143" s="36"/>
      <c r="B143" s="34" t="s">
        <v>291</v>
      </c>
      <c r="C143" s="56"/>
      <c r="D143" s="63">
        <f>'Key financial and ops fig.s COM'!D54</f>
        <v>23866.875</v>
      </c>
      <c r="E143" s="64">
        <f>'Key financial and ops fig.s COM'!E54</f>
        <v>91867.5</v>
      </c>
      <c r="F143" s="64">
        <f>'Key financial and ops fig.s COM'!F54</f>
        <v>159001.875</v>
      </c>
      <c r="G143" s="108">
        <f>'Key financial and ops fig.s COM'!G54</f>
        <v>225270</v>
      </c>
      <c r="H143" s="221">
        <f>'Key financial and ops fig.s COM'!H54</f>
        <v>500006.25</v>
      </c>
      <c r="I143" s="63">
        <f>'Alt. scenario COM'!D54</f>
        <v>23866.875</v>
      </c>
      <c r="J143" s="64">
        <f>'Alt. scenario COM'!E54</f>
        <v>91867.5</v>
      </c>
      <c r="K143" s="64">
        <f>'Alt. scenario COM'!F54</f>
        <v>159001.875</v>
      </c>
      <c r="L143" s="108">
        <f>'Alt. scenario COM'!G54</f>
        <v>225270</v>
      </c>
      <c r="M143" s="239">
        <f>'Alt. scenario COM'!H54</f>
        <v>500006.25</v>
      </c>
      <c r="N143" s="63">
        <f>'Key financial and ops fig.s COM'!I54</f>
        <v>290671.875</v>
      </c>
      <c r="O143" s="64">
        <f>'Key financial and ops fig.s COM'!J54</f>
        <v>355207.5</v>
      </c>
      <c r="P143" s="64">
        <f>'Key financial and ops fig.s COM'!K54</f>
        <v>418876.875</v>
      </c>
      <c r="Q143" s="108">
        <f>'Key financial and ops fig.s COM'!L54</f>
        <v>481680</v>
      </c>
      <c r="R143" s="221">
        <f>'Key financial and ops fig.s COM'!M54</f>
        <v>1546436.25</v>
      </c>
      <c r="S143" s="63">
        <f>'Alt. scenario COM'!I54</f>
        <v>290671.875</v>
      </c>
      <c r="T143" s="64">
        <f>'Alt. scenario COM'!J54</f>
        <v>355207.5</v>
      </c>
      <c r="U143" s="64">
        <f>'Alt. scenario COM'!K54</f>
        <v>418876.875</v>
      </c>
      <c r="V143" s="108">
        <f>'Alt. scenario COM'!L54</f>
        <v>481680</v>
      </c>
      <c r="W143" s="239">
        <f>'Alt. scenario COM'!M54</f>
        <v>1546436.25</v>
      </c>
      <c r="X143" s="63">
        <f>'Key financial and ops fig.s COM'!N54</f>
        <v>543616.875</v>
      </c>
      <c r="Y143" s="64">
        <f>'Key financial and ops fig.s COM'!O54</f>
        <v>604687.5</v>
      </c>
      <c r="Z143" s="64">
        <f>'Key financial and ops fig.s COM'!P54</f>
        <v>664891.875</v>
      </c>
      <c r="AA143" s="108">
        <f>'Key financial and ops fig.s COM'!Q54</f>
        <v>724230</v>
      </c>
      <c r="AB143" s="221">
        <f>'Key financial and ops fig.s COM'!R54</f>
        <v>2537426.25</v>
      </c>
      <c r="AC143" s="63">
        <f>'Alt. scenario COM'!N54</f>
        <v>543616.875</v>
      </c>
      <c r="AD143" s="64">
        <f>'Alt. scenario COM'!O54</f>
        <v>604687.5</v>
      </c>
      <c r="AE143" s="64">
        <f>'Alt. scenario COM'!P54</f>
        <v>664891.875</v>
      </c>
      <c r="AF143" s="108">
        <f>'Alt. scenario COM'!Q54</f>
        <v>724230</v>
      </c>
      <c r="AG143" s="239">
        <f>'Alt. scenario COM'!R54</f>
        <v>2537426.25</v>
      </c>
      <c r="AH143" s="63">
        <f>'Key financial and ops fig.s COM'!S54</f>
        <v>782701.875</v>
      </c>
      <c r="AI143" s="64">
        <f>'Key financial and ops fig.s COM'!T54</f>
        <v>840307.5</v>
      </c>
      <c r="AJ143" s="64">
        <f>'Key financial and ops fig.s COM'!U54</f>
        <v>897046.875</v>
      </c>
      <c r="AK143" s="108">
        <f>'Key financial and ops fig.s COM'!V54</f>
        <v>952920</v>
      </c>
      <c r="AL143" s="221">
        <f>'Key financial and ops fig.s COM'!W54</f>
        <v>3472976.25</v>
      </c>
      <c r="AM143" s="63">
        <f>'Alt. scenario COM'!S54</f>
        <v>782701.875</v>
      </c>
      <c r="AN143" s="64">
        <f>'Alt. scenario COM'!T54</f>
        <v>840307.5</v>
      </c>
      <c r="AO143" s="64">
        <f>'Alt. scenario COM'!U54</f>
        <v>897046.875</v>
      </c>
      <c r="AP143" s="108">
        <f>'Alt. scenario COM'!V54</f>
        <v>952920</v>
      </c>
      <c r="AQ143" s="239">
        <f>'Alt. scenario COM'!W54</f>
        <v>3472976.25</v>
      </c>
      <c r="AR143" s="63">
        <f>'Key financial and ops fig.s COM'!X54</f>
        <v>1007926.875</v>
      </c>
      <c r="AS143" s="64">
        <f>'Key financial and ops fig.s COM'!Y54</f>
        <v>1062067.5</v>
      </c>
      <c r="AT143" s="64">
        <f>'Key financial and ops fig.s COM'!Z54</f>
        <v>1115341.875</v>
      </c>
      <c r="AU143" s="108">
        <f>'Key financial and ops fig.s COM'!AA54</f>
        <v>1167750</v>
      </c>
      <c r="AV143" s="221">
        <f>'Key financial and ops fig.s COM'!AB54</f>
        <v>4353086.25</v>
      </c>
      <c r="AW143" s="63">
        <f>'Alt. scenario COM'!X54</f>
        <v>1007926.875</v>
      </c>
      <c r="AX143" s="64">
        <f>'Alt. scenario COM'!Y54</f>
        <v>1062067.5</v>
      </c>
      <c r="AY143" s="64">
        <f>'Alt. scenario COM'!Z54</f>
        <v>1115341.875</v>
      </c>
      <c r="AZ143" s="108">
        <f>'Alt. scenario COM'!AA54</f>
        <v>1167750</v>
      </c>
      <c r="BA143" s="239">
        <f>'Alt. scenario COM'!AB54</f>
        <v>4353086.25</v>
      </c>
      <c r="BB143" s="63">
        <f>'Key financial and ops fig.s COM'!AC54</f>
        <v>1159087.5</v>
      </c>
      <c r="BC143" s="64">
        <f>'Key financial and ops fig.s COM'!AD54</f>
        <v>1150425</v>
      </c>
      <c r="BD143" s="64">
        <f>'Key financial and ops fig.s COM'!AE54</f>
        <v>1141762.5</v>
      </c>
      <c r="BE143" s="108">
        <f>'Key financial and ops fig.s COM'!AF54</f>
        <v>1133100</v>
      </c>
      <c r="BF143" s="221">
        <f>'Key financial and ops fig.s COM'!AG54</f>
        <v>4584375</v>
      </c>
      <c r="BG143" s="63">
        <f>'Alt. scenario COM'!AC54</f>
        <v>1159087.5</v>
      </c>
      <c r="BH143" s="64">
        <f>'Alt. scenario COM'!AD54</f>
        <v>1150425</v>
      </c>
      <c r="BI143" s="64">
        <f>'Alt. scenario COM'!AE54</f>
        <v>1141762.5</v>
      </c>
      <c r="BJ143" s="108">
        <f>'Alt. scenario COM'!AF54</f>
        <v>1133100</v>
      </c>
      <c r="BK143" s="239">
        <f>'Alt. scenario COM'!AG54</f>
        <v>4584375</v>
      </c>
      <c r="BL143" s="63">
        <f>'Key financial and ops fig.s COM'!AH54</f>
        <v>1124437.5</v>
      </c>
      <c r="BM143" s="64">
        <f>'Key financial and ops fig.s COM'!AI54</f>
        <v>1115775</v>
      </c>
      <c r="BN143" s="64">
        <f>'Key financial and ops fig.s COM'!AJ54</f>
        <v>1107112.5</v>
      </c>
      <c r="BO143" s="108">
        <f>'Key financial and ops fig.s COM'!AK54</f>
        <v>1098450</v>
      </c>
      <c r="BP143" s="221">
        <f>'Key financial and ops fig.s COM'!AL54</f>
        <v>4445775</v>
      </c>
      <c r="BQ143" s="63">
        <f>'Alt. scenario COM'!AH54</f>
        <v>1124437.5</v>
      </c>
      <c r="BR143" s="64">
        <f>'Alt. scenario COM'!AI54</f>
        <v>1115775</v>
      </c>
      <c r="BS143" s="64">
        <f>'Alt. scenario COM'!AJ54</f>
        <v>1107112.5</v>
      </c>
      <c r="BT143" s="108">
        <f>'Alt. scenario COM'!AK54</f>
        <v>1098450</v>
      </c>
      <c r="BU143" s="239">
        <f>'Alt. scenario COM'!AL54</f>
        <v>4445775</v>
      </c>
    </row>
    <row r="144" spans="1:73" ht="15.95">
      <c r="A144" s="36"/>
      <c r="B144" s="34" t="s">
        <v>292</v>
      </c>
      <c r="C144" s="56"/>
      <c r="D144" s="63">
        <f>'Key financial and ops fig.s COM'!D55</f>
        <v>-75142.40625</v>
      </c>
      <c r="E144" s="64">
        <f>'Key financial and ops fig.s COM'!E55</f>
        <v>-149339.625</v>
      </c>
      <c r="F144" s="64">
        <f>'Key financial and ops fig.s COM'!F55</f>
        <v>-222591.65625</v>
      </c>
      <c r="G144" s="108">
        <f>'Key financial and ops fig.s COM'!G55</f>
        <v>-294898.5</v>
      </c>
      <c r="H144" s="221">
        <f>'Key financial and ops fig.s COM'!H55</f>
        <v>-741972.1875</v>
      </c>
      <c r="I144" s="63">
        <f>'Alt. scenario COM'!D55</f>
        <v>-75142.40625</v>
      </c>
      <c r="J144" s="64">
        <f>'Alt. scenario COM'!E55</f>
        <v>-149339.625</v>
      </c>
      <c r="K144" s="64">
        <f>'Alt. scenario COM'!F55</f>
        <v>-222591.65625</v>
      </c>
      <c r="L144" s="108">
        <f>'Alt. scenario COM'!G55</f>
        <v>-294898.5</v>
      </c>
      <c r="M144" s="239">
        <f>'Alt. scenario COM'!H55</f>
        <v>-741972.1875</v>
      </c>
      <c r="N144" s="63">
        <f>'Key financial and ops fig.s COM'!I55</f>
        <v>-366260.15625</v>
      </c>
      <c r="O144" s="64">
        <f>'Key financial and ops fig.s COM'!J55</f>
        <v>-436676.625</v>
      </c>
      <c r="P144" s="64">
        <f>'Key financial and ops fig.s COM'!K55</f>
        <v>-506147.90625</v>
      </c>
      <c r="Q144" s="108">
        <f>'Key financial and ops fig.s COM'!L55</f>
        <v>-574674</v>
      </c>
      <c r="R144" s="221">
        <f>'Key financial and ops fig.s COM'!M55</f>
        <v>-1883758.6875</v>
      </c>
      <c r="S144" s="63">
        <f>'Alt. scenario COM'!I55</f>
        <v>-366260.15625</v>
      </c>
      <c r="T144" s="64">
        <f>'Alt. scenario COM'!J55</f>
        <v>-436676.625</v>
      </c>
      <c r="U144" s="64">
        <f>'Alt. scenario COM'!K55</f>
        <v>-506147.90625</v>
      </c>
      <c r="V144" s="108">
        <f>'Alt. scenario COM'!L55</f>
        <v>-574674</v>
      </c>
      <c r="W144" s="239">
        <f>'Alt. scenario COM'!M55</f>
        <v>-1883758.6875</v>
      </c>
      <c r="X144" s="63">
        <f>'Key financial and ops fig.s COM'!N55</f>
        <v>-642254.90625</v>
      </c>
      <c r="Y144" s="64">
        <f>'Key financial and ops fig.s COM'!O55</f>
        <v>-708890.625</v>
      </c>
      <c r="Z144" s="64">
        <f>'Key financial and ops fig.s COM'!P55</f>
        <v>-774581.15625</v>
      </c>
      <c r="AA144" s="108">
        <f>'Key financial and ops fig.s COM'!Q55</f>
        <v>-839326.5</v>
      </c>
      <c r="AB144" s="221">
        <f>'Key financial and ops fig.s COM'!R55</f>
        <v>-2965053.1875</v>
      </c>
      <c r="AC144" s="63">
        <f>'Alt. scenario COM'!N55</f>
        <v>-642254.90625</v>
      </c>
      <c r="AD144" s="64">
        <f>'Alt. scenario COM'!O55</f>
        <v>-708890.625</v>
      </c>
      <c r="AE144" s="64">
        <f>'Alt. scenario COM'!P55</f>
        <v>-774581.15625</v>
      </c>
      <c r="AF144" s="108">
        <f>'Alt. scenario COM'!Q55</f>
        <v>-839326.5</v>
      </c>
      <c r="AG144" s="239">
        <f>'Alt. scenario COM'!R55</f>
        <v>-2965053.1875</v>
      </c>
      <c r="AH144" s="63">
        <f>'Key financial and ops fig.s COM'!S55</f>
        <v>-903126.65625</v>
      </c>
      <c r="AI144" s="64">
        <f>'Key financial and ops fig.s COM'!T55</f>
        <v>-965981.625</v>
      </c>
      <c r="AJ144" s="64">
        <f>'Key financial and ops fig.s COM'!U55</f>
        <v>-1027891.40625</v>
      </c>
      <c r="AK144" s="108">
        <f>'Key financial and ops fig.s COM'!V55</f>
        <v>-1088856</v>
      </c>
      <c r="AL144" s="221">
        <f>'Key financial and ops fig.s COM'!W55</f>
        <v>-3985855.6875</v>
      </c>
      <c r="AM144" s="63">
        <f>'Alt. scenario COM'!S55</f>
        <v>-903126.65625</v>
      </c>
      <c r="AN144" s="64">
        <f>'Alt. scenario COM'!T55</f>
        <v>-965981.625</v>
      </c>
      <c r="AO144" s="64">
        <f>'Alt. scenario COM'!U55</f>
        <v>-1027891.40625</v>
      </c>
      <c r="AP144" s="108">
        <f>'Alt. scenario COM'!V55</f>
        <v>-1088856</v>
      </c>
      <c r="AQ144" s="239">
        <f>'Alt. scenario COM'!W55</f>
        <v>-3985855.6875</v>
      </c>
      <c r="AR144" s="63">
        <f>'Key financial and ops fig.s COM'!X55</f>
        <v>-1148875.40625</v>
      </c>
      <c r="AS144" s="64">
        <f>'Key financial and ops fig.s COM'!Y55</f>
        <v>-1207949.625</v>
      </c>
      <c r="AT144" s="64">
        <f>'Key financial and ops fig.s COM'!Z55</f>
        <v>-1266078.65625</v>
      </c>
      <c r="AU144" s="108">
        <f>'Key financial and ops fig.s COM'!AA55</f>
        <v>-1323262.5</v>
      </c>
      <c r="AV144" s="221">
        <f>'Key financial and ops fig.s COM'!AB55</f>
        <v>-4946166.1875</v>
      </c>
      <c r="AW144" s="63">
        <f>'Alt. scenario COM'!X55</f>
        <v>-1148875.40625</v>
      </c>
      <c r="AX144" s="64">
        <f>'Alt. scenario COM'!Y55</f>
        <v>-1207949.625</v>
      </c>
      <c r="AY144" s="64">
        <f>'Alt. scenario COM'!Z55</f>
        <v>-1266078.65625</v>
      </c>
      <c r="AZ144" s="108">
        <f>'Alt. scenario COM'!AA55</f>
        <v>-1323262.5</v>
      </c>
      <c r="BA144" s="239">
        <f>'Alt. scenario COM'!AB55</f>
        <v>-4946166.1875</v>
      </c>
      <c r="BB144" s="63">
        <f>'Key financial and ops fig.s COM'!AC55</f>
        <v>-1313810.625</v>
      </c>
      <c r="BC144" s="64">
        <f>'Key financial and ops fig.s COM'!AD55</f>
        <v>-1304358.75</v>
      </c>
      <c r="BD144" s="64">
        <f>'Key financial and ops fig.s COM'!AE55</f>
        <v>-1294906.875</v>
      </c>
      <c r="BE144" s="108">
        <f>'Key financial and ops fig.s COM'!AF55</f>
        <v>-1285455</v>
      </c>
      <c r="BF144" s="221">
        <f>'Key financial and ops fig.s COM'!AG55</f>
        <v>-5198531.25</v>
      </c>
      <c r="BG144" s="63">
        <f>'Alt. scenario COM'!AC55</f>
        <v>-1313810.625</v>
      </c>
      <c r="BH144" s="64">
        <f>'Alt. scenario COM'!AD55</f>
        <v>-1304358.75</v>
      </c>
      <c r="BI144" s="64">
        <f>'Alt. scenario COM'!AE55</f>
        <v>-1294906.875</v>
      </c>
      <c r="BJ144" s="108">
        <f>'Alt. scenario COM'!AF55</f>
        <v>-1285455</v>
      </c>
      <c r="BK144" s="239">
        <f>'Alt. scenario COM'!AG55</f>
        <v>-5198531.25</v>
      </c>
      <c r="BL144" s="63">
        <f>'Key financial and ops fig.s COM'!AH55</f>
        <v>-1276003.125</v>
      </c>
      <c r="BM144" s="64">
        <f>'Key financial and ops fig.s COM'!AI55</f>
        <v>-1266551.25</v>
      </c>
      <c r="BN144" s="64">
        <f>'Key financial and ops fig.s COM'!AJ55</f>
        <v>-1257099.375</v>
      </c>
      <c r="BO144" s="108">
        <f>'Key financial and ops fig.s COM'!AK55</f>
        <v>-1247647.5</v>
      </c>
      <c r="BP144" s="221">
        <f>'Key financial and ops fig.s COM'!AL55</f>
        <v>-5047301.25</v>
      </c>
      <c r="BQ144" s="63">
        <f>'Alt. scenario COM'!AH55</f>
        <v>-1276003.125</v>
      </c>
      <c r="BR144" s="64">
        <f>'Alt. scenario COM'!AI55</f>
        <v>-1266551.25</v>
      </c>
      <c r="BS144" s="64">
        <f>'Alt. scenario COM'!AJ55</f>
        <v>-1257099.375</v>
      </c>
      <c r="BT144" s="108">
        <f>'Alt. scenario COM'!AK55</f>
        <v>-1247647.5</v>
      </c>
      <c r="BU144" s="239">
        <f>'Alt. scenario COM'!AL55</f>
        <v>-5047301.25</v>
      </c>
    </row>
    <row r="145" spans="1:73" ht="15.95">
      <c r="A145" s="36"/>
      <c r="B145" s="34" t="s">
        <v>293</v>
      </c>
      <c r="C145" s="56"/>
      <c r="D145" s="63">
        <f>'Key financial and ops fig.s COM'!D56</f>
        <v>-93000</v>
      </c>
      <c r="E145" s="64">
        <f>'Key financial and ops fig.s COM'!E56</f>
        <v>-162000</v>
      </c>
      <c r="F145" s="64">
        <f>'Key financial and ops fig.s COM'!F56</f>
        <v>-231000</v>
      </c>
      <c r="G145" s="108">
        <f>'Key financial and ops fig.s COM'!G56</f>
        <v>-313500</v>
      </c>
      <c r="H145" s="221">
        <f>'Key financial and ops fig.s COM'!H56</f>
        <v>-799500</v>
      </c>
      <c r="I145" s="63">
        <f>'Alt. scenario COM'!D56</f>
        <v>-93000</v>
      </c>
      <c r="J145" s="64">
        <f>'Alt. scenario COM'!E56</f>
        <v>-162000</v>
      </c>
      <c r="K145" s="64">
        <f>'Alt. scenario COM'!F56</f>
        <v>-231000</v>
      </c>
      <c r="L145" s="108">
        <f>'Alt. scenario COM'!G56</f>
        <v>-313500</v>
      </c>
      <c r="M145" s="239">
        <f>'Alt. scenario COM'!H56</f>
        <v>-799500</v>
      </c>
      <c r="N145" s="63">
        <f>'Key financial and ops fig.s COM'!I56</f>
        <v>-384000</v>
      </c>
      <c r="O145" s="64">
        <f>'Key financial and ops fig.s COM'!J56</f>
        <v>-453000</v>
      </c>
      <c r="P145" s="64">
        <f>'Key financial and ops fig.s COM'!K56</f>
        <v>-517500</v>
      </c>
      <c r="Q145" s="108">
        <f>'Key financial and ops fig.s COM'!L56</f>
        <v>-582000</v>
      </c>
      <c r="R145" s="221">
        <f>'Key financial and ops fig.s COM'!M56</f>
        <v>-1936500</v>
      </c>
      <c r="S145" s="63">
        <f>'Alt. scenario COM'!I56</f>
        <v>-384000</v>
      </c>
      <c r="T145" s="64">
        <f>'Alt. scenario COM'!J56</f>
        <v>-453000</v>
      </c>
      <c r="U145" s="64">
        <f>'Alt. scenario COM'!K56</f>
        <v>-517500</v>
      </c>
      <c r="V145" s="108">
        <f>'Alt. scenario COM'!L56</f>
        <v>-582000</v>
      </c>
      <c r="W145" s="239">
        <f>'Alt. scenario COM'!M56</f>
        <v>-1936500</v>
      </c>
      <c r="X145" s="63">
        <f>'Key financial and ops fig.s COM'!N56</f>
        <v>-651000</v>
      </c>
      <c r="Y145" s="64">
        <f>'Key financial and ops fig.s COM'!O56</f>
        <v>-715500</v>
      </c>
      <c r="Z145" s="64">
        <f>'Key financial and ops fig.s COM'!P56</f>
        <v>-786000</v>
      </c>
      <c r="AA145" s="108">
        <f>'Key financial and ops fig.s COM'!Q56</f>
        <v>-850500</v>
      </c>
      <c r="AB145" s="221">
        <f>'Key financial and ops fig.s COM'!R56</f>
        <v>-3003000</v>
      </c>
      <c r="AC145" s="63">
        <f>'Alt. scenario COM'!N56</f>
        <v>-651000</v>
      </c>
      <c r="AD145" s="64">
        <f>'Alt. scenario COM'!O56</f>
        <v>-715500</v>
      </c>
      <c r="AE145" s="64">
        <f>'Alt. scenario COM'!P56</f>
        <v>-786000</v>
      </c>
      <c r="AF145" s="108">
        <f>'Alt. scenario COM'!Q56</f>
        <v>-850500</v>
      </c>
      <c r="AG145" s="239">
        <f>'Alt. scenario COM'!R56</f>
        <v>-3003000</v>
      </c>
      <c r="AH145" s="63">
        <f>'Key financial and ops fig.s COM'!S56</f>
        <v>-910500</v>
      </c>
      <c r="AI145" s="64">
        <f>'Key financial and ops fig.s COM'!T56</f>
        <v>-975000</v>
      </c>
      <c r="AJ145" s="64">
        <f>'Key financial and ops fig.s COM'!U56</f>
        <v>-1039500</v>
      </c>
      <c r="AK145" s="108">
        <f>'Key financial and ops fig.s COM'!V56</f>
        <v>-1104000</v>
      </c>
      <c r="AL145" s="221">
        <f>'Key financial and ops fig.s COM'!W56</f>
        <v>-4029000</v>
      </c>
      <c r="AM145" s="63">
        <f>'Alt. scenario COM'!S56</f>
        <v>-910500</v>
      </c>
      <c r="AN145" s="64">
        <f>'Alt. scenario COM'!T56</f>
        <v>-975000</v>
      </c>
      <c r="AO145" s="64">
        <f>'Alt. scenario COM'!U56</f>
        <v>-1039500</v>
      </c>
      <c r="AP145" s="108">
        <f>'Alt. scenario COM'!V56</f>
        <v>-1104000</v>
      </c>
      <c r="AQ145" s="239">
        <f>'Alt. scenario COM'!W56</f>
        <v>-4029000</v>
      </c>
      <c r="AR145" s="63">
        <f>'Key financial and ops fig.s COM'!X56</f>
        <v>-1164000</v>
      </c>
      <c r="AS145" s="64">
        <f>'Key financial and ops fig.s COM'!Y56</f>
        <v>-1210500</v>
      </c>
      <c r="AT145" s="64">
        <f>'Key financial and ops fig.s COM'!Z56</f>
        <v>-1270500</v>
      </c>
      <c r="AU145" s="108">
        <f>'Key financial and ops fig.s COM'!AA56</f>
        <v>-1335000</v>
      </c>
      <c r="AV145" s="221">
        <f>'Key financial and ops fig.s COM'!AB56</f>
        <v>-4980000</v>
      </c>
      <c r="AW145" s="63">
        <f>'Alt. scenario COM'!X56</f>
        <v>-1164000</v>
      </c>
      <c r="AX145" s="64">
        <f>'Alt. scenario COM'!Y56</f>
        <v>-1210500</v>
      </c>
      <c r="AY145" s="64">
        <f>'Alt. scenario COM'!Z56</f>
        <v>-1270500</v>
      </c>
      <c r="AZ145" s="108">
        <f>'Alt. scenario COM'!AA56</f>
        <v>-1335000</v>
      </c>
      <c r="BA145" s="239">
        <f>'Alt. scenario COM'!AB56</f>
        <v>-4980000</v>
      </c>
      <c r="BB145" s="63">
        <f>'Key financial and ops fig.s COM'!AC56</f>
        <v>-1330500</v>
      </c>
      <c r="BC145" s="64">
        <f>'Key financial and ops fig.s COM'!AD56</f>
        <v>-1302000</v>
      </c>
      <c r="BD145" s="64">
        <f>'Key financial and ops fig.s COM'!AE56</f>
        <v>-1297500</v>
      </c>
      <c r="BE145" s="108">
        <f>'Key financial and ops fig.s COM'!AF56</f>
        <v>-1297500</v>
      </c>
      <c r="BF145" s="221">
        <f>'Key financial and ops fig.s COM'!AG56</f>
        <v>-5227500</v>
      </c>
      <c r="BG145" s="63">
        <f>'Alt. scenario COM'!AC56</f>
        <v>-1330500</v>
      </c>
      <c r="BH145" s="64">
        <f>'Alt. scenario COM'!AD56</f>
        <v>-1302000</v>
      </c>
      <c r="BI145" s="64">
        <f>'Alt. scenario COM'!AE56</f>
        <v>-1297500</v>
      </c>
      <c r="BJ145" s="108">
        <f>'Alt. scenario COM'!AF56</f>
        <v>-1297500</v>
      </c>
      <c r="BK145" s="239">
        <f>'Alt. scenario COM'!AG56</f>
        <v>-5227500</v>
      </c>
      <c r="BL145" s="63">
        <f>'Key financial and ops fig.s COM'!AH56</f>
        <v>-1275000</v>
      </c>
      <c r="BM145" s="64">
        <f>'Key financial and ops fig.s COM'!AI56</f>
        <v>-1270500</v>
      </c>
      <c r="BN145" s="64">
        <f>'Key financial and ops fig.s COM'!AJ56</f>
        <v>-1270500</v>
      </c>
      <c r="BO145" s="108">
        <f>'Key financial and ops fig.s COM'!AK56</f>
        <v>-1260000</v>
      </c>
      <c r="BP145" s="221">
        <f>'Key financial and ops fig.s COM'!AL56</f>
        <v>-5076000</v>
      </c>
      <c r="BQ145" s="63">
        <f>'Alt. scenario COM'!AH56</f>
        <v>-1275000</v>
      </c>
      <c r="BR145" s="64">
        <f>'Alt. scenario COM'!AI56</f>
        <v>-1270500</v>
      </c>
      <c r="BS145" s="64">
        <f>'Alt. scenario COM'!AJ56</f>
        <v>-1270500</v>
      </c>
      <c r="BT145" s="108">
        <f>'Alt. scenario COM'!AK56</f>
        <v>-1260000</v>
      </c>
      <c r="BU145" s="239">
        <f>'Alt. scenario COM'!AL56</f>
        <v>-5076000</v>
      </c>
    </row>
    <row r="146" spans="1:73" ht="15.95">
      <c r="A146" s="36"/>
      <c r="B146" s="34" t="s">
        <v>294</v>
      </c>
      <c r="C146" s="56"/>
      <c r="D146" s="63">
        <f>'Key financial and ops fig.s COM'!D57</f>
        <v>-1499613.375</v>
      </c>
      <c r="E146" s="64">
        <f>'Key financial and ops fig.s COM'!E57</f>
        <v>-1296913.5</v>
      </c>
      <c r="F146" s="64">
        <f>'Key financial and ops fig.s COM'!F57</f>
        <v>-1146660.375</v>
      </c>
      <c r="G146" s="108">
        <f>'Key financial and ops fig.s COM'!G57</f>
        <v>-996234</v>
      </c>
      <c r="H146" s="221">
        <f>'Key financial and ops fig.s COM'!H57</f>
        <v>-4939421.25</v>
      </c>
      <c r="I146" s="63">
        <f>'Alt. scenario COM'!D57</f>
        <v>-1499613.375</v>
      </c>
      <c r="J146" s="64">
        <f>'Alt. scenario COM'!E57</f>
        <v>-1296913.5</v>
      </c>
      <c r="K146" s="64">
        <f>'Alt. scenario COM'!F57</f>
        <v>-1146660.375</v>
      </c>
      <c r="L146" s="108">
        <f>'Alt. scenario COM'!G57</f>
        <v>-996234</v>
      </c>
      <c r="M146" s="239">
        <f>'Alt. scenario COM'!H57</f>
        <v>-4939421.25</v>
      </c>
      <c r="N146" s="63">
        <f>'Key financial and ops fig.s COM'!I57</f>
        <v>-845634.375</v>
      </c>
      <c r="O146" s="64">
        <f>'Key financial and ops fig.s COM'!J57</f>
        <v>-694861.5</v>
      </c>
      <c r="P146" s="64">
        <f>'Key financial and ops fig.s COM'!K57</f>
        <v>-543915.375</v>
      </c>
      <c r="Q146" s="108">
        <f>'Key financial and ops fig.s COM'!L57</f>
        <v>-478236</v>
      </c>
      <c r="R146" s="221">
        <f>'Key financial and ops fig.s COM'!M57</f>
        <v>-2562647.25</v>
      </c>
      <c r="S146" s="63">
        <f>'Alt. scenario COM'!I57</f>
        <v>-845634.375</v>
      </c>
      <c r="T146" s="64">
        <f>'Alt. scenario COM'!J57</f>
        <v>-694861.5</v>
      </c>
      <c r="U146" s="64">
        <f>'Alt. scenario COM'!K57</f>
        <v>-543915.375</v>
      </c>
      <c r="V146" s="108">
        <f>'Alt. scenario COM'!L57</f>
        <v>-478236</v>
      </c>
      <c r="W146" s="239">
        <f>'Alt. scenario COM'!M57</f>
        <v>-2562647.25</v>
      </c>
      <c r="X146" s="63">
        <f>'Key financial and ops fig.s COM'!N57</f>
        <v>-507123.375</v>
      </c>
      <c r="Y146" s="64">
        <f>'Key financial and ops fig.s COM'!O57</f>
        <v>-535837.5</v>
      </c>
      <c r="Z146" s="64">
        <f>'Key financial and ops fig.s COM'!P57</f>
        <v>-564378.375</v>
      </c>
      <c r="AA146" s="108">
        <f>'Key financial and ops fig.s COM'!Q57</f>
        <v>-592746</v>
      </c>
      <c r="AB146" s="221">
        <f>'Key financial and ops fig.s COM'!R57</f>
        <v>-2200085.25</v>
      </c>
      <c r="AC146" s="63">
        <f>'Alt. scenario COM'!N57</f>
        <v>-507123.375</v>
      </c>
      <c r="AD146" s="64">
        <f>'Alt. scenario COM'!O57</f>
        <v>-535837.5</v>
      </c>
      <c r="AE146" s="64">
        <f>'Alt. scenario COM'!P57</f>
        <v>-564378.375</v>
      </c>
      <c r="AF146" s="108">
        <f>'Alt. scenario COM'!Q57</f>
        <v>-592746</v>
      </c>
      <c r="AG146" s="239">
        <f>'Alt. scenario COM'!R57</f>
        <v>-2200085.25</v>
      </c>
      <c r="AH146" s="63">
        <f>'Key financial and ops fig.s COM'!S57</f>
        <v>-620940.375</v>
      </c>
      <c r="AI146" s="64">
        <f>'Key financial and ops fig.s COM'!T57</f>
        <v>-648961.5</v>
      </c>
      <c r="AJ146" s="64">
        <f>'Key financial and ops fig.s COM'!U57</f>
        <v>-676809.375</v>
      </c>
      <c r="AK146" s="108">
        <f>'Key financial and ops fig.s COM'!V57</f>
        <v>-704484</v>
      </c>
      <c r="AL146" s="221">
        <f>'Key financial and ops fig.s COM'!W57</f>
        <v>-2651195.25</v>
      </c>
      <c r="AM146" s="63">
        <f>'Alt. scenario COM'!S57</f>
        <v>-620940.375</v>
      </c>
      <c r="AN146" s="64">
        <f>'Alt. scenario COM'!T57</f>
        <v>-648961.5</v>
      </c>
      <c r="AO146" s="64">
        <f>'Alt. scenario COM'!U57</f>
        <v>-676809.375</v>
      </c>
      <c r="AP146" s="108">
        <f>'Alt. scenario COM'!V57</f>
        <v>-704484</v>
      </c>
      <c r="AQ146" s="239">
        <f>'Alt. scenario COM'!W57</f>
        <v>-2651195.25</v>
      </c>
      <c r="AR146" s="63">
        <f>'Key financial and ops fig.s COM'!X57</f>
        <v>-731985.375</v>
      </c>
      <c r="AS146" s="64">
        <f>'Key financial and ops fig.s COM'!Y57</f>
        <v>-759313.5</v>
      </c>
      <c r="AT146" s="64">
        <f>'Key financial and ops fig.s COM'!Z57</f>
        <v>-786468.375</v>
      </c>
      <c r="AU146" s="108">
        <f>'Key financial and ops fig.s COM'!AA57</f>
        <v>-813450</v>
      </c>
      <c r="AV146" s="221">
        <f>'Key financial and ops fig.s COM'!AB57</f>
        <v>-3091217.25</v>
      </c>
      <c r="AW146" s="63">
        <f>'Alt. scenario COM'!X57</f>
        <v>-731985.375</v>
      </c>
      <c r="AX146" s="64">
        <f>'Alt. scenario COM'!Y57</f>
        <v>-759313.5</v>
      </c>
      <c r="AY146" s="64">
        <f>'Alt. scenario COM'!Z57</f>
        <v>-786468.375</v>
      </c>
      <c r="AZ146" s="108">
        <f>'Alt. scenario COM'!AA57</f>
        <v>-813450</v>
      </c>
      <c r="BA146" s="239">
        <f>'Alt. scenario COM'!AB57</f>
        <v>-3091217.25</v>
      </c>
      <c r="BB146" s="63">
        <f>'Key financial and ops fig.s COM'!AC57</f>
        <v>-737317.5</v>
      </c>
      <c r="BC146" s="64">
        <f>'Key financial and ops fig.s COM'!AD57</f>
        <v>-719085</v>
      </c>
      <c r="BD146" s="64">
        <f>'Key financial and ops fig.s COM'!AE57</f>
        <v>-717352.5</v>
      </c>
      <c r="BE146" s="108">
        <f>'Key financial and ops fig.s COM'!AF57</f>
        <v>-715620</v>
      </c>
      <c r="BF146" s="221">
        <f>'Key financial and ops fig.s COM'!AG57</f>
        <v>-2889375</v>
      </c>
      <c r="BG146" s="63">
        <f>'Alt. scenario COM'!AC57</f>
        <v>-737317.5</v>
      </c>
      <c r="BH146" s="64">
        <f>'Alt. scenario COM'!AD57</f>
        <v>-719085</v>
      </c>
      <c r="BI146" s="64">
        <f>'Alt. scenario COM'!AE57</f>
        <v>-717352.5</v>
      </c>
      <c r="BJ146" s="108">
        <f>'Alt. scenario COM'!AF57</f>
        <v>-715620</v>
      </c>
      <c r="BK146" s="239">
        <f>'Alt. scenario COM'!AG57</f>
        <v>-2889375</v>
      </c>
      <c r="BL146" s="63">
        <f>'Key financial and ops fig.s COM'!AH57</f>
        <v>-713887.5</v>
      </c>
      <c r="BM146" s="64">
        <f>'Key financial and ops fig.s COM'!AI57</f>
        <v>-712155</v>
      </c>
      <c r="BN146" s="64">
        <f>'Key financial and ops fig.s COM'!AJ57</f>
        <v>-710422.5</v>
      </c>
      <c r="BO146" s="108">
        <f>'Key financial and ops fig.s COM'!AK57</f>
        <v>-708690</v>
      </c>
      <c r="BP146" s="221">
        <f>'Key financial and ops fig.s COM'!AL57</f>
        <v>-2845155</v>
      </c>
      <c r="BQ146" s="63">
        <f>'Alt. scenario COM'!AH57</f>
        <v>-713887.5</v>
      </c>
      <c r="BR146" s="64">
        <f>'Alt. scenario COM'!AI57</f>
        <v>-712155</v>
      </c>
      <c r="BS146" s="64">
        <f>'Alt. scenario COM'!AJ57</f>
        <v>-710422.5</v>
      </c>
      <c r="BT146" s="108">
        <f>'Alt. scenario COM'!AK57</f>
        <v>-708690</v>
      </c>
      <c r="BU146" s="239">
        <f>'Alt. scenario COM'!AL57</f>
        <v>-2845155</v>
      </c>
    </row>
    <row r="147" spans="1:73" ht="15.95">
      <c r="A147" s="36"/>
      <c r="B147" s="34" t="s">
        <v>295</v>
      </c>
      <c r="C147" s="56"/>
      <c r="D147" s="63">
        <f>'Key financial and ops fig.s COM'!D58</f>
        <v>-3265200</v>
      </c>
      <c r="E147" s="64">
        <f>'Key financial and ops fig.s COM'!E58</f>
        <v>-139800</v>
      </c>
      <c r="F147" s="64">
        <f>'Key financial and ops fig.s COM'!F58</f>
        <v>-139800</v>
      </c>
      <c r="G147" s="108">
        <f>'Key financial and ops fig.s COM'!G58</f>
        <v>-141600</v>
      </c>
      <c r="H147" s="221">
        <f>'Key financial and ops fig.s COM'!H58</f>
        <v>-3686400</v>
      </c>
      <c r="I147" s="63">
        <f>'Alt. scenario COM'!D58</f>
        <v>-3265200</v>
      </c>
      <c r="J147" s="64">
        <f>'Alt. scenario COM'!E58</f>
        <v>-139800</v>
      </c>
      <c r="K147" s="64">
        <f>'Alt. scenario COM'!F58</f>
        <v>-139800</v>
      </c>
      <c r="L147" s="108">
        <f>'Alt. scenario COM'!G58</f>
        <v>-141600</v>
      </c>
      <c r="M147" s="239">
        <f>'Alt. scenario COM'!H58</f>
        <v>-3686400</v>
      </c>
      <c r="N147" s="63">
        <f>'Key financial and ops fig.s COM'!I58</f>
        <v>-139800</v>
      </c>
      <c r="O147" s="64">
        <f>'Key financial and ops fig.s COM'!J58</f>
        <v>-139800</v>
      </c>
      <c r="P147" s="64">
        <f>'Key financial and ops fig.s COM'!K58</f>
        <v>-138000</v>
      </c>
      <c r="Q147" s="108">
        <f>'Key financial and ops fig.s COM'!L58</f>
        <v>-138000</v>
      </c>
      <c r="R147" s="221">
        <f>'Key financial and ops fig.s COM'!M58</f>
        <v>-555600</v>
      </c>
      <c r="S147" s="63">
        <f>'Alt. scenario COM'!I58</f>
        <v>-139800</v>
      </c>
      <c r="T147" s="64">
        <f>'Alt. scenario COM'!J58</f>
        <v>-139800</v>
      </c>
      <c r="U147" s="64">
        <f>'Alt. scenario COM'!K58</f>
        <v>-138000</v>
      </c>
      <c r="V147" s="108">
        <f>'Alt. scenario COM'!L58</f>
        <v>-138000</v>
      </c>
      <c r="W147" s="239">
        <f>'Alt. scenario COM'!M58</f>
        <v>-555600</v>
      </c>
      <c r="X147" s="63">
        <f>'Key financial and ops fig.s COM'!N58</f>
        <v>-139800</v>
      </c>
      <c r="Y147" s="64">
        <f>'Key financial and ops fig.s COM'!O58</f>
        <v>-138000</v>
      </c>
      <c r="Z147" s="64">
        <f>'Key financial and ops fig.s COM'!P58</f>
        <v>-139800</v>
      </c>
      <c r="AA147" s="108">
        <f>'Key financial and ops fig.s COM'!Q58</f>
        <v>-138000</v>
      </c>
      <c r="AB147" s="221">
        <f>'Key financial and ops fig.s COM'!R58</f>
        <v>-555600</v>
      </c>
      <c r="AC147" s="63">
        <f>'Alt. scenario COM'!N58</f>
        <v>-139800</v>
      </c>
      <c r="AD147" s="64">
        <f>'Alt. scenario COM'!O58</f>
        <v>-138000</v>
      </c>
      <c r="AE147" s="64">
        <f>'Alt. scenario COM'!P58</f>
        <v>-139800</v>
      </c>
      <c r="AF147" s="108">
        <f>'Alt. scenario COM'!Q58</f>
        <v>-138000</v>
      </c>
      <c r="AG147" s="239">
        <f>'Alt. scenario COM'!R58</f>
        <v>-555600</v>
      </c>
      <c r="AH147" s="63">
        <f>'Key financial and ops fig.s COM'!S58</f>
        <v>-136200</v>
      </c>
      <c r="AI147" s="64">
        <f>'Key financial and ops fig.s COM'!T58</f>
        <v>-138000</v>
      </c>
      <c r="AJ147" s="64">
        <f>'Key financial and ops fig.s COM'!U58</f>
        <v>-138000</v>
      </c>
      <c r="AK147" s="108">
        <f>'Key financial and ops fig.s COM'!V58</f>
        <v>-138000</v>
      </c>
      <c r="AL147" s="221">
        <f>'Key financial and ops fig.s COM'!W58</f>
        <v>-550200</v>
      </c>
      <c r="AM147" s="63">
        <f>'Alt. scenario COM'!S58</f>
        <v>-136200</v>
      </c>
      <c r="AN147" s="64">
        <f>'Alt. scenario COM'!T58</f>
        <v>-138000</v>
      </c>
      <c r="AO147" s="64">
        <f>'Alt. scenario COM'!U58</f>
        <v>-138000</v>
      </c>
      <c r="AP147" s="108">
        <f>'Alt. scenario COM'!V58</f>
        <v>-138000</v>
      </c>
      <c r="AQ147" s="239">
        <f>'Alt. scenario COM'!W58</f>
        <v>-550200</v>
      </c>
      <c r="AR147" s="63">
        <f>'Key financial and ops fig.s COM'!X58</f>
        <v>-136200</v>
      </c>
      <c r="AS147" s="64">
        <f>'Key financial and ops fig.s COM'!Y58</f>
        <v>-134400</v>
      </c>
      <c r="AT147" s="64">
        <f>'Key financial and ops fig.s COM'!Z58</f>
        <v>-136200</v>
      </c>
      <c r="AU147" s="108">
        <f>'Key financial and ops fig.s COM'!AA58</f>
        <v>-138000</v>
      </c>
      <c r="AV147" s="221">
        <f>'Key financial and ops fig.s COM'!AB58</f>
        <v>-544800</v>
      </c>
      <c r="AW147" s="63">
        <f>'Alt. scenario COM'!X58</f>
        <v>-136200</v>
      </c>
      <c r="AX147" s="64">
        <f>'Alt. scenario COM'!Y58</f>
        <v>-134400</v>
      </c>
      <c r="AY147" s="64">
        <f>'Alt. scenario COM'!Z58</f>
        <v>-136200</v>
      </c>
      <c r="AZ147" s="108">
        <f>'Alt. scenario COM'!AA58</f>
        <v>-138000</v>
      </c>
      <c r="BA147" s="239">
        <f>'Alt. scenario COM'!AB58</f>
        <v>-544800</v>
      </c>
      <c r="BB147" s="63">
        <f>'Key financial and ops fig.s COM'!AC58</f>
        <v>1800</v>
      </c>
      <c r="BC147" s="64">
        <f>'Key financial and ops fig.s COM'!AD58</f>
        <v>127200</v>
      </c>
      <c r="BD147" s="64">
        <f>'Key financial and ops fig.s COM'!AE58</f>
        <v>1800</v>
      </c>
      <c r="BE147" s="108">
        <f>'Key financial and ops fig.s COM'!AF58</f>
        <v>0</v>
      </c>
      <c r="BF147" s="221">
        <f>'Key financial and ops fig.s COM'!AG58</f>
        <v>130800</v>
      </c>
      <c r="BG147" s="63">
        <f>'Alt. scenario COM'!AC58</f>
        <v>1800</v>
      </c>
      <c r="BH147" s="64">
        <f>'Alt. scenario COM'!AD58</f>
        <v>127200</v>
      </c>
      <c r="BI147" s="64">
        <f>'Alt. scenario COM'!AE58</f>
        <v>1800</v>
      </c>
      <c r="BJ147" s="108">
        <f>'Alt. scenario COM'!AF58</f>
        <v>0</v>
      </c>
      <c r="BK147" s="239">
        <f>'Alt. scenario COM'!AG58</f>
        <v>130800</v>
      </c>
      <c r="BL147" s="63">
        <f>'Key financial and ops fig.s COM'!AH58</f>
        <v>5400</v>
      </c>
      <c r="BM147" s="64">
        <f>'Key financial and ops fig.s COM'!AI58</f>
        <v>1800</v>
      </c>
      <c r="BN147" s="64">
        <f>'Key financial and ops fig.s COM'!AJ58</f>
        <v>0</v>
      </c>
      <c r="BO147" s="108">
        <f>'Key financial and ops fig.s COM'!AK58</f>
        <v>3600</v>
      </c>
      <c r="BP147" s="221">
        <f>'Key financial and ops fig.s COM'!AL58</f>
        <v>10800</v>
      </c>
      <c r="BQ147" s="63">
        <f>'Alt. scenario COM'!AH58</f>
        <v>5400</v>
      </c>
      <c r="BR147" s="64">
        <f>'Alt. scenario COM'!AI58</f>
        <v>1800</v>
      </c>
      <c r="BS147" s="64">
        <f>'Alt. scenario COM'!AJ58</f>
        <v>0</v>
      </c>
      <c r="BT147" s="108">
        <f>'Alt. scenario COM'!AK58</f>
        <v>3600</v>
      </c>
      <c r="BU147" s="239">
        <f>'Alt. scenario COM'!AL58</f>
        <v>10800</v>
      </c>
    </row>
    <row r="148" spans="1:73" ht="15.95">
      <c r="A148" s="36"/>
      <c r="B148" s="34" t="s">
        <v>296</v>
      </c>
      <c r="C148" s="56"/>
      <c r="D148" s="63">
        <f>'Key financial and ops fig.s COM'!D59</f>
        <v>0</v>
      </c>
      <c r="E148" s="64">
        <f>'Key financial and ops fig.s COM'!E59</f>
        <v>0</v>
      </c>
      <c r="F148" s="64">
        <f>'Key financial and ops fig.s COM'!F59</f>
        <v>0</v>
      </c>
      <c r="G148" s="108">
        <f>'Key financial and ops fig.s COM'!G59</f>
        <v>0</v>
      </c>
      <c r="H148" s="221">
        <f>'Key financial and ops fig.s COM'!H59</f>
        <v>0</v>
      </c>
      <c r="I148" s="63">
        <f>'Alt. scenario COM'!D59</f>
        <v>0</v>
      </c>
      <c r="J148" s="64">
        <f>'Alt. scenario COM'!E59</f>
        <v>0</v>
      </c>
      <c r="K148" s="64">
        <f>'Alt. scenario COM'!F59</f>
        <v>0</v>
      </c>
      <c r="L148" s="108">
        <f>'Alt. scenario COM'!G59</f>
        <v>0</v>
      </c>
      <c r="M148" s="239">
        <f>'Alt. scenario COM'!H59</f>
        <v>0</v>
      </c>
      <c r="N148" s="63">
        <f>'Key financial and ops fig.s COM'!I59</f>
        <v>0</v>
      </c>
      <c r="O148" s="64">
        <f>'Key financial and ops fig.s COM'!J59</f>
        <v>0</v>
      </c>
      <c r="P148" s="64">
        <f>'Key financial and ops fig.s COM'!K59</f>
        <v>0</v>
      </c>
      <c r="Q148" s="108">
        <f>'Key financial and ops fig.s COM'!L59</f>
        <v>0</v>
      </c>
      <c r="R148" s="221">
        <f>'Key financial and ops fig.s COM'!M59</f>
        <v>0</v>
      </c>
      <c r="S148" s="63">
        <f>'Alt. scenario COM'!I59</f>
        <v>0</v>
      </c>
      <c r="T148" s="64">
        <f>'Alt. scenario COM'!J59</f>
        <v>0</v>
      </c>
      <c r="U148" s="64">
        <f>'Alt. scenario COM'!K59</f>
        <v>0</v>
      </c>
      <c r="V148" s="108">
        <f>'Alt. scenario COM'!L59</f>
        <v>0</v>
      </c>
      <c r="W148" s="239">
        <f>'Alt. scenario COM'!M59</f>
        <v>0</v>
      </c>
      <c r="X148" s="63">
        <f>'Key financial and ops fig.s COM'!N59</f>
        <v>690329.08017857152</v>
      </c>
      <c r="Y148" s="64">
        <f>'Key financial and ops fig.s COM'!O59</f>
        <v>0</v>
      </c>
      <c r="Z148" s="64">
        <f>'Key financial and ops fig.s COM'!P59</f>
        <v>0</v>
      </c>
      <c r="AA148" s="108">
        <f>'Key financial and ops fig.s COM'!Q59</f>
        <v>0</v>
      </c>
      <c r="AB148" s="221">
        <f>'Key financial and ops fig.s COM'!R59</f>
        <v>690329.08017857152</v>
      </c>
      <c r="AC148" s="63">
        <f>'Alt. scenario COM'!N59</f>
        <v>690329.08017857152</v>
      </c>
      <c r="AD148" s="64">
        <f>'Alt. scenario COM'!O59</f>
        <v>0</v>
      </c>
      <c r="AE148" s="64">
        <f>'Alt. scenario COM'!P59</f>
        <v>0</v>
      </c>
      <c r="AF148" s="108">
        <f>'Alt. scenario COM'!Q59</f>
        <v>0</v>
      </c>
      <c r="AG148" s="239">
        <f>'Alt. scenario COM'!R59</f>
        <v>690329.08017857152</v>
      </c>
      <c r="AH148" s="63">
        <f>'Key financial and ops fig.s COM'!S59</f>
        <v>1239644.1358928573</v>
      </c>
      <c r="AI148" s="64">
        <f>'Key financial and ops fig.s COM'!T59</f>
        <v>0</v>
      </c>
      <c r="AJ148" s="64">
        <f>'Key financial and ops fig.s COM'!U59</f>
        <v>0</v>
      </c>
      <c r="AK148" s="108">
        <f>'Key financial and ops fig.s COM'!V59</f>
        <v>0</v>
      </c>
      <c r="AL148" s="221">
        <f>'Key financial and ops fig.s COM'!W59</f>
        <v>1239644.1358928573</v>
      </c>
      <c r="AM148" s="63">
        <f>'Alt. scenario COM'!S59</f>
        <v>1239644.1358928573</v>
      </c>
      <c r="AN148" s="64">
        <f>'Alt. scenario COM'!T59</f>
        <v>0</v>
      </c>
      <c r="AO148" s="64">
        <f>'Alt. scenario COM'!U59</f>
        <v>0</v>
      </c>
      <c r="AP148" s="108">
        <f>'Alt. scenario COM'!V59</f>
        <v>0</v>
      </c>
      <c r="AQ148" s="239">
        <f>'Alt. scenario COM'!W59</f>
        <v>1239644.1358928573</v>
      </c>
      <c r="AR148" s="63">
        <f>'Key financial and ops fig.s COM'!X59</f>
        <v>1676248.7287500002</v>
      </c>
      <c r="AS148" s="64">
        <f>'Key financial and ops fig.s COM'!Y59</f>
        <v>0</v>
      </c>
      <c r="AT148" s="64">
        <f>'Key financial and ops fig.s COM'!Z59</f>
        <v>0</v>
      </c>
      <c r="AU148" s="108">
        <f>'Key financial and ops fig.s COM'!AA59</f>
        <v>0</v>
      </c>
      <c r="AV148" s="221">
        <f>'Key financial and ops fig.s COM'!AB59</f>
        <v>1676248.7287500002</v>
      </c>
      <c r="AW148" s="63">
        <f>'Alt. scenario COM'!X59</f>
        <v>1676248.7287500002</v>
      </c>
      <c r="AX148" s="64">
        <f>'Alt. scenario COM'!Y59</f>
        <v>0</v>
      </c>
      <c r="AY148" s="64">
        <f>'Alt. scenario COM'!Z59</f>
        <v>0</v>
      </c>
      <c r="AZ148" s="108">
        <f>'Alt. scenario COM'!AA59</f>
        <v>0</v>
      </c>
      <c r="BA148" s="239">
        <f>'Alt. scenario COM'!AB59</f>
        <v>1676248.7287500002</v>
      </c>
      <c r="BB148" s="63">
        <f>'Key financial and ops fig.s COM'!AC59</f>
        <v>2086075.2873214288</v>
      </c>
      <c r="BC148" s="64">
        <f>'Key financial and ops fig.s COM'!AD59</f>
        <v>0</v>
      </c>
      <c r="BD148" s="64">
        <f>'Key financial and ops fig.s COM'!AE59</f>
        <v>0</v>
      </c>
      <c r="BE148" s="108">
        <f>'Key financial and ops fig.s COM'!AF59</f>
        <v>0</v>
      </c>
      <c r="BF148" s="221">
        <f>'Key financial and ops fig.s COM'!AG59</f>
        <v>2086075.2873214288</v>
      </c>
      <c r="BG148" s="63">
        <f>'Alt. scenario COM'!AC59</f>
        <v>2086075.2873214288</v>
      </c>
      <c r="BH148" s="64">
        <f>'Alt. scenario COM'!AD59</f>
        <v>0</v>
      </c>
      <c r="BI148" s="64">
        <f>'Alt. scenario COM'!AE59</f>
        <v>0</v>
      </c>
      <c r="BJ148" s="108">
        <f>'Alt. scenario COM'!AF59</f>
        <v>0</v>
      </c>
      <c r="BK148" s="239">
        <f>'Alt. scenario COM'!AG59</f>
        <v>2086075.2873214288</v>
      </c>
      <c r="BL148" s="63">
        <f>'Key financial and ops fig.s COM'!AH59</f>
        <v>2118991.5535714286</v>
      </c>
      <c r="BM148" s="64">
        <f>'Key financial and ops fig.s COM'!AI59</f>
        <v>0</v>
      </c>
      <c r="BN148" s="64">
        <f>'Key financial and ops fig.s COM'!AJ59</f>
        <v>0</v>
      </c>
      <c r="BO148" s="108">
        <f>'Key financial and ops fig.s COM'!AK59</f>
        <v>0</v>
      </c>
      <c r="BP148" s="221">
        <f>'Key financial and ops fig.s COM'!AL59</f>
        <v>2118991.5535714286</v>
      </c>
      <c r="BQ148" s="63">
        <f>'Alt. scenario COM'!AH59</f>
        <v>2118991.5535714286</v>
      </c>
      <c r="BR148" s="64">
        <f>'Alt. scenario COM'!AI59</f>
        <v>0</v>
      </c>
      <c r="BS148" s="64">
        <f>'Alt. scenario COM'!AJ59</f>
        <v>0</v>
      </c>
      <c r="BT148" s="108">
        <f>'Alt. scenario COM'!AK59</f>
        <v>0</v>
      </c>
      <c r="BU148" s="239">
        <f>'Alt. scenario COM'!AL59</f>
        <v>2118991.5535714286</v>
      </c>
    </row>
    <row r="149" spans="1:73" ht="17.100000000000001" thickBot="1">
      <c r="A149" s="102" t="s">
        <v>297</v>
      </c>
      <c r="B149" s="34"/>
      <c r="C149" s="56"/>
      <c r="D149" s="142">
        <f>'Key financial and ops fig.s COM'!D60</f>
        <v>-4312159.1812500004</v>
      </c>
      <c r="E149" s="143">
        <f>'Key financial and ops fig.s COM'!E60</f>
        <v>-770404.35</v>
      </c>
      <c r="F149" s="143">
        <f>'Key financial and ops fig.s COM'!F60</f>
        <v>-410145.13124999986</v>
      </c>
      <c r="G149" s="144">
        <f>'Key financial and ops fig.s COM'!G60</f>
        <v>-68661.524999999907</v>
      </c>
      <c r="H149" s="222">
        <f>'Key financial and ops fig.s COM'!H60</f>
        <v>-5561370.1875</v>
      </c>
      <c r="I149" s="142">
        <f>'Alt. scenario COM'!D60</f>
        <v>-4312159.1812500004</v>
      </c>
      <c r="J149" s="143">
        <f>'Alt. scenario COM'!E60</f>
        <v>-770404.35</v>
      </c>
      <c r="K149" s="143">
        <f>'Alt. scenario COM'!F60</f>
        <v>-410145.13124999986</v>
      </c>
      <c r="L149" s="144">
        <f>'Alt. scenario COM'!G60</f>
        <v>-68661.524999999907</v>
      </c>
      <c r="M149" s="240">
        <f>'Alt. scenario COM'!H60</f>
        <v>-5561370.1875</v>
      </c>
      <c r="N149" s="142">
        <f>'Key financial and ops fig.s COM'!I60</f>
        <v>284946.46875</v>
      </c>
      <c r="O149" s="143">
        <f>'Key financial and ops fig.s COM'!J60</f>
        <v>634778.85000000009</v>
      </c>
      <c r="P149" s="143">
        <f>'Key financial and ops fig.s COM'!K60</f>
        <v>987435.61875000037</v>
      </c>
      <c r="Q149" s="144">
        <f>'Key financial and ops fig.s COM'!L60</f>
        <v>1249376.7749999999</v>
      </c>
      <c r="R149" s="222">
        <f>'Key financial and ops fig.s COM'!M60</f>
        <v>3156537.7125000004</v>
      </c>
      <c r="S149" s="142">
        <f>'Alt. scenario COM'!I60</f>
        <v>284946.46875</v>
      </c>
      <c r="T149" s="143">
        <f>'Alt. scenario COM'!J60</f>
        <v>634778.85000000009</v>
      </c>
      <c r="U149" s="143">
        <f>'Alt. scenario COM'!K60</f>
        <v>987435.61875000037</v>
      </c>
      <c r="V149" s="144">
        <f>'Alt. scenario COM'!L60</f>
        <v>1249376.7749999999</v>
      </c>
      <c r="W149" s="240">
        <f>'Alt. scenario COM'!M60</f>
        <v>3156537.7125000004</v>
      </c>
      <c r="X149" s="142">
        <f>'Key financial and ops fig.s COM'!N60</f>
        <v>2097131.3989285715</v>
      </c>
      <c r="Y149" s="143">
        <f>'Key financial and ops fig.s COM'!O60</f>
        <v>1568852.25</v>
      </c>
      <c r="Z149" s="143">
        <f>'Key financial and ops fig.s COM'!P60</f>
        <v>1717826.5687500006</v>
      </c>
      <c r="AA149" s="144">
        <f>'Key financial and ops fig.s COM'!Q60</f>
        <v>1872925.2750000004</v>
      </c>
      <c r="AB149" s="222">
        <f>'Key financial and ops fig.s COM'!R60</f>
        <v>7256735.4926785724</v>
      </c>
      <c r="AC149" s="142">
        <f>'Alt. scenario COM'!N60</f>
        <v>2097131.3989285715</v>
      </c>
      <c r="AD149" s="143">
        <f>'Alt. scenario COM'!O60</f>
        <v>1568852.25</v>
      </c>
      <c r="AE149" s="143">
        <f>'Alt. scenario COM'!P60</f>
        <v>1717826.5687500006</v>
      </c>
      <c r="AF149" s="144">
        <f>'Alt. scenario COM'!Q60</f>
        <v>1872925.2750000004</v>
      </c>
      <c r="AG149" s="240">
        <f>'Alt. scenario COM'!R60</f>
        <v>7256735.4926785724</v>
      </c>
      <c r="AH149" s="142">
        <f>'Key financial and ops fig.s COM'!S60</f>
        <v>3268692.5046428577</v>
      </c>
      <c r="AI149" s="143">
        <f>'Key financial and ops fig.s COM'!T60</f>
        <v>2173595.8500000006</v>
      </c>
      <c r="AJ149" s="143">
        <f>'Key financial and ops fig.s COM'!U60</f>
        <v>2316467.71875</v>
      </c>
      <c r="AK149" s="144">
        <f>'Key financial and ops fig.s COM'!V60</f>
        <v>2455863.9749999996</v>
      </c>
      <c r="AL149" s="222">
        <f>'Key financial and ops fig.s COM'!W60</f>
        <v>10214620.048392858</v>
      </c>
      <c r="AM149" s="142">
        <f>'Alt. scenario COM'!S60</f>
        <v>3268692.5046428577</v>
      </c>
      <c r="AN149" s="143">
        <f>'Alt. scenario COM'!T60</f>
        <v>2173595.8500000006</v>
      </c>
      <c r="AO149" s="143">
        <f>'Alt. scenario COM'!U60</f>
        <v>2316467.71875</v>
      </c>
      <c r="AP149" s="144">
        <f>'Alt. scenario COM'!V60</f>
        <v>2455863.9749999996</v>
      </c>
      <c r="AQ149" s="240">
        <f>'Alt. scenario COM'!W60</f>
        <v>10214620.048392858</v>
      </c>
      <c r="AR149" s="142">
        <f>'Key financial and ops fig.s COM'!X60</f>
        <v>4274333.3475000001</v>
      </c>
      <c r="AS149" s="143">
        <f>'Key financial and ops fig.s COM'!Y60</f>
        <v>2750329.6500000004</v>
      </c>
      <c r="AT149" s="143">
        <f>'Key financial and ops fig.s COM'!Z60</f>
        <v>2881999.0687499996</v>
      </c>
      <c r="AU149" s="144">
        <f>'Key financial and ops fig.s COM'!AA60</f>
        <v>3005692.875</v>
      </c>
      <c r="AV149" s="222">
        <f>'Key financial and ops fig.s COM'!AB60</f>
        <v>12912354.94125</v>
      </c>
      <c r="AW149" s="142">
        <f>'Alt. scenario COM'!X60</f>
        <v>4274333.3475000001</v>
      </c>
      <c r="AX149" s="143">
        <f>'Alt. scenario COM'!Y60</f>
        <v>2750329.6500000004</v>
      </c>
      <c r="AY149" s="143">
        <f>'Alt. scenario COM'!Z60</f>
        <v>2881999.0687499996</v>
      </c>
      <c r="AZ149" s="144">
        <f>'Alt. scenario COM'!AA60</f>
        <v>3005692.875</v>
      </c>
      <c r="BA149" s="240">
        <f>'Alt. scenario COM'!AB60</f>
        <v>12912354.94125</v>
      </c>
      <c r="BB149" s="142">
        <f>'Key financial and ops fig.s COM'!AC60</f>
        <v>5009169.1623214288</v>
      </c>
      <c r="BC149" s="143">
        <f>'Key financial and ops fig.s COM'!AD60</f>
        <v>3058737.75</v>
      </c>
      <c r="BD149" s="143">
        <f>'Key financial and ops fig.s COM'!AE60</f>
        <v>2903081.625</v>
      </c>
      <c r="BE149" s="144">
        <f>'Key financial and ops fig.s COM'!AF60</f>
        <v>2866525.5</v>
      </c>
      <c r="BF149" s="222">
        <f>'Key financial and ops fig.s COM'!AG60</f>
        <v>13837514.03732143</v>
      </c>
      <c r="BG149" s="142">
        <f>'Alt. scenario COM'!AC60</f>
        <v>5009169.1623214288</v>
      </c>
      <c r="BH149" s="143">
        <f>'Alt. scenario COM'!AD60</f>
        <v>3058737.75</v>
      </c>
      <c r="BI149" s="143">
        <f>'Alt. scenario COM'!AE60</f>
        <v>2903081.625</v>
      </c>
      <c r="BJ149" s="144">
        <f>'Alt. scenario COM'!AF60</f>
        <v>2866525.5</v>
      </c>
      <c r="BK149" s="240">
        <f>'Alt. scenario COM'!AG60</f>
        <v>13837514.03732143</v>
      </c>
      <c r="BL149" s="142">
        <f>'Key financial and ops fig.s COM'!AH60</f>
        <v>4978660.9285714291</v>
      </c>
      <c r="BM149" s="143">
        <f>'Key financial and ops fig.s COM'!AI60</f>
        <v>2825813.25</v>
      </c>
      <c r="BN149" s="143">
        <f>'Key financial and ops fig.s COM'!AJ60</f>
        <v>2789257.125</v>
      </c>
      <c r="BO149" s="144">
        <f>'Key financial and ops fig.s COM'!AK60</f>
        <v>2768601</v>
      </c>
      <c r="BP149" s="222">
        <f>'Key financial and ops fig.s COM'!AL60</f>
        <v>13362332.303571429</v>
      </c>
      <c r="BQ149" s="142">
        <f>'Alt. scenario COM'!AH60</f>
        <v>4978660.9285714291</v>
      </c>
      <c r="BR149" s="143">
        <f>'Alt. scenario COM'!AI60</f>
        <v>2825813.25</v>
      </c>
      <c r="BS149" s="143">
        <f>'Alt. scenario COM'!AJ60</f>
        <v>2789257.125</v>
      </c>
      <c r="BT149" s="144">
        <f>'Alt. scenario COM'!AK60</f>
        <v>2768601</v>
      </c>
      <c r="BU149" s="240">
        <f>'Alt. scenario COM'!AL60</f>
        <v>13362332.303571429</v>
      </c>
    </row>
    <row r="150" spans="1:73" s="109" customFormat="1" ht="20.100000000000001" thickBot="1">
      <c r="A150" s="197" t="s">
        <v>298</v>
      </c>
      <c r="B150" s="198"/>
      <c r="C150" s="199"/>
      <c r="D150" s="145">
        <f>'Key financial and ops fig.s COM'!D61</f>
        <v>-4312159.1812500004</v>
      </c>
      <c r="E150" s="146">
        <f>'Key financial and ops fig.s COM'!E61</f>
        <v>-5082563.53125</v>
      </c>
      <c r="F150" s="146">
        <f>'Key financial and ops fig.s COM'!F61</f>
        <v>-5492708.6624999996</v>
      </c>
      <c r="G150" s="147">
        <f>'Key financial and ops fig.s COM'!G61</f>
        <v>-5561370.1875</v>
      </c>
      <c r="H150" s="223">
        <f>'Key financial and ops fig.s COM'!H61</f>
        <v>-5561370.1875</v>
      </c>
      <c r="I150" s="145">
        <f>'Alt. scenario COM'!D61</f>
        <v>-4312159.1812500004</v>
      </c>
      <c r="J150" s="146">
        <f>'Alt. scenario COM'!E61</f>
        <v>-5082563.53125</v>
      </c>
      <c r="K150" s="146">
        <f>'Alt. scenario COM'!F61</f>
        <v>-5492708.6624999996</v>
      </c>
      <c r="L150" s="147">
        <f>'Alt. scenario COM'!G61</f>
        <v>-5561370.1875</v>
      </c>
      <c r="M150" s="241">
        <f>'Alt. scenario COM'!H61</f>
        <v>-5561370.1875</v>
      </c>
      <c r="N150" s="194">
        <f>'Key financial and ops fig.s COM'!I61</f>
        <v>-5276423.71875</v>
      </c>
      <c r="O150" s="195">
        <f>'Key financial and ops fig.s COM'!J61</f>
        <v>-4641644.8687500004</v>
      </c>
      <c r="P150" s="195">
        <f>'Key financial and ops fig.s COM'!K61</f>
        <v>-3654209.25</v>
      </c>
      <c r="Q150" s="196">
        <f>'Key financial and ops fig.s COM'!L61</f>
        <v>-2404832.4750000001</v>
      </c>
      <c r="R150" s="223">
        <f>'Key financial and ops fig.s COM'!M61</f>
        <v>-2404832.4750000001</v>
      </c>
      <c r="S150" s="145">
        <f>'Alt. scenario COM'!I61</f>
        <v>-5276423.71875</v>
      </c>
      <c r="T150" s="146">
        <f>'Alt. scenario COM'!J61</f>
        <v>-4641644.8687500004</v>
      </c>
      <c r="U150" s="146">
        <f>'Alt. scenario COM'!K61</f>
        <v>-3654209.25</v>
      </c>
      <c r="V150" s="147">
        <f>'Alt. scenario COM'!L61</f>
        <v>-2404832.4750000001</v>
      </c>
      <c r="W150" s="241">
        <f>'Alt. scenario COM'!M61</f>
        <v>-2404832.4750000001</v>
      </c>
      <c r="X150" s="194">
        <f>'Key financial and ops fig.s COM'!N61</f>
        <v>-307701.0760714286</v>
      </c>
      <c r="Y150" s="195">
        <f>'Key financial and ops fig.s COM'!O61</f>
        <v>1261151.1739285714</v>
      </c>
      <c r="Z150" s="195">
        <f>'Key financial and ops fig.s COM'!P61</f>
        <v>2978977.742678572</v>
      </c>
      <c r="AA150" s="196">
        <f>'Key financial and ops fig.s COM'!Q61</f>
        <v>4851903.0176785719</v>
      </c>
      <c r="AB150" s="223">
        <f>'Key financial and ops fig.s COM'!R61</f>
        <v>4851903.0176785719</v>
      </c>
      <c r="AC150" s="145">
        <f>'Alt. scenario COM'!N61</f>
        <v>-307701.0760714286</v>
      </c>
      <c r="AD150" s="146">
        <f>'Alt. scenario COM'!O61</f>
        <v>1261151.1739285714</v>
      </c>
      <c r="AE150" s="146">
        <f>'Alt. scenario COM'!P61</f>
        <v>2978977.742678572</v>
      </c>
      <c r="AF150" s="147">
        <f>'Alt. scenario COM'!Q61</f>
        <v>4851903.0176785719</v>
      </c>
      <c r="AG150" s="241">
        <f>'Alt. scenario COM'!R61</f>
        <v>4851903.0176785719</v>
      </c>
      <c r="AH150" s="194">
        <f>'Key financial and ops fig.s COM'!S61</f>
        <v>8120595.5223214291</v>
      </c>
      <c r="AI150" s="195">
        <f>'Key financial and ops fig.s COM'!T61</f>
        <v>10294191.372321431</v>
      </c>
      <c r="AJ150" s="195">
        <f>'Key financial and ops fig.s COM'!U61</f>
        <v>12610659.091071431</v>
      </c>
      <c r="AK150" s="196">
        <f>'Key financial and ops fig.s COM'!V61</f>
        <v>15066523.06607143</v>
      </c>
      <c r="AL150" s="223">
        <f>'Key financial and ops fig.s COM'!W61</f>
        <v>15066523.06607143</v>
      </c>
      <c r="AM150" s="145">
        <f>'Alt. scenario COM'!S61</f>
        <v>8120595.5223214291</v>
      </c>
      <c r="AN150" s="146">
        <f>'Alt. scenario COM'!T61</f>
        <v>10294191.372321431</v>
      </c>
      <c r="AO150" s="146">
        <f>'Alt. scenario COM'!U61</f>
        <v>12610659.091071431</v>
      </c>
      <c r="AP150" s="147">
        <f>'Alt. scenario COM'!V61</f>
        <v>15066523.06607143</v>
      </c>
      <c r="AQ150" s="241">
        <f>'Alt. scenario COM'!W61</f>
        <v>15066523.06607143</v>
      </c>
      <c r="AR150" s="194">
        <f>'Key financial and ops fig.s COM'!X61</f>
        <v>19340856.413571432</v>
      </c>
      <c r="AS150" s="195">
        <f>'Key financial and ops fig.s COM'!Y61</f>
        <v>22091186.063571431</v>
      </c>
      <c r="AT150" s="195">
        <f>'Key financial and ops fig.s COM'!Z61</f>
        <v>24973185.132321432</v>
      </c>
      <c r="AU150" s="196">
        <f>'Key financial and ops fig.s COM'!AA61</f>
        <v>27978878.007321432</v>
      </c>
      <c r="AV150" s="223">
        <f>'Key financial and ops fig.s COM'!AB61</f>
        <v>27978878.007321432</v>
      </c>
      <c r="AW150" s="145">
        <f>'Alt. scenario COM'!X61</f>
        <v>19340856.413571432</v>
      </c>
      <c r="AX150" s="146">
        <f>'Alt. scenario COM'!Y61</f>
        <v>22091186.063571431</v>
      </c>
      <c r="AY150" s="146">
        <f>'Alt. scenario COM'!Z61</f>
        <v>24973185.132321432</v>
      </c>
      <c r="AZ150" s="147">
        <f>'Alt. scenario COM'!AA61</f>
        <v>27978878.007321432</v>
      </c>
      <c r="BA150" s="241">
        <f>'Alt. scenario COM'!AB61</f>
        <v>27978878.007321432</v>
      </c>
      <c r="BB150" s="194">
        <f>'Key financial and ops fig.s COM'!AC61</f>
        <v>32988047.169642862</v>
      </c>
      <c r="BC150" s="195">
        <f>'Key financial and ops fig.s COM'!AD61</f>
        <v>36046784.919642866</v>
      </c>
      <c r="BD150" s="195">
        <f>'Key financial and ops fig.s COM'!AE61</f>
        <v>38949866.544642866</v>
      </c>
      <c r="BE150" s="196">
        <f>'Key financial and ops fig.s COM'!AF61</f>
        <v>41816392.044642866</v>
      </c>
      <c r="BF150" s="223">
        <f>'Key financial and ops fig.s COM'!AG61</f>
        <v>41816392.044642866</v>
      </c>
      <c r="BG150" s="145">
        <f>'Alt. scenario COM'!AC61</f>
        <v>32988047.169642862</v>
      </c>
      <c r="BH150" s="146">
        <f>'Alt. scenario COM'!AD61</f>
        <v>36046784.919642866</v>
      </c>
      <c r="BI150" s="146">
        <f>'Alt. scenario COM'!AE61</f>
        <v>38949866.544642866</v>
      </c>
      <c r="BJ150" s="147">
        <f>'Alt. scenario COM'!AF61</f>
        <v>41816392.044642866</v>
      </c>
      <c r="BK150" s="241">
        <f>'Alt. scenario COM'!AG61</f>
        <v>41816392.044642866</v>
      </c>
      <c r="BL150" s="194">
        <f>'Key financial and ops fig.s COM'!AH61</f>
        <v>46795052.973214298</v>
      </c>
      <c r="BM150" s="195">
        <f>'Key financial and ops fig.s COM'!AI61</f>
        <v>49620866.223214298</v>
      </c>
      <c r="BN150" s="195">
        <f>'Key financial and ops fig.s COM'!AJ61</f>
        <v>52410123.348214298</v>
      </c>
      <c r="BO150" s="196">
        <f>'Key financial and ops fig.s COM'!AK61</f>
        <v>55178724.348214298</v>
      </c>
      <c r="BP150" s="223">
        <f>'Key financial and ops fig.s COM'!AL61</f>
        <v>55178724.348214298</v>
      </c>
      <c r="BQ150" s="145">
        <f>'Alt. scenario COM'!AH61</f>
        <v>46795052.973214298</v>
      </c>
      <c r="BR150" s="146">
        <f>'Alt. scenario COM'!AI61</f>
        <v>49620866.223214298</v>
      </c>
      <c r="BS150" s="146">
        <f>'Alt. scenario COM'!AJ61</f>
        <v>52410123.348214298</v>
      </c>
      <c r="BT150" s="147">
        <f>'Alt. scenario COM'!AK61</f>
        <v>55178724.348214298</v>
      </c>
      <c r="BU150" s="241">
        <f>'Alt. scenario COM'!AL61</f>
        <v>55178724.348214298</v>
      </c>
    </row>
    <row r="151" spans="1:73" ht="15.95" thickBot="1">
      <c r="H151" s="224"/>
      <c r="M151" s="242"/>
      <c r="R151" s="224"/>
      <c r="W151" s="242"/>
      <c r="AB151" s="224"/>
      <c r="AG151" s="242"/>
      <c r="AL151" s="224"/>
      <c r="AQ151" s="242"/>
      <c r="AV151" s="224"/>
      <c r="BA151" s="242"/>
      <c r="BF151" s="224"/>
      <c r="BK151" s="242"/>
      <c r="BP151" s="224"/>
      <c r="BU151" s="242"/>
    </row>
    <row r="152" spans="1:73" ht="35.1" thickBot="1">
      <c r="A152" s="28" t="s">
        <v>299</v>
      </c>
      <c r="B152" s="28"/>
      <c r="C152" s="28"/>
      <c r="D152" s="208" t="str">
        <f>D140</f>
        <v>Q1 Y1</v>
      </c>
      <c r="E152" s="209" t="str">
        <f t="shared" ref="E152:BP152" si="59">E140</f>
        <v>Q2 Y1</v>
      </c>
      <c r="F152" s="209" t="str">
        <f t="shared" si="59"/>
        <v>Q3 Y1</v>
      </c>
      <c r="G152" s="209" t="str">
        <f t="shared" si="59"/>
        <v>Q4 Y1</v>
      </c>
      <c r="H152" s="212" t="str">
        <f t="shared" si="59"/>
        <v>Y1</v>
      </c>
      <c r="I152" s="208" t="str">
        <f t="shared" si="59"/>
        <v>Alternative scenario for Q1 Y1</v>
      </c>
      <c r="J152" s="209" t="str">
        <f t="shared" si="59"/>
        <v>Alternative scenario for Q2 Y1</v>
      </c>
      <c r="K152" s="209" t="str">
        <f t="shared" si="59"/>
        <v>Alternative scenario for Q3 Y1</v>
      </c>
      <c r="L152" s="209" t="str">
        <f t="shared" si="59"/>
        <v>Alternative scenario for Q4 Y1</v>
      </c>
      <c r="M152" s="238" t="str">
        <f t="shared" si="59"/>
        <v>Alternative scenario for Y1</v>
      </c>
      <c r="N152" s="208" t="str">
        <f t="shared" si="59"/>
        <v>Q1 Y2</v>
      </c>
      <c r="O152" s="209" t="str">
        <f t="shared" si="59"/>
        <v>Q2 Y2</v>
      </c>
      <c r="P152" s="209" t="str">
        <f t="shared" si="59"/>
        <v>Q3 Y2</v>
      </c>
      <c r="Q152" s="209" t="str">
        <f t="shared" si="59"/>
        <v>Q4 Y2</v>
      </c>
      <c r="R152" s="212" t="str">
        <f t="shared" si="59"/>
        <v>Y2</v>
      </c>
      <c r="S152" s="208" t="str">
        <f t="shared" si="59"/>
        <v>Alternative scenario for Q1 Y2</v>
      </c>
      <c r="T152" s="209" t="str">
        <f t="shared" si="59"/>
        <v>Alternative scenario for Q2 Y2</v>
      </c>
      <c r="U152" s="209" t="str">
        <f t="shared" si="59"/>
        <v>Alternative scenario for Q3 Y2</v>
      </c>
      <c r="V152" s="209" t="str">
        <f t="shared" si="59"/>
        <v>Alternative scenario for Q4 Y2</v>
      </c>
      <c r="W152" s="238" t="str">
        <f t="shared" si="59"/>
        <v>Alternative scenario for Y2</v>
      </c>
      <c r="X152" s="208" t="str">
        <f t="shared" si="59"/>
        <v>Q1 Y3</v>
      </c>
      <c r="Y152" s="209" t="str">
        <f t="shared" si="59"/>
        <v>Q2 Y3</v>
      </c>
      <c r="Z152" s="209" t="str">
        <f t="shared" si="59"/>
        <v>Q3 Y3</v>
      </c>
      <c r="AA152" s="209" t="str">
        <f t="shared" si="59"/>
        <v>Q4 Y3</v>
      </c>
      <c r="AB152" s="212" t="str">
        <f t="shared" si="59"/>
        <v>Y3</v>
      </c>
      <c r="AC152" s="208" t="str">
        <f t="shared" si="59"/>
        <v>Alternative scenario for Q1 Y3</v>
      </c>
      <c r="AD152" s="209" t="str">
        <f t="shared" si="59"/>
        <v>Alternative scenario for Q2 Y3</v>
      </c>
      <c r="AE152" s="209" t="str">
        <f t="shared" si="59"/>
        <v>Alternative scenario for Q3 Y3</v>
      </c>
      <c r="AF152" s="209" t="str">
        <f t="shared" si="59"/>
        <v>Alternative scenario for Q4 Y3</v>
      </c>
      <c r="AG152" s="238" t="str">
        <f t="shared" si="59"/>
        <v>Alternative scenario for Y3</v>
      </c>
      <c r="AH152" s="208" t="str">
        <f t="shared" si="59"/>
        <v>Q1 Y4</v>
      </c>
      <c r="AI152" s="209" t="str">
        <f t="shared" si="59"/>
        <v>Q2 Y4</v>
      </c>
      <c r="AJ152" s="209" t="str">
        <f t="shared" si="59"/>
        <v>Q3 Y4</v>
      </c>
      <c r="AK152" s="209" t="str">
        <f t="shared" si="59"/>
        <v>Q4 Y4</v>
      </c>
      <c r="AL152" s="212" t="str">
        <f t="shared" si="59"/>
        <v>Y4</v>
      </c>
      <c r="AM152" s="208" t="str">
        <f t="shared" si="59"/>
        <v>Alternative scenario for Q1 Y4</v>
      </c>
      <c r="AN152" s="209" t="str">
        <f t="shared" si="59"/>
        <v>Alternative scenario for Q2 Y4</v>
      </c>
      <c r="AO152" s="209" t="str">
        <f t="shared" si="59"/>
        <v>Alternative scenario for Q3 Y4</v>
      </c>
      <c r="AP152" s="209" t="str">
        <f t="shared" si="59"/>
        <v>Alternative scenario for Q4 Y4</v>
      </c>
      <c r="AQ152" s="238" t="str">
        <f t="shared" si="59"/>
        <v>Alternative scenario for Y4</v>
      </c>
      <c r="AR152" s="208" t="str">
        <f t="shared" si="59"/>
        <v>Q1 Y5</v>
      </c>
      <c r="AS152" s="209" t="str">
        <f t="shared" si="59"/>
        <v>Q2 Y5</v>
      </c>
      <c r="AT152" s="209" t="str">
        <f t="shared" si="59"/>
        <v>Q3 Y5</v>
      </c>
      <c r="AU152" s="209" t="str">
        <f t="shared" si="59"/>
        <v>Q4 Y5</v>
      </c>
      <c r="AV152" s="212" t="str">
        <f t="shared" si="59"/>
        <v>Y5</v>
      </c>
      <c r="AW152" s="208" t="str">
        <f t="shared" si="59"/>
        <v>Alternative scenario for Q1 Y5</v>
      </c>
      <c r="AX152" s="209" t="str">
        <f t="shared" si="59"/>
        <v>Alternative scenario for Q2 Y5</v>
      </c>
      <c r="AY152" s="209" t="str">
        <f t="shared" si="59"/>
        <v>Alternative scenario for Q3 Y5</v>
      </c>
      <c r="AZ152" s="209" t="str">
        <f t="shared" si="59"/>
        <v>Alternative scenario for Q4 Y5</v>
      </c>
      <c r="BA152" s="238" t="str">
        <f t="shared" si="59"/>
        <v>Alternative scenario for Y5</v>
      </c>
      <c r="BB152" s="208" t="str">
        <f t="shared" si="59"/>
        <v>Q1 Y6</v>
      </c>
      <c r="BC152" s="209" t="str">
        <f t="shared" si="59"/>
        <v>Q2 Y6</v>
      </c>
      <c r="BD152" s="209" t="str">
        <f t="shared" si="59"/>
        <v>Q3 Y6</v>
      </c>
      <c r="BE152" s="209" t="str">
        <f t="shared" si="59"/>
        <v>Q4 Y6</v>
      </c>
      <c r="BF152" s="212" t="str">
        <f t="shared" si="59"/>
        <v>Y6</v>
      </c>
      <c r="BG152" s="208" t="str">
        <f t="shared" si="59"/>
        <v>Alternative scenario for Q1 Y6</v>
      </c>
      <c r="BH152" s="209" t="str">
        <f t="shared" si="59"/>
        <v>Alternative scenario for Q2 Y6</v>
      </c>
      <c r="BI152" s="209" t="str">
        <f t="shared" si="59"/>
        <v>Alternative scenario for Q3 Y6</v>
      </c>
      <c r="BJ152" s="209" t="str">
        <f t="shared" si="59"/>
        <v>Alternative scenario for Q4 Y6</v>
      </c>
      <c r="BK152" s="238" t="str">
        <f t="shared" si="59"/>
        <v>Alternative scenario for Y6</v>
      </c>
      <c r="BL152" s="208" t="str">
        <f t="shared" si="59"/>
        <v>Q1 Y7</v>
      </c>
      <c r="BM152" s="209" t="str">
        <f t="shared" si="59"/>
        <v>Q2 Y7</v>
      </c>
      <c r="BN152" s="209" t="str">
        <f t="shared" si="59"/>
        <v>Q3 Y7</v>
      </c>
      <c r="BO152" s="209" t="str">
        <f t="shared" si="59"/>
        <v>Q4 Y7</v>
      </c>
      <c r="BP152" s="212" t="str">
        <f t="shared" si="59"/>
        <v>Y7</v>
      </c>
      <c r="BQ152" s="208" t="str">
        <f t="shared" ref="BQ152:BU152" si="60">BQ140</f>
        <v>Alternative scenario for Q1 Y7</v>
      </c>
      <c r="BR152" s="209" t="str">
        <f t="shared" si="60"/>
        <v>Alternative scenario for Q2 Y7</v>
      </c>
      <c r="BS152" s="209" t="str">
        <f t="shared" si="60"/>
        <v>Alternative scenario for Q3 Y7</v>
      </c>
      <c r="BT152" s="209" t="str">
        <f t="shared" si="60"/>
        <v>Alternative scenario for Q4 Y7</v>
      </c>
      <c r="BU152" s="238" t="str">
        <f t="shared" si="60"/>
        <v>Alternative scenario for Y7</v>
      </c>
    </row>
    <row r="153" spans="1:73" ht="15.95">
      <c r="A153" s="188"/>
      <c r="B153" s="29"/>
      <c r="C153" s="30" t="s">
        <v>300</v>
      </c>
      <c r="D153" s="130">
        <f>'Key financial and ops fig.s COM'!D64</f>
        <v>3.4927718458987911E-3</v>
      </c>
      <c r="E153" s="150">
        <f>'Key financial and ops fig.s COM'!E64</f>
        <v>6.9416094547422513E-3</v>
      </c>
      <c r="F153" s="150">
        <f>'Key financial and ops fig.s COM'!F64</f>
        <v>1.0346512826530381E-2</v>
      </c>
      <c r="G153" s="151">
        <f>'Key financial and ops fig.s COM'!G64</f>
        <v>1.3707481961263179E-2</v>
      </c>
      <c r="H153" s="225">
        <f>'Key financial and ops fig.s COM'!H64</f>
        <v>1.3707481961263179E-2</v>
      </c>
      <c r="I153" s="130">
        <f>'Alt. scenario COM'!D64</f>
        <v>3.4927718458987911E-3</v>
      </c>
      <c r="J153" s="150">
        <f>'Alt. scenario COM'!E64</f>
        <v>6.9416094547422513E-3</v>
      </c>
      <c r="K153" s="150">
        <f>'Alt. scenario COM'!F64</f>
        <v>1.0346512826530381E-2</v>
      </c>
      <c r="L153" s="151">
        <f>'Alt. scenario COM'!G64</f>
        <v>1.3707481961263179E-2</v>
      </c>
      <c r="M153" s="243">
        <f>'Alt. scenario COM'!H64</f>
        <v>1.3707481961263179E-2</v>
      </c>
      <c r="N153" s="130">
        <f>'Key financial and ops fig.s COM'!I64</f>
        <v>1.7024516858940648E-2</v>
      </c>
      <c r="O153" s="150">
        <f>'Key financial and ops fig.s COM'!J64</f>
        <v>2.0297617519562786E-2</v>
      </c>
      <c r="P153" s="150">
        <f>'Key financial and ops fig.s COM'!K64</f>
        <v>2.3526783943129591E-2</v>
      </c>
      <c r="Q153" s="151">
        <f>'Key financial and ops fig.s COM'!L64</f>
        <v>2.6712016129641067E-2</v>
      </c>
      <c r="R153" s="225">
        <f>'Key financial and ops fig.s COM'!M64</f>
        <v>2.6712016129641067E-2</v>
      </c>
      <c r="S153" s="130">
        <f>'Alt. scenario COM'!I64</f>
        <v>1.7024516858940648E-2</v>
      </c>
      <c r="T153" s="150">
        <f>'Alt. scenario COM'!J64</f>
        <v>2.0297617519562786E-2</v>
      </c>
      <c r="U153" s="150">
        <f>'Alt. scenario COM'!K64</f>
        <v>2.3526783943129591E-2</v>
      </c>
      <c r="V153" s="151">
        <f>'Alt. scenario COM'!L64</f>
        <v>2.6712016129641067E-2</v>
      </c>
      <c r="W153" s="243">
        <f>'Alt. scenario COM'!M64</f>
        <v>2.6712016129641067E-2</v>
      </c>
      <c r="X153" s="130">
        <f>'Key financial and ops fig.s COM'!N64</f>
        <v>2.9853314079097214E-2</v>
      </c>
      <c r="Y153" s="150">
        <f>'Key financial and ops fig.s COM'!O64</f>
        <v>3.2950677791498025E-2</v>
      </c>
      <c r="Z153" s="150">
        <f>'Key financial and ops fig.s COM'!P64</f>
        <v>3.6004107266843513E-2</v>
      </c>
      <c r="AA153" s="151">
        <f>'Key financial and ops fig.s COM'!Q64</f>
        <v>3.9013602505133665E-2</v>
      </c>
      <c r="AB153" s="225">
        <f>'Key financial and ops fig.s COM'!R64</f>
        <v>3.9013602505133665E-2</v>
      </c>
      <c r="AC153" s="130">
        <f>'Alt. scenario COM'!N64</f>
        <v>2.9853314079097214E-2</v>
      </c>
      <c r="AD153" s="150">
        <f>'Alt. scenario COM'!O64</f>
        <v>3.2950677791498025E-2</v>
      </c>
      <c r="AE153" s="150">
        <f>'Alt. scenario COM'!P64</f>
        <v>3.6004107266843513E-2</v>
      </c>
      <c r="AF153" s="151">
        <f>'Alt. scenario COM'!Q64</f>
        <v>3.9013602505133665E-2</v>
      </c>
      <c r="AG153" s="243">
        <f>'Alt. scenario COM'!R64</f>
        <v>3.9013602505133665E-2</v>
      </c>
      <c r="AH153" s="130">
        <f>'Key financial and ops fig.s COM'!S64</f>
        <v>4.1979163506368489E-2</v>
      </c>
      <c r="AI153" s="150">
        <f>'Key financial and ops fig.s COM'!T64</f>
        <v>4.4900790270547976E-2</v>
      </c>
      <c r="AJ153" s="150">
        <f>'Key financial and ops fig.s COM'!U64</f>
        <v>4.7778482797672141E-2</v>
      </c>
      <c r="AK153" s="151">
        <f>'Key financial and ops fig.s COM'!V64</f>
        <v>5.061224108774097E-2</v>
      </c>
      <c r="AL153" s="225">
        <f>'Key financial and ops fig.s COM'!W64</f>
        <v>5.061224108774097E-2</v>
      </c>
      <c r="AM153" s="130">
        <f>'Alt. scenario COM'!S64</f>
        <v>4.1979163506368489E-2</v>
      </c>
      <c r="AN153" s="150">
        <f>'Alt. scenario COM'!T64</f>
        <v>4.4900790270547976E-2</v>
      </c>
      <c r="AO153" s="150">
        <f>'Alt. scenario COM'!U64</f>
        <v>4.7778482797672141E-2</v>
      </c>
      <c r="AP153" s="151">
        <f>'Alt. scenario COM'!V64</f>
        <v>5.061224108774097E-2</v>
      </c>
      <c r="AQ153" s="243">
        <f>'Alt. scenario COM'!W64</f>
        <v>5.061224108774097E-2</v>
      </c>
      <c r="AR153" s="130">
        <f>'Key financial and ops fig.s COM'!X64</f>
        <v>5.3402065140754469E-2</v>
      </c>
      <c r="AS153" s="150">
        <f>'Key financial and ops fig.s COM'!Y64</f>
        <v>5.614795495671264E-2</v>
      </c>
      <c r="AT153" s="150">
        <f>'Key financial and ops fig.s COM'!Z64</f>
        <v>5.8849910535615474E-2</v>
      </c>
      <c r="AU153" s="151">
        <f>'Key financial and ops fig.s COM'!AA64</f>
        <v>6.1507931877462986E-2</v>
      </c>
      <c r="AV153" s="225">
        <f>'Key financial and ops fig.s COM'!AB64</f>
        <v>6.1507931877462986E-2</v>
      </c>
      <c r="AW153" s="130">
        <f>'Alt. scenario COM'!X64</f>
        <v>5.3402065140754469E-2</v>
      </c>
      <c r="AX153" s="150">
        <f>'Alt. scenario COM'!Y64</f>
        <v>5.614795495671264E-2</v>
      </c>
      <c r="AY153" s="150">
        <f>'Alt. scenario COM'!Z64</f>
        <v>5.8849910535615474E-2</v>
      </c>
      <c r="AZ153" s="151">
        <f>'Alt. scenario COM'!AA64</f>
        <v>6.1507931877462986E-2</v>
      </c>
      <c r="BA153" s="243">
        <f>'Alt. scenario COM'!AB64</f>
        <v>6.1507931877462986E-2</v>
      </c>
      <c r="BB153" s="130">
        <f>'Key financial and ops fig.s COM'!AC64</f>
        <v>6.106858950690968E-2</v>
      </c>
      <c r="BC153" s="150">
        <f>'Key financial and ops fig.s COM'!AD64</f>
        <v>6.0629247136356368E-2</v>
      </c>
      <c r="BD153" s="150">
        <f>'Key financial and ops fig.s COM'!AE64</f>
        <v>6.0189904765803062E-2</v>
      </c>
      <c r="BE153" s="151">
        <f>'Key financial and ops fig.s COM'!AF64</f>
        <v>5.9750562395249757E-2</v>
      </c>
      <c r="BF153" s="225">
        <f>'Key financial and ops fig.s COM'!AG64</f>
        <v>5.9750562395249757E-2</v>
      </c>
      <c r="BG153" s="130">
        <f>'Alt. scenario COM'!AC64</f>
        <v>6.106858950690968E-2</v>
      </c>
      <c r="BH153" s="150">
        <f>'Alt. scenario COM'!AD64</f>
        <v>6.0629247136356368E-2</v>
      </c>
      <c r="BI153" s="150">
        <f>'Alt. scenario COM'!AE64</f>
        <v>6.0189904765803062E-2</v>
      </c>
      <c r="BJ153" s="151">
        <f>'Alt. scenario COM'!AF64</f>
        <v>5.9750562395249757E-2</v>
      </c>
      <c r="BK153" s="243">
        <f>'Alt. scenario COM'!AG64</f>
        <v>5.9750562395249757E-2</v>
      </c>
      <c r="BL153" s="130">
        <f>'Key financial and ops fig.s COM'!AH64</f>
        <v>5.9311220024696451E-2</v>
      </c>
      <c r="BM153" s="150">
        <f>'Key financial and ops fig.s COM'!AI64</f>
        <v>5.8871877654143145E-2</v>
      </c>
      <c r="BN153" s="150">
        <f>'Key financial and ops fig.s COM'!AJ64</f>
        <v>5.8432535283589833E-2</v>
      </c>
      <c r="BO153" s="151">
        <f>'Key financial and ops fig.s COM'!AK64</f>
        <v>5.7993192913036527E-2</v>
      </c>
      <c r="BP153" s="225">
        <f>'Key financial and ops fig.s COM'!AL64</f>
        <v>5.7993192913036527E-2</v>
      </c>
      <c r="BQ153" s="130">
        <f>'Alt. scenario COM'!AH64</f>
        <v>5.9311220024696451E-2</v>
      </c>
      <c r="BR153" s="150">
        <f>'Alt. scenario COM'!AI64</f>
        <v>5.8871877654143145E-2</v>
      </c>
      <c r="BS153" s="150">
        <f>'Alt. scenario COM'!AJ64</f>
        <v>5.8432535283589833E-2</v>
      </c>
      <c r="BT153" s="151">
        <f>'Alt. scenario COM'!AK64</f>
        <v>5.7993192913036527E-2</v>
      </c>
      <c r="BU153" s="243">
        <f>'Alt. scenario COM'!AL64</f>
        <v>5.7993192913036527E-2</v>
      </c>
    </row>
    <row r="154" spans="1:73" ht="15.95">
      <c r="A154" s="31"/>
      <c r="C154" s="33" t="s">
        <v>301</v>
      </c>
      <c r="D154" s="132">
        <f>'Key financial and ops fig.s COM'!D65</f>
        <v>5.971471512259836E-3</v>
      </c>
      <c r="E154" s="131">
        <f>'Key financial and ops fig.s COM'!E65</f>
        <v>1.1867830175308857E-2</v>
      </c>
      <c r="F154" s="131">
        <f>'Key financial and ops fig.s COM'!F65</f>
        <v>1.7689075989147061E-2</v>
      </c>
      <c r="G154" s="133">
        <f>'Key financial and ops fig.s COM'!G65</f>
        <v>2.3435208953774451E-2</v>
      </c>
      <c r="H154" s="225">
        <f>'Key financial and ops fig.s COM'!H65</f>
        <v>2.3435208953774451E-2</v>
      </c>
      <c r="I154" s="132">
        <f>'Alt. scenario COM'!D65</f>
        <v>5.971471512259836E-3</v>
      </c>
      <c r="J154" s="131">
        <f>'Alt. scenario COM'!E65</f>
        <v>1.1867830175308857E-2</v>
      </c>
      <c r="K154" s="131">
        <f>'Alt. scenario COM'!F65</f>
        <v>1.7689075989147061E-2</v>
      </c>
      <c r="L154" s="133">
        <f>'Alt. scenario COM'!G65</f>
        <v>2.3435208953774451E-2</v>
      </c>
      <c r="M154" s="243">
        <f>'Alt. scenario COM'!H65</f>
        <v>2.3435208953774451E-2</v>
      </c>
      <c r="N154" s="132">
        <f>'Key financial and ops fig.s COM'!I65</f>
        <v>2.9106229069191025E-2</v>
      </c>
      <c r="O154" s="131">
        <f>'Key financial and ops fig.s COM'!J65</f>
        <v>3.4702136335396781E-2</v>
      </c>
      <c r="P154" s="131">
        <f>'Key financial and ops fig.s COM'!K65</f>
        <v>4.0222930752391722E-2</v>
      </c>
      <c r="Q154" s="133">
        <f>'Key financial and ops fig.s COM'!L65</f>
        <v>4.5668612320175855E-2</v>
      </c>
      <c r="R154" s="225">
        <f>'Key financial and ops fig.s COM'!M65</f>
        <v>4.5668612320175855E-2</v>
      </c>
      <c r="S154" s="132">
        <f>'Alt. scenario COM'!I65</f>
        <v>2.9106229069191025E-2</v>
      </c>
      <c r="T154" s="131">
        <f>'Alt. scenario COM'!J65</f>
        <v>3.4702136335396781E-2</v>
      </c>
      <c r="U154" s="131">
        <f>'Alt. scenario COM'!K65</f>
        <v>4.0222930752391722E-2</v>
      </c>
      <c r="V154" s="133">
        <f>'Alt. scenario COM'!L65</f>
        <v>4.5668612320175855E-2</v>
      </c>
      <c r="W154" s="243">
        <f>'Alt. scenario COM'!M65</f>
        <v>4.5668612320175855E-2</v>
      </c>
      <c r="X154" s="132">
        <f>'Key financial and ops fig.s COM'!N65</f>
        <v>5.1039181038749167E-2</v>
      </c>
      <c r="Y154" s="131">
        <f>'Key financial and ops fig.s COM'!O65</f>
        <v>5.6334636908111663E-2</v>
      </c>
      <c r="Z154" s="131">
        <f>'Key financial and ops fig.s COM'!P65</f>
        <v>6.1554979928263344E-2</v>
      </c>
      <c r="AA154" s="133">
        <f>'Key financial and ops fig.s COM'!Q65</f>
        <v>6.670021009920421E-2</v>
      </c>
      <c r="AB154" s="225">
        <f>'Key financial and ops fig.s COM'!R65</f>
        <v>6.670021009920421E-2</v>
      </c>
      <c r="AC154" s="132">
        <f>'Alt. scenario COM'!N65</f>
        <v>5.1039181038749167E-2</v>
      </c>
      <c r="AD154" s="131">
        <f>'Alt. scenario COM'!O65</f>
        <v>5.6334636908111663E-2</v>
      </c>
      <c r="AE154" s="131">
        <f>'Alt. scenario COM'!P65</f>
        <v>6.1554979928263344E-2</v>
      </c>
      <c r="AF154" s="133">
        <f>'Alt. scenario COM'!Q65</f>
        <v>6.670021009920421E-2</v>
      </c>
      <c r="AG154" s="243">
        <f>'Alt. scenario COM'!R65</f>
        <v>6.670021009920421E-2</v>
      </c>
      <c r="AH154" s="132">
        <f>'Key financial and ops fig.s COM'!S65</f>
        <v>7.1770327420934255E-2</v>
      </c>
      <c r="AI154" s="131">
        <f>'Key financial and ops fig.s COM'!T65</f>
        <v>7.6765331893453484E-2</v>
      </c>
      <c r="AJ154" s="131">
        <f>'Key financial and ops fig.s COM'!U65</f>
        <v>8.1685223516761912E-2</v>
      </c>
      <c r="AK154" s="133">
        <f>'Key financial and ops fig.s COM'!V65</f>
        <v>8.6530002290859512E-2</v>
      </c>
      <c r="AL154" s="225">
        <f>'Key financial and ops fig.s COM'!W65</f>
        <v>8.6530002290859512E-2</v>
      </c>
      <c r="AM154" s="132">
        <f>'Alt. scenario COM'!S65</f>
        <v>7.1770327420934255E-2</v>
      </c>
      <c r="AN154" s="131">
        <f>'Alt. scenario COM'!T65</f>
        <v>7.6765331893453484E-2</v>
      </c>
      <c r="AO154" s="131">
        <f>'Alt. scenario COM'!U65</f>
        <v>8.1685223516761912E-2</v>
      </c>
      <c r="AP154" s="133">
        <f>'Alt. scenario COM'!V65</f>
        <v>8.6530002290859512E-2</v>
      </c>
      <c r="AQ154" s="243">
        <f>'Alt. scenario COM'!W65</f>
        <v>8.6530002290859512E-2</v>
      </c>
      <c r="AR154" s="132">
        <f>'Key financial and ops fig.s COM'!X65</f>
        <v>9.1299668215746296E-2</v>
      </c>
      <c r="AS154" s="131">
        <f>'Key financial and ops fig.s COM'!Y65</f>
        <v>9.5994221291422266E-2</v>
      </c>
      <c r="AT154" s="131">
        <f>'Key financial and ops fig.s COM'!Z65</f>
        <v>0.10061366151788742</v>
      </c>
      <c r="AU154" s="133">
        <f>'Key financial and ops fig.s COM'!AA65</f>
        <v>0.10515798889514176</v>
      </c>
      <c r="AV154" s="225">
        <f>'Key financial and ops fig.s COM'!AB65</f>
        <v>0.10515798889514176</v>
      </c>
      <c r="AW154" s="132">
        <f>'Alt. scenario COM'!X65</f>
        <v>9.1299668215746296E-2</v>
      </c>
      <c r="AX154" s="131">
        <f>'Alt. scenario COM'!Y65</f>
        <v>9.5994221291422266E-2</v>
      </c>
      <c r="AY154" s="131">
        <f>'Alt. scenario COM'!Z65</f>
        <v>0.10061366151788742</v>
      </c>
      <c r="AZ154" s="133">
        <f>'Alt. scenario COM'!AA65</f>
        <v>0.10515798889514176</v>
      </c>
      <c r="BA154" s="243">
        <f>'Alt. scenario COM'!AB65</f>
        <v>0.10515798889514176</v>
      </c>
      <c r="BB154" s="132">
        <f>'Key financial and ops fig.s COM'!AC65</f>
        <v>0.10440686040303361</v>
      </c>
      <c r="BC154" s="131">
        <f>'Key financial and ops fig.s COM'!AD65</f>
        <v>0.10365573191092546</v>
      </c>
      <c r="BD154" s="131">
        <f>'Key financial and ops fig.s COM'!AE65</f>
        <v>0.1029046034188173</v>
      </c>
      <c r="BE154" s="133">
        <f>'Key financial and ops fig.s COM'!AF65</f>
        <v>0.10215347492670915</v>
      </c>
      <c r="BF154" s="225">
        <f>'Key financial and ops fig.s COM'!AG65</f>
        <v>0.10215347492670915</v>
      </c>
      <c r="BG154" s="132">
        <f>'Alt. scenario COM'!AC65</f>
        <v>0.10440686040303361</v>
      </c>
      <c r="BH154" s="131">
        <f>'Alt. scenario COM'!AD65</f>
        <v>0.10365573191092546</v>
      </c>
      <c r="BI154" s="131">
        <f>'Alt. scenario COM'!AE65</f>
        <v>0.1029046034188173</v>
      </c>
      <c r="BJ154" s="133">
        <f>'Alt. scenario COM'!AF65</f>
        <v>0.10215347492670915</v>
      </c>
      <c r="BK154" s="243">
        <f>'Alt. scenario COM'!AG65</f>
        <v>0.10215347492670915</v>
      </c>
      <c r="BL154" s="132">
        <f>'Key financial and ops fig.s COM'!AH65</f>
        <v>0.10140234643460098</v>
      </c>
      <c r="BM154" s="131">
        <f>'Key financial and ops fig.s COM'!AI65</f>
        <v>0.10065121794249283</v>
      </c>
      <c r="BN154" s="131">
        <f>'Key financial and ops fig.s COM'!AJ65</f>
        <v>9.9900089450384671E-2</v>
      </c>
      <c r="BO154" s="133">
        <f>'Key financial and ops fig.s COM'!AK65</f>
        <v>9.9148960958276522E-2</v>
      </c>
      <c r="BP154" s="225">
        <f>'Key financial and ops fig.s COM'!AL65</f>
        <v>9.9148960958276522E-2</v>
      </c>
      <c r="BQ154" s="132">
        <f>'Alt. scenario COM'!AH65</f>
        <v>0.10140234643460098</v>
      </c>
      <c r="BR154" s="131">
        <f>'Alt. scenario COM'!AI65</f>
        <v>0.10065121794249283</v>
      </c>
      <c r="BS154" s="131">
        <f>'Alt. scenario COM'!AJ65</f>
        <v>9.9900089450384671E-2</v>
      </c>
      <c r="BT154" s="133">
        <f>'Alt. scenario COM'!AK65</f>
        <v>9.9148960958276522E-2</v>
      </c>
      <c r="BU154" s="243">
        <f>'Alt. scenario COM'!AL65</f>
        <v>9.9148960958276522E-2</v>
      </c>
    </row>
    <row r="155" spans="1:73" ht="15.95">
      <c r="A155" s="31"/>
      <c r="C155" s="33" t="s">
        <v>302</v>
      </c>
      <c r="D155" s="132">
        <f>'Key financial and ops fig.s COM'!D66</f>
        <v>9.8181020050228194E-3</v>
      </c>
      <c r="E155" s="131">
        <f>'Key financial and ops fig.s COM'!E66</f>
        <v>1.9512705871617679E-2</v>
      </c>
      <c r="F155" s="131">
        <f>'Key financial and ops fig.s COM'!F66</f>
        <v>2.9083811599784577E-2</v>
      </c>
      <c r="G155" s="133">
        <f>'Key financial and ops fig.s COM'!G66</f>
        <v>3.8531419189523519E-2</v>
      </c>
      <c r="H155" s="225">
        <f>'Key financial and ops fig.s COM'!H66</f>
        <v>3.8531419189523519E-2</v>
      </c>
      <c r="I155" s="132">
        <f>'Alt. scenario COM'!D66</f>
        <v>9.8181020050228194E-3</v>
      </c>
      <c r="J155" s="131">
        <f>'Alt. scenario COM'!E66</f>
        <v>1.9512705871617679E-2</v>
      </c>
      <c r="K155" s="131">
        <f>'Alt. scenario COM'!F66</f>
        <v>2.9083811599784577E-2</v>
      </c>
      <c r="L155" s="133">
        <f>'Alt. scenario COM'!G66</f>
        <v>3.8531419189523519E-2</v>
      </c>
      <c r="M155" s="243">
        <f>'Alt. scenario COM'!H66</f>
        <v>3.8531419189523519E-2</v>
      </c>
      <c r="N155" s="132">
        <f>'Key financial and ops fig.s COM'!I66</f>
        <v>4.7855528640834498E-2</v>
      </c>
      <c r="O155" s="131">
        <f>'Key financial and ops fig.s COM'!J66</f>
        <v>5.7056139953717513E-2</v>
      </c>
      <c r="P155" s="131">
        <f>'Key financial and ops fig.s COM'!K66</f>
        <v>6.6133253128172573E-2</v>
      </c>
      <c r="Q155" s="133">
        <f>'Key financial and ops fig.s COM'!L66</f>
        <v>7.5086868164199669E-2</v>
      </c>
      <c r="R155" s="225">
        <f>'Key financial and ops fig.s COM'!M66</f>
        <v>7.5086868164199669E-2</v>
      </c>
      <c r="S155" s="132">
        <f>'Alt. scenario COM'!I66</f>
        <v>4.7855528640834498E-2</v>
      </c>
      <c r="T155" s="131">
        <f>'Alt. scenario COM'!J66</f>
        <v>5.7056139953717513E-2</v>
      </c>
      <c r="U155" s="131">
        <f>'Alt. scenario COM'!K66</f>
        <v>6.6133253128172573E-2</v>
      </c>
      <c r="V155" s="133">
        <f>'Alt. scenario COM'!L66</f>
        <v>7.5086868164199669E-2</v>
      </c>
      <c r="W155" s="243">
        <f>'Alt. scenario COM'!M66</f>
        <v>7.5086868164199669E-2</v>
      </c>
      <c r="X155" s="132">
        <f>'Key financial and ops fig.s COM'!N66</f>
        <v>8.3916985061798816E-2</v>
      </c>
      <c r="Y155" s="131">
        <f>'Key financial and ops fig.s COM'!O66</f>
        <v>9.2623603820969999E-2</v>
      </c>
      <c r="Z155" s="131">
        <f>'Key financial and ops fig.s COM'!P66</f>
        <v>0.10120672444171321</v>
      </c>
      <c r="AA155" s="133">
        <f>'Key financial and ops fig.s COM'!Q66</f>
        <v>0.10966634692402848</v>
      </c>
      <c r="AB155" s="225">
        <f>'Key financial and ops fig.s COM'!R66</f>
        <v>0.10966634692402848</v>
      </c>
      <c r="AC155" s="132">
        <f>'Alt. scenario COM'!N66</f>
        <v>8.3916985061798816E-2</v>
      </c>
      <c r="AD155" s="131">
        <f>'Alt. scenario COM'!O66</f>
        <v>9.2623603820969999E-2</v>
      </c>
      <c r="AE155" s="131">
        <f>'Alt. scenario COM'!P66</f>
        <v>0.10120672444171321</v>
      </c>
      <c r="AF155" s="133">
        <f>'Alt. scenario COM'!Q66</f>
        <v>0.10966634692402848</v>
      </c>
      <c r="AG155" s="243">
        <f>'Alt. scenario COM'!R66</f>
        <v>0.10966634692402848</v>
      </c>
      <c r="AH155" s="132">
        <f>'Key financial and ops fig.s COM'!S66</f>
        <v>0.11800247126791577</v>
      </c>
      <c r="AI155" s="131">
        <f>'Key financial and ops fig.s COM'!T66</f>
        <v>0.12621509747337512</v>
      </c>
      <c r="AJ155" s="131">
        <f>'Key financial and ops fig.s COM'!U66</f>
        <v>0.1343042255404065</v>
      </c>
      <c r="AK155" s="133">
        <f>'Key financial and ops fig.s COM'!V66</f>
        <v>0.14226985546900991</v>
      </c>
      <c r="AL155" s="225">
        <f>'Key financial and ops fig.s COM'!W66</f>
        <v>0.14226985546900991</v>
      </c>
      <c r="AM155" s="132">
        <f>'Alt. scenario COM'!S66</f>
        <v>0.11800247126791577</v>
      </c>
      <c r="AN155" s="131">
        <f>'Alt. scenario COM'!T66</f>
        <v>0.12621509747337512</v>
      </c>
      <c r="AO155" s="131">
        <f>'Alt. scenario COM'!U66</f>
        <v>0.1343042255404065</v>
      </c>
      <c r="AP155" s="133">
        <f>'Alt. scenario COM'!V66</f>
        <v>0.14226985546900991</v>
      </c>
      <c r="AQ155" s="243">
        <f>'Alt. scenario COM'!W66</f>
        <v>0.14226985546900991</v>
      </c>
      <c r="AR155" s="132">
        <f>'Key financial and ops fig.s COM'!X66</f>
        <v>0.15011198725918537</v>
      </c>
      <c r="AS155" s="131">
        <f>'Key financial and ops fig.s COM'!Y66</f>
        <v>0.15783062091093286</v>
      </c>
      <c r="AT155" s="131">
        <f>'Key financial and ops fig.s COM'!Z66</f>
        <v>0.16542575642425242</v>
      </c>
      <c r="AU155" s="133">
        <f>'Key financial and ops fig.s COM'!AA66</f>
        <v>0.17289739379914398</v>
      </c>
      <c r="AV155" s="225">
        <f>'Key financial and ops fig.s COM'!AB66</f>
        <v>0.17289739379914398</v>
      </c>
      <c r="AW155" s="132">
        <f>'Alt. scenario COM'!X66</f>
        <v>0.15011198725918537</v>
      </c>
      <c r="AX155" s="131">
        <f>'Alt. scenario COM'!Y66</f>
        <v>0.15783062091093286</v>
      </c>
      <c r="AY155" s="131">
        <f>'Alt. scenario COM'!Z66</f>
        <v>0.16542575642425242</v>
      </c>
      <c r="AZ155" s="133">
        <f>'Alt. scenario COM'!AA66</f>
        <v>0.17289739379914398</v>
      </c>
      <c r="BA155" s="243">
        <f>'Alt. scenario COM'!AB66</f>
        <v>0.17289739379914398</v>
      </c>
      <c r="BB155" s="132">
        <f>'Key financial and ops fig.s COM'!AC66</f>
        <v>0.17166241241486438</v>
      </c>
      <c r="BC155" s="131">
        <f>'Key financial and ops fig.s COM'!AD66</f>
        <v>0.17042743103058478</v>
      </c>
      <c r="BD155" s="131">
        <f>'Key financial and ops fig.s COM'!AE66</f>
        <v>0.1691924496463052</v>
      </c>
      <c r="BE155" s="133">
        <f>'Key financial and ops fig.s COM'!AF66</f>
        <v>0.16795746826202559</v>
      </c>
      <c r="BF155" s="225">
        <f>'Key financial and ops fig.s COM'!AG66</f>
        <v>0.16795746826202559</v>
      </c>
      <c r="BG155" s="132">
        <f>'Alt. scenario COM'!AC66</f>
        <v>0.17166241241486438</v>
      </c>
      <c r="BH155" s="131">
        <f>'Alt. scenario COM'!AD66</f>
        <v>0.17042743103058478</v>
      </c>
      <c r="BI155" s="131">
        <f>'Alt. scenario COM'!AE66</f>
        <v>0.1691924496463052</v>
      </c>
      <c r="BJ155" s="133">
        <f>'Alt. scenario COM'!AF66</f>
        <v>0.16795746826202559</v>
      </c>
      <c r="BK155" s="243">
        <f>'Alt. scenario COM'!AG66</f>
        <v>0.16795746826202559</v>
      </c>
      <c r="BL155" s="132">
        <f>'Key financial and ops fig.s COM'!AH66</f>
        <v>0.16672248687774599</v>
      </c>
      <c r="BM155" s="131">
        <f>'Key financial and ops fig.s COM'!AI66</f>
        <v>0.16548750549346639</v>
      </c>
      <c r="BN155" s="131">
        <f>'Key financial and ops fig.s COM'!AJ66</f>
        <v>0.16425252410918678</v>
      </c>
      <c r="BO155" s="133">
        <f>'Key financial and ops fig.s COM'!AK66</f>
        <v>0.16301754272490718</v>
      </c>
      <c r="BP155" s="225">
        <f>'Key financial and ops fig.s COM'!AL66</f>
        <v>0.16301754272490718</v>
      </c>
      <c r="BQ155" s="132">
        <f>'Alt. scenario COM'!AH66</f>
        <v>0.16672248687774599</v>
      </c>
      <c r="BR155" s="131">
        <f>'Alt. scenario COM'!AI66</f>
        <v>0.16548750549346639</v>
      </c>
      <c r="BS155" s="131">
        <f>'Alt. scenario COM'!AJ66</f>
        <v>0.16425252410918678</v>
      </c>
      <c r="BT155" s="133">
        <f>'Alt. scenario COM'!AK66</f>
        <v>0.16301754272490718</v>
      </c>
      <c r="BU155" s="243">
        <f>'Alt. scenario COM'!AL66</f>
        <v>0.16301754272490718</v>
      </c>
    </row>
    <row r="156" spans="1:73" ht="15.95">
      <c r="A156" s="31"/>
      <c r="C156" s="33" t="s">
        <v>303</v>
      </c>
      <c r="D156" s="132">
        <f>'Key financial and ops fig.s COM'!D67</f>
        <v>9.4418130698424082E-3</v>
      </c>
      <c r="E156" s="131">
        <f>'Key financial and ops fig.s COM'!E67</f>
        <v>1.8764861195410067E-2</v>
      </c>
      <c r="F156" s="131">
        <f>'Key financial and ops fig.s COM'!F67</f>
        <v>2.7969144376702979E-2</v>
      </c>
      <c r="G156" s="133">
        <f>'Key financial and ops fig.s COM'!G67</f>
        <v>3.7054662613721145E-2</v>
      </c>
      <c r="H156" s="225">
        <f>'Key financial and ops fig.s COM'!H67</f>
        <v>3.7054662613721145E-2</v>
      </c>
      <c r="I156" s="132">
        <f>'Alt. scenario COM'!D67</f>
        <v>9.4418130698424082E-3</v>
      </c>
      <c r="J156" s="131">
        <f>'Alt. scenario COM'!E67</f>
        <v>1.8764861195410067E-2</v>
      </c>
      <c r="K156" s="131">
        <f>'Alt. scenario COM'!F67</f>
        <v>2.7969144376702979E-2</v>
      </c>
      <c r="L156" s="133">
        <f>'Alt. scenario COM'!G67</f>
        <v>3.7054662613721145E-2</v>
      </c>
      <c r="M156" s="243">
        <f>'Alt. scenario COM'!H67</f>
        <v>3.7054662613721145E-2</v>
      </c>
      <c r="N156" s="132">
        <f>'Key financial and ops fig.s COM'!I67</f>
        <v>4.6021415906464566E-2</v>
      </c>
      <c r="O156" s="131">
        <f>'Key financial and ops fig.s COM'!J67</f>
        <v>5.4869404254933238E-2</v>
      </c>
      <c r="P156" s="131">
        <f>'Key financial and ops fig.s COM'!K67</f>
        <v>6.359862765912716E-2</v>
      </c>
      <c r="Q156" s="133">
        <f>'Key financial and ops fig.s COM'!L67</f>
        <v>7.2209086119046334E-2</v>
      </c>
      <c r="R156" s="225">
        <f>'Key financial and ops fig.s COM'!M67</f>
        <v>7.2209086119046334E-2</v>
      </c>
      <c r="S156" s="132">
        <f>'Alt. scenario COM'!I67</f>
        <v>4.6021415906464566E-2</v>
      </c>
      <c r="T156" s="131">
        <f>'Alt. scenario COM'!J67</f>
        <v>5.4869404254933238E-2</v>
      </c>
      <c r="U156" s="131">
        <f>'Alt. scenario COM'!K67</f>
        <v>6.359862765912716E-2</v>
      </c>
      <c r="V156" s="133">
        <f>'Alt. scenario COM'!L67</f>
        <v>7.2209086119046334E-2</v>
      </c>
      <c r="W156" s="243">
        <f>'Alt. scenario COM'!M67</f>
        <v>7.2209086119046334E-2</v>
      </c>
      <c r="X156" s="132">
        <f>'Key financial and ops fig.s COM'!N67</f>
        <v>8.0700779634690772E-2</v>
      </c>
      <c r="Y156" s="131">
        <f>'Key financial and ops fig.s COM'!O67</f>
        <v>8.9073708206060448E-2</v>
      </c>
      <c r="Z156" s="131">
        <f>'Key financial and ops fig.s COM'!P67</f>
        <v>9.7327871833155388E-2</v>
      </c>
      <c r="AA156" s="133">
        <f>'Key financial and ops fig.s COM'!Q67</f>
        <v>0.10546327051597557</v>
      </c>
      <c r="AB156" s="225">
        <f>'Key financial and ops fig.s COM'!R67</f>
        <v>0.10546327051597557</v>
      </c>
      <c r="AC156" s="132">
        <f>'Alt. scenario COM'!N67</f>
        <v>8.0700779634690772E-2</v>
      </c>
      <c r="AD156" s="131">
        <f>'Alt. scenario COM'!O67</f>
        <v>8.9073708206060448E-2</v>
      </c>
      <c r="AE156" s="131">
        <f>'Alt. scenario COM'!P67</f>
        <v>9.7327871833155388E-2</v>
      </c>
      <c r="AF156" s="133">
        <f>'Alt. scenario COM'!Q67</f>
        <v>0.10546327051597557</v>
      </c>
      <c r="AG156" s="243">
        <f>'Alt. scenario COM'!R67</f>
        <v>0.10546327051597557</v>
      </c>
      <c r="AH156" s="132">
        <f>'Key financial and ops fig.s COM'!S67</f>
        <v>0.11347990425452101</v>
      </c>
      <c r="AI156" s="131">
        <f>'Key financial and ops fig.s COM'!T67</f>
        <v>0.1213777730487917</v>
      </c>
      <c r="AJ156" s="131">
        <f>'Key financial and ops fig.s COM'!U67</f>
        <v>0.12915687689878766</v>
      </c>
      <c r="AK156" s="133">
        <f>'Key financial and ops fig.s COM'!V67</f>
        <v>0.13681721580450884</v>
      </c>
      <c r="AL156" s="225">
        <f>'Key financial and ops fig.s COM'!W67</f>
        <v>0.13681721580450884</v>
      </c>
      <c r="AM156" s="132">
        <f>'Alt. scenario COM'!S67</f>
        <v>0.11347990425452101</v>
      </c>
      <c r="AN156" s="131">
        <f>'Alt. scenario COM'!T67</f>
        <v>0.1213777730487917</v>
      </c>
      <c r="AO156" s="131">
        <f>'Alt. scenario COM'!U67</f>
        <v>0.12915687689878766</v>
      </c>
      <c r="AP156" s="133">
        <f>'Alt. scenario COM'!V67</f>
        <v>0.13681721580450884</v>
      </c>
      <c r="AQ156" s="243">
        <f>'Alt. scenario COM'!W67</f>
        <v>0.13681721580450884</v>
      </c>
      <c r="AR156" s="132">
        <f>'Key financial and ops fig.s COM'!X67</f>
        <v>0.14435878976595529</v>
      </c>
      <c r="AS156" s="131">
        <f>'Key financial and ops fig.s COM'!Y67</f>
        <v>0.151781598783127</v>
      </c>
      <c r="AT156" s="131">
        <f>'Key financial and ops fig.s COM'!Z67</f>
        <v>0.15908564285602397</v>
      </c>
      <c r="AU156" s="133">
        <f>'Key financial and ops fig.s COM'!AA67</f>
        <v>0.16627092198464616</v>
      </c>
      <c r="AV156" s="225">
        <f>'Key financial and ops fig.s COM'!AB67</f>
        <v>0.16627092198464616</v>
      </c>
      <c r="AW156" s="132">
        <f>'Alt. scenario COM'!X67</f>
        <v>0.14435878976595529</v>
      </c>
      <c r="AX156" s="131">
        <f>'Alt. scenario COM'!Y67</f>
        <v>0.151781598783127</v>
      </c>
      <c r="AY156" s="131">
        <f>'Alt. scenario COM'!Z67</f>
        <v>0.15908564285602397</v>
      </c>
      <c r="AZ156" s="133">
        <f>'Alt. scenario COM'!AA67</f>
        <v>0.16627092198464616</v>
      </c>
      <c r="BA156" s="243">
        <f>'Alt. scenario COM'!AB67</f>
        <v>0.16627092198464616</v>
      </c>
      <c r="BB156" s="132">
        <f>'Key financial and ops fig.s COM'!AC67</f>
        <v>0.1650832725418987</v>
      </c>
      <c r="BC156" s="131">
        <f>'Key financial and ops fig.s COM'!AD67</f>
        <v>0.16389562309915123</v>
      </c>
      <c r="BD156" s="131">
        <f>'Key financial and ops fig.s COM'!AE67</f>
        <v>0.16270797365640374</v>
      </c>
      <c r="BE156" s="133">
        <f>'Key financial and ops fig.s COM'!AF67</f>
        <v>0.16152032421365628</v>
      </c>
      <c r="BF156" s="225">
        <f>'Key financial and ops fig.s COM'!AG67</f>
        <v>0.16152032421365628</v>
      </c>
      <c r="BG156" s="132">
        <f>'Alt. scenario COM'!AC67</f>
        <v>0.1650832725418987</v>
      </c>
      <c r="BH156" s="131">
        <f>'Alt. scenario COM'!AD67</f>
        <v>0.16389562309915123</v>
      </c>
      <c r="BI156" s="131">
        <f>'Alt. scenario COM'!AE67</f>
        <v>0.16270797365640374</v>
      </c>
      <c r="BJ156" s="133">
        <f>'Alt. scenario COM'!AF67</f>
        <v>0.16152032421365628</v>
      </c>
      <c r="BK156" s="243">
        <f>'Alt. scenario COM'!AG67</f>
        <v>0.16152032421365628</v>
      </c>
      <c r="BL156" s="132">
        <f>'Key financial and ops fig.s COM'!AH67</f>
        <v>0.16033267477090882</v>
      </c>
      <c r="BM156" s="131">
        <f>'Key financial and ops fig.s COM'!AI67</f>
        <v>0.15914502532816133</v>
      </c>
      <c r="BN156" s="131">
        <f>'Key financial and ops fig.s COM'!AJ67</f>
        <v>0.15795737588541386</v>
      </c>
      <c r="BO156" s="133">
        <f>'Key financial and ops fig.s COM'!AK67</f>
        <v>0.1567697264426664</v>
      </c>
      <c r="BP156" s="225">
        <f>'Key financial and ops fig.s COM'!AL67</f>
        <v>0.1567697264426664</v>
      </c>
      <c r="BQ156" s="132">
        <f>'Alt. scenario COM'!AH67</f>
        <v>0.16033267477090882</v>
      </c>
      <c r="BR156" s="131">
        <f>'Alt. scenario COM'!AI67</f>
        <v>0.15914502532816133</v>
      </c>
      <c r="BS156" s="131">
        <f>'Alt. scenario COM'!AJ67</f>
        <v>0.15795737588541386</v>
      </c>
      <c r="BT156" s="133">
        <f>'Alt. scenario COM'!AK67</f>
        <v>0.1567697264426664</v>
      </c>
      <c r="BU156" s="243">
        <f>'Alt. scenario COM'!AL67</f>
        <v>0.1567697264426664</v>
      </c>
    </row>
    <row r="157" spans="1:73" ht="15.95">
      <c r="A157" s="55"/>
      <c r="C157" s="189" t="s">
        <v>304</v>
      </c>
      <c r="D157" s="68">
        <f>'Key financial and ops fig.s COM'!D68</f>
        <v>10</v>
      </c>
      <c r="E157" s="69">
        <f>'Key financial and ops fig.s COM'!E68</f>
        <v>20</v>
      </c>
      <c r="F157" s="69">
        <f>'Key financial and ops fig.s COM'!F68</f>
        <v>30</v>
      </c>
      <c r="G157" s="92">
        <f>'Key financial and ops fig.s COM'!G68</f>
        <v>40</v>
      </c>
      <c r="H157" s="226">
        <f>'Key financial and ops fig.s COM'!H68</f>
        <v>40</v>
      </c>
      <c r="I157" s="68">
        <f>'Alt. scenario COM'!D68</f>
        <v>10</v>
      </c>
      <c r="J157" s="69">
        <f>'Alt. scenario COM'!E68</f>
        <v>20</v>
      </c>
      <c r="K157" s="69">
        <f>'Alt. scenario COM'!F68</f>
        <v>30</v>
      </c>
      <c r="L157" s="92">
        <f>'Alt. scenario COM'!G68</f>
        <v>40</v>
      </c>
      <c r="M157" s="244">
        <f>'Alt. scenario COM'!H68</f>
        <v>40</v>
      </c>
      <c r="N157" s="68">
        <f>'Key financial and ops fig.s COM'!I68</f>
        <v>50</v>
      </c>
      <c r="O157" s="69">
        <f>'Key financial and ops fig.s COM'!J68</f>
        <v>60</v>
      </c>
      <c r="P157" s="69">
        <f>'Key financial and ops fig.s COM'!K68</f>
        <v>70</v>
      </c>
      <c r="Q157" s="92">
        <f>'Key financial and ops fig.s COM'!L68</f>
        <v>80</v>
      </c>
      <c r="R157" s="226">
        <f>'Key financial and ops fig.s COM'!M68</f>
        <v>80</v>
      </c>
      <c r="S157" s="68">
        <f>'Alt. scenario COM'!I68</f>
        <v>50</v>
      </c>
      <c r="T157" s="69">
        <f>'Alt. scenario COM'!J68</f>
        <v>60</v>
      </c>
      <c r="U157" s="69">
        <f>'Alt. scenario COM'!K68</f>
        <v>70</v>
      </c>
      <c r="V157" s="92">
        <f>'Alt. scenario COM'!L68</f>
        <v>80</v>
      </c>
      <c r="W157" s="244">
        <f>'Alt. scenario COM'!M68</f>
        <v>80</v>
      </c>
      <c r="X157" s="68">
        <f>'Key financial and ops fig.s COM'!N68</f>
        <v>90</v>
      </c>
      <c r="Y157" s="69">
        <f>'Key financial and ops fig.s COM'!O68</f>
        <v>100</v>
      </c>
      <c r="Z157" s="69">
        <f>'Key financial and ops fig.s COM'!P68</f>
        <v>110</v>
      </c>
      <c r="AA157" s="92">
        <f>'Key financial and ops fig.s COM'!Q68</f>
        <v>120</v>
      </c>
      <c r="AB157" s="226">
        <f>'Key financial and ops fig.s COM'!R68</f>
        <v>120</v>
      </c>
      <c r="AC157" s="68">
        <f>'Alt. scenario COM'!N68</f>
        <v>90</v>
      </c>
      <c r="AD157" s="69">
        <f>'Alt. scenario COM'!O68</f>
        <v>100</v>
      </c>
      <c r="AE157" s="69">
        <f>'Alt. scenario COM'!P68</f>
        <v>110</v>
      </c>
      <c r="AF157" s="92">
        <f>'Alt. scenario COM'!Q68</f>
        <v>120</v>
      </c>
      <c r="AG157" s="244">
        <f>'Alt. scenario COM'!R68</f>
        <v>120</v>
      </c>
      <c r="AH157" s="68">
        <f>'Key financial and ops fig.s COM'!S68</f>
        <v>130</v>
      </c>
      <c r="AI157" s="69">
        <f>'Key financial and ops fig.s COM'!T68</f>
        <v>140</v>
      </c>
      <c r="AJ157" s="69">
        <f>'Key financial and ops fig.s COM'!U68</f>
        <v>150</v>
      </c>
      <c r="AK157" s="92">
        <f>'Key financial and ops fig.s COM'!V68</f>
        <v>160</v>
      </c>
      <c r="AL157" s="226">
        <f>'Key financial and ops fig.s COM'!W68</f>
        <v>160</v>
      </c>
      <c r="AM157" s="68">
        <f>'Alt. scenario COM'!S68</f>
        <v>130</v>
      </c>
      <c r="AN157" s="69">
        <f>'Alt. scenario COM'!T68</f>
        <v>140</v>
      </c>
      <c r="AO157" s="69">
        <f>'Alt. scenario COM'!U68</f>
        <v>150</v>
      </c>
      <c r="AP157" s="92">
        <f>'Alt. scenario COM'!V68</f>
        <v>160</v>
      </c>
      <c r="AQ157" s="244">
        <f>'Alt. scenario COM'!W68</f>
        <v>160</v>
      </c>
      <c r="AR157" s="68">
        <f>'Key financial and ops fig.s COM'!X68</f>
        <v>170</v>
      </c>
      <c r="AS157" s="69">
        <f>'Key financial and ops fig.s COM'!Y68</f>
        <v>180</v>
      </c>
      <c r="AT157" s="69">
        <f>'Key financial and ops fig.s COM'!Z68</f>
        <v>190</v>
      </c>
      <c r="AU157" s="92">
        <f>'Key financial and ops fig.s COM'!AA68</f>
        <v>200</v>
      </c>
      <c r="AV157" s="226">
        <f>'Key financial and ops fig.s COM'!AB68</f>
        <v>200</v>
      </c>
      <c r="AW157" s="68">
        <f>'Alt. scenario COM'!X68</f>
        <v>170</v>
      </c>
      <c r="AX157" s="69">
        <f>'Alt. scenario COM'!Y68</f>
        <v>180</v>
      </c>
      <c r="AY157" s="69">
        <f>'Alt. scenario COM'!Z68</f>
        <v>190</v>
      </c>
      <c r="AZ157" s="92">
        <f>'Alt. scenario COM'!AA68</f>
        <v>200</v>
      </c>
      <c r="BA157" s="244">
        <f>'Alt. scenario COM'!AB68</f>
        <v>200</v>
      </c>
      <c r="BB157" s="68">
        <f>'Key financial and ops fig.s COM'!AC68</f>
        <v>200</v>
      </c>
      <c r="BC157" s="69">
        <f>'Key financial and ops fig.s COM'!AD68</f>
        <v>200</v>
      </c>
      <c r="BD157" s="69">
        <f>'Key financial and ops fig.s COM'!AE68</f>
        <v>200</v>
      </c>
      <c r="BE157" s="92">
        <f>'Key financial and ops fig.s COM'!AF68</f>
        <v>200</v>
      </c>
      <c r="BF157" s="226">
        <f>'Key financial and ops fig.s COM'!AG68</f>
        <v>200</v>
      </c>
      <c r="BG157" s="68">
        <f>'Alt. scenario COM'!AC68</f>
        <v>200</v>
      </c>
      <c r="BH157" s="69">
        <f>'Alt. scenario COM'!AD68</f>
        <v>200</v>
      </c>
      <c r="BI157" s="69">
        <f>'Alt. scenario COM'!AE68</f>
        <v>200</v>
      </c>
      <c r="BJ157" s="92">
        <f>'Alt. scenario COM'!AF68</f>
        <v>200</v>
      </c>
      <c r="BK157" s="244">
        <f>'Alt. scenario COM'!AG68</f>
        <v>200</v>
      </c>
      <c r="BL157" s="68">
        <f>'Key financial and ops fig.s COM'!AH68</f>
        <v>200</v>
      </c>
      <c r="BM157" s="69">
        <f>'Key financial and ops fig.s COM'!AI68</f>
        <v>200</v>
      </c>
      <c r="BN157" s="69">
        <f>'Key financial and ops fig.s COM'!AJ68</f>
        <v>200</v>
      </c>
      <c r="BO157" s="92">
        <f>'Key financial and ops fig.s COM'!AK68</f>
        <v>200</v>
      </c>
      <c r="BP157" s="226">
        <f>'Key financial and ops fig.s COM'!AL68</f>
        <v>200</v>
      </c>
      <c r="BQ157" s="68">
        <f>'Alt. scenario COM'!AH68</f>
        <v>200</v>
      </c>
      <c r="BR157" s="69">
        <f>'Alt. scenario COM'!AI68</f>
        <v>200</v>
      </c>
      <c r="BS157" s="69">
        <f>'Alt. scenario COM'!AJ68</f>
        <v>200</v>
      </c>
      <c r="BT157" s="92">
        <f>'Alt. scenario COM'!AK68</f>
        <v>200</v>
      </c>
      <c r="BU157" s="244">
        <f>'Alt. scenario COM'!AL68</f>
        <v>200</v>
      </c>
    </row>
    <row r="158" spans="1:73" ht="15.95">
      <c r="A158" s="55"/>
      <c r="C158" s="189" t="s">
        <v>305</v>
      </c>
      <c r="D158" s="68">
        <f>'Key financial and ops fig.s COM'!D69</f>
        <v>50</v>
      </c>
      <c r="E158" s="69">
        <f>'Key financial and ops fig.s COM'!E69</f>
        <v>100</v>
      </c>
      <c r="F158" s="69">
        <f>'Key financial and ops fig.s COM'!F69</f>
        <v>150</v>
      </c>
      <c r="G158" s="92">
        <f>'Key financial and ops fig.s COM'!G69</f>
        <v>200</v>
      </c>
      <c r="H158" s="226">
        <f>'Key financial and ops fig.s COM'!H69</f>
        <v>200</v>
      </c>
      <c r="I158" s="68">
        <f>'Alt. scenario COM'!D69</f>
        <v>50</v>
      </c>
      <c r="J158" s="69">
        <f>'Alt. scenario COM'!E69</f>
        <v>100</v>
      </c>
      <c r="K158" s="69">
        <f>'Alt. scenario COM'!F69</f>
        <v>150</v>
      </c>
      <c r="L158" s="92">
        <f>'Alt. scenario COM'!G69</f>
        <v>200</v>
      </c>
      <c r="M158" s="244">
        <f>'Alt. scenario COM'!H69</f>
        <v>200</v>
      </c>
      <c r="N158" s="68">
        <f>'Key financial and ops fig.s COM'!I69</f>
        <v>250</v>
      </c>
      <c r="O158" s="69">
        <f>'Key financial and ops fig.s COM'!J69</f>
        <v>300</v>
      </c>
      <c r="P158" s="69">
        <f>'Key financial and ops fig.s COM'!K69</f>
        <v>350</v>
      </c>
      <c r="Q158" s="92">
        <f>'Key financial and ops fig.s COM'!L69</f>
        <v>400</v>
      </c>
      <c r="R158" s="226">
        <f>'Key financial and ops fig.s COM'!M69</f>
        <v>400</v>
      </c>
      <c r="S158" s="68">
        <f>'Alt. scenario COM'!I69</f>
        <v>250</v>
      </c>
      <c r="T158" s="69">
        <f>'Alt. scenario COM'!J69</f>
        <v>300</v>
      </c>
      <c r="U158" s="69">
        <f>'Alt. scenario COM'!K69</f>
        <v>350</v>
      </c>
      <c r="V158" s="92">
        <f>'Alt. scenario COM'!L69</f>
        <v>400</v>
      </c>
      <c r="W158" s="244">
        <f>'Alt. scenario COM'!M69</f>
        <v>400</v>
      </c>
      <c r="X158" s="68">
        <f>'Key financial and ops fig.s COM'!N69</f>
        <v>450</v>
      </c>
      <c r="Y158" s="69">
        <f>'Key financial and ops fig.s COM'!O69</f>
        <v>500</v>
      </c>
      <c r="Z158" s="69">
        <f>'Key financial and ops fig.s COM'!P69</f>
        <v>550</v>
      </c>
      <c r="AA158" s="92">
        <f>'Key financial and ops fig.s COM'!Q69</f>
        <v>600</v>
      </c>
      <c r="AB158" s="226">
        <f>'Key financial and ops fig.s COM'!R69</f>
        <v>600</v>
      </c>
      <c r="AC158" s="68">
        <f>'Alt. scenario COM'!N69</f>
        <v>450</v>
      </c>
      <c r="AD158" s="69">
        <f>'Alt. scenario COM'!O69</f>
        <v>500</v>
      </c>
      <c r="AE158" s="69">
        <f>'Alt. scenario COM'!P69</f>
        <v>550</v>
      </c>
      <c r="AF158" s="92">
        <f>'Alt. scenario COM'!Q69</f>
        <v>600</v>
      </c>
      <c r="AG158" s="244">
        <f>'Alt. scenario COM'!R69</f>
        <v>600</v>
      </c>
      <c r="AH158" s="68">
        <f>'Key financial and ops fig.s COM'!S69</f>
        <v>650</v>
      </c>
      <c r="AI158" s="69">
        <f>'Key financial and ops fig.s COM'!T69</f>
        <v>700</v>
      </c>
      <c r="AJ158" s="69">
        <f>'Key financial and ops fig.s COM'!U69</f>
        <v>750</v>
      </c>
      <c r="AK158" s="92">
        <f>'Key financial and ops fig.s COM'!V69</f>
        <v>800</v>
      </c>
      <c r="AL158" s="226">
        <f>'Key financial and ops fig.s COM'!W69</f>
        <v>800</v>
      </c>
      <c r="AM158" s="68">
        <f>'Alt. scenario COM'!S69</f>
        <v>650</v>
      </c>
      <c r="AN158" s="69">
        <f>'Alt. scenario COM'!T69</f>
        <v>700</v>
      </c>
      <c r="AO158" s="69">
        <f>'Alt. scenario COM'!U69</f>
        <v>750</v>
      </c>
      <c r="AP158" s="92">
        <f>'Alt. scenario COM'!V69</f>
        <v>800</v>
      </c>
      <c r="AQ158" s="244">
        <f>'Alt. scenario COM'!W69</f>
        <v>800</v>
      </c>
      <c r="AR158" s="68">
        <f>'Key financial and ops fig.s COM'!X69</f>
        <v>850</v>
      </c>
      <c r="AS158" s="69">
        <f>'Key financial and ops fig.s COM'!Y69</f>
        <v>900</v>
      </c>
      <c r="AT158" s="69">
        <f>'Key financial and ops fig.s COM'!Z69</f>
        <v>950</v>
      </c>
      <c r="AU158" s="92">
        <f>'Key financial and ops fig.s COM'!AA69</f>
        <v>1000</v>
      </c>
      <c r="AV158" s="226">
        <f>'Key financial and ops fig.s COM'!AB69</f>
        <v>1000</v>
      </c>
      <c r="AW158" s="68">
        <f>'Alt. scenario COM'!X69</f>
        <v>850</v>
      </c>
      <c r="AX158" s="69">
        <f>'Alt. scenario COM'!Y69</f>
        <v>900</v>
      </c>
      <c r="AY158" s="69">
        <f>'Alt. scenario COM'!Z69</f>
        <v>950</v>
      </c>
      <c r="AZ158" s="92">
        <f>'Alt. scenario COM'!AA69</f>
        <v>1000</v>
      </c>
      <c r="BA158" s="244">
        <f>'Alt. scenario COM'!AB69</f>
        <v>1000</v>
      </c>
      <c r="BB158" s="68">
        <f>'Key financial and ops fig.s COM'!AC69</f>
        <v>1000</v>
      </c>
      <c r="BC158" s="69">
        <f>'Key financial and ops fig.s COM'!AD69</f>
        <v>1000</v>
      </c>
      <c r="BD158" s="69">
        <f>'Key financial and ops fig.s COM'!AE69</f>
        <v>1000</v>
      </c>
      <c r="BE158" s="92">
        <f>'Key financial and ops fig.s COM'!AF69</f>
        <v>1000</v>
      </c>
      <c r="BF158" s="226">
        <f>'Key financial and ops fig.s COM'!AG69</f>
        <v>1000</v>
      </c>
      <c r="BG158" s="68">
        <f>'Alt. scenario COM'!AC69</f>
        <v>1000</v>
      </c>
      <c r="BH158" s="69">
        <f>'Alt. scenario COM'!AD69</f>
        <v>1000</v>
      </c>
      <c r="BI158" s="69">
        <f>'Alt. scenario COM'!AE69</f>
        <v>1000</v>
      </c>
      <c r="BJ158" s="92">
        <f>'Alt. scenario COM'!AF69</f>
        <v>1000</v>
      </c>
      <c r="BK158" s="244">
        <f>'Alt. scenario COM'!AG69</f>
        <v>1000</v>
      </c>
      <c r="BL158" s="68">
        <f>'Key financial and ops fig.s COM'!AH69</f>
        <v>1000</v>
      </c>
      <c r="BM158" s="69">
        <f>'Key financial and ops fig.s COM'!AI69</f>
        <v>1000</v>
      </c>
      <c r="BN158" s="69">
        <f>'Key financial and ops fig.s COM'!AJ69</f>
        <v>1000</v>
      </c>
      <c r="BO158" s="92">
        <f>'Key financial and ops fig.s COM'!AK69</f>
        <v>1000</v>
      </c>
      <c r="BP158" s="226">
        <f>'Key financial and ops fig.s COM'!AL69</f>
        <v>1000</v>
      </c>
      <c r="BQ158" s="68">
        <f>'Alt. scenario COM'!AH69</f>
        <v>1000</v>
      </c>
      <c r="BR158" s="69">
        <f>'Alt. scenario COM'!AI69</f>
        <v>1000</v>
      </c>
      <c r="BS158" s="69">
        <f>'Alt. scenario COM'!AJ69</f>
        <v>1000</v>
      </c>
      <c r="BT158" s="92">
        <f>'Alt. scenario COM'!AK69</f>
        <v>1000</v>
      </c>
      <c r="BU158" s="244">
        <f>'Alt. scenario COM'!AL69</f>
        <v>1000</v>
      </c>
    </row>
    <row r="159" spans="1:73" ht="15.95">
      <c r="A159" s="55"/>
      <c r="C159" s="189" t="s">
        <v>306</v>
      </c>
      <c r="D159" s="68">
        <f>'Key financial and ops fig.s COM'!D70</f>
        <v>250</v>
      </c>
      <c r="E159" s="69">
        <f>'Key financial and ops fig.s COM'!E70</f>
        <v>500</v>
      </c>
      <c r="F159" s="69">
        <f>'Key financial and ops fig.s COM'!F70</f>
        <v>750</v>
      </c>
      <c r="G159" s="92">
        <f>'Key financial and ops fig.s COM'!G70</f>
        <v>1000</v>
      </c>
      <c r="H159" s="226">
        <f>'Key financial and ops fig.s COM'!H70</f>
        <v>1000</v>
      </c>
      <c r="I159" s="68">
        <f>'Alt. scenario COM'!D70</f>
        <v>250</v>
      </c>
      <c r="J159" s="69">
        <f>'Alt. scenario COM'!E70</f>
        <v>500</v>
      </c>
      <c r="K159" s="69">
        <f>'Alt. scenario COM'!F70</f>
        <v>750</v>
      </c>
      <c r="L159" s="92">
        <f>'Alt. scenario COM'!G70</f>
        <v>1000</v>
      </c>
      <c r="M159" s="244">
        <f>'Alt. scenario COM'!H70</f>
        <v>1000</v>
      </c>
      <c r="N159" s="68">
        <f>'Key financial and ops fig.s COM'!I70</f>
        <v>1250</v>
      </c>
      <c r="O159" s="69">
        <f>'Key financial and ops fig.s COM'!J70</f>
        <v>1500</v>
      </c>
      <c r="P159" s="69">
        <f>'Key financial and ops fig.s COM'!K70</f>
        <v>1750</v>
      </c>
      <c r="Q159" s="92">
        <f>'Key financial and ops fig.s COM'!L70</f>
        <v>2000</v>
      </c>
      <c r="R159" s="226">
        <f>'Key financial and ops fig.s COM'!M70</f>
        <v>2000</v>
      </c>
      <c r="S159" s="68">
        <f>'Alt. scenario COM'!I70</f>
        <v>1250</v>
      </c>
      <c r="T159" s="69">
        <f>'Alt. scenario COM'!J70</f>
        <v>1500</v>
      </c>
      <c r="U159" s="69">
        <f>'Alt. scenario COM'!K70</f>
        <v>1750</v>
      </c>
      <c r="V159" s="92">
        <f>'Alt. scenario COM'!L70</f>
        <v>2000</v>
      </c>
      <c r="W159" s="244">
        <f>'Alt. scenario COM'!M70</f>
        <v>2000</v>
      </c>
      <c r="X159" s="68">
        <f>'Key financial and ops fig.s COM'!N70</f>
        <v>2250</v>
      </c>
      <c r="Y159" s="69">
        <f>'Key financial and ops fig.s COM'!O70</f>
        <v>2500</v>
      </c>
      <c r="Z159" s="69">
        <f>'Key financial and ops fig.s COM'!P70</f>
        <v>2750</v>
      </c>
      <c r="AA159" s="92">
        <f>'Key financial and ops fig.s COM'!Q70</f>
        <v>3000</v>
      </c>
      <c r="AB159" s="226">
        <f>'Key financial and ops fig.s COM'!R70</f>
        <v>3000</v>
      </c>
      <c r="AC159" s="68">
        <f>'Alt. scenario COM'!N70</f>
        <v>2250</v>
      </c>
      <c r="AD159" s="69">
        <f>'Alt. scenario COM'!O70</f>
        <v>2500</v>
      </c>
      <c r="AE159" s="69">
        <f>'Alt. scenario COM'!P70</f>
        <v>2750</v>
      </c>
      <c r="AF159" s="92">
        <f>'Alt. scenario COM'!Q70</f>
        <v>3000</v>
      </c>
      <c r="AG159" s="244">
        <f>'Alt. scenario COM'!R70</f>
        <v>3000</v>
      </c>
      <c r="AH159" s="68">
        <f>'Key financial and ops fig.s COM'!S70</f>
        <v>3250</v>
      </c>
      <c r="AI159" s="69">
        <f>'Key financial and ops fig.s COM'!T70</f>
        <v>3500</v>
      </c>
      <c r="AJ159" s="69">
        <f>'Key financial and ops fig.s COM'!U70</f>
        <v>3750</v>
      </c>
      <c r="AK159" s="92">
        <f>'Key financial and ops fig.s COM'!V70</f>
        <v>4000</v>
      </c>
      <c r="AL159" s="226">
        <f>'Key financial and ops fig.s COM'!W70</f>
        <v>4000</v>
      </c>
      <c r="AM159" s="68">
        <f>'Alt. scenario COM'!S70</f>
        <v>3250</v>
      </c>
      <c r="AN159" s="69">
        <f>'Alt. scenario COM'!T70</f>
        <v>3500</v>
      </c>
      <c r="AO159" s="69">
        <f>'Alt. scenario COM'!U70</f>
        <v>3750</v>
      </c>
      <c r="AP159" s="92">
        <f>'Alt. scenario COM'!V70</f>
        <v>4000</v>
      </c>
      <c r="AQ159" s="244">
        <f>'Alt. scenario COM'!W70</f>
        <v>4000</v>
      </c>
      <c r="AR159" s="68">
        <f>'Key financial and ops fig.s COM'!X70</f>
        <v>4250</v>
      </c>
      <c r="AS159" s="69">
        <f>'Key financial and ops fig.s COM'!Y70</f>
        <v>4500</v>
      </c>
      <c r="AT159" s="69">
        <f>'Key financial and ops fig.s COM'!Z70</f>
        <v>4750</v>
      </c>
      <c r="AU159" s="92">
        <f>'Key financial and ops fig.s COM'!AA70</f>
        <v>5000</v>
      </c>
      <c r="AV159" s="226">
        <f>'Key financial and ops fig.s COM'!AB70</f>
        <v>5000</v>
      </c>
      <c r="AW159" s="68">
        <f>'Alt. scenario COM'!X70</f>
        <v>4250</v>
      </c>
      <c r="AX159" s="69">
        <f>'Alt. scenario COM'!Y70</f>
        <v>4500</v>
      </c>
      <c r="AY159" s="69">
        <f>'Alt. scenario COM'!Z70</f>
        <v>4750</v>
      </c>
      <c r="AZ159" s="92">
        <f>'Alt. scenario COM'!AA70</f>
        <v>5000</v>
      </c>
      <c r="BA159" s="244">
        <f>'Alt. scenario COM'!AB70</f>
        <v>5000</v>
      </c>
      <c r="BB159" s="68">
        <f>'Key financial and ops fig.s COM'!AC70</f>
        <v>5000</v>
      </c>
      <c r="BC159" s="69">
        <f>'Key financial and ops fig.s COM'!AD70</f>
        <v>5000</v>
      </c>
      <c r="BD159" s="69">
        <f>'Key financial and ops fig.s COM'!AE70</f>
        <v>5000</v>
      </c>
      <c r="BE159" s="92">
        <f>'Key financial and ops fig.s COM'!AF70</f>
        <v>5000</v>
      </c>
      <c r="BF159" s="226">
        <f>'Key financial and ops fig.s COM'!AG70</f>
        <v>5000</v>
      </c>
      <c r="BG159" s="68">
        <f>'Alt. scenario COM'!AC70</f>
        <v>5000</v>
      </c>
      <c r="BH159" s="69">
        <f>'Alt. scenario COM'!AD70</f>
        <v>5000</v>
      </c>
      <c r="BI159" s="69">
        <f>'Alt. scenario COM'!AE70</f>
        <v>5000</v>
      </c>
      <c r="BJ159" s="92">
        <f>'Alt. scenario COM'!AF70</f>
        <v>5000</v>
      </c>
      <c r="BK159" s="244">
        <f>'Alt. scenario COM'!AG70</f>
        <v>5000</v>
      </c>
      <c r="BL159" s="68">
        <f>'Key financial and ops fig.s COM'!AH70</f>
        <v>5000</v>
      </c>
      <c r="BM159" s="69">
        <f>'Key financial and ops fig.s COM'!AI70</f>
        <v>5000</v>
      </c>
      <c r="BN159" s="69">
        <f>'Key financial and ops fig.s COM'!AJ70</f>
        <v>5000</v>
      </c>
      <c r="BO159" s="92">
        <f>'Key financial and ops fig.s COM'!AK70</f>
        <v>5000</v>
      </c>
      <c r="BP159" s="226">
        <f>'Key financial and ops fig.s COM'!AL70</f>
        <v>5000</v>
      </c>
      <c r="BQ159" s="68">
        <f>'Alt. scenario COM'!AH70</f>
        <v>5000</v>
      </c>
      <c r="BR159" s="69">
        <f>'Alt. scenario COM'!AI70</f>
        <v>5000</v>
      </c>
      <c r="BS159" s="69">
        <f>'Alt. scenario COM'!AJ70</f>
        <v>5000</v>
      </c>
      <c r="BT159" s="92">
        <f>'Alt. scenario COM'!AK70</f>
        <v>5000</v>
      </c>
      <c r="BU159" s="244">
        <f>'Alt. scenario COM'!AL70</f>
        <v>5000</v>
      </c>
    </row>
    <row r="160" spans="1:73" ht="15.95">
      <c r="A160" s="55"/>
      <c r="C160" s="189" t="s">
        <v>307</v>
      </c>
      <c r="D160" s="68">
        <f>'Key financial and ops fig.s COM'!D71</f>
        <v>2000</v>
      </c>
      <c r="E160" s="69">
        <f>'Key financial and ops fig.s COM'!E71</f>
        <v>4000</v>
      </c>
      <c r="F160" s="69">
        <f>'Key financial and ops fig.s COM'!F71</f>
        <v>6000</v>
      </c>
      <c r="G160" s="92">
        <f>'Key financial and ops fig.s COM'!G71</f>
        <v>8000</v>
      </c>
      <c r="H160" s="226">
        <f>'Key financial and ops fig.s COM'!H71</f>
        <v>8000</v>
      </c>
      <c r="I160" s="68">
        <f>'Alt. scenario COM'!D71</f>
        <v>2000</v>
      </c>
      <c r="J160" s="69">
        <f>'Alt. scenario COM'!E71</f>
        <v>4000</v>
      </c>
      <c r="K160" s="69">
        <f>'Alt. scenario COM'!F71</f>
        <v>6000</v>
      </c>
      <c r="L160" s="92">
        <f>'Alt. scenario COM'!G71</f>
        <v>8000</v>
      </c>
      <c r="M160" s="244">
        <f>'Alt. scenario COM'!H71</f>
        <v>8000</v>
      </c>
      <c r="N160" s="68">
        <f>'Key financial and ops fig.s COM'!I71</f>
        <v>10000</v>
      </c>
      <c r="O160" s="69">
        <f>'Key financial and ops fig.s COM'!J71</f>
        <v>12000</v>
      </c>
      <c r="P160" s="69">
        <f>'Key financial and ops fig.s COM'!K71</f>
        <v>14000</v>
      </c>
      <c r="Q160" s="92">
        <f>'Key financial and ops fig.s COM'!L71</f>
        <v>16000</v>
      </c>
      <c r="R160" s="226">
        <f>'Key financial and ops fig.s COM'!M71</f>
        <v>16000</v>
      </c>
      <c r="S160" s="68">
        <f>'Alt. scenario COM'!I71</f>
        <v>10000</v>
      </c>
      <c r="T160" s="69">
        <f>'Alt. scenario COM'!J71</f>
        <v>12000</v>
      </c>
      <c r="U160" s="69">
        <f>'Alt. scenario COM'!K71</f>
        <v>14000</v>
      </c>
      <c r="V160" s="92">
        <f>'Alt. scenario COM'!L71</f>
        <v>16000</v>
      </c>
      <c r="W160" s="244">
        <f>'Alt. scenario COM'!M71</f>
        <v>16000</v>
      </c>
      <c r="X160" s="68">
        <f>'Key financial and ops fig.s COM'!N71</f>
        <v>18000</v>
      </c>
      <c r="Y160" s="69">
        <f>'Key financial and ops fig.s COM'!O71</f>
        <v>20000</v>
      </c>
      <c r="Z160" s="69">
        <f>'Key financial and ops fig.s COM'!P71</f>
        <v>22000</v>
      </c>
      <c r="AA160" s="92">
        <f>'Key financial and ops fig.s COM'!Q71</f>
        <v>24000</v>
      </c>
      <c r="AB160" s="226">
        <f>'Key financial and ops fig.s COM'!R71</f>
        <v>24000</v>
      </c>
      <c r="AC160" s="68">
        <f>'Alt. scenario COM'!N71</f>
        <v>18000</v>
      </c>
      <c r="AD160" s="69">
        <f>'Alt. scenario COM'!O71</f>
        <v>20000</v>
      </c>
      <c r="AE160" s="69">
        <f>'Alt. scenario COM'!P71</f>
        <v>22000</v>
      </c>
      <c r="AF160" s="92">
        <f>'Alt. scenario COM'!Q71</f>
        <v>24000</v>
      </c>
      <c r="AG160" s="244">
        <f>'Alt. scenario COM'!R71</f>
        <v>24000</v>
      </c>
      <c r="AH160" s="68">
        <f>'Key financial and ops fig.s COM'!S71</f>
        <v>26000</v>
      </c>
      <c r="AI160" s="69">
        <f>'Key financial and ops fig.s COM'!T71</f>
        <v>28000</v>
      </c>
      <c r="AJ160" s="69">
        <f>'Key financial and ops fig.s COM'!U71</f>
        <v>30000</v>
      </c>
      <c r="AK160" s="92">
        <f>'Key financial and ops fig.s COM'!V71</f>
        <v>32000</v>
      </c>
      <c r="AL160" s="226">
        <f>'Key financial and ops fig.s COM'!W71</f>
        <v>32000</v>
      </c>
      <c r="AM160" s="68">
        <f>'Alt. scenario COM'!S71</f>
        <v>26000</v>
      </c>
      <c r="AN160" s="69">
        <f>'Alt. scenario COM'!T71</f>
        <v>28000</v>
      </c>
      <c r="AO160" s="69">
        <f>'Alt. scenario COM'!U71</f>
        <v>30000</v>
      </c>
      <c r="AP160" s="92">
        <f>'Alt. scenario COM'!V71</f>
        <v>32000</v>
      </c>
      <c r="AQ160" s="244">
        <f>'Alt. scenario COM'!W71</f>
        <v>32000</v>
      </c>
      <c r="AR160" s="68">
        <f>'Key financial and ops fig.s COM'!X71</f>
        <v>34000</v>
      </c>
      <c r="AS160" s="69">
        <f>'Key financial and ops fig.s COM'!Y71</f>
        <v>36000</v>
      </c>
      <c r="AT160" s="69">
        <f>'Key financial and ops fig.s COM'!Z71</f>
        <v>38000</v>
      </c>
      <c r="AU160" s="92">
        <f>'Key financial and ops fig.s COM'!AA71</f>
        <v>40000</v>
      </c>
      <c r="AV160" s="226">
        <f>'Key financial and ops fig.s COM'!AB71</f>
        <v>40000</v>
      </c>
      <c r="AW160" s="68">
        <f>'Alt. scenario COM'!X71</f>
        <v>34000</v>
      </c>
      <c r="AX160" s="69">
        <f>'Alt. scenario COM'!Y71</f>
        <v>36000</v>
      </c>
      <c r="AY160" s="69">
        <f>'Alt. scenario COM'!Z71</f>
        <v>38000</v>
      </c>
      <c r="AZ160" s="92">
        <f>'Alt. scenario COM'!AA71</f>
        <v>40000</v>
      </c>
      <c r="BA160" s="244">
        <f>'Alt. scenario COM'!AB71</f>
        <v>40000</v>
      </c>
      <c r="BB160" s="68">
        <f>'Key financial and ops fig.s COM'!AC71</f>
        <v>40000</v>
      </c>
      <c r="BC160" s="69">
        <f>'Key financial and ops fig.s COM'!AD71</f>
        <v>40000</v>
      </c>
      <c r="BD160" s="69">
        <f>'Key financial and ops fig.s COM'!AE71</f>
        <v>40000</v>
      </c>
      <c r="BE160" s="92">
        <f>'Key financial and ops fig.s COM'!AF71</f>
        <v>40000</v>
      </c>
      <c r="BF160" s="226">
        <f>'Key financial and ops fig.s COM'!AG71</f>
        <v>40000</v>
      </c>
      <c r="BG160" s="68">
        <f>'Alt. scenario COM'!AC71</f>
        <v>40000</v>
      </c>
      <c r="BH160" s="69">
        <f>'Alt. scenario COM'!AD71</f>
        <v>40000</v>
      </c>
      <c r="BI160" s="69">
        <f>'Alt. scenario COM'!AE71</f>
        <v>40000</v>
      </c>
      <c r="BJ160" s="92">
        <f>'Alt. scenario COM'!AF71</f>
        <v>40000</v>
      </c>
      <c r="BK160" s="244">
        <f>'Alt. scenario COM'!AG71</f>
        <v>40000</v>
      </c>
      <c r="BL160" s="68">
        <f>'Key financial and ops fig.s COM'!AH71</f>
        <v>40000</v>
      </c>
      <c r="BM160" s="69">
        <f>'Key financial and ops fig.s COM'!AI71</f>
        <v>40000</v>
      </c>
      <c r="BN160" s="69">
        <f>'Key financial and ops fig.s COM'!AJ71</f>
        <v>40000</v>
      </c>
      <c r="BO160" s="92">
        <f>'Key financial and ops fig.s COM'!AK71</f>
        <v>40000</v>
      </c>
      <c r="BP160" s="226">
        <f>'Key financial and ops fig.s COM'!AL71</f>
        <v>40000</v>
      </c>
      <c r="BQ160" s="68">
        <f>'Alt. scenario COM'!AH71</f>
        <v>40000</v>
      </c>
      <c r="BR160" s="69">
        <f>'Alt. scenario COM'!AI71</f>
        <v>40000</v>
      </c>
      <c r="BS160" s="69">
        <f>'Alt. scenario COM'!AJ71</f>
        <v>40000</v>
      </c>
      <c r="BT160" s="92">
        <f>'Alt. scenario COM'!AK71</f>
        <v>40000</v>
      </c>
      <c r="BU160" s="244">
        <f>'Alt. scenario COM'!AL71</f>
        <v>40000</v>
      </c>
    </row>
    <row r="161" spans="1:73" s="56" customFormat="1" ht="15.95">
      <c r="A161" s="55"/>
      <c r="C161" s="189" t="s">
        <v>308</v>
      </c>
      <c r="D161" s="68">
        <f>'Key financial and ops fig.s COM'!D72</f>
        <v>9.9375</v>
      </c>
      <c r="E161" s="69">
        <f>'Key financial and ops fig.s COM'!E72</f>
        <v>19.75</v>
      </c>
      <c r="F161" s="69">
        <f>'Key financial and ops fig.s COM'!F72</f>
        <v>29.4375</v>
      </c>
      <c r="G161" s="92">
        <f>'Key financial and ops fig.s COM'!G72</f>
        <v>39</v>
      </c>
      <c r="H161" s="226">
        <f>'Key financial and ops fig.s COM'!H72</f>
        <v>39</v>
      </c>
      <c r="I161" s="68">
        <f>'Alt. scenario COM'!D72</f>
        <v>9.9375</v>
      </c>
      <c r="J161" s="69">
        <f>'Alt. scenario COM'!E72</f>
        <v>19.75</v>
      </c>
      <c r="K161" s="69">
        <f>'Alt. scenario COM'!F72</f>
        <v>29.4375</v>
      </c>
      <c r="L161" s="92">
        <f>'Alt. scenario COM'!G72</f>
        <v>39</v>
      </c>
      <c r="M161" s="244">
        <f>'Alt. scenario COM'!H72</f>
        <v>39</v>
      </c>
      <c r="N161" s="68">
        <f>'Key financial and ops fig.s COM'!I72</f>
        <v>48.4375</v>
      </c>
      <c r="O161" s="69">
        <f>'Key financial and ops fig.s COM'!J72</f>
        <v>57.75</v>
      </c>
      <c r="P161" s="69">
        <f>'Key financial and ops fig.s COM'!K72</f>
        <v>66.9375</v>
      </c>
      <c r="Q161" s="92">
        <f>'Key financial and ops fig.s COM'!L72</f>
        <v>76</v>
      </c>
      <c r="R161" s="226">
        <f>'Key financial and ops fig.s COM'!M72</f>
        <v>76</v>
      </c>
      <c r="S161" s="68">
        <f>'Alt. scenario COM'!I72</f>
        <v>48.4375</v>
      </c>
      <c r="T161" s="69">
        <f>'Alt. scenario COM'!J72</f>
        <v>57.75</v>
      </c>
      <c r="U161" s="69">
        <f>'Alt. scenario COM'!K72</f>
        <v>66.9375</v>
      </c>
      <c r="V161" s="92">
        <f>'Alt. scenario COM'!L72</f>
        <v>76</v>
      </c>
      <c r="W161" s="244">
        <f>'Alt. scenario COM'!M72</f>
        <v>76</v>
      </c>
      <c r="X161" s="68">
        <f>'Key financial and ops fig.s COM'!N72</f>
        <v>84.9375</v>
      </c>
      <c r="Y161" s="69">
        <f>'Key financial and ops fig.s COM'!O72</f>
        <v>93.75</v>
      </c>
      <c r="Z161" s="69">
        <f>'Key financial and ops fig.s COM'!P72</f>
        <v>102.4375</v>
      </c>
      <c r="AA161" s="92">
        <f>'Key financial and ops fig.s COM'!Q72</f>
        <v>111</v>
      </c>
      <c r="AB161" s="226">
        <f>'Key financial and ops fig.s COM'!R72</f>
        <v>111</v>
      </c>
      <c r="AC161" s="68">
        <f>'Alt. scenario COM'!N72</f>
        <v>84.9375</v>
      </c>
      <c r="AD161" s="69">
        <f>'Alt. scenario COM'!O72</f>
        <v>93.75</v>
      </c>
      <c r="AE161" s="69">
        <f>'Alt. scenario COM'!P72</f>
        <v>102.4375</v>
      </c>
      <c r="AF161" s="92">
        <f>'Alt. scenario COM'!Q72</f>
        <v>111</v>
      </c>
      <c r="AG161" s="244">
        <f>'Alt. scenario COM'!R72</f>
        <v>111</v>
      </c>
      <c r="AH161" s="68">
        <f>'Key financial and ops fig.s COM'!S72</f>
        <v>119.4375</v>
      </c>
      <c r="AI161" s="69">
        <f>'Key financial and ops fig.s COM'!T72</f>
        <v>127.75</v>
      </c>
      <c r="AJ161" s="69">
        <f>'Key financial and ops fig.s COM'!U72</f>
        <v>135.9375</v>
      </c>
      <c r="AK161" s="92">
        <f>'Key financial and ops fig.s COM'!V72</f>
        <v>144</v>
      </c>
      <c r="AL161" s="226">
        <f>'Key financial and ops fig.s COM'!W72</f>
        <v>144</v>
      </c>
      <c r="AM161" s="68">
        <f>'Alt. scenario COM'!S72</f>
        <v>119.4375</v>
      </c>
      <c r="AN161" s="69">
        <f>'Alt. scenario COM'!T72</f>
        <v>127.75</v>
      </c>
      <c r="AO161" s="69">
        <f>'Alt. scenario COM'!U72</f>
        <v>135.9375</v>
      </c>
      <c r="AP161" s="92">
        <f>'Alt. scenario COM'!V72</f>
        <v>144</v>
      </c>
      <c r="AQ161" s="244">
        <f>'Alt. scenario COM'!W72</f>
        <v>144</v>
      </c>
      <c r="AR161" s="68">
        <f>'Key financial and ops fig.s COM'!X72</f>
        <v>151.9375</v>
      </c>
      <c r="AS161" s="69">
        <f>'Key financial and ops fig.s COM'!Y72</f>
        <v>159.75</v>
      </c>
      <c r="AT161" s="69">
        <f>'Key financial and ops fig.s COM'!Z72</f>
        <v>167.4375</v>
      </c>
      <c r="AU161" s="92">
        <f>'Key financial and ops fig.s COM'!AA72</f>
        <v>175</v>
      </c>
      <c r="AV161" s="226">
        <f>'Key financial and ops fig.s COM'!AB72</f>
        <v>175</v>
      </c>
      <c r="AW161" s="68">
        <f>'Alt. scenario COM'!X72</f>
        <v>151.9375</v>
      </c>
      <c r="AX161" s="69">
        <f>'Alt. scenario COM'!Y72</f>
        <v>159.75</v>
      </c>
      <c r="AY161" s="69">
        <f>'Alt. scenario COM'!Z72</f>
        <v>167.4375</v>
      </c>
      <c r="AZ161" s="92">
        <f>'Alt. scenario COM'!AA72</f>
        <v>175</v>
      </c>
      <c r="BA161" s="244">
        <f>'Alt. scenario COM'!AB72</f>
        <v>175</v>
      </c>
      <c r="BB161" s="68">
        <f>'Key financial and ops fig.s COM'!AC72</f>
        <v>173.75</v>
      </c>
      <c r="BC161" s="69">
        <f>'Key financial and ops fig.s COM'!AD72</f>
        <v>172.5</v>
      </c>
      <c r="BD161" s="69">
        <f>'Key financial and ops fig.s COM'!AE72</f>
        <v>171.25</v>
      </c>
      <c r="BE161" s="92">
        <f>'Key financial and ops fig.s COM'!AF72</f>
        <v>170</v>
      </c>
      <c r="BF161" s="226">
        <f>'Key financial and ops fig.s COM'!AG72</f>
        <v>170</v>
      </c>
      <c r="BG161" s="68">
        <f>'Alt. scenario COM'!AC72</f>
        <v>173.75</v>
      </c>
      <c r="BH161" s="69">
        <f>'Alt. scenario COM'!AD72</f>
        <v>172.5</v>
      </c>
      <c r="BI161" s="69">
        <f>'Alt. scenario COM'!AE72</f>
        <v>171.25</v>
      </c>
      <c r="BJ161" s="92">
        <f>'Alt. scenario COM'!AF72</f>
        <v>170</v>
      </c>
      <c r="BK161" s="244">
        <f>'Alt. scenario COM'!AG72</f>
        <v>170</v>
      </c>
      <c r="BL161" s="68">
        <f>'Key financial and ops fig.s COM'!AH72</f>
        <v>168.75</v>
      </c>
      <c r="BM161" s="69">
        <f>'Key financial and ops fig.s COM'!AI72</f>
        <v>167.5</v>
      </c>
      <c r="BN161" s="69">
        <f>'Key financial and ops fig.s COM'!AJ72</f>
        <v>166.25</v>
      </c>
      <c r="BO161" s="92">
        <f>'Key financial and ops fig.s COM'!AK72</f>
        <v>165</v>
      </c>
      <c r="BP161" s="226">
        <f>'Key financial and ops fig.s COM'!AL72</f>
        <v>165</v>
      </c>
      <c r="BQ161" s="68">
        <f>'Alt. scenario COM'!AH72</f>
        <v>168.75</v>
      </c>
      <c r="BR161" s="69">
        <f>'Alt. scenario COM'!AI72</f>
        <v>167.5</v>
      </c>
      <c r="BS161" s="69">
        <f>'Alt. scenario COM'!AJ72</f>
        <v>166.25</v>
      </c>
      <c r="BT161" s="92">
        <f>'Alt. scenario COM'!AK72</f>
        <v>165</v>
      </c>
      <c r="BU161" s="244">
        <f>'Alt. scenario COM'!AL72</f>
        <v>165</v>
      </c>
    </row>
    <row r="162" spans="1:73" s="56" customFormat="1" ht="15.95">
      <c r="A162" s="55"/>
      <c r="C162" s="189" t="s">
        <v>309</v>
      </c>
      <c r="D162" s="68">
        <f>'Key financial and ops fig.s COM'!D73</f>
        <v>49.6875</v>
      </c>
      <c r="E162" s="69">
        <f>'Key financial and ops fig.s COM'!E73</f>
        <v>98.75</v>
      </c>
      <c r="F162" s="69">
        <f>'Key financial and ops fig.s COM'!F73</f>
        <v>147.1875</v>
      </c>
      <c r="G162" s="92">
        <f>'Key financial and ops fig.s COM'!G73</f>
        <v>195</v>
      </c>
      <c r="H162" s="226">
        <f>'Key financial and ops fig.s COM'!H73</f>
        <v>195</v>
      </c>
      <c r="I162" s="68">
        <f>'Alt. scenario COM'!D73</f>
        <v>49.6875</v>
      </c>
      <c r="J162" s="69">
        <f>'Alt. scenario COM'!E73</f>
        <v>98.75</v>
      </c>
      <c r="K162" s="69">
        <f>'Alt. scenario COM'!F73</f>
        <v>147.1875</v>
      </c>
      <c r="L162" s="92">
        <f>'Alt. scenario COM'!G73</f>
        <v>195</v>
      </c>
      <c r="M162" s="244">
        <f>'Alt. scenario COM'!H73</f>
        <v>195</v>
      </c>
      <c r="N162" s="68">
        <f>'Key financial and ops fig.s COM'!I73</f>
        <v>242.1875</v>
      </c>
      <c r="O162" s="69">
        <f>'Key financial and ops fig.s COM'!J73</f>
        <v>288.75</v>
      </c>
      <c r="P162" s="69">
        <f>'Key financial and ops fig.s COM'!K73</f>
        <v>334.6875</v>
      </c>
      <c r="Q162" s="92">
        <f>'Key financial and ops fig.s COM'!L73</f>
        <v>380</v>
      </c>
      <c r="R162" s="226">
        <f>'Key financial and ops fig.s COM'!M73</f>
        <v>380</v>
      </c>
      <c r="S162" s="68">
        <f>'Alt. scenario COM'!I73</f>
        <v>242.1875</v>
      </c>
      <c r="T162" s="69">
        <f>'Alt. scenario COM'!J73</f>
        <v>288.75</v>
      </c>
      <c r="U162" s="69">
        <f>'Alt. scenario COM'!K73</f>
        <v>334.6875</v>
      </c>
      <c r="V162" s="92">
        <f>'Alt. scenario COM'!L73</f>
        <v>380</v>
      </c>
      <c r="W162" s="244">
        <f>'Alt. scenario COM'!M73</f>
        <v>380</v>
      </c>
      <c r="X162" s="68">
        <f>'Key financial and ops fig.s COM'!N73</f>
        <v>424.6875</v>
      </c>
      <c r="Y162" s="69">
        <f>'Key financial and ops fig.s COM'!O73</f>
        <v>468.75</v>
      </c>
      <c r="Z162" s="69">
        <f>'Key financial and ops fig.s COM'!P73</f>
        <v>512.1875</v>
      </c>
      <c r="AA162" s="92">
        <f>'Key financial and ops fig.s COM'!Q73</f>
        <v>555</v>
      </c>
      <c r="AB162" s="226">
        <f>'Key financial and ops fig.s COM'!R73</f>
        <v>555</v>
      </c>
      <c r="AC162" s="68">
        <f>'Alt. scenario COM'!N73</f>
        <v>424.6875</v>
      </c>
      <c r="AD162" s="69">
        <f>'Alt. scenario COM'!O73</f>
        <v>468.75</v>
      </c>
      <c r="AE162" s="69">
        <f>'Alt. scenario COM'!P73</f>
        <v>512.1875</v>
      </c>
      <c r="AF162" s="92">
        <f>'Alt. scenario COM'!Q73</f>
        <v>555</v>
      </c>
      <c r="AG162" s="244">
        <f>'Alt. scenario COM'!R73</f>
        <v>555</v>
      </c>
      <c r="AH162" s="68">
        <f>'Key financial and ops fig.s COM'!S73</f>
        <v>597.1875</v>
      </c>
      <c r="AI162" s="69">
        <f>'Key financial and ops fig.s COM'!T73</f>
        <v>638.75</v>
      </c>
      <c r="AJ162" s="69">
        <f>'Key financial and ops fig.s COM'!U73</f>
        <v>679.6875</v>
      </c>
      <c r="AK162" s="92">
        <f>'Key financial and ops fig.s COM'!V73</f>
        <v>720</v>
      </c>
      <c r="AL162" s="226">
        <f>'Key financial and ops fig.s COM'!W73</f>
        <v>720</v>
      </c>
      <c r="AM162" s="68">
        <f>'Alt. scenario COM'!S73</f>
        <v>597.1875</v>
      </c>
      <c r="AN162" s="69">
        <f>'Alt. scenario COM'!T73</f>
        <v>638.75</v>
      </c>
      <c r="AO162" s="69">
        <f>'Alt. scenario COM'!U73</f>
        <v>679.6875</v>
      </c>
      <c r="AP162" s="92">
        <f>'Alt. scenario COM'!V73</f>
        <v>720</v>
      </c>
      <c r="AQ162" s="244">
        <f>'Alt. scenario COM'!W73</f>
        <v>720</v>
      </c>
      <c r="AR162" s="68">
        <f>'Key financial and ops fig.s COM'!X73</f>
        <v>759.6875</v>
      </c>
      <c r="AS162" s="69">
        <f>'Key financial and ops fig.s COM'!Y73</f>
        <v>798.75</v>
      </c>
      <c r="AT162" s="69">
        <f>'Key financial and ops fig.s COM'!Z73</f>
        <v>837.1875</v>
      </c>
      <c r="AU162" s="92">
        <f>'Key financial and ops fig.s COM'!AA73</f>
        <v>875</v>
      </c>
      <c r="AV162" s="226">
        <f>'Key financial and ops fig.s COM'!AB73</f>
        <v>875</v>
      </c>
      <c r="AW162" s="68">
        <f>'Alt. scenario COM'!X73</f>
        <v>759.6875</v>
      </c>
      <c r="AX162" s="69">
        <f>'Alt. scenario COM'!Y73</f>
        <v>798.75</v>
      </c>
      <c r="AY162" s="69">
        <f>'Alt. scenario COM'!Z73</f>
        <v>837.1875</v>
      </c>
      <c r="AZ162" s="92">
        <f>'Alt. scenario COM'!AA73</f>
        <v>875</v>
      </c>
      <c r="BA162" s="244">
        <f>'Alt. scenario COM'!AB73</f>
        <v>875</v>
      </c>
      <c r="BB162" s="68">
        <f>'Key financial and ops fig.s COM'!AC73</f>
        <v>868.75</v>
      </c>
      <c r="BC162" s="69">
        <f>'Key financial and ops fig.s COM'!AD73</f>
        <v>862.5</v>
      </c>
      <c r="BD162" s="69">
        <f>'Key financial and ops fig.s COM'!AE73</f>
        <v>856.25</v>
      </c>
      <c r="BE162" s="92">
        <f>'Key financial and ops fig.s COM'!AF73</f>
        <v>850</v>
      </c>
      <c r="BF162" s="226">
        <f>'Key financial and ops fig.s COM'!AG73</f>
        <v>850</v>
      </c>
      <c r="BG162" s="68">
        <f>'Alt. scenario COM'!AC73</f>
        <v>868.75</v>
      </c>
      <c r="BH162" s="69">
        <f>'Alt. scenario COM'!AD73</f>
        <v>862.5</v>
      </c>
      <c r="BI162" s="69">
        <f>'Alt. scenario COM'!AE73</f>
        <v>856.25</v>
      </c>
      <c r="BJ162" s="92">
        <f>'Alt. scenario COM'!AF73</f>
        <v>850</v>
      </c>
      <c r="BK162" s="244">
        <f>'Alt. scenario COM'!AG73</f>
        <v>850</v>
      </c>
      <c r="BL162" s="68">
        <f>'Key financial and ops fig.s COM'!AH73</f>
        <v>843.75</v>
      </c>
      <c r="BM162" s="69">
        <f>'Key financial and ops fig.s COM'!AI73</f>
        <v>837.5</v>
      </c>
      <c r="BN162" s="69">
        <f>'Key financial and ops fig.s COM'!AJ73</f>
        <v>831.25</v>
      </c>
      <c r="BO162" s="92">
        <f>'Key financial and ops fig.s COM'!AK73</f>
        <v>825</v>
      </c>
      <c r="BP162" s="226">
        <f>'Key financial and ops fig.s COM'!AL73</f>
        <v>825</v>
      </c>
      <c r="BQ162" s="68">
        <f>'Alt. scenario COM'!AH73</f>
        <v>843.75</v>
      </c>
      <c r="BR162" s="69">
        <f>'Alt. scenario COM'!AI73</f>
        <v>837.5</v>
      </c>
      <c r="BS162" s="69">
        <f>'Alt. scenario COM'!AJ73</f>
        <v>831.25</v>
      </c>
      <c r="BT162" s="92">
        <f>'Alt. scenario COM'!AK73</f>
        <v>825</v>
      </c>
      <c r="BU162" s="244">
        <f>'Alt. scenario COM'!AL73</f>
        <v>825</v>
      </c>
    </row>
    <row r="163" spans="1:73" s="56" customFormat="1" ht="15.95">
      <c r="A163" s="55"/>
      <c r="C163" s="189" t="s">
        <v>310</v>
      </c>
      <c r="D163" s="68">
        <f>'Key financial and ops fig.s COM'!D74</f>
        <v>248.4375</v>
      </c>
      <c r="E163" s="69">
        <f>'Key financial and ops fig.s COM'!E74</f>
        <v>493.75</v>
      </c>
      <c r="F163" s="69">
        <f>'Key financial and ops fig.s COM'!F74</f>
        <v>735.9375</v>
      </c>
      <c r="G163" s="92">
        <f>'Key financial and ops fig.s COM'!G74</f>
        <v>975</v>
      </c>
      <c r="H163" s="226">
        <f>'Key financial and ops fig.s COM'!H74</f>
        <v>975</v>
      </c>
      <c r="I163" s="68">
        <f>'Alt. scenario COM'!D74</f>
        <v>248.4375</v>
      </c>
      <c r="J163" s="69">
        <f>'Alt. scenario COM'!E74</f>
        <v>493.75</v>
      </c>
      <c r="K163" s="69">
        <f>'Alt. scenario COM'!F74</f>
        <v>735.9375</v>
      </c>
      <c r="L163" s="92">
        <f>'Alt. scenario COM'!G74</f>
        <v>975</v>
      </c>
      <c r="M163" s="244">
        <f>'Alt. scenario COM'!H74</f>
        <v>975</v>
      </c>
      <c r="N163" s="68">
        <f>'Key financial and ops fig.s COM'!I74</f>
        <v>1210.9375</v>
      </c>
      <c r="O163" s="69">
        <f>'Key financial and ops fig.s COM'!J74</f>
        <v>1443.75</v>
      </c>
      <c r="P163" s="69">
        <f>'Key financial and ops fig.s COM'!K74</f>
        <v>1673.4375</v>
      </c>
      <c r="Q163" s="92">
        <f>'Key financial and ops fig.s COM'!L74</f>
        <v>1900</v>
      </c>
      <c r="R163" s="226">
        <f>'Key financial and ops fig.s COM'!M74</f>
        <v>1900</v>
      </c>
      <c r="S163" s="68">
        <f>'Alt. scenario COM'!I74</f>
        <v>1210.9375</v>
      </c>
      <c r="T163" s="69">
        <f>'Alt. scenario COM'!J74</f>
        <v>1443.75</v>
      </c>
      <c r="U163" s="69">
        <f>'Alt. scenario COM'!K74</f>
        <v>1673.4375</v>
      </c>
      <c r="V163" s="92">
        <f>'Alt. scenario COM'!L74</f>
        <v>1900</v>
      </c>
      <c r="W163" s="244">
        <f>'Alt. scenario COM'!M74</f>
        <v>1900</v>
      </c>
      <c r="X163" s="68">
        <f>'Key financial and ops fig.s COM'!N74</f>
        <v>2123.4375</v>
      </c>
      <c r="Y163" s="69">
        <f>'Key financial and ops fig.s COM'!O74</f>
        <v>2343.75</v>
      </c>
      <c r="Z163" s="69">
        <f>'Key financial and ops fig.s COM'!P74</f>
        <v>2560.9375</v>
      </c>
      <c r="AA163" s="92">
        <f>'Key financial and ops fig.s COM'!Q74</f>
        <v>2775</v>
      </c>
      <c r="AB163" s="226">
        <f>'Key financial and ops fig.s COM'!R74</f>
        <v>2775</v>
      </c>
      <c r="AC163" s="68">
        <f>'Alt. scenario COM'!N74</f>
        <v>2123.4375</v>
      </c>
      <c r="AD163" s="69">
        <f>'Alt. scenario COM'!O74</f>
        <v>2343.75</v>
      </c>
      <c r="AE163" s="69">
        <f>'Alt. scenario COM'!P74</f>
        <v>2560.9375</v>
      </c>
      <c r="AF163" s="92">
        <f>'Alt. scenario COM'!Q74</f>
        <v>2775</v>
      </c>
      <c r="AG163" s="244">
        <f>'Alt. scenario COM'!R74</f>
        <v>2775</v>
      </c>
      <c r="AH163" s="68">
        <f>'Key financial and ops fig.s COM'!S74</f>
        <v>2985.9375</v>
      </c>
      <c r="AI163" s="69">
        <f>'Key financial and ops fig.s COM'!T74</f>
        <v>3193.75</v>
      </c>
      <c r="AJ163" s="69">
        <f>'Key financial and ops fig.s COM'!U74</f>
        <v>3398.4375</v>
      </c>
      <c r="AK163" s="92">
        <f>'Key financial and ops fig.s COM'!V74</f>
        <v>3600</v>
      </c>
      <c r="AL163" s="226">
        <f>'Key financial and ops fig.s COM'!W74</f>
        <v>3600</v>
      </c>
      <c r="AM163" s="68">
        <f>'Alt. scenario COM'!S74</f>
        <v>2985.9375</v>
      </c>
      <c r="AN163" s="69">
        <f>'Alt. scenario COM'!T74</f>
        <v>3193.75</v>
      </c>
      <c r="AO163" s="69">
        <f>'Alt. scenario COM'!U74</f>
        <v>3398.4375</v>
      </c>
      <c r="AP163" s="92">
        <f>'Alt. scenario COM'!V74</f>
        <v>3600</v>
      </c>
      <c r="AQ163" s="244">
        <f>'Alt. scenario COM'!W74</f>
        <v>3600</v>
      </c>
      <c r="AR163" s="68">
        <f>'Key financial and ops fig.s COM'!X74</f>
        <v>3798.4375</v>
      </c>
      <c r="AS163" s="69">
        <f>'Key financial and ops fig.s COM'!Y74</f>
        <v>3993.75</v>
      </c>
      <c r="AT163" s="69">
        <f>'Key financial and ops fig.s COM'!Z74</f>
        <v>4185.9375</v>
      </c>
      <c r="AU163" s="92">
        <f>'Key financial and ops fig.s COM'!AA74</f>
        <v>4375</v>
      </c>
      <c r="AV163" s="226">
        <f>'Key financial and ops fig.s COM'!AB74</f>
        <v>4375</v>
      </c>
      <c r="AW163" s="68">
        <f>'Alt. scenario COM'!X74</f>
        <v>3798.4375</v>
      </c>
      <c r="AX163" s="69">
        <f>'Alt. scenario COM'!Y74</f>
        <v>3993.75</v>
      </c>
      <c r="AY163" s="69">
        <f>'Alt. scenario COM'!Z74</f>
        <v>4185.9375</v>
      </c>
      <c r="AZ163" s="92">
        <f>'Alt. scenario COM'!AA74</f>
        <v>4375</v>
      </c>
      <c r="BA163" s="244">
        <f>'Alt. scenario COM'!AB74</f>
        <v>4375</v>
      </c>
      <c r="BB163" s="68">
        <f>'Key financial and ops fig.s COM'!AC74</f>
        <v>4343.75</v>
      </c>
      <c r="BC163" s="69">
        <f>'Key financial and ops fig.s COM'!AD74</f>
        <v>4312.5</v>
      </c>
      <c r="BD163" s="69">
        <f>'Key financial and ops fig.s COM'!AE74</f>
        <v>4281.25</v>
      </c>
      <c r="BE163" s="92">
        <f>'Key financial and ops fig.s COM'!AF74</f>
        <v>4250</v>
      </c>
      <c r="BF163" s="226">
        <f>'Key financial and ops fig.s COM'!AG74</f>
        <v>4250</v>
      </c>
      <c r="BG163" s="68">
        <f>'Alt. scenario COM'!AC74</f>
        <v>4343.75</v>
      </c>
      <c r="BH163" s="69">
        <f>'Alt. scenario COM'!AD74</f>
        <v>4312.5</v>
      </c>
      <c r="BI163" s="69">
        <f>'Alt. scenario COM'!AE74</f>
        <v>4281.25</v>
      </c>
      <c r="BJ163" s="92">
        <f>'Alt. scenario COM'!AF74</f>
        <v>4250</v>
      </c>
      <c r="BK163" s="244">
        <f>'Alt. scenario COM'!AG74</f>
        <v>4250</v>
      </c>
      <c r="BL163" s="68">
        <f>'Key financial and ops fig.s COM'!AH74</f>
        <v>4218.75</v>
      </c>
      <c r="BM163" s="69">
        <f>'Key financial and ops fig.s COM'!AI74</f>
        <v>4187.5</v>
      </c>
      <c r="BN163" s="69">
        <f>'Key financial and ops fig.s COM'!AJ74</f>
        <v>4156.25</v>
      </c>
      <c r="BO163" s="92">
        <f>'Key financial and ops fig.s COM'!AK74</f>
        <v>4125</v>
      </c>
      <c r="BP163" s="226">
        <f>'Key financial and ops fig.s COM'!AL74</f>
        <v>4125</v>
      </c>
      <c r="BQ163" s="68">
        <f>'Alt. scenario COM'!AH74</f>
        <v>4218.75</v>
      </c>
      <c r="BR163" s="69">
        <f>'Alt. scenario COM'!AI74</f>
        <v>4187.5</v>
      </c>
      <c r="BS163" s="69">
        <f>'Alt. scenario COM'!AJ74</f>
        <v>4156.25</v>
      </c>
      <c r="BT163" s="92">
        <f>'Alt. scenario COM'!AK74</f>
        <v>4125</v>
      </c>
      <c r="BU163" s="244">
        <f>'Alt. scenario COM'!AL74</f>
        <v>4125</v>
      </c>
    </row>
    <row r="164" spans="1:73" s="56" customFormat="1" ht="15.95">
      <c r="A164" s="55"/>
      <c r="C164" s="189" t="s">
        <v>311</v>
      </c>
      <c r="D164" s="68">
        <f>'Key financial and ops fig.s COM'!D75</f>
        <v>1987.5</v>
      </c>
      <c r="E164" s="69">
        <f>'Key financial and ops fig.s COM'!E75</f>
        <v>3950</v>
      </c>
      <c r="F164" s="69">
        <f>'Key financial and ops fig.s COM'!F75</f>
        <v>5887.5</v>
      </c>
      <c r="G164" s="92">
        <f>'Key financial and ops fig.s COM'!G75</f>
        <v>7800</v>
      </c>
      <c r="H164" s="226">
        <f>'Key financial and ops fig.s COM'!H75</f>
        <v>7800</v>
      </c>
      <c r="I164" s="68">
        <f>'Alt. scenario COM'!D75</f>
        <v>1987.5</v>
      </c>
      <c r="J164" s="69">
        <f>'Alt. scenario COM'!E75</f>
        <v>3950</v>
      </c>
      <c r="K164" s="69">
        <f>'Alt. scenario COM'!F75</f>
        <v>5887.5</v>
      </c>
      <c r="L164" s="92">
        <f>'Alt. scenario COM'!G75</f>
        <v>7800</v>
      </c>
      <c r="M164" s="244">
        <f>'Alt. scenario COM'!H75</f>
        <v>7800</v>
      </c>
      <c r="N164" s="68">
        <f>'Key financial and ops fig.s COM'!I75</f>
        <v>9687.5</v>
      </c>
      <c r="O164" s="69">
        <f>'Key financial and ops fig.s COM'!J75</f>
        <v>11550</v>
      </c>
      <c r="P164" s="69">
        <f>'Key financial and ops fig.s COM'!K75</f>
        <v>13387.5</v>
      </c>
      <c r="Q164" s="92">
        <f>'Key financial and ops fig.s COM'!L75</f>
        <v>15200</v>
      </c>
      <c r="R164" s="226">
        <f>'Key financial and ops fig.s COM'!M75</f>
        <v>15200</v>
      </c>
      <c r="S164" s="68">
        <f>'Alt. scenario COM'!I75</f>
        <v>9687.5</v>
      </c>
      <c r="T164" s="69">
        <f>'Alt. scenario COM'!J75</f>
        <v>11550</v>
      </c>
      <c r="U164" s="69">
        <f>'Alt. scenario COM'!K75</f>
        <v>13387.5</v>
      </c>
      <c r="V164" s="92">
        <f>'Alt. scenario COM'!L75</f>
        <v>15200</v>
      </c>
      <c r="W164" s="244">
        <f>'Alt. scenario COM'!M75</f>
        <v>15200</v>
      </c>
      <c r="X164" s="68">
        <f>'Key financial and ops fig.s COM'!N75</f>
        <v>16987.5</v>
      </c>
      <c r="Y164" s="69">
        <f>'Key financial and ops fig.s COM'!O75</f>
        <v>18750</v>
      </c>
      <c r="Z164" s="69">
        <f>'Key financial and ops fig.s COM'!P75</f>
        <v>20487.5</v>
      </c>
      <c r="AA164" s="92">
        <f>'Key financial and ops fig.s COM'!Q75</f>
        <v>22200</v>
      </c>
      <c r="AB164" s="226">
        <f>'Key financial and ops fig.s COM'!R75</f>
        <v>22200</v>
      </c>
      <c r="AC164" s="68">
        <f>'Alt. scenario COM'!N75</f>
        <v>16987.5</v>
      </c>
      <c r="AD164" s="69">
        <f>'Alt. scenario COM'!O75</f>
        <v>18750</v>
      </c>
      <c r="AE164" s="69">
        <f>'Alt. scenario COM'!P75</f>
        <v>20487.5</v>
      </c>
      <c r="AF164" s="92">
        <f>'Alt. scenario COM'!Q75</f>
        <v>22200</v>
      </c>
      <c r="AG164" s="244">
        <f>'Alt. scenario COM'!R75</f>
        <v>22200</v>
      </c>
      <c r="AH164" s="68">
        <f>'Key financial and ops fig.s COM'!S75</f>
        <v>23887.5</v>
      </c>
      <c r="AI164" s="69">
        <f>'Key financial and ops fig.s COM'!T75</f>
        <v>25550</v>
      </c>
      <c r="AJ164" s="69">
        <f>'Key financial and ops fig.s COM'!U75</f>
        <v>27187.5</v>
      </c>
      <c r="AK164" s="92">
        <f>'Key financial and ops fig.s COM'!V75</f>
        <v>28800</v>
      </c>
      <c r="AL164" s="226">
        <f>'Key financial and ops fig.s COM'!W75</f>
        <v>28800</v>
      </c>
      <c r="AM164" s="68">
        <f>'Alt. scenario COM'!S75</f>
        <v>23887.5</v>
      </c>
      <c r="AN164" s="69">
        <f>'Alt. scenario COM'!T75</f>
        <v>25550</v>
      </c>
      <c r="AO164" s="69">
        <f>'Alt. scenario COM'!U75</f>
        <v>27187.5</v>
      </c>
      <c r="AP164" s="92">
        <f>'Alt. scenario COM'!V75</f>
        <v>28800</v>
      </c>
      <c r="AQ164" s="244">
        <f>'Alt. scenario COM'!W75</f>
        <v>28800</v>
      </c>
      <c r="AR164" s="68">
        <f>'Key financial and ops fig.s COM'!X75</f>
        <v>30387.5</v>
      </c>
      <c r="AS164" s="69">
        <f>'Key financial and ops fig.s COM'!Y75</f>
        <v>31950</v>
      </c>
      <c r="AT164" s="69">
        <f>'Key financial and ops fig.s COM'!Z75</f>
        <v>33487.5</v>
      </c>
      <c r="AU164" s="92">
        <f>'Key financial and ops fig.s COM'!AA75</f>
        <v>35000</v>
      </c>
      <c r="AV164" s="226">
        <f>'Key financial and ops fig.s COM'!AB75</f>
        <v>35000</v>
      </c>
      <c r="AW164" s="68">
        <f>'Alt. scenario COM'!X75</f>
        <v>30387.5</v>
      </c>
      <c r="AX164" s="69">
        <f>'Alt. scenario COM'!Y75</f>
        <v>31950</v>
      </c>
      <c r="AY164" s="69">
        <f>'Alt. scenario COM'!Z75</f>
        <v>33487.5</v>
      </c>
      <c r="AZ164" s="92">
        <f>'Alt. scenario COM'!AA75</f>
        <v>35000</v>
      </c>
      <c r="BA164" s="244">
        <f>'Alt. scenario COM'!AB75</f>
        <v>35000</v>
      </c>
      <c r="BB164" s="68">
        <f>'Key financial and ops fig.s COM'!AC75</f>
        <v>34750</v>
      </c>
      <c r="BC164" s="69">
        <f>'Key financial and ops fig.s COM'!AD75</f>
        <v>34500</v>
      </c>
      <c r="BD164" s="69">
        <f>'Key financial and ops fig.s COM'!AE75</f>
        <v>34250</v>
      </c>
      <c r="BE164" s="92">
        <f>'Key financial and ops fig.s COM'!AF75</f>
        <v>34000</v>
      </c>
      <c r="BF164" s="226">
        <f>'Key financial and ops fig.s COM'!AG75</f>
        <v>34000</v>
      </c>
      <c r="BG164" s="68">
        <f>'Alt. scenario COM'!AC75</f>
        <v>34750</v>
      </c>
      <c r="BH164" s="69">
        <f>'Alt. scenario COM'!AD75</f>
        <v>34500</v>
      </c>
      <c r="BI164" s="69">
        <f>'Alt. scenario COM'!AE75</f>
        <v>34250</v>
      </c>
      <c r="BJ164" s="92">
        <f>'Alt. scenario COM'!AF75</f>
        <v>34000</v>
      </c>
      <c r="BK164" s="244">
        <f>'Alt. scenario COM'!AG75</f>
        <v>34000</v>
      </c>
      <c r="BL164" s="68">
        <f>'Key financial and ops fig.s COM'!AH75</f>
        <v>33750</v>
      </c>
      <c r="BM164" s="69">
        <f>'Key financial and ops fig.s COM'!AI75</f>
        <v>33500</v>
      </c>
      <c r="BN164" s="69">
        <f>'Key financial and ops fig.s COM'!AJ75</f>
        <v>33250</v>
      </c>
      <c r="BO164" s="92">
        <f>'Key financial and ops fig.s COM'!AK75</f>
        <v>33000</v>
      </c>
      <c r="BP164" s="226">
        <f>'Key financial and ops fig.s COM'!AL75</f>
        <v>33000</v>
      </c>
      <c r="BQ164" s="68">
        <f>'Alt. scenario COM'!AH75</f>
        <v>33750</v>
      </c>
      <c r="BR164" s="69">
        <f>'Alt. scenario COM'!AI75</f>
        <v>33500</v>
      </c>
      <c r="BS164" s="69">
        <f>'Alt. scenario COM'!AJ75</f>
        <v>33250</v>
      </c>
      <c r="BT164" s="92">
        <f>'Alt. scenario COM'!AK75</f>
        <v>33000</v>
      </c>
      <c r="BU164" s="244">
        <f>'Alt. scenario COM'!AL75</f>
        <v>33000</v>
      </c>
    </row>
    <row r="165" spans="1:73" s="56" customFormat="1" ht="15.95">
      <c r="A165" s="55"/>
      <c r="C165" s="189" t="s">
        <v>312</v>
      </c>
      <c r="D165" s="68">
        <f>'Key financial and ops fig.s COM'!D76</f>
        <v>14906250</v>
      </c>
      <c r="E165" s="69">
        <f>'Key financial and ops fig.s COM'!E76</f>
        <v>29625000</v>
      </c>
      <c r="F165" s="69">
        <f>'Key financial and ops fig.s COM'!F76</f>
        <v>44156250</v>
      </c>
      <c r="G165" s="92">
        <f>'Key financial and ops fig.s COM'!G76</f>
        <v>58500000</v>
      </c>
      <c r="H165" s="226">
        <f>'Key financial and ops fig.s COM'!H76</f>
        <v>58500000</v>
      </c>
      <c r="I165" s="68">
        <f>'Alt. scenario COM'!D76</f>
        <v>14906250</v>
      </c>
      <c r="J165" s="69">
        <f>'Alt. scenario COM'!E76</f>
        <v>29625000</v>
      </c>
      <c r="K165" s="69">
        <f>'Alt. scenario COM'!F76</f>
        <v>44156250</v>
      </c>
      <c r="L165" s="92">
        <f>'Alt. scenario COM'!G76</f>
        <v>58500000</v>
      </c>
      <c r="M165" s="244">
        <f>'Alt. scenario COM'!H76</f>
        <v>58500000</v>
      </c>
      <c r="N165" s="68">
        <f>'Key financial and ops fig.s COM'!I76</f>
        <v>72656250</v>
      </c>
      <c r="O165" s="69">
        <f>'Key financial and ops fig.s COM'!J76</f>
        <v>86625000</v>
      </c>
      <c r="P165" s="69">
        <f>'Key financial and ops fig.s COM'!K76</f>
        <v>100406250</v>
      </c>
      <c r="Q165" s="92">
        <f>'Key financial and ops fig.s COM'!L76</f>
        <v>114000000</v>
      </c>
      <c r="R165" s="226">
        <f>'Key financial and ops fig.s COM'!M76</f>
        <v>114000000</v>
      </c>
      <c r="S165" s="68">
        <f>'Alt. scenario COM'!I76</f>
        <v>72656250</v>
      </c>
      <c r="T165" s="69">
        <f>'Alt. scenario COM'!J76</f>
        <v>86625000</v>
      </c>
      <c r="U165" s="69">
        <f>'Alt. scenario COM'!K76</f>
        <v>100406250</v>
      </c>
      <c r="V165" s="92">
        <f>'Alt. scenario COM'!L76</f>
        <v>114000000</v>
      </c>
      <c r="W165" s="244">
        <f>'Alt. scenario COM'!M76</f>
        <v>114000000</v>
      </c>
      <c r="X165" s="68">
        <f>'Key financial and ops fig.s COM'!N76</f>
        <v>127406250</v>
      </c>
      <c r="Y165" s="69">
        <f>'Key financial and ops fig.s COM'!O76</f>
        <v>140625000</v>
      </c>
      <c r="Z165" s="69">
        <f>'Key financial and ops fig.s COM'!P76</f>
        <v>153656250</v>
      </c>
      <c r="AA165" s="92">
        <f>'Key financial and ops fig.s COM'!Q76</f>
        <v>166500000</v>
      </c>
      <c r="AB165" s="226">
        <f>'Key financial and ops fig.s COM'!R76</f>
        <v>166500000</v>
      </c>
      <c r="AC165" s="68">
        <f>'Alt. scenario COM'!N76</f>
        <v>127406250</v>
      </c>
      <c r="AD165" s="69">
        <f>'Alt. scenario COM'!O76</f>
        <v>140625000</v>
      </c>
      <c r="AE165" s="69">
        <f>'Alt. scenario COM'!P76</f>
        <v>153656250</v>
      </c>
      <c r="AF165" s="92">
        <f>'Alt. scenario COM'!Q76</f>
        <v>166500000</v>
      </c>
      <c r="AG165" s="244">
        <f>'Alt. scenario COM'!R76</f>
        <v>166500000</v>
      </c>
      <c r="AH165" s="68">
        <f>'Key financial and ops fig.s COM'!S76</f>
        <v>179156250</v>
      </c>
      <c r="AI165" s="69">
        <f>'Key financial and ops fig.s COM'!T76</f>
        <v>191625000</v>
      </c>
      <c r="AJ165" s="69">
        <f>'Key financial and ops fig.s COM'!U76</f>
        <v>203906250</v>
      </c>
      <c r="AK165" s="92">
        <f>'Key financial and ops fig.s COM'!V76</f>
        <v>216000000</v>
      </c>
      <c r="AL165" s="226">
        <f>'Key financial and ops fig.s COM'!W76</f>
        <v>216000000</v>
      </c>
      <c r="AM165" s="68">
        <f>'Alt. scenario COM'!S76</f>
        <v>179156250</v>
      </c>
      <c r="AN165" s="69">
        <f>'Alt. scenario COM'!T76</f>
        <v>191625000</v>
      </c>
      <c r="AO165" s="69">
        <f>'Alt. scenario COM'!U76</f>
        <v>203906250</v>
      </c>
      <c r="AP165" s="92">
        <f>'Alt. scenario COM'!V76</f>
        <v>216000000</v>
      </c>
      <c r="AQ165" s="244">
        <f>'Alt. scenario COM'!W76</f>
        <v>216000000</v>
      </c>
      <c r="AR165" s="68">
        <f>'Key financial and ops fig.s COM'!X76</f>
        <v>227906250</v>
      </c>
      <c r="AS165" s="69">
        <f>'Key financial and ops fig.s COM'!Y76</f>
        <v>239625000</v>
      </c>
      <c r="AT165" s="69">
        <f>'Key financial and ops fig.s COM'!Z76</f>
        <v>251156250</v>
      </c>
      <c r="AU165" s="92">
        <f>'Key financial and ops fig.s COM'!AA76</f>
        <v>262500000</v>
      </c>
      <c r="AV165" s="226">
        <f>'Key financial and ops fig.s COM'!AB76</f>
        <v>262500000</v>
      </c>
      <c r="AW165" s="68">
        <f>'Alt. scenario COM'!X76</f>
        <v>227906250</v>
      </c>
      <c r="AX165" s="69">
        <f>'Alt. scenario COM'!Y76</f>
        <v>239625000</v>
      </c>
      <c r="AY165" s="69">
        <f>'Alt. scenario COM'!Z76</f>
        <v>251156250</v>
      </c>
      <c r="AZ165" s="92">
        <f>'Alt. scenario COM'!AA76</f>
        <v>262500000</v>
      </c>
      <c r="BA165" s="244">
        <f>'Alt. scenario COM'!AB76</f>
        <v>262500000</v>
      </c>
      <c r="BB165" s="68">
        <f>'Key financial and ops fig.s COM'!AC76</f>
        <v>260625000</v>
      </c>
      <c r="BC165" s="69">
        <f>'Key financial and ops fig.s COM'!AD76</f>
        <v>258750000</v>
      </c>
      <c r="BD165" s="69">
        <f>'Key financial and ops fig.s COM'!AE76</f>
        <v>256875000</v>
      </c>
      <c r="BE165" s="92">
        <f>'Key financial and ops fig.s COM'!AF76</f>
        <v>255000000</v>
      </c>
      <c r="BF165" s="226">
        <f>'Key financial and ops fig.s COM'!AG76</f>
        <v>255000000</v>
      </c>
      <c r="BG165" s="68">
        <f>'Alt. scenario COM'!AC76</f>
        <v>260625000</v>
      </c>
      <c r="BH165" s="69">
        <f>'Alt. scenario COM'!AD76</f>
        <v>258750000</v>
      </c>
      <c r="BI165" s="69">
        <f>'Alt. scenario COM'!AE76</f>
        <v>256875000</v>
      </c>
      <c r="BJ165" s="92">
        <f>'Alt. scenario COM'!AF76</f>
        <v>255000000</v>
      </c>
      <c r="BK165" s="244">
        <f>'Alt. scenario COM'!AG76</f>
        <v>255000000</v>
      </c>
      <c r="BL165" s="68">
        <f>'Key financial and ops fig.s COM'!AH76</f>
        <v>253125000</v>
      </c>
      <c r="BM165" s="69">
        <f>'Key financial and ops fig.s COM'!AI76</f>
        <v>251250000</v>
      </c>
      <c r="BN165" s="69">
        <f>'Key financial and ops fig.s COM'!AJ76</f>
        <v>249375000</v>
      </c>
      <c r="BO165" s="92">
        <f>'Key financial and ops fig.s COM'!AK76</f>
        <v>247500000</v>
      </c>
      <c r="BP165" s="226">
        <f>'Key financial and ops fig.s COM'!AL76</f>
        <v>247500000</v>
      </c>
      <c r="BQ165" s="68">
        <f>'Alt. scenario COM'!AH76</f>
        <v>253125000</v>
      </c>
      <c r="BR165" s="69">
        <f>'Alt. scenario COM'!AI76</f>
        <v>251250000</v>
      </c>
      <c r="BS165" s="69">
        <f>'Alt. scenario COM'!AJ76</f>
        <v>249375000</v>
      </c>
      <c r="BT165" s="92">
        <f>'Alt. scenario COM'!AK76</f>
        <v>247500000</v>
      </c>
      <c r="BU165" s="244">
        <f>'Alt. scenario COM'!AL76</f>
        <v>247500000</v>
      </c>
    </row>
    <row r="166" spans="1:73" ht="15.95">
      <c r="A166" s="55"/>
      <c r="C166" s="189" t="s">
        <v>313</v>
      </c>
      <c r="D166" s="68">
        <f>'Key financial and ops fig.s COM'!D77</f>
        <v>13773375</v>
      </c>
      <c r="E166" s="69">
        <f>'Key financial and ops fig.s COM'!E77</f>
        <v>27373500</v>
      </c>
      <c r="F166" s="69">
        <f>'Key financial and ops fig.s COM'!F77</f>
        <v>40800375</v>
      </c>
      <c r="G166" s="92">
        <f>'Key financial and ops fig.s COM'!G77</f>
        <v>54054000</v>
      </c>
      <c r="H166" s="226">
        <f>'Key financial and ops fig.s COM'!H77</f>
        <v>54054000</v>
      </c>
      <c r="I166" s="68">
        <f>'Alt. scenario COM'!D77</f>
        <v>13773375</v>
      </c>
      <c r="J166" s="69">
        <f>'Alt. scenario COM'!E77</f>
        <v>27373500</v>
      </c>
      <c r="K166" s="69">
        <f>'Alt. scenario COM'!F77</f>
        <v>40800375</v>
      </c>
      <c r="L166" s="92">
        <f>'Alt. scenario COM'!G77</f>
        <v>54054000</v>
      </c>
      <c r="M166" s="244">
        <f>'Alt. scenario COM'!H77</f>
        <v>54054000</v>
      </c>
      <c r="N166" s="68">
        <f>'Key financial and ops fig.s COM'!I77</f>
        <v>67134375</v>
      </c>
      <c r="O166" s="69">
        <f>'Key financial and ops fig.s COM'!J77</f>
        <v>80041500</v>
      </c>
      <c r="P166" s="69">
        <f>'Key financial and ops fig.s COM'!K77</f>
        <v>92775375</v>
      </c>
      <c r="Q166" s="92">
        <f>'Key financial and ops fig.s COM'!L77</f>
        <v>105336000</v>
      </c>
      <c r="R166" s="226">
        <f>'Key financial and ops fig.s COM'!M77</f>
        <v>105336000</v>
      </c>
      <c r="S166" s="68">
        <f>'Alt. scenario COM'!I77</f>
        <v>67134375</v>
      </c>
      <c r="T166" s="69">
        <f>'Alt. scenario COM'!J77</f>
        <v>80041500</v>
      </c>
      <c r="U166" s="69">
        <f>'Alt. scenario COM'!K77</f>
        <v>92775375</v>
      </c>
      <c r="V166" s="92">
        <f>'Alt. scenario COM'!L77</f>
        <v>105336000</v>
      </c>
      <c r="W166" s="244">
        <f>'Alt. scenario COM'!M77</f>
        <v>105336000</v>
      </c>
      <c r="X166" s="68">
        <f>'Key financial and ops fig.s COM'!N77</f>
        <v>117723375</v>
      </c>
      <c r="Y166" s="69">
        <f>'Key financial and ops fig.s COM'!O77</f>
        <v>129937500</v>
      </c>
      <c r="Z166" s="69">
        <f>'Key financial and ops fig.s COM'!P77</f>
        <v>141978375</v>
      </c>
      <c r="AA166" s="92">
        <f>'Key financial and ops fig.s COM'!Q77</f>
        <v>153846000</v>
      </c>
      <c r="AB166" s="226">
        <f>'Key financial and ops fig.s COM'!R77</f>
        <v>153846000</v>
      </c>
      <c r="AC166" s="68">
        <f>'Alt. scenario COM'!N77</f>
        <v>117723375</v>
      </c>
      <c r="AD166" s="69">
        <f>'Alt. scenario COM'!O77</f>
        <v>129937500</v>
      </c>
      <c r="AE166" s="69">
        <f>'Alt. scenario COM'!P77</f>
        <v>141978375</v>
      </c>
      <c r="AF166" s="92">
        <f>'Alt. scenario COM'!Q77</f>
        <v>153846000</v>
      </c>
      <c r="AG166" s="244">
        <f>'Alt. scenario COM'!R77</f>
        <v>153846000</v>
      </c>
      <c r="AH166" s="68">
        <f>'Key financial and ops fig.s COM'!S77</f>
        <v>165540375</v>
      </c>
      <c r="AI166" s="69">
        <f>'Key financial and ops fig.s COM'!T77</f>
        <v>177061500</v>
      </c>
      <c r="AJ166" s="69">
        <f>'Key financial and ops fig.s COM'!U77</f>
        <v>188409375</v>
      </c>
      <c r="AK166" s="92">
        <f>'Key financial and ops fig.s COM'!V77</f>
        <v>199584000</v>
      </c>
      <c r="AL166" s="226">
        <f>'Key financial and ops fig.s COM'!W77</f>
        <v>199584000</v>
      </c>
      <c r="AM166" s="68">
        <f>'Alt. scenario COM'!S77</f>
        <v>165540375</v>
      </c>
      <c r="AN166" s="69">
        <f>'Alt. scenario COM'!T77</f>
        <v>177061500</v>
      </c>
      <c r="AO166" s="69">
        <f>'Alt. scenario COM'!U77</f>
        <v>188409375</v>
      </c>
      <c r="AP166" s="92">
        <f>'Alt. scenario COM'!V77</f>
        <v>199584000</v>
      </c>
      <c r="AQ166" s="244">
        <f>'Alt. scenario COM'!W77</f>
        <v>199584000</v>
      </c>
      <c r="AR166" s="68">
        <f>'Key financial and ops fig.s COM'!X77</f>
        <v>210585375</v>
      </c>
      <c r="AS166" s="69">
        <f>'Key financial and ops fig.s COM'!Y77</f>
        <v>221413500</v>
      </c>
      <c r="AT166" s="69">
        <f>'Key financial and ops fig.s COM'!Z77</f>
        <v>232068375</v>
      </c>
      <c r="AU166" s="92">
        <f>'Key financial and ops fig.s COM'!AA77</f>
        <v>242550000</v>
      </c>
      <c r="AV166" s="226">
        <f>'Key financial and ops fig.s COM'!AB77</f>
        <v>242550000</v>
      </c>
      <c r="AW166" s="68">
        <f>'Alt. scenario COM'!X77</f>
        <v>210585375</v>
      </c>
      <c r="AX166" s="69">
        <f>'Alt. scenario COM'!Y77</f>
        <v>221413500</v>
      </c>
      <c r="AY166" s="69">
        <f>'Alt. scenario COM'!Z77</f>
        <v>232068375</v>
      </c>
      <c r="AZ166" s="92">
        <f>'Alt. scenario COM'!AA77</f>
        <v>242550000</v>
      </c>
      <c r="BA166" s="244">
        <f>'Alt. scenario COM'!AB77</f>
        <v>242550000</v>
      </c>
      <c r="BB166" s="68">
        <f>'Key financial and ops fig.s COM'!AC77</f>
        <v>240817500</v>
      </c>
      <c r="BC166" s="69">
        <f>'Key financial and ops fig.s COM'!AD77</f>
        <v>239085000</v>
      </c>
      <c r="BD166" s="69">
        <f>'Key financial and ops fig.s COM'!AE77</f>
        <v>237352500</v>
      </c>
      <c r="BE166" s="92">
        <f>'Key financial and ops fig.s COM'!AF77</f>
        <v>235620000</v>
      </c>
      <c r="BF166" s="226">
        <f>'Key financial and ops fig.s COM'!AG77</f>
        <v>235620000</v>
      </c>
      <c r="BG166" s="68">
        <f>'Alt. scenario COM'!AC77</f>
        <v>240817500</v>
      </c>
      <c r="BH166" s="69">
        <f>'Alt. scenario COM'!AD77</f>
        <v>239085000</v>
      </c>
      <c r="BI166" s="69">
        <f>'Alt. scenario COM'!AE77</f>
        <v>237352500</v>
      </c>
      <c r="BJ166" s="92">
        <f>'Alt. scenario COM'!AF77</f>
        <v>235620000</v>
      </c>
      <c r="BK166" s="244">
        <f>'Alt. scenario COM'!AG77</f>
        <v>235620000</v>
      </c>
      <c r="BL166" s="68">
        <f>'Key financial and ops fig.s COM'!AH77</f>
        <v>233887500</v>
      </c>
      <c r="BM166" s="69">
        <f>'Key financial and ops fig.s COM'!AI77</f>
        <v>232155000</v>
      </c>
      <c r="BN166" s="69">
        <f>'Key financial and ops fig.s COM'!AJ77</f>
        <v>230422500</v>
      </c>
      <c r="BO166" s="92">
        <f>'Key financial and ops fig.s COM'!AK77</f>
        <v>228690000</v>
      </c>
      <c r="BP166" s="226">
        <f>'Key financial and ops fig.s COM'!AL77</f>
        <v>228690000</v>
      </c>
      <c r="BQ166" s="68">
        <f>'Alt. scenario COM'!AH77</f>
        <v>233887500</v>
      </c>
      <c r="BR166" s="69">
        <f>'Alt. scenario COM'!AI77</f>
        <v>232155000</v>
      </c>
      <c r="BS166" s="69">
        <f>'Alt. scenario COM'!AJ77</f>
        <v>230422500</v>
      </c>
      <c r="BT166" s="92">
        <f>'Alt. scenario COM'!AK77</f>
        <v>228690000</v>
      </c>
      <c r="BU166" s="244">
        <f>'Alt. scenario COM'!AL77</f>
        <v>228690000</v>
      </c>
    </row>
    <row r="167" spans="1:73" s="56" customFormat="1" ht="15.95">
      <c r="A167" s="55"/>
      <c r="C167" s="189" t="s">
        <v>314</v>
      </c>
      <c r="D167" s="68">
        <f>'Key financial and ops fig.s COM'!D78</f>
        <v>1377337.5</v>
      </c>
      <c r="E167" s="69">
        <f>'Key financial and ops fig.s COM'!E78</f>
        <v>2737350</v>
      </c>
      <c r="F167" s="69">
        <f>'Key financial and ops fig.s COM'!F78</f>
        <v>4080037.5</v>
      </c>
      <c r="G167" s="92">
        <f>'Key financial and ops fig.s COM'!G78</f>
        <v>5405400</v>
      </c>
      <c r="H167" s="226">
        <f>'Key financial and ops fig.s COM'!H78</f>
        <v>5405400</v>
      </c>
      <c r="I167" s="68">
        <f>'Alt. scenario COM'!D78</f>
        <v>1377337.5</v>
      </c>
      <c r="J167" s="69">
        <f>'Alt. scenario COM'!E78</f>
        <v>2737350</v>
      </c>
      <c r="K167" s="69">
        <f>'Alt. scenario COM'!F78</f>
        <v>4080037.5</v>
      </c>
      <c r="L167" s="92">
        <f>'Alt. scenario COM'!G78</f>
        <v>5405400</v>
      </c>
      <c r="M167" s="244">
        <f>'Alt. scenario COM'!H78</f>
        <v>5405400</v>
      </c>
      <c r="N167" s="68">
        <f>'Key financial and ops fig.s COM'!I78</f>
        <v>6713437.5</v>
      </c>
      <c r="O167" s="69">
        <f>'Key financial and ops fig.s COM'!J78</f>
        <v>8004150</v>
      </c>
      <c r="P167" s="69">
        <f>'Key financial and ops fig.s COM'!K78</f>
        <v>9277537.5</v>
      </c>
      <c r="Q167" s="92">
        <f>'Key financial and ops fig.s COM'!L78</f>
        <v>10533600</v>
      </c>
      <c r="R167" s="226">
        <f>'Key financial and ops fig.s COM'!M78</f>
        <v>10533600</v>
      </c>
      <c r="S167" s="68">
        <f>'Alt. scenario COM'!I78</f>
        <v>6713437.5</v>
      </c>
      <c r="T167" s="69">
        <f>'Alt. scenario COM'!J78</f>
        <v>8004150</v>
      </c>
      <c r="U167" s="69">
        <f>'Alt. scenario COM'!K78</f>
        <v>9277537.5</v>
      </c>
      <c r="V167" s="92">
        <f>'Alt. scenario COM'!L78</f>
        <v>10533600</v>
      </c>
      <c r="W167" s="244">
        <f>'Alt. scenario COM'!M78</f>
        <v>10533600</v>
      </c>
      <c r="X167" s="68">
        <f>'Key financial and ops fig.s COM'!N78</f>
        <v>11772337.5</v>
      </c>
      <c r="Y167" s="69">
        <f>'Key financial and ops fig.s COM'!O78</f>
        <v>12993750</v>
      </c>
      <c r="Z167" s="69">
        <f>'Key financial and ops fig.s COM'!P78</f>
        <v>14197837.5</v>
      </c>
      <c r="AA167" s="92">
        <f>'Key financial and ops fig.s COM'!Q78</f>
        <v>15384600</v>
      </c>
      <c r="AB167" s="226">
        <f>'Key financial and ops fig.s COM'!R78</f>
        <v>15384600</v>
      </c>
      <c r="AC167" s="68">
        <f>'Alt. scenario COM'!N78</f>
        <v>11772337.5</v>
      </c>
      <c r="AD167" s="69">
        <f>'Alt. scenario COM'!O78</f>
        <v>12993750</v>
      </c>
      <c r="AE167" s="69">
        <f>'Alt. scenario COM'!P78</f>
        <v>14197837.5</v>
      </c>
      <c r="AF167" s="92">
        <f>'Alt. scenario COM'!Q78</f>
        <v>15384600</v>
      </c>
      <c r="AG167" s="244">
        <f>'Alt. scenario COM'!R78</f>
        <v>15384600</v>
      </c>
      <c r="AH167" s="68">
        <f>'Key financial and ops fig.s COM'!S78</f>
        <v>16554037.5</v>
      </c>
      <c r="AI167" s="69">
        <f>'Key financial and ops fig.s COM'!T78</f>
        <v>17706150</v>
      </c>
      <c r="AJ167" s="69">
        <f>'Key financial and ops fig.s COM'!U78</f>
        <v>18840937.5</v>
      </c>
      <c r="AK167" s="92">
        <f>'Key financial and ops fig.s COM'!V78</f>
        <v>19958400</v>
      </c>
      <c r="AL167" s="226">
        <f>'Key financial and ops fig.s COM'!W78</f>
        <v>19958400</v>
      </c>
      <c r="AM167" s="68">
        <f>'Alt. scenario COM'!S78</f>
        <v>16554037.5</v>
      </c>
      <c r="AN167" s="69">
        <f>'Alt. scenario COM'!T78</f>
        <v>17706150</v>
      </c>
      <c r="AO167" s="69">
        <f>'Alt. scenario COM'!U78</f>
        <v>18840937.5</v>
      </c>
      <c r="AP167" s="92">
        <f>'Alt. scenario COM'!V78</f>
        <v>19958400</v>
      </c>
      <c r="AQ167" s="244">
        <f>'Alt. scenario COM'!W78</f>
        <v>19958400</v>
      </c>
      <c r="AR167" s="68">
        <f>'Key financial and ops fig.s COM'!X78</f>
        <v>21058537.5</v>
      </c>
      <c r="AS167" s="69">
        <f>'Key financial and ops fig.s COM'!Y78</f>
        <v>22141350</v>
      </c>
      <c r="AT167" s="69">
        <f>'Key financial and ops fig.s COM'!Z78</f>
        <v>23206837.5</v>
      </c>
      <c r="AU167" s="92">
        <f>'Key financial and ops fig.s COM'!AA78</f>
        <v>24255000</v>
      </c>
      <c r="AV167" s="226">
        <f>'Key financial and ops fig.s COM'!AB78</f>
        <v>24255000</v>
      </c>
      <c r="AW167" s="68">
        <f>'Alt. scenario COM'!X78</f>
        <v>21058537.5</v>
      </c>
      <c r="AX167" s="69">
        <f>'Alt. scenario COM'!Y78</f>
        <v>22141350</v>
      </c>
      <c r="AY167" s="69">
        <f>'Alt. scenario COM'!Z78</f>
        <v>23206837.5</v>
      </c>
      <c r="AZ167" s="92">
        <f>'Alt. scenario COM'!AA78</f>
        <v>24255000</v>
      </c>
      <c r="BA167" s="244">
        <f>'Alt. scenario COM'!AB78</f>
        <v>24255000</v>
      </c>
      <c r="BB167" s="68">
        <f>'Key financial and ops fig.s COM'!AC78</f>
        <v>24081750</v>
      </c>
      <c r="BC167" s="69">
        <f>'Key financial and ops fig.s COM'!AD78</f>
        <v>23908500</v>
      </c>
      <c r="BD167" s="69">
        <f>'Key financial and ops fig.s COM'!AE78</f>
        <v>23735250</v>
      </c>
      <c r="BE167" s="92">
        <f>'Key financial and ops fig.s COM'!AF78</f>
        <v>23562000</v>
      </c>
      <c r="BF167" s="226">
        <f>'Key financial and ops fig.s COM'!AG78</f>
        <v>23562000</v>
      </c>
      <c r="BG167" s="68">
        <f>'Alt. scenario COM'!AC78</f>
        <v>24081750</v>
      </c>
      <c r="BH167" s="69">
        <f>'Alt. scenario COM'!AD78</f>
        <v>23908500</v>
      </c>
      <c r="BI167" s="69">
        <f>'Alt. scenario COM'!AE78</f>
        <v>23735250</v>
      </c>
      <c r="BJ167" s="92">
        <f>'Alt. scenario COM'!AF78</f>
        <v>23562000</v>
      </c>
      <c r="BK167" s="244">
        <f>'Alt. scenario COM'!AG78</f>
        <v>23562000</v>
      </c>
      <c r="BL167" s="68">
        <f>'Key financial and ops fig.s COM'!AH78</f>
        <v>23388750</v>
      </c>
      <c r="BM167" s="69">
        <f>'Key financial and ops fig.s COM'!AI78</f>
        <v>23215500</v>
      </c>
      <c r="BN167" s="69">
        <f>'Key financial and ops fig.s COM'!AJ78</f>
        <v>23042250</v>
      </c>
      <c r="BO167" s="92">
        <f>'Key financial and ops fig.s COM'!AK78</f>
        <v>22869000</v>
      </c>
      <c r="BP167" s="226">
        <f>'Key financial and ops fig.s COM'!AL78</f>
        <v>22869000</v>
      </c>
      <c r="BQ167" s="68">
        <f>'Alt. scenario COM'!AH78</f>
        <v>23388750</v>
      </c>
      <c r="BR167" s="69">
        <f>'Alt. scenario COM'!AI78</f>
        <v>23215500</v>
      </c>
      <c r="BS167" s="69">
        <f>'Alt. scenario COM'!AJ78</f>
        <v>23042250</v>
      </c>
      <c r="BT167" s="92">
        <f>'Alt. scenario COM'!AK78</f>
        <v>22869000</v>
      </c>
      <c r="BU167" s="244">
        <f>'Alt. scenario COM'!AL78</f>
        <v>22869000</v>
      </c>
    </row>
    <row r="168" spans="1:73" s="56" customFormat="1" ht="15.95">
      <c r="A168" s="55"/>
      <c r="C168" s="189" t="s">
        <v>315</v>
      </c>
      <c r="D168" s="68">
        <f>'Key financial and ops fig.s COM'!D79</f>
        <v>1377337.5</v>
      </c>
      <c r="E168" s="69">
        <f>'Key financial and ops fig.s COM'!E79</f>
        <v>2737350</v>
      </c>
      <c r="F168" s="69">
        <f>'Key financial and ops fig.s COM'!F79</f>
        <v>4080037.5</v>
      </c>
      <c r="G168" s="92">
        <f>'Key financial and ops fig.s COM'!G79</f>
        <v>5405400</v>
      </c>
      <c r="H168" s="226">
        <f>'Key financial and ops fig.s COM'!H79</f>
        <v>5405400</v>
      </c>
      <c r="I168" s="68">
        <f>'Alt. scenario COM'!D79</f>
        <v>1377337.5</v>
      </c>
      <c r="J168" s="69">
        <f>'Alt. scenario COM'!E79</f>
        <v>2737350</v>
      </c>
      <c r="K168" s="69">
        <f>'Alt. scenario COM'!F79</f>
        <v>4080037.5</v>
      </c>
      <c r="L168" s="92">
        <f>'Alt. scenario COM'!G79</f>
        <v>5405400</v>
      </c>
      <c r="M168" s="244">
        <f>'Alt. scenario COM'!H79</f>
        <v>5405400</v>
      </c>
      <c r="N168" s="68">
        <f>'Key financial and ops fig.s COM'!I79</f>
        <v>6713437.5</v>
      </c>
      <c r="O168" s="69">
        <f>'Key financial and ops fig.s COM'!J79</f>
        <v>8004150</v>
      </c>
      <c r="P168" s="69">
        <f>'Key financial and ops fig.s COM'!K79</f>
        <v>9277537.5</v>
      </c>
      <c r="Q168" s="92">
        <f>'Key financial and ops fig.s COM'!L79</f>
        <v>10533600</v>
      </c>
      <c r="R168" s="226">
        <f>'Key financial and ops fig.s COM'!M79</f>
        <v>10533600</v>
      </c>
      <c r="S168" s="68">
        <f>'Alt. scenario COM'!I79</f>
        <v>6713437.5</v>
      </c>
      <c r="T168" s="69">
        <f>'Alt. scenario COM'!J79</f>
        <v>8004150</v>
      </c>
      <c r="U168" s="69">
        <f>'Alt. scenario COM'!K79</f>
        <v>9277537.5</v>
      </c>
      <c r="V168" s="92">
        <f>'Alt. scenario COM'!L79</f>
        <v>10533600</v>
      </c>
      <c r="W168" s="244">
        <f>'Alt. scenario COM'!M79</f>
        <v>10533600</v>
      </c>
      <c r="X168" s="68">
        <f>'Key financial and ops fig.s COM'!N79</f>
        <v>11772337.5</v>
      </c>
      <c r="Y168" s="69">
        <f>'Key financial and ops fig.s COM'!O79</f>
        <v>12993750</v>
      </c>
      <c r="Z168" s="69">
        <f>'Key financial and ops fig.s COM'!P79</f>
        <v>14197837.5</v>
      </c>
      <c r="AA168" s="92">
        <f>'Key financial and ops fig.s COM'!Q79</f>
        <v>15384600</v>
      </c>
      <c r="AB168" s="226">
        <f>'Key financial and ops fig.s COM'!R79</f>
        <v>15384600</v>
      </c>
      <c r="AC168" s="68">
        <f>'Alt. scenario COM'!N79</f>
        <v>11772337.5</v>
      </c>
      <c r="AD168" s="69">
        <f>'Alt. scenario COM'!O79</f>
        <v>12993750</v>
      </c>
      <c r="AE168" s="69">
        <f>'Alt. scenario COM'!P79</f>
        <v>14197837.5</v>
      </c>
      <c r="AF168" s="92">
        <f>'Alt. scenario COM'!Q79</f>
        <v>15384600</v>
      </c>
      <c r="AG168" s="244">
        <f>'Alt. scenario COM'!R79</f>
        <v>15384600</v>
      </c>
      <c r="AH168" s="68">
        <f>'Key financial and ops fig.s COM'!S79</f>
        <v>16554037.5</v>
      </c>
      <c r="AI168" s="69">
        <f>'Key financial and ops fig.s COM'!T79</f>
        <v>17706150</v>
      </c>
      <c r="AJ168" s="69">
        <f>'Key financial and ops fig.s COM'!U79</f>
        <v>18840937.5</v>
      </c>
      <c r="AK168" s="92">
        <f>'Key financial and ops fig.s COM'!V79</f>
        <v>19958400</v>
      </c>
      <c r="AL168" s="226">
        <f>'Key financial and ops fig.s COM'!W79</f>
        <v>19958400</v>
      </c>
      <c r="AM168" s="68">
        <f>'Alt. scenario COM'!S79</f>
        <v>16554037.5</v>
      </c>
      <c r="AN168" s="69">
        <f>'Alt. scenario COM'!T79</f>
        <v>17706150</v>
      </c>
      <c r="AO168" s="69">
        <f>'Alt. scenario COM'!U79</f>
        <v>18840937.5</v>
      </c>
      <c r="AP168" s="92">
        <f>'Alt. scenario COM'!V79</f>
        <v>19958400</v>
      </c>
      <c r="AQ168" s="244">
        <f>'Alt. scenario COM'!W79</f>
        <v>19958400</v>
      </c>
      <c r="AR168" s="68">
        <f>'Key financial and ops fig.s COM'!X79</f>
        <v>21058537.5</v>
      </c>
      <c r="AS168" s="69">
        <f>'Key financial and ops fig.s COM'!Y79</f>
        <v>22141350</v>
      </c>
      <c r="AT168" s="69">
        <f>'Key financial and ops fig.s COM'!Z79</f>
        <v>23206837.5</v>
      </c>
      <c r="AU168" s="92">
        <f>'Key financial and ops fig.s COM'!AA79</f>
        <v>24255000</v>
      </c>
      <c r="AV168" s="226">
        <f>'Key financial and ops fig.s COM'!AB79</f>
        <v>24255000</v>
      </c>
      <c r="AW168" s="68">
        <f>'Alt. scenario COM'!X79</f>
        <v>21058537.5</v>
      </c>
      <c r="AX168" s="69">
        <f>'Alt. scenario COM'!Y79</f>
        <v>22141350</v>
      </c>
      <c r="AY168" s="69">
        <f>'Alt. scenario COM'!Z79</f>
        <v>23206837.5</v>
      </c>
      <c r="AZ168" s="92">
        <f>'Alt. scenario COM'!AA79</f>
        <v>24255000</v>
      </c>
      <c r="BA168" s="244">
        <f>'Alt. scenario COM'!AB79</f>
        <v>24255000</v>
      </c>
      <c r="BB168" s="68">
        <f>'Key financial and ops fig.s COM'!AC79</f>
        <v>24081750</v>
      </c>
      <c r="BC168" s="69">
        <f>'Key financial and ops fig.s COM'!AD79</f>
        <v>23908500</v>
      </c>
      <c r="BD168" s="69">
        <f>'Key financial and ops fig.s COM'!AE79</f>
        <v>23735250</v>
      </c>
      <c r="BE168" s="92">
        <f>'Key financial and ops fig.s COM'!AF79</f>
        <v>23562000</v>
      </c>
      <c r="BF168" s="226">
        <f>'Key financial and ops fig.s COM'!AG79</f>
        <v>23562000</v>
      </c>
      <c r="BG168" s="68">
        <f>'Alt. scenario COM'!AC79</f>
        <v>24081750</v>
      </c>
      <c r="BH168" s="69">
        <f>'Alt. scenario COM'!AD79</f>
        <v>23908500</v>
      </c>
      <c r="BI168" s="69">
        <f>'Alt. scenario COM'!AE79</f>
        <v>23735250</v>
      </c>
      <c r="BJ168" s="92">
        <f>'Alt. scenario COM'!AF79</f>
        <v>23562000</v>
      </c>
      <c r="BK168" s="244">
        <f>'Alt. scenario COM'!AG79</f>
        <v>23562000</v>
      </c>
      <c r="BL168" s="68">
        <f>'Key financial and ops fig.s COM'!AH79</f>
        <v>23388750</v>
      </c>
      <c r="BM168" s="69">
        <f>'Key financial and ops fig.s COM'!AI79</f>
        <v>23215500</v>
      </c>
      <c r="BN168" s="69">
        <f>'Key financial and ops fig.s COM'!AJ79</f>
        <v>23042250</v>
      </c>
      <c r="BO168" s="92">
        <f>'Key financial and ops fig.s COM'!AK79</f>
        <v>22869000</v>
      </c>
      <c r="BP168" s="226">
        <f>'Key financial and ops fig.s COM'!AL79</f>
        <v>22869000</v>
      </c>
      <c r="BQ168" s="68">
        <f>'Alt. scenario COM'!AH79</f>
        <v>23388750</v>
      </c>
      <c r="BR168" s="69">
        <f>'Alt. scenario COM'!AI79</f>
        <v>23215500</v>
      </c>
      <c r="BS168" s="69">
        <f>'Alt. scenario COM'!AJ79</f>
        <v>23042250</v>
      </c>
      <c r="BT168" s="92">
        <f>'Alt. scenario COM'!AK79</f>
        <v>22869000</v>
      </c>
      <c r="BU168" s="244">
        <f>'Alt. scenario COM'!AL79</f>
        <v>22869000</v>
      </c>
    </row>
    <row r="169" spans="1:73" ht="15.95">
      <c r="A169" s="55"/>
      <c r="C169" s="189" t="s">
        <v>316</v>
      </c>
      <c r="D169" s="68">
        <f>'Key financial and ops fig.s COM'!D80</f>
        <v>1377337.5</v>
      </c>
      <c r="E169" s="69">
        <f>'Key financial and ops fig.s COM'!E80</f>
        <v>2737350</v>
      </c>
      <c r="F169" s="69">
        <f>'Key financial and ops fig.s COM'!F80</f>
        <v>4080037.5</v>
      </c>
      <c r="G169" s="92">
        <f>'Key financial and ops fig.s COM'!G80</f>
        <v>5405400</v>
      </c>
      <c r="H169" s="226">
        <f>'Key financial and ops fig.s COM'!H80</f>
        <v>5405400</v>
      </c>
      <c r="I169" s="68">
        <f>'Alt. scenario COM'!D80</f>
        <v>1377337.5</v>
      </c>
      <c r="J169" s="69">
        <f>'Alt. scenario COM'!E80</f>
        <v>2737350</v>
      </c>
      <c r="K169" s="69">
        <f>'Alt. scenario COM'!F80</f>
        <v>4080037.5</v>
      </c>
      <c r="L169" s="92">
        <f>'Alt. scenario COM'!G80</f>
        <v>5405400</v>
      </c>
      <c r="M169" s="244">
        <f>'Alt. scenario COM'!H80</f>
        <v>5405400</v>
      </c>
      <c r="N169" s="68">
        <f>'Key financial and ops fig.s COM'!I80</f>
        <v>6713437.5</v>
      </c>
      <c r="O169" s="69">
        <f>'Key financial and ops fig.s COM'!J80</f>
        <v>8004150</v>
      </c>
      <c r="P169" s="69">
        <f>'Key financial and ops fig.s COM'!K80</f>
        <v>9277537.5</v>
      </c>
      <c r="Q169" s="92">
        <f>'Key financial and ops fig.s COM'!L80</f>
        <v>10533600</v>
      </c>
      <c r="R169" s="226">
        <f>'Key financial and ops fig.s COM'!M80</f>
        <v>10533600</v>
      </c>
      <c r="S169" s="68">
        <f>'Alt. scenario COM'!I80</f>
        <v>6713437.5</v>
      </c>
      <c r="T169" s="69">
        <f>'Alt. scenario COM'!J80</f>
        <v>8004150</v>
      </c>
      <c r="U169" s="69">
        <f>'Alt. scenario COM'!K80</f>
        <v>9277537.5</v>
      </c>
      <c r="V169" s="92">
        <f>'Alt. scenario COM'!L80</f>
        <v>10533600</v>
      </c>
      <c r="W169" s="244">
        <f>'Alt. scenario COM'!M80</f>
        <v>10533600</v>
      </c>
      <c r="X169" s="68">
        <f>'Key financial and ops fig.s COM'!N80</f>
        <v>11772337.5</v>
      </c>
      <c r="Y169" s="69">
        <f>'Key financial and ops fig.s COM'!O80</f>
        <v>12993750</v>
      </c>
      <c r="Z169" s="69">
        <f>'Key financial and ops fig.s COM'!P80</f>
        <v>14197837.5</v>
      </c>
      <c r="AA169" s="92">
        <f>'Key financial and ops fig.s COM'!Q80</f>
        <v>15384600</v>
      </c>
      <c r="AB169" s="226">
        <f>'Key financial and ops fig.s COM'!R80</f>
        <v>15384600</v>
      </c>
      <c r="AC169" s="68">
        <f>'Alt. scenario COM'!N80</f>
        <v>11772337.5</v>
      </c>
      <c r="AD169" s="69">
        <f>'Alt. scenario COM'!O80</f>
        <v>12993750</v>
      </c>
      <c r="AE169" s="69">
        <f>'Alt. scenario COM'!P80</f>
        <v>14197837.5</v>
      </c>
      <c r="AF169" s="92">
        <f>'Alt. scenario COM'!Q80</f>
        <v>15384600</v>
      </c>
      <c r="AG169" s="244">
        <f>'Alt. scenario COM'!R80</f>
        <v>15384600</v>
      </c>
      <c r="AH169" s="68">
        <f>'Key financial and ops fig.s COM'!S80</f>
        <v>16554037.5</v>
      </c>
      <c r="AI169" s="69">
        <f>'Key financial and ops fig.s COM'!T80</f>
        <v>17706150</v>
      </c>
      <c r="AJ169" s="69">
        <f>'Key financial and ops fig.s COM'!U80</f>
        <v>18840937.5</v>
      </c>
      <c r="AK169" s="92">
        <f>'Key financial and ops fig.s COM'!V80</f>
        <v>19958400</v>
      </c>
      <c r="AL169" s="226">
        <f>'Key financial and ops fig.s COM'!W80</f>
        <v>19958400</v>
      </c>
      <c r="AM169" s="68">
        <f>'Alt. scenario COM'!S80</f>
        <v>16554037.5</v>
      </c>
      <c r="AN169" s="69">
        <f>'Alt. scenario COM'!T80</f>
        <v>17706150</v>
      </c>
      <c r="AO169" s="69">
        <f>'Alt. scenario COM'!U80</f>
        <v>18840937.5</v>
      </c>
      <c r="AP169" s="92">
        <f>'Alt. scenario COM'!V80</f>
        <v>19958400</v>
      </c>
      <c r="AQ169" s="244">
        <f>'Alt. scenario COM'!W80</f>
        <v>19958400</v>
      </c>
      <c r="AR169" s="68">
        <f>'Key financial and ops fig.s COM'!X80</f>
        <v>21058537.5</v>
      </c>
      <c r="AS169" s="69">
        <f>'Key financial and ops fig.s COM'!Y80</f>
        <v>22141350</v>
      </c>
      <c r="AT169" s="69">
        <f>'Key financial and ops fig.s COM'!Z80</f>
        <v>23206837.5</v>
      </c>
      <c r="AU169" s="92">
        <f>'Key financial and ops fig.s COM'!AA80</f>
        <v>24255000</v>
      </c>
      <c r="AV169" s="226">
        <f>'Key financial and ops fig.s COM'!AB80</f>
        <v>24255000</v>
      </c>
      <c r="AW169" s="68">
        <f>'Alt. scenario COM'!X80</f>
        <v>21058537.5</v>
      </c>
      <c r="AX169" s="69">
        <f>'Alt. scenario COM'!Y80</f>
        <v>22141350</v>
      </c>
      <c r="AY169" s="69">
        <f>'Alt. scenario COM'!Z80</f>
        <v>23206837.5</v>
      </c>
      <c r="AZ169" s="92">
        <f>'Alt. scenario COM'!AA80</f>
        <v>24255000</v>
      </c>
      <c r="BA169" s="244">
        <f>'Alt. scenario COM'!AB80</f>
        <v>24255000</v>
      </c>
      <c r="BB169" s="68">
        <f>'Key financial and ops fig.s COM'!AC80</f>
        <v>24081750</v>
      </c>
      <c r="BC169" s="69">
        <f>'Key financial and ops fig.s COM'!AD80</f>
        <v>23908500</v>
      </c>
      <c r="BD169" s="69">
        <f>'Key financial and ops fig.s COM'!AE80</f>
        <v>23735250</v>
      </c>
      <c r="BE169" s="92">
        <f>'Key financial and ops fig.s COM'!AF80</f>
        <v>23562000</v>
      </c>
      <c r="BF169" s="226">
        <f>'Key financial and ops fig.s COM'!AG80</f>
        <v>23562000</v>
      </c>
      <c r="BG169" s="68">
        <f>'Alt. scenario COM'!AC80</f>
        <v>24081750</v>
      </c>
      <c r="BH169" s="69">
        <f>'Alt. scenario COM'!AD80</f>
        <v>23908500</v>
      </c>
      <c r="BI169" s="69">
        <f>'Alt. scenario COM'!AE80</f>
        <v>23735250</v>
      </c>
      <c r="BJ169" s="92">
        <f>'Alt. scenario COM'!AF80</f>
        <v>23562000</v>
      </c>
      <c r="BK169" s="244">
        <f>'Alt. scenario COM'!AG80</f>
        <v>23562000</v>
      </c>
      <c r="BL169" s="68">
        <f>'Key financial and ops fig.s COM'!AH80</f>
        <v>23388750</v>
      </c>
      <c r="BM169" s="69">
        <f>'Key financial and ops fig.s COM'!AI80</f>
        <v>23215500</v>
      </c>
      <c r="BN169" s="69">
        <f>'Key financial and ops fig.s COM'!AJ80</f>
        <v>23042250</v>
      </c>
      <c r="BO169" s="92">
        <f>'Key financial and ops fig.s COM'!AK80</f>
        <v>22869000</v>
      </c>
      <c r="BP169" s="226">
        <f>'Key financial and ops fig.s COM'!AL80</f>
        <v>22869000</v>
      </c>
      <c r="BQ169" s="68">
        <f>'Alt. scenario COM'!AH80</f>
        <v>23388750</v>
      </c>
      <c r="BR169" s="69">
        <f>'Alt. scenario COM'!AI80</f>
        <v>23215500</v>
      </c>
      <c r="BS169" s="69">
        <f>'Alt. scenario COM'!AJ80</f>
        <v>23042250</v>
      </c>
      <c r="BT169" s="92">
        <f>'Alt. scenario COM'!AK80</f>
        <v>22869000</v>
      </c>
      <c r="BU169" s="244">
        <f>'Alt. scenario COM'!AL80</f>
        <v>22869000</v>
      </c>
    </row>
    <row r="170" spans="1:73" ht="15.95">
      <c r="A170" s="55"/>
      <c r="C170" s="189" t="s">
        <v>317</v>
      </c>
      <c r="D170" s="68">
        <f>'Key financial and ops fig.s COM'!D81</f>
        <v>8264025</v>
      </c>
      <c r="E170" s="69">
        <f>'Key financial and ops fig.s COM'!E81</f>
        <v>16424100</v>
      </c>
      <c r="F170" s="69">
        <f>'Key financial and ops fig.s COM'!F81</f>
        <v>24480225</v>
      </c>
      <c r="G170" s="92">
        <f>'Key financial and ops fig.s COM'!G81</f>
        <v>32432400</v>
      </c>
      <c r="H170" s="226">
        <f>'Key financial and ops fig.s COM'!H81</f>
        <v>32432400</v>
      </c>
      <c r="I170" s="68">
        <f>'Alt. scenario COM'!D81</f>
        <v>8264025</v>
      </c>
      <c r="J170" s="69">
        <f>'Alt. scenario COM'!E81</f>
        <v>16424100</v>
      </c>
      <c r="K170" s="69">
        <f>'Alt. scenario COM'!F81</f>
        <v>24480225</v>
      </c>
      <c r="L170" s="92">
        <f>'Alt. scenario COM'!G81</f>
        <v>32432400</v>
      </c>
      <c r="M170" s="244">
        <f>'Alt. scenario COM'!H81</f>
        <v>32432400</v>
      </c>
      <c r="N170" s="68">
        <f>'Key financial and ops fig.s COM'!I81</f>
        <v>40280625</v>
      </c>
      <c r="O170" s="69">
        <f>'Key financial and ops fig.s COM'!J81</f>
        <v>48024900</v>
      </c>
      <c r="P170" s="69">
        <f>'Key financial and ops fig.s COM'!K81</f>
        <v>55665225</v>
      </c>
      <c r="Q170" s="92">
        <f>'Key financial and ops fig.s COM'!L81</f>
        <v>63201600</v>
      </c>
      <c r="R170" s="226">
        <f>'Key financial and ops fig.s COM'!M81</f>
        <v>63201600</v>
      </c>
      <c r="S170" s="68">
        <f>'Alt. scenario COM'!I81</f>
        <v>40280625</v>
      </c>
      <c r="T170" s="69">
        <f>'Alt. scenario COM'!J81</f>
        <v>48024900</v>
      </c>
      <c r="U170" s="69">
        <f>'Alt. scenario COM'!K81</f>
        <v>55665225</v>
      </c>
      <c r="V170" s="92">
        <f>'Alt. scenario COM'!L81</f>
        <v>63201600</v>
      </c>
      <c r="W170" s="244">
        <f>'Alt. scenario COM'!M81</f>
        <v>63201600</v>
      </c>
      <c r="X170" s="68">
        <f>'Key financial and ops fig.s COM'!N81</f>
        <v>70634025</v>
      </c>
      <c r="Y170" s="69">
        <f>'Key financial and ops fig.s COM'!O81</f>
        <v>77962500</v>
      </c>
      <c r="Z170" s="69">
        <f>'Key financial and ops fig.s COM'!P81</f>
        <v>85187025</v>
      </c>
      <c r="AA170" s="92">
        <f>'Key financial and ops fig.s COM'!Q81</f>
        <v>92307600</v>
      </c>
      <c r="AB170" s="226">
        <f>'Key financial and ops fig.s COM'!R81</f>
        <v>92307600</v>
      </c>
      <c r="AC170" s="68">
        <f>'Alt. scenario COM'!N81</f>
        <v>70634025</v>
      </c>
      <c r="AD170" s="69">
        <f>'Alt. scenario COM'!O81</f>
        <v>77962500</v>
      </c>
      <c r="AE170" s="69">
        <f>'Alt. scenario COM'!P81</f>
        <v>85187025</v>
      </c>
      <c r="AF170" s="92">
        <f>'Alt. scenario COM'!Q81</f>
        <v>92307600</v>
      </c>
      <c r="AG170" s="244">
        <f>'Alt. scenario COM'!R81</f>
        <v>92307600</v>
      </c>
      <c r="AH170" s="68">
        <f>'Key financial and ops fig.s COM'!S81</f>
        <v>99324225</v>
      </c>
      <c r="AI170" s="69">
        <f>'Key financial and ops fig.s COM'!T81</f>
        <v>106236900</v>
      </c>
      <c r="AJ170" s="69">
        <f>'Key financial and ops fig.s COM'!U81</f>
        <v>113045625</v>
      </c>
      <c r="AK170" s="92">
        <f>'Key financial and ops fig.s COM'!V81</f>
        <v>119750400</v>
      </c>
      <c r="AL170" s="226">
        <f>'Key financial and ops fig.s COM'!W81</f>
        <v>119750400</v>
      </c>
      <c r="AM170" s="68">
        <f>'Alt. scenario COM'!S81</f>
        <v>99324225</v>
      </c>
      <c r="AN170" s="69">
        <f>'Alt. scenario COM'!T81</f>
        <v>106236900</v>
      </c>
      <c r="AO170" s="69">
        <f>'Alt. scenario COM'!U81</f>
        <v>113045625</v>
      </c>
      <c r="AP170" s="92">
        <f>'Alt. scenario COM'!V81</f>
        <v>119750400</v>
      </c>
      <c r="AQ170" s="244">
        <f>'Alt. scenario COM'!W81</f>
        <v>119750400</v>
      </c>
      <c r="AR170" s="68">
        <f>'Key financial and ops fig.s COM'!X81</f>
        <v>126351225</v>
      </c>
      <c r="AS170" s="69">
        <f>'Key financial and ops fig.s COM'!Y81</f>
        <v>132848100</v>
      </c>
      <c r="AT170" s="69">
        <f>'Key financial and ops fig.s COM'!Z81</f>
        <v>139241025</v>
      </c>
      <c r="AU170" s="92">
        <f>'Key financial and ops fig.s COM'!AA81</f>
        <v>145530000</v>
      </c>
      <c r="AV170" s="226">
        <f>'Key financial and ops fig.s COM'!AB81</f>
        <v>145530000</v>
      </c>
      <c r="AW170" s="68">
        <f>'Alt. scenario COM'!X81</f>
        <v>126351225</v>
      </c>
      <c r="AX170" s="69">
        <f>'Alt. scenario COM'!Y81</f>
        <v>132848100</v>
      </c>
      <c r="AY170" s="69">
        <f>'Alt. scenario COM'!Z81</f>
        <v>139241025</v>
      </c>
      <c r="AZ170" s="92">
        <f>'Alt. scenario COM'!AA81</f>
        <v>145530000</v>
      </c>
      <c r="BA170" s="244">
        <f>'Alt. scenario COM'!AB81</f>
        <v>145530000</v>
      </c>
      <c r="BB170" s="68">
        <f>'Key financial and ops fig.s COM'!AC81</f>
        <v>144490500</v>
      </c>
      <c r="BC170" s="69">
        <f>'Key financial and ops fig.s COM'!AD81</f>
        <v>143451000</v>
      </c>
      <c r="BD170" s="69">
        <f>'Key financial and ops fig.s COM'!AE81</f>
        <v>142411500</v>
      </c>
      <c r="BE170" s="92">
        <f>'Key financial and ops fig.s COM'!AF81</f>
        <v>141372000</v>
      </c>
      <c r="BF170" s="226">
        <f>'Key financial and ops fig.s COM'!AG81</f>
        <v>141372000</v>
      </c>
      <c r="BG170" s="68">
        <f>'Alt. scenario COM'!AC81</f>
        <v>144490500</v>
      </c>
      <c r="BH170" s="69">
        <f>'Alt. scenario COM'!AD81</f>
        <v>143451000</v>
      </c>
      <c r="BI170" s="69">
        <f>'Alt. scenario COM'!AE81</f>
        <v>142411500</v>
      </c>
      <c r="BJ170" s="92">
        <f>'Alt. scenario COM'!AF81</f>
        <v>141372000</v>
      </c>
      <c r="BK170" s="244">
        <f>'Alt. scenario COM'!AG81</f>
        <v>141372000</v>
      </c>
      <c r="BL170" s="68">
        <f>'Key financial and ops fig.s COM'!AH81</f>
        <v>140332500</v>
      </c>
      <c r="BM170" s="69">
        <f>'Key financial and ops fig.s COM'!AI81</f>
        <v>139293000</v>
      </c>
      <c r="BN170" s="69">
        <f>'Key financial and ops fig.s COM'!AJ81</f>
        <v>138253500</v>
      </c>
      <c r="BO170" s="92">
        <f>'Key financial and ops fig.s COM'!AK81</f>
        <v>137214000</v>
      </c>
      <c r="BP170" s="226">
        <f>'Key financial and ops fig.s COM'!AL81</f>
        <v>137214000</v>
      </c>
      <c r="BQ170" s="68">
        <f>'Alt. scenario COM'!AH81</f>
        <v>140332500</v>
      </c>
      <c r="BR170" s="69">
        <f>'Alt. scenario COM'!AI81</f>
        <v>139293000</v>
      </c>
      <c r="BS170" s="69">
        <f>'Alt. scenario COM'!AJ81</f>
        <v>138253500</v>
      </c>
      <c r="BT170" s="92">
        <f>'Alt. scenario COM'!AK81</f>
        <v>137214000</v>
      </c>
      <c r="BU170" s="244">
        <f>'Alt. scenario COM'!AL81</f>
        <v>137214000</v>
      </c>
    </row>
    <row r="171" spans="1:73" s="56" customFormat="1" ht="15.95">
      <c r="A171" s="55"/>
      <c r="C171" s="189" t="s">
        <v>318</v>
      </c>
      <c r="D171" s="68">
        <f>'Key financial and ops fig.s COM'!D82</f>
        <v>8264025</v>
      </c>
      <c r="E171" s="69">
        <f>'Key financial and ops fig.s COM'!E82</f>
        <v>16424100</v>
      </c>
      <c r="F171" s="69">
        <f>'Key financial and ops fig.s COM'!F82</f>
        <v>24480225</v>
      </c>
      <c r="G171" s="92">
        <f>'Key financial and ops fig.s COM'!G82</f>
        <v>32432400</v>
      </c>
      <c r="H171" s="226">
        <f>'Key financial and ops fig.s COM'!H82</f>
        <v>81600750</v>
      </c>
      <c r="I171" s="68">
        <f>'Alt. scenario COM'!D82</f>
        <v>8264025</v>
      </c>
      <c r="J171" s="69">
        <f>'Alt. scenario COM'!E82</f>
        <v>16424100</v>
      </c>
      <c r="K171" s="69">
        <f>'Alt. scenario COM'!F82</f>
        <v>24480225</v>
      </c>
      <c r="L171" s="92">
        <f>'Alt. scenario COM'!G82</f>
        <v>32432400</v>
      </c>
      <c r="M171" s="244">
        <f>'Alt. scenario COM'!H82</f>
        <v>81600750</v>
      </c>
      <c r="N171" s="68">
        <f>'Key financial and ops fig.s COM'!I82</f>
        <v>40280625</v>
      </c>
      <c r="O171" s="69">
        <f>'Key financial and ops fig.s COM'!J82</f>
        <v>48024900</v>
      </c>
      <c r="P171" s="69">
        <f>'Key financial and ops fig.s COM'!K82</f>
        <v>55665225</v>
      </c>
      <c r="Q171" s="92">
        <f>'Key financial and ops fig.s COM'!L82</f>
        <v>63201600</v>
      </c>
      <c r="R171" s="226">
        <f>'Key financial and ops fig.s COM'!M82</f>
        <v>207172350</v>
      </c>
      <c r="S171" s="68">
        <f>'Alt. scenario COM'!I82</f>
        <v>40280625</v>
      </c>
      <c r="T171" s="69">
        <f>'Alt. scenario COM'!J82</f>
        <v>48024900</v>
      </c>
      <c r="U171" s="69">
        <f>'Alt. scenario COM'!K82</f>
        <v>55665225</v>
      </c>
      <c r="V171" s="92">
        <f>'Alt. scenario COM'!L82</f>
        <v>63201600</v>
      </c>
      <c r="W171" s="244">
        <f>'Alt. scenario COM'!M82</f>
        <v>207172350</v>
      </c>
      <c r="X171" s="68">
        <f>'Key financial and ops fig.s COM'!N82</f>
        <v>70634025</v>
      </c>
      <c r="Y171" s="69">
        <f>'Key financial and ops fig.s COM'!O82</f>
        <v>77962500</v>
      </c>
      <c r="Z171" s="69">
        <f>'Key financial and ops fig.s COM'!P82</f>
        <v>85187025</v>
      </c>
      <c r="AA171" s="92">
        <f>'Key financial and ops fig.s COM'!Q82</f>
        <v>92307600</v>
      </c>
      <c r="AB171" s="226">
        <f>'Key financial and ops fig.s COM'!R82</f>
        <v>326091150</v>
      </c>
      <c r="AC171" s="68">
        <f>'Alt. scenario COM'!N82</f>
        <v>70634025</v>
      </c>
      <c r="AD171" s="69">
        <f>'Alt. scenario COM'!O82</f>
        <v>77962500</v>
      </c>
      <c r="AE171" s="69">
        <f>'Alt. scenario COM'!P82</f>
        <v>85187025</v>
      </c>
      <c r="AF171" s="92">
        <f>'Alt. scenario COM'!Q82</f>
        <v>92307600</v>
      </c>
      <c r="AG171" s="244">
        <f>'Alt. scenario COM'!R82</f>
        <v>326091150</v>
      </c>
      <c r="AH171" s="68">
        <f>'Key financial and ops fig.s COM'!S82</f>
        <v>99324225</v>
      </c>
      <c r="AI171" s="69">
        <f>'Key financial and ops fig.s COM'!T82</f>
        <v>106236900</v>
      </c>
      <c r="AJ171" s="69">
        <f>'Key financial and ops fig.s COM'!U82</f>
        <v>113045625</v>
      </c>
      <c r="AK171" s="92">
        <f>'Key financial and ops fig.s COM'!V82</f>
        <v>119750400</v>
      </c>
      <c r="AL171" s="226">
        <f>'Key financial and ops fig.s COM'!W82</f>
        <v>438357150</v>
      </c>
      <c r="AM171" s="68">
        <f>'Alt. scenario COM'!S82</f>
        <v>99324225</v>
      </c>
      <c r="AN171" s="69">
        <f>'Alt. scenario COM'!T82</f>
        <v>106236900</v>
      </c>
      <c r="AO171" s="69">
        <f>'Alt. scenario COM'!U82</f>
        <v>113045625</v>
      </c>
      <c r="AP171" s="92">
        <f>'Alt. scenario COM'!V82</f>
        <v>119750400</v>
      </c>
      <c r="AQ171" s="244">
        <f>'Alt. scenario COM'!W82</f>
        <v>438357150</v>
      </c>
      <c r="AR171" s="68">
        <f>'Key financial and ops fig.s COM'!X82</f>
        <v>126351225</v>
      </c>
      <c r="AS171" s="69">
        <f>'Key financial and ops fig.s COM'!Y82</f>
        <v>132848100</v>
      </c>
      <c r="AT171" s="69">
        <f>'Key financial and ops fig.s COM'!Z82</f>
        <v>139241025</v>
      </c>
      <c r="AU171" s="92">
        <f>'Key financial and ops fig.s COM'!AA82</f>
        <v>145530000</v>
      </c>
      <c r="AV171" s="226">
        <f>'Key financial and ops fig.s COM'!AB82</f>
        <v>543970350</v>
      </c>
      <c r="AW171" s="68">
        <f>'Alt. scenario COM'!X82</f>
        <v>126351225</v>
      </c>
      <c r="AX171" s="69">
        <f>'Alt. scenario COM'!Y82</f>
        <v>132848100</v>
      </c>
      <c r="AY171" s="69">
        <f>'Alt. scenario COM'!Z82</f>
        <v>139241025</v>
      </c>
      <c r="AZ171" s="92">
        <f>'Alt. scenario COM'!AA82</f>
        <v>145530000</v>
      </c>
      <c r="BA171" s="244">
        <f>'Alt. scenario COM'!AB82</f>
        <v>543970350</v>
      </c>
      <c r="BB171" s="68">
        <f>'Key financial and ops fig.s COM'!AC82</f>
        <v>144490500</v>
      </c>
      <c r="BC171" s="69">
        <f>'Key financial and ops fig.s COM'!AD82</f>
        <v>143451000</v>
      </c>
      <c r="BD171" s="69">
        <f>'Key financial and ops fig.s COM'!AE82</f>
        <v>142411500</v>
      </c>
      <c r="BE171" s="92">
        <f>'Key financial and ops fig.s COM'!AF82</f>
        <v>141372000</v>
      </c>
      <c r="BF171" s="226">
        <f>'Key financial and ops fig.s COM'!AG82</f>
        <v>571725000</v>
      </c>
      <c r="BG171" s="68">
        <f>'Alt. scenario COM'!AC82</f>
        <v>144490500</v>
      </c>
      <c r="BH171" s="69">
        <f>'Alt. scenario COM'!AD82</f>
        <v>143451000</v>
      </c>
      <c r="BI171" s="69">
        <f>'Alt. scenario COM'!AE82</f>
        <v>142411500</v>
      </c>
      <c r="BJ171" s="92">
        <f>'Alt. scenario COM'!AF82</f>
        <v>141372000</v>
      </c>
      <c r="BK171" s="244">
        <f>'Alt. scenario COM'!AG82</f>
        <v>571725000</v>
      </c>
      <c r="BL171" s="68">
        <f>'Key financial and ops fig.s COM'!AH82</f>
        <v>140332500</v>
      </c>
      <c r="BM171" s="69">
        <f>'Key financial and ops fig.s COM'!AI82</f>
        <v>139293000</v>
      </c>
      <c r="BN171" s="69">
        <f>'Key financial and ops fig.s COM'!AJ82</f>
        <v>138253500</v>
      </c>
      <c r="BO171" s="92">
        <f>'Key financial and ops fig.s COM'!AK82</f>
        <v>137214000</v>
      </c>
      <c r="BP171" s="226">
        <f>'Key financial and ops fig.s COM'!AL82</f>
        <v>555093000</v>
      </c>
      <c r="BQ171" s="68">
        <f>'Alt. scenario COM'!AH82</f>
        <v>140332500</v>
      </c>
      <c r="BR171" s="69">
        <f>'Alt. scenario COM'!AI82</f>
        <v>139293000</v>
      </c>
      <c r="BS171" s="69">
        <f>'Alt. scenario COM'!AJ82</f>
        <v>138253500</v>
      </c>
      <c r="BT171" s="92">
        <f>'Alt. scenario COM'!AK82</f>
        <v>137214000</v>
      </c>
      <c r="BU171" s="244">
        <f>'Alt. scenario COM'!AL82</f>
        <v>555093000</v>
      </c>
    </row>
    <row r="172" spans="1:73" s="56" customFormat="1" ht="15.95">
      <c r="A172" s="55"/>
      <c r="C172" s="189" t="s">
        <v>319</v>
      </c>
      <c r="D172" s="68">
        <f>'Key financial and ops fig.s COM'!D83</f>
        <v>8264025</v>
      </c>
      <c r="E172" s="69">
        <f>'Key financial and ops fig.s COM'!E83</f>
        <v>16424100</v>
      </c>
      <c r="F172" s="69">
        <f>'Key financial and ops fig.s COM'!F83</f>
        <v>24480225</v>
      </c>
      <c r="G172" s="92">
        <f>'Key financial and ops fig.s COM'!G83</f>
        <v>32432400</v>
      </c>
      <c r="H172" s="226">
        <f>'Key financial and ops fig.s COM'!H83</f>
        <v>81600750</v>
      </c>
      <c r="I172" s="68">
        <f>'Alt. scenario COM'!D83</f>
        <v>8264025</v>
      </c>
      <c r="J172" s="69">
        <f>'Alt. scenario COM'!E83</f>
        <v>16424100</v>
      </c>
      <c r="K172" s="69">
        <f>'Alt. scenario COM'!F83</f>
        <v>24480225</v>
      </c>
      <c r="L172" s="92">
        <f>'Alt. scenario COM'!G83</f>
        <v>32432400</v>
      </c>
      <c r="M172" s="244">
        <f>'Alt. scenario COM'!H83</f>
        <v>81600750</v>
      </c>
      <c r="N172" s="68">
        <f>'Key financial and ops fig.s COM'!I83</f>
        <v>40280625</v>
      </c>
      <c r="O172" s="69">
        <f>'Key financial and ops fig.s COM'!J83</f>
        <v>48024900</v>
      </c>
      <c r="P172" s="69">
        <f>'Key financial and ops fig.s COM'!K83</f>
        <v>55665225</v>
      </c>
      <c r="Q172" s="92">
        <f>'Key financial and ops fig.s COM'!L83</f>
        <v>63201600</v>
      </c>
      <c r="R172" s="226">
        <f>'Key financial and ops fig.s COM'!M83</f>
        <v>207172350</v>
      </c>
      <c r="S172" s="68">
        <f>'Alt. scenario COM'!I83</f>
        <v>40280625</v>
      </c>
      <c r="T172" s="69">
        <f>'Alt. scenario COM'!J83</f>
        <v>48024900</v>
      </c>
      <c r="U172" s="69">
        <f>'Alt. scenario COM'!K83</f>
        <v>55665225</v>
      </c>
      <c r="V172" s="92">
        <f>'Alt. scenario COM'!L83</f>
        <v>63201600</v>
      </c>
      <c r="W172" s="244">
        <f>'Alt. scenario COM'!M83</f>
        <v>207172350</v>
      </c>
      <c r="X172" s="68">
        <f>'Key financial and ops fig.s COM'!N83</f>
        <v>70634025</v>
      </c>
      <c r="Y172" s="69">
        <f>'Key financial and ops fig.s COM'!O83</f>
        <v>77962500</v>
      </c>
      <c r="Z172" s="69">
        <f>'Key financial and ops fig.s COM'!P83</f>
        <v>85187025</v>
      </c>
      <c r="AA172" s="92">
        <f>'Key financial and ops fig.s COM'!Q83</f>
        <v>92307600</v>
      </c>
      <c r="AB172" s="226">
        <f>'Key financial and ops fig.s COM'!R83</f>
        <v>326091150</v>
      </c>
      <c r="AC172" s="68">
        <f>'Alt. scenario COM'!N83</f>
        <v>70634025</v>
      </c>
      <c r="AD172" s="69">
        <f>'Alt. scenario COM'!O83</f>
        <v>77962500</v>
      </c>
      <c r="AE172" s="69">
        <f>'Alt. scenario COM'!P83</f>
        <v>85187025</v>
      </c>
      <c r="AF172" s="92">
        <f>'Alt. scenario COM'!Q83</f>
        <v>92307600</v>
      </c>
      <c r="AG172" s="244">
        <f>'Alt. scenario COM'!R83</f>
        <v>326091150</v>
      </c>
      <c r="AH172" s="68">
        <f>'Key financial and ops fig.s COM'!S83</f>
        <v>99324225</v>
      </c>
      <c r="AI172" s="69">
        <f>'Key financial and ops fig.s COM'!T83</f>
        <v>106236900</v>
      </c>
      <c r="AJ172" s="69">
        <f>'Key financial and ops fig.s COM'!U83</f>
        <v>113045625</v>
      </c>
      <c r="AK172" s="92">
        <f>'Key financial and ops fig.s COM'!V83</f>
        <v>119750400</v>
      </c>
      <c r="AL172" s="226">
        <f>'Key financial and ops fig.s COM'!W83</f>
        <v>438357150</v>
      </c>
      <c r="AM172" s="68">
        <f>'Alt. scenario COM'!S83</f>
        <v>99324225</v>
      </c>
      <c r="AN172" s="69">
        <f>'Alt. scenario COM'!T83</f>
        <v>106236900</v>
      </c>
      <c r="AO172" s="69">
        <f>'Alt. scenario COM'!U83</f>
        <v>113045625</v>
      </c>
      <c r="AP172" s="92">
        <f>'Alt. scenario COM'!V83</f>
        <v>119750400</v>
      </c>
      <c r="AQ172" s="244">
        <f>'Alt. scenario COM'!W83</f>
        <v>438357150</v>
      </c>
      <c r="AR172" s="68">
        <f>'Key financial and ops fig.s COM'!X83</f>
        <v>126351225</v>
      </c>
      <c r="AS172" s="69">
        <f>'Key financial and ops fig.s COM'!Y83</f>
        <v>132848100</v>
      </c>
      <c r="AT172" s="69">
        <f>'Key financial and ops fig.s COM'!Z83</f>
        <v>139241025</v>
      </c>
      <c r="AU172" s="92">
        <f>'Key financial and ops fig.s COM'!AA83</f>
        <v>145530000</v>
      </c>
      <c r="AV172" s="226">
        <f>'Key financial and ops fig.s COM'!AB83</f>
        <v>543970350</v>
      </c>
      <c r="AW172" s="68">
        <f>'Alt. scenario COM'!X83</f>
        <v>126351225</v>
      </c>
      <c r="AX172" s="69">
        <f>'Alt. scenario COM'!Y83</f>
        <v>132848100</v>
      </c>
      <c r="AY172" s="69">
        <f>'Alt. scenario COM'!Z83</f>
        <v>139241025</v>
      </c>
      <c r="AZ172" s="92">
        <f>'Alt. scenario COM'!AA83</f>
        <v>145530000</v>
      </c>
      <c r="BA172" s="244">
        <f>'Alt. scenario COM'!AB83</f>
        <v>543970350</v>
      </c>
      <c r="BB172" s="68">
        <f>'Key financial and ops fig.s COM'!AC83</f>
        <v>144490500</v>
      </c>
      <c r="BC172" s="69">
        <f>'Key financial and ops fig.s COM'!AD83</f>
        <v>143451000</v>
      </c>
      <c r="BD172" s="69">
        <f>'Key financial and ops fig.s COM'!AE83</f>
        <v>142411500</v>
      </c>
      <c r="BE172" s="92">
        <f>'Key financial and ops fig.s COM'!AF83</f>
        <v>141372000</v>
      </c>
      <c r="BF172" s="226">
        <f>'Key financial and ops fig.s COM'!AG83</f>
        <v>571725000</v>
      </c>
      <c r="BG172" s="68">
        <f>'Alt. scenario COM'!AC83</f>
        <v>144490500</v>
      </c>
      <c r="BH172" s="69">
        <f>'Alt. scenario COM'!AD83</f>
        <v>143451000</v>
      </c>
      <c r="BI172" s="69">
        <f>'Alt. scenario COM'!AE83</f>
        <v>142411500</v>
      </c>
      <c r="BJ172" s="92">
        <f>'Alt. scenario COM'!AF83</f>
        <v>141372000</v>
      </c>
      <c r="BK172" s="244">
        <f>'Alt. scenario COM'!AG83</f>
        <v>571725000</v>
      </c>
      <c r="BL172" s="68">
        <f>'Key financial and ops fig.s COM'!AH83</f>
        <v>140332500</v>
      </c>
      <c r="BM172" s="69">
        <f>'Key financial and ops fig.s COM'!AI83</f>
        <v>139293000</v>
      </c>
      <c r="BN172" s="69">
        <f>'Key financial and ops fig.s COM'!AJ83</f>
        <v>138253500</v>
      </c>
      <c r="BO172" s="92">
        <f>'Key financial and ops fig.s COM'!AK83</f>
        <v>137214000</v>
      </c>
      <c r="BP172" s="226">
        <f>'Key financial and ops fig.s COM'!AL83</f>
        <v>555093000</v>
      </c>
      <c r="BQ172" s="68">
        <f>'Alt. scenario COM'!AH83</f>
        <v>140332500</v>
      </c>
      <c r="BR172" s="69">
        <f>'Alt. scenario COM'!AI83</f>
        <v>139293000</v>
      </c>
      <c r="BS172" s="69">
        <f>'Alt. scenario COM'!AJ83</f>
        <v>138253500</v>
      </c>
      <c r="BT172" s="92">
        <f>'Alt. scenario COM'!AK83</f>
        <v>137214000</v>
      </c>
      <c r="BU172" s="244">
        <f>'Alt. scenario COM'!AL83</f>
        <v>555093000</v>
      </c>
    </row>
    <row r="173" spans="1:73" s="56" customFormat="1" ht="15.95">
      <c r="A173" s="55"/>
      <c r="C173" s="189" t="s">
        <v>109</v>
      </c>
      <c r="D173" s="68">
        <f>'Key financial and ops fig.s COM'!D84</f>
        <v>275467.5</v>
      </c>
      <c r="E173" s="69">
        <f>'Key financial and ops fig.s COM'!E84</f>
        <v>547470</v>
      </c>
      <c r="F173" s="69">
        <f>'Key financial and ops fig.s COM'!F84</f>
        <v>816007.5</v>
      </c>
      <c r="G173" s="92">
        <f>'Key financial and ops fig.s COM'!G84</f>
        <v>1081080</v>
      </c>
      <c r="H173" s="226">
        <f>'Key financial and ops fig.s COM'!H84</f>
        <v>1081080</v>
      </c>
      <c r="I173" s="68">
        <f>'Alt. scenario COM'!D84</f>
        <v>275467.5</v>
      </c>
      <c r="J173" s="69">
        <f>'Alt. scenario COM'!E84</f>
        <v>547470</v>
      </c>
      <c r="K173" s="69">
        <f>'Alt. scenario COM'!F84</f>
        <v>816007.5</v>
      </c>
      <c r="L173" s="92">
        <f>'Alt. scenario COM'!G84</f>
        <v>1081080</v>
      </c>
      <c r="M173" s="244">
        <f>'Alt. scenario COM'!H84</f>
        <v>1081080</v>
      </c>
      <c r="N173" s="68">
        <f>'Key financial and ops fig.s COM'!I84</f>
        <v>1342687.5</v>
      </c>
      <c r="O173" s="69">
        <f>'Key financial and ops fig.s COM'!J84</f>
        <v>1600830</v>
      </c>
      <c r="P173" s="69">
        <f>'Key financial and ops fig.s COM'!K84</f>
        <v>1855507.5</v>
      </c>
      <c r="Q173" s="92">
        <f>'Key financial and ops fig.s COM'!L84</f>
        <v>2106720</v>
      </c>
      <c r="R173" s="226">
        <f>'Key financial and ops fig.s COM'!M84</f>
        <v>2106720</v>
      </c>
      <c r="S173" s="68">
        <f>'Alt. scenario COM'!I84</f>
        <v>1342687.5</v>
      </c>
      <c r="T173" s="69">
        <f>'Alt. scenario COM'!J84</f>
        <v>1600830</v>
      </c>
      <c r="U173" s="69">
        <f>'Alt. scenario COM'!K84</f>
        <v>1855507.5</v>
      </c>
      <c r="V173" s="92">
        <f>'Alt. scenario COM'!L84</f>
        <v>2106720</v>
      </c>
      <c r="W173" s="244">
        <f>'Alt. scenario COM'!M84</f>
        <v>2106720</v>
      </c>
      <c r="X173" s="68">
        <f>'Key financial and ops fig.s COM'!N84</f>
        <v>2354467.5</v>
      </c>
      <c r="Y173" s="69">
        <f>'Key financial and ops fig.s COM'!O84</f>
        <v>2598750</v>
      </c>
      <c r="Z173" s="69">
        <f>'Key financial and ops fig.s COM'!P84</f>
        <v>2839567.5</v>
      </c>
      <c r="AA173" s="92">
        <f>'Key financial and ops fig.s COM'!Q84</f>
        <v>3076920</v>
      </c>
      <c r="AB173" s="226">
        <f>'Key financial and ops fig.s COM'!R84</f>
        <v>3076920</v>
      </c>
      <c r="AC173" s="68">
        <f>'Alt. scenario COM'!N84</f>
        <v>2354467.5</v>
      </c>
      <c r="AD173" s="69">
        <f>'Alt. scenario COM'!O84</f>
        <v>2598750</v>
      </c>
      <c r="AE173" s="69">
        <f>'Alt. scenario COM'!P84</f>
        <v>2839567.5</v>
      </c>
      <c r="AF173" s="92">
        <f>'Alt. scenario COM'!Q84</f>
        <v>3076920</v>
      </c>
      <c r="AG173" s="244">
        <f>'Alt. scenario COM'!R84</f>
        <v>3076920</v>
      </c>
      <c r="AH173" s="68">
        <f>'Key financial and ops fig.s COM'!S84</f>
        <v>3310807.5</v>
      </c>
      <c r="AI173" s="69">
        <f>'Key financial and ops fig.s COM'!T84</f>
        <v>3541230</v>
      </c>
      <c r="AJ173" s="69">
        <f>'Key financial and ops fig.s COM'!U84</f>
        <v>3768187.5</v>
      </c>
      <c r="AK173" s="92">
        <f>'Key financial and ops fig.s COM'!V84</f>
        <v>3991680</v>
      </c>
      <c r="AL173" s="226">
        <f>'Key financial and ops fig.s COM'!W84</f>
        <v>3991680</v>
      </c>
      <c r="AM173" s="68">
        <f>'Alt. scenario COM'!S84</f>
        <v>3310807.5</v>
      </c>
      <c r="AN173" s="69">
        <f>'Alt. scenario COM'!T84</f>
        <v>3541230</v>
      </c>
      <c r="AO173" s="69">
        <f>'Alt. scenario COM'!U84</f>
        <v>3768187.5</v>
      </c>
      <c r="AP173" s="92">
        <f>'Alt. scenario COM'!V84</f>
        <v>3991680</v>
      </c>
      <c r="AQ173" s="244">
        <f>'Alt. scenario COM'!W84</f>
        <v>3991680</v>
      </c>
      <c r="AR173" s="68">
        <f>'Key financial and ops fig.s COM'!X84</f>
        <v>4211707.5</v>
      </c>
      <c r="AS173" s="69">
        <f>'Key financial and ops fig.s COM'!Y84</f>
        <v>4428270</v>
      </c>
      <c r="AT173" s="69">
        <f>'Key financial and ops fig.s COM'!Z84</f>
        <v>4641367.5</v>
      </c>
      <c r="AU173" s="92">
        <f>'Key financial and ops fig.s COM'!AA84</f>
        <v>4851000</v>
      </c>
      <c r="AV173" s="226">
        <f>'Key financial and ops fig.s COM'!AB84</f>
        <v>4851000</v>
      </c>
      <c r="AW173" s="68">
        <f>'Alt. scenario COM'!X84</f>
        <v>4211707.5</v>
      </c>
      <c r="AX173" s="69">
        <f>'Alt. scenario COM'!Y84</f>
        <v>4428270</v>
      </c>
      <c r="AY173" s="69">
        <f>'Alt. scenario COM'!Z84</f>
        <v>4641367.5</v>
      </c>
      <c r="AZ173" s="92">
        <f>'Alt. scenario COM'!AA84</f>
        <v>4851000</v>
      </c>
      <c r="BA173" s="244">
        <f>'Alt. scenario COM'!AB84</f>
        <v>4851000</v>
      </c>
      <c r="BB173" s="68">
        <f>'Key financial and ops fig.s COM'!AC84</f>
        <v>4816350</v>
      </c>
      <c r="BC173" s="69">
        <f>'Key financial and ops fig.s COM'!AD84</f>
        <v>4781700</v>
      </c>
      <c r="BD173" s="69">
        <f>'Key financial and ops fig.s COM'!AE84</f>
        <v>4747050</v>
      </c>
      <c r="BE173" s="92">
        <f>'Key financial and ops fig.s COM'!AF84</f>
        <v>4712400</v>
      </c>
      <c r="BF173" s="226">
        <f>'Key financial and ops fig.s COM'!AG84</f>
        <v>4712400</v>
      </c>
      <c r="BG173" s="68">
        <f>'Alt. scenario COM'!AC84</f>
        <v>4816350</v>
      </c>
      <c r="BH173" s="69">
        <f>'Alt. scenario COM'!AD84</f>
        <v>4781700</v>
      </c>
      <c r="BI173" s="69">
        <f>'Alt. scenario COM'!AE84</f>
        <v>4747050</v>
      </c>
      <c r="BJ173" s="92">
        <f>'Alt. scenario COM'!AF84</f>
        <v>4712400</v>
      </c>
      <c r="BK173" s="244">
        <f>'Alt. scenario COM'!AG84</f>
        <v>4712400</v>
      </c>
      <c r="BL173" s="68">
        <f>'Key financial and ops fig.s COM'!AH84</f>
        <v>4677750</v>
      </c>
      <c r="BM173" s="69">
        <f>'Key financial and ops fig.s COM'!AI84</f>
        <v>4643100</v>
      </c>
      <c r="BN173" s="69">
        <f>'Key financial and ops fig.s COM'!AJ84</f>
        <v>4608450</v>
      </c>
      <c r="BO173" s="92">
        <f>'Key financial and ops fig.s COM'!AK84</f>
        <v>4573800</v>
      </c>
      <c r="BP173" s="226">
        <f>'Key financial and ops fig.s COM'!AL84</f>
        <v>4573800</v>
      </c>
      <c r="BQ173" s="68">
        <f>'Alt. scenario COM'!AH84</f>
        <v>4677750</v>
      </c>
      <c r="BR173" s="69">
        <f>'Alt. scenario COM'!AI84</f>
        <v>4643100</v>
      </c>
      <c r="BS173" s="69">
        <f>'Alt. scenario COM'!AJ84</f>
        <v>4608450</v>
      </c>
      <c r="BT173" s="92">
        <f>'Alt. scenario COM'!AK84</f>
        <v>4573800</v>
      </c>
      <c r="BU173" s="244">
        <f>'Alt. scenario COM'!AL84</f>
        <v>4573800</v>
      </c>
    </row>
    <row r="174" spans="1:73" s="56" customFormat="1" ht="15.95">
      <c r="A174" s="55"/>
      <c r="C174" s="189" t="s">
        <v>320</v>
      </c>
      <c r="D174" s="68">
        <f>'Key financial and ops fig.s COM'!D85</f>
        <v>11.477812500000001</v>
      </c>
      <c r="E174" s="69">
        <f>'Key financial and ops fig.s COM'!E85</f>
        <v>22.811250000000001</v>
      </c>
      <c r="F174" s="69">
        <f>'Key financial and ops fig.s COM'!F85</f>
        <v>34.0003125</v>
      </c>
      <c r="G174" s="92">
        <f>'Key financial and ops fig.s COM'!G85</f>
        <v>45.045000000000002</v>
      </c>
      <c r="H174" s="227">
        <f>'Key financial and ops fig.s COM'!H85</f>
        <v>28.333593750000002</v>
      </c>
      <c r="I174" s="68">
        <f>'Alt. scenario COM'!D85</f>
        <v>11.477812500000001</v>
      </c>
      <c r="J174" s="69">
        <f>'Alt. scenario COM'!E85</f>
        <v>22.811250000000001</v>
      </c>
      <c r="K174" s="69">
        <f>'Alt. scenario COM'!F85</f>
        <v>34.0003125</v>
      </c>
      <c r="L174" s="92">
        <f>'Alt. scenario COM'!G85</f>
        <v>45.045000000000002</v>
      </c>
      <c r="M174" s="245">
        <f>'Alt. scenario COM'!H85</f>
        <v>28.333593750000002</v>
      </c>
      <c r="N174" s="68">
        <f>'Key financial and ops fig.s COM'!I85</f>
        <v>55.9453125</v>
      </c>
      <c r="O174" s="69">
        <f>'Key financial and ops fig.s COM'!J85</f>
        <v>66.701250000000002</v>
      </c>
      <c r="P174" s="69">
        <f>'Key financial and ops fig.s COM'!K85</f>
        <v>77.312812500000007</v>
      </c>
      <c r="Q174" s="92">
        <f>'Key financial and ops fig.s COM'!L85</f>
        <v>87.78</v>
      </c>
      <c r="R174" s="227">
        <f>'Key financial and ops fig.s COM'!M85</f>
        <v>71.934843749999999</v>
      </c>
      <c r="S174" s="68">
        <f>'Alt. scenario COM'!I85</f>
        <v>55.9453125</v>
      </c>
      <c r="T174" s="69">
        <f>'Alt. scenario COM'!J85</f>
        <v>66.701250000000002</v>
      </c>
      <c r="U174" s="69">
        <f>'Alt. scenario COM'!K85</f>
        <v>77.312812500000007</v>
      </c>
      <c r="V174" s="92">
        <f>'Alt. scenario COM'!L85</f>
        <v>87.78</v>
      </c>
      <c r="W174" s="245">
        <f>'Alt. scenario COM'!M85</f>
        <v>71.934843749999999</v>
      </c>
      <c r="X174" s="68">
        <f>'Key financial and ops fig.s COM'!N85</f>
        <v>98.102812499999999</v>
      </c>
      <c r="Y174" s="69">
        <f>'Key financial and ops fig.s COM'!O85</f>
        <v>108.28125</v>
      </c>
      <c r="Z174" s="69">
        <f>'Key financial and ops fig.s COM'!P85</f>
        <v>118.3153125</v>
      </c>
      <c r="AA174" s="92">
        <f>'Key financial and ops fig.s COM'!Q85</f>
        <v>128.20500000000001</v>
      </c>
      <c r="AB174" s="227">
        <f>'Key financial and ops fig.s COM'!R85</f>
        <v>113.22609375000002</v>
      </c>
      <c r="AC174" s="68">
        <f>'Alt. scenario COM'!N85</f>
        <v>98.102812499999999</v>
      </c>
      <c r="AD174" s="69">
        <f>'Alt. scenario COM'!O85</f>
        <v>108.28125</v>
      </c>
      <c r="AE174" s="69">
        <f>'Alt. scenario COM'!P85</f>
        <v>118.3153125</v>
      </c>
      <c r="AF174" s="92">
        <f>'Alt. scenario COM'!Q85</f>
        <v>128.20500000000001</v>
      </c>
      <c r="AG174" s="245">
        <f>'Alt. scenario COM'!R85</f>
        <v>113.22609375000002</v>
      </c>
      <c r="AH174" s="68">
        <f>'Key financial and ops fig.s COM'!S85</f>
        <v>137.9503125</v>
      </c>
      <c r="AI174" s="69">
        <f>'Key financial and ops fig.s COM'!T85</f>
        <v>147.55125000000001</v>
      </c>
      <c r="AJ174" s="69">
        <f>'Key financial and ops fig.s COM'!U85</f>
        <v>157.0078125</v>
      </c>
      <c r="AK174" s="92">
        <f>'Key financial and ops fig.s COM'!V85</f>
        <v>166.32</v>
      </c>
      <c r="AL174" s="227">
        <f>'Key financial and ops fig.s COM'!W85</f>
        <v>152.20734375000001</v>
      </c>
      <c r="AM174" s="68">
        <f>'Alt. scenario COM'!S85</f>
        <v>137.9503125</v>
      </c>
      <c r="AN174" s="69">
        <f>'Alt. scenario COM'!T85</f>
        <v>147.55125000000001</v>
      </c>
      <c r="AO174" s="69">
        <f>'Alt. scenario COM'!U85</f>
        <v>157.0078125</v>
      </c>
      <c r="AP174" s="92">
        <f>'Alt. scenario COM'!V85</f>
        <v>166.32</v>
      </c>
      <c r="AQ174" s="245">
        <f>'Alt. scenario COM'!W85</f>
        <v>152.20734375000001</v>
      </c>
      <c r="AR174" s="68">
        <f>'Key financial and ops fig.s COM'!X85</f>
        <v>175.48781249999999</v>
      </c>
      <c r="AS174" s="69">
        <f>'Key financial and ops fig.s COM'!Y85</f>
        <v>184.51124999999999</v>
      </c>
      <c r="AT174" s="69">
        <f>'Key financial and ops fig.s COM'!Z85</f>
        <v>193.39031249999999</v>
      </c>
      <c r="AU174" s="92">
        <f>'Key financial and ops fig.s COM'!AA85</f>
        <v>202.125</v>
      </c>
      <c r="AV174" s="227">
        <f>'Key financial and ops fig.s COM'!AB85</f>
        <v>188.87859374999999</v>
      </c>
      <c r="AW174" s="68">
        <f>'Alt. scenario COM'!X85</f>
        <v>175.48781249999999</v>
      </c>
      <c r="AX174" s="69">
        <f>'Alt. scenario COM'!Y85</f>
        <v>184.51124999999999</v>
      </c>
      <c r="AY174" s="69">
        <f>'Alt. scenario COM'!Z85</f>
        <v>193.39031249999999</v>
      </c>
      <c r="AZ174" s="92">
        <f>'Alt. scenario COM'!AA85</f>
        <v>202.125</v>
      </c>
      <c r="BA174" s="245">
        <f>'Alt. scenario COM'!AB85</f>
        <v>188.87859374999999</v>
      </c>
      <c r="BB174" s="68">
        <f>'Key financial and ops fig.s COM'!AC85</f>
        <v>200.68125000000001</v>
      </c>
      <c r="BC174" s="69">
        <f>'Key financial and ops fig.s COM'!AD85</f>
        <v>199.23750000000001</v>
      </c>
      <c r="BD174" s="69">
        <f>'Key financial and ops fig.s COM'!AE85</f>
        <v>197.79374999999999</v>
      </c>
      <c r="BE174" s="92">
        <f>'Key financial and ops fig.s COM'!AF85</f>
        <v>196.35</v>
      </c>
      <c r="BF174" s="227">
        <f>'Key financial and ops fig.s COM'!AG85</f>
        <v>198.51562500000003</v>
      </c>
      <c r="BG174" s="68">
        <f>'Alt. scenario COM'!AC85</f>
        <v>200.68125000000001</v>
      </c>
      <c r="BH174" s="69">
        <f>'Alt. scenario COM'!AD85</f>
        <v>199.23750000000001</v>
      </c>
      <c r="BI174" s="69">
        <f>'Alt. scenario COM'!AE85</f>
        <v>197.79374999999999</v>
      </c>
      <c r="BJ174" s="92">
        <f>'Alt. scenario COM'!AF85</f>
        <v>196.35</v>
      </c>
      <c r="BK174" s="245">
        <f>'Alt. scenario COM'!AG85</f>
        <v>198.51562500000003</v>
      </c>
      <c r="BL174" s="68">
        <f>'Key financial and ops fig.s COM'!AH85</f>
        <v>194.90625</v>
      </c>
      <c r="BM174" s="69">
        <f>'Key financial and ops fig.s COM'!AI85</f>
        <v>193.46250000000001</v>
      </c>
      <c r="BN174" s="69">
        <f>'Key financial and ops fig.s COM'!AJ85</f>
        <v>192.01875000000001</v>
      </c>
      <c r="BO174" s="92">
        <f>'Key financial and ops fig.s COM'!AK85</f>
        <v>190.57499999999999</v>
      </c>
      <c r="BP174" s="227">
        <f>'Key financial and ops fig.s COM'!AL85</f>
        <v>192.74062500000002</v>
      </c>
      <c r="BQ174" s="68">
        <f>'Alt. scenario COM'!AH85</f>
        <v>194.90625</v>
      </c>
      <c r="BR174" s="69">
        <f>'Alt. scenario COM'!AI85</f>
        <v>193.46250000000001</v>
      </c>
      <c r="BS174" s="69">
        <f>'Alt. scenario COM'!AJ85</f>
        <v>192.01875000000001</v>
      </c>
      <c r="BT174" s="92">
        <f>'Alt. scenario COM'!AK85</f>
        <v>190.57499999999999</v>
      </c>
      <c r="BU174" s="245">
        <f>'Alt. scenario COM'!AL85</f>
        <v>192.74062500000002</v>
      </c>
    </row>
    <row r="175" spans="1:73" s="56" customFormat="1" ht="15.95">
      <c r="A175" s="55"/>
      <c r="C175" s="189" t="s">
        <v>321</v>
      </c>
      <c r="D175" s="68">
        <f>'Key financial and ops fig.s COM'!D86</f>
        <v>2</v>
      </c>
      <c r="E175" s="69">
        <f>'Key financial and ops fig.s COM'!E86</f>
        <v>3</v>
      </c>
      <c r="F175" s="69">
        <f>'Key financial and ops fig.s COM'!F86</f>
        <v>4</v>
      </c>
      <c r="G175" s="92">
        <f>'Key financial and ops fig.s COM'!G86</f>
        <v>5</v>
      </c>
      <c r="H175" s="227">
        <f>'Key financial and ops fig.s COM'!H86</f>
        <v>3.5</v>
      </c>
      <c r="I175" s="68">
        <f>'Alt. scenario COM'!D86</f>
        <v>2</v>
      </c>
      <c r="J175" s="69">
        <f>'Alt. scenario COM'!E86</f>
        <v>3</v>
      </c>
      <c r="K175" s="69">
        <f>'Alt. scenario COM'!F86</f>
        <v>4</v>
      </c>
      <c r="L175" s="92">
        <f>'Alt. scenario COM'!G86</f>
        <v>5</v>
      </c>
      <c r="M175" s="245">
        <f>'Alt. scenario COM'!H86</f>
        <v>3.5</v>
      </c>
      <c r="N175" s="68">
        <f>'Key financial and ops fig.s COM'!I86</f>
        <v>6</v>
      </c>
      <c r="O175" s="69">
        <f>'Key financial and ops fig.s COM'!J86</f>
        <v>7</v>
      </c>
      <c r="P175" s="69">
        <f>'Key financial and ops fig.s COM'!K86</f>
        <v>8</v>
      </c>
      <c r="Q175" s="92">
        <f>'Key financial and ops fig.s COM'!L86</f>
        <v>9</v>
      </c>
      <c r="R175" s="227">
        <f>'Key financial and ops fig.s COM'!M86</f>
        <v>7.5</v>
      </c>
      <c r="S175" s="68">
        <f>'Alt. scenario COM'!I86</f>
        <v>6</v>
      </c>
      <c r="T175" s="69">
        <f>'Alt. scenario COM'!J86</f>
        <v>7</v>
      </c>
      <c r="U175" s="69">
        <f>'Alt. scenario COM'!K86</f>
        <v>8</v>
      </c>
      <c r="V175" s="92">
        <f>'Alt. scenario COM'!L86</f>
        <v>9</v>
      </c>
      <c r="W175" s="245">
        <f>'Alt. scenario COM'!M86</f>
        <v>7.5</v>
      </c>
      <c r="X175" s="68">
        <f>'Key financial and ops fig.s COM'!N86</f>
        <v>10</v>
      </c>
      <c r="Y175" s="69">
        <f>'Key financial and ops fig.s COM'!O86</f>
        <v>11</v>
      </c>
      <c r="Z175" s="69">
        <f>'Key financial and ops fig.s COM'!P86</f>
        <v>12</v>
      </c>
      <c r="AA175" s="92">
        <f>'Key financial and ops fig.s COM'!Q86</f>
        <v>13</v>
      </c>
      <c r="AB175" s="227">
        <f>'Key financial and ops fig.s COM'!R86</f>
        <v>11.5</v>
      </c>
      <c r="AC175" s="68">
        <f>'Alt. scenario COM'!N86</f>
        <v>10</v>
      </c>
      <c r="AD175" s="69">
        <f>'Alt. scenario COM'!O86</f>
        <v>11</v>
      </c>
      <c r="AE175" s="69">
        <f>'Alt. scenario COM'!P86</f>
        <v>12</v>
      </c>
      <c r="AF175" s="92">
        <f>'Alt. scenario COM'!Q86</f>
        <v>13</v>
      </c>
      <c r="AG175" s="245">
        <f>'Alt. scenario COM'!R86</f>
        <v>11.5</v>
      </c>
      <c r="AH175" s="68">
        <f>'Key financial and ops fig.s COM'!S86</f>
        <v>14</v>
      </c>
      <c r="AI175" s="69">
        <f>'Key financial and ops fig.s COM'!T86</f>
        <v>15</v>
      </c>
      <c r="AJ175" s="69">
        <f>'Key financial and ops fig.s COM'!U86</f>
        <v>16</v>
      </c>
      <c r="AK175" s="92">
        <f>'Key financial and ops fig.s COM'!V86</f>
        <v>17</v>
      </c>
      <c r="AL175" s="227">
        <f>'Key financial and ops fig.s COM'!W86</f>
        <v>15.5</v>
      </c>
      <c r="AM175" s="68">
        <f>'Alt. scenario COM'!S86</f>
        <v>14</v>
      </c>
      <c r="AN175" s="69">
        <f>'Alt. scenario COM'!T86</f>
        <v>15</v>
      </c>
      <c r="AO175" s="69">
        <f>'Alt. scenario COM'!U86</f>
        <v>16</v>
      </c>
      <c r="AP175" s="92">
        <f>'Alt. scenario COM'!V86</f>
        <v>17</v>
      </c>
      <c r="AQ175" s="245">
        <f>'Alt. scenario COM'!W86</f>
        <v>15.5</v>
      </c>
      <c r="AR175" s="68">
        <f>'Key financial and ops fig.s COM'!X86</f>
        <v>18</v>
      </c>
      <c r="AS175" s="69">
        <f>'Key financial and ops fig.s COM'!Y86</f>
        <v>19</v>
      </c>
      <c r="AT175" s="69">
        <f>'Key financial and ops fig.s COM'!Z86</f>
        <v>20</v>
      </c>
      <c r="AU175" s="92">
        <f>'Key financial and ops fig.s COM'!AA86</f>
        <v>21</v>
      </c>
      <c r="AV175" s="227">
        <f>'Key financial and ops fig.s COM'!AB86</f>
        <v>19.5</v>
      </c>
      <c r="AW175" s="68">
        <f>'Alt. scenario COM'!X86</f>
        <v>18</v>
      </c>
      <c r="AX175" s="69">
        <f>'Alt. scenario COM'!Y86</f>
        <v>19</v>
      </c>
      <c r="AY175" s="69">
        <f>'Alt. scenario COM'!Z86</f>
        <v>20</v>
      </c>
      <c r="AZ175" s="92">
        <f>'Alt. scenario COM'!AA86</f>
        <v>21</v>
      </c>
      <c r="BA175" s="245">
        <f>'Alt. scenario COM'!AB86</f>
        <v>19.5</v>
      </c>
      <c r="BB175" s="68">
        <f>'Key financial and ops fig.s COM'!AC86</f>
        <v>21</v>
      </c>
      <c r="BC175" s="69">
        <f>'Key financial and ops fig.s COM'!AD86</f>
        <v>20</v>
      </c>
      <c r="BD175" s="69">
        <f>'Key financial and ops fig.s COM'!AE86</f>
        <v>20</v>
      </c>
      <c r="BE175" s="92">
        <f>'Key financial and ops fig.s COM'!AF86</f>
        <v>20</v>
      </c>
      <c r="BF175" s="227">
        <f>'Key financial and ops fig.s COM'!AG86</f>
        <v>20.25</v>
      </c>
      <c r="BG175" s="68">
        <f>'Alt. scenario COM'!AC86</f>
        <v>21</v>
      </c>
      <c r="BH175" s="69">
        <f>'Alt. scenario COM'!AD86</f>
        <v>20</v>
      </c>
      <c r="BI175" s="69">
        <f>'Alt. scenario COM'!AE86</f>
        <v>20</v>
      </c>
      <c r="BJ175" s="92">
        <f>'Alt. scenario COM'!AF86</f>
        <v>20</v>
      </c>
      <c r="BK175" s="245">
        <f>'Alt. scenario COM'!AG86</f>
        <v>20.25</v>
      </c>
      <c r="BL175" s="68">
        <f>'Key financial and ops fig.s COM'!AH86</f>
        <v>20</v>
      </c>
      <c r="BM175" s="69">
        <f>'Key financial and ops fig.s COM'!AI86</f>
        <v>20</v>
      </c>
      <c r="BN175" s="69">
        <f>'Key financial and ops fig.s COM'!AJ86</f>
        <v>20</v>
      </c>
      <c r="BO175" s="92">
        <f>'Key financial and ops fig.s COM'!AK86</f>
        <v>20</v>
      </c>
      <c r="BP175" s="227">
        <f>'Key financial and ops fig.s COM'!AL86</f>
        <v>20</v>
      </c>
      <c r="BQ175" s="68">
        <f>'Alt. scenario COM'!AH86</f>
        <v>20</v>
      </c>
      <c r="BR175" s="69">
        <f>'Alt. scenario COM'!AI86</f>
        <v>20</v>
      </c>
      <c r="BS175" s="69">
        <f>'Alt. scenario COM'!AJ86</f>
        <v>20</v>
      </c>
      <c r="BT175" s="92">
        <f>'Alt. scenario COM'!AK86</f>
        <v>20</v>
      </c>
      <c r="BU175" s="245">
        <f>'Alt. scenario COM'!AL86</f>
        <v>20</v>
      </c>
    </row>
    <row r="176" spans="1:73" ht="15.95">
      <c r="A176" s="36"/>
      <c r="B176" s="37"/>
      <c r="C176" s="189" t="s">
        <v>322</v>
      </c>
      <c r="D176" s="70">
        <f>'Key financial and ops fig.s COM'!D87</f>
        <v>6</v>
      </c>
      <c r="E176" s="71">
        <f>'Key financial and ops fig.s COM'!E87</f>
        <v>12</v>
      </c>
      <c r="F176" s="71">
        <f>'Key financial and ops fig.s COM'!F87</f>
        <v>18</v>
      </c>
      <c r="G176" s="93">
        <f>'Key financial and ops fig.s COM'!G87</f>
        <v>23</v>
      </c>
      <c r="H176" s="227">
        <f>'Key financial and ops fig.s COM'!H87</f>
        <v>14.75</v>
      </c>
      <c r="I176" s="70">
        <f>'Alt. scenario COM'!D87</f>
        <v>6</v>
      </c>
      <c r="J176" s="71">
        <f>'Alt. scenario COM'!E87</f>
        <v>12</v>
      </c>
      <c r="K176" s="71">
        <f>'Alt. scenario COM'!F87</f>
        <v>18</v>
      </c>
      <c r="L176" s="93">
        <f>'Alt. scenario COM'!G87</f>
        <v>23</v>
      </c>
      <c r="M176" s="245">
        <f>'Alt. scenario COM'!H87</f>
        <v>14.75</v>
      </c>
      <c r="N176" s="70">
        <f>'Key financial and ops fig.s COM'!I87</f>
        <v>28</v>
      </c>
      <c r="O176" s="71">
        <f>'Key financial and ops fig.s COM'!J87</f>
        <v>34</v>
      </c>
      <c r="P176" s="71">
        <f>'Key financial and ops fig.s COM'!K87</f>
        <v>39</v>
      </c>
      <c r="Q176" s="93">
        <f>'Key financial and ops fig.s COM'!L87</f>
        <v>44</v>
      </c>
      <c r="R176" s="227">
        <f>'Key financial and ops fig.s COM'!M87</f>
        <v>36.25</v>
      </c>
      <c r="S176" s="70">
        <f>'Alt. scenario COM'!I87</f>
        <v>28</v>
      </c>
      <c r="T176" s="71">
        <f>'Alt. scenario COM'!J87</f>
        <v>34</v>
      </c>
      <c r="U176" s="71">
        <f>'Alt. scenario COM'!K87</f>
        <v>39</v>
      </c>
      <c r="V176" s="93">
        <f>'Alt. scenario COM'!L87</f>
        <v>44</v>
      </c>
      <c r="W176" s="245">
        <f>'Alt. scenario COM'!M87</f>
        <v>36.25</v>
      </c>
      <c r="X176" s="70">
        <f>'Key financial and ops fig.s COM'!N87</f>
        <v>50</v>
      </c>
      <c r="Y176" s="71">
        <f>'Key financial and ops fig.s COM'!O87</f>
        <v>55</v>
      </c>
      <c r="Z176" s="71">
        <f>'Key financial and ops fig.s COM'!P87</f>
        <v>60</v>
      </c>
      <c r="AA176" s="93">
        <f>'Key financial and ops fig.s COM'!Q87</f>
        <v>65</v>
      </c>
      <c r="AB176" s="227">
        <f>'Key financial and ops fig.s COM'!R87</f>
        <v>57.5</v>
      </c>
      <c r="AC176" s="70">
        <f>'Alt. scenario COM'!N87</f>
        <v>50</v>
      </c>
      <c r="AD176" s="71">
        <f>'Alt. scenario COM'!O87</f>
        <v>55</v>
      </c>
      <c r="AE176" s="71">
        <f>'Alt. scenario COM'!P87</f>
        <v>60</v>
      </c>
      <c r="AF176" s="93">
        <f>'Alt. scenario COM'!Q87</f>
        <v>65</v>
      </c>
      <c r="AG176" s="245">
        <f>'Alt. scenario COM'!R87</f>
        <v>57.5</v>
      </c>
      <c r="AH176" s="70">
        <f>'Key financial and ops fig.s COM'!S87</f>
        <v>69</v>
      </c>
      <c r="AI176" s="71">
        <f>'Key financial and ops fig.s COM'!T87</f>
        <v>74</v>
      </c>
      <c r="AJ176" s="71">
        <f>'Key financial and ops fig.s COM'!U87</f>
        <v>79</v>
      </c>
      <c r="AK176" s="93">
        <f>'Key financial and ops fig.s COM'!V87</f>
        <v>84</v>
      </c>
      <c r="AL176" s="227">
        <f>'Key financial and ops fig.s COM'!W87</f>
        <v>76.5</v>
      </c>
      <c r="AM176" s="70">
        <f>'Alt. scenario COM'!S87</f>
        <v>69</v>
      </c>
      <c r="AN176" s="71">
        <f>'Alt. scenario COM'!T87</f>
        <v>74</v>
      </c>
      <c r="AO176" s="71">
        <f>'Alt. scenario COM'!U87</f>
        <v>79</v>
      </c>
      <c r="AP176" s="93">
        <f>'Alt. scenario COM'!V87</f>
        <v>84</v>
      </c>
      <c r="AQ176" s="245">
        <f>'Alt. scenario COM'!W87</f>
        <v>76.5</v>
      </c>
      <c r="AR176" s="70">
        <f>'Key financial and ops fig.s COM'!X87</f>
        <v>88</v>
      </c>
      <c r="AS176" s="71">
        <f>'Key financial and ops fig.s COM'!Y87</f>
        <v>93</v>
      </c>
      <c r="AT176" s="71">
        <f>'Key financial and ops fig.s COM'!Z87</f>
        <v>97</v>
      </c>
      <c r="AU176" s="93">
        <f>'Key financial and ops fig.s COM'!AA87</f>
        <v>102</v>
      </c>
      <c r="AV176" s="227">
        <f>'Key financial and ops fig.s COM'!AB87</f>
        <v>95</v>
      </c>
      <c r="AW176" s="70">
        <f>'Alt. scenario COM'!X87</f>
        <v>88</v>
      </c>
      <c r="AX176" s="71">
        <f>'Alt. scenario COM'!Y87</f>
        <v>93</v>
      </c>
      <c r="AY176" s="71">
        <f>'Alt. scenario COM'!Z87</f>
        <v>97</v>
      </c>
      <c r="AZ176" s="93">
        <f>'Alt. scenario COM'!AA87</f>
        <v>102</v>
      </c>
      <c r="BA176" s="245">
        <f>'Alt. scenario COM'!AB87</f>
        <v>95</v>
      </c>
      <c r="BB176" s="70">
        <f>'Key financial and ops fig.s COM'!AC87</f>
        <v>101</v>
      </c>
      <c r="BC176" s="71">
        <f>'Key financial and ops fig.s COM'!AD87</f>
        <v>100</v>
      </c>
      <c r="BD176" s="71">
        <f>'Key financial and ops fig.s COM'!AE87</f>
        <v>99</v>
      </c>
      <c r="BE176" s="93">
        <f>'Key financial and ops fig.s COM'!AF87</f>
        <v>99</v>
      </c>
      <c r="BF176" s="227">
        <f>'Key financial and ops fig.s COM'!AG87</f>
        <v>99.75</v>
      </c>
      <c r="BG176" s="70">
        <f>'Alt. scenario COM'!AC87</f>
        <v>101</v>
      </c>
      <c r="BH176" s="71">
        <f>'Alt. scenario COM'!AD87</f>
        <v>100</v>
      </c>
      <c r="BI176" s="71">
        <f>'Alt. scenario COM'!AE87</f>
        <v>99</v>
      </c>
      <c r="BJ176" s="93">
        <f>'Alt. scenario COM'!AF87</f>
        <v>99</v>
      </c>
      <c r="BK176" s="245">
        <f>'Alt. scenario COM'!AG87</f>
        <v>99.75</v>
      </c>
      <c r="BL176" s="70">
        <f>'Key financial and ops fig.s COM'!AH87</f>
        <v>98</v>
      </c>
      <c r="BM176" s="71">
        <f>'Key financial and ops fig.s COM'!AI87</f>
        <v>97</v>
      </c>
      <c r="BN176" s="71">
        <f>'Key financial and ops fig.s COM'!AJ87</f>
        <v>97</v>
      </c>
      <c r="BO176" s="93">
        <f>'Key financial and ops fig.s COM'!AK87</f>
        <v>96</v>
      </c>
      <c r="BP176" s="227">
        <f>'Key financial and ops fig.s COM'!AL87</f>
        <v>97</v>
      </c>
      <c r="BQ176" s="70">
        <f>'Alt. scenario COM'!AH87</f>
        <v>98</v>
      </c>
      <c r="BR176" s="71">
        <f>'Alt. scenario COM'!AI87</f>
        <v>97</v>
      </c>
      <c r="BS176" s="71">
        <f>'Alt. scenario COM'!AJ87</f>
        <v>97</v>
      </c>
      <c r="BT176" s="93">
        <f>'Alt. scenario COM'!AK87</f>
        <v>96</v>
      </c>
      <c r="BU176" s="245">
        <f>'Alt. scenario COM'!AL87</f>
        <v>97</v>
      </c>
    </row>
    <row r="177" spans="1:73" s="56" customFormat="1" ht="15.95">
      <c r="A177" s="31"/>
      <c r="B177" s="32"/>
      <c r="C177" s="189" t="s">
        <v>323</v>
      </c>
      <c r="D177" s="68">
        <f>'Key financial and ops fig.s COM'!D88</f>
        <v>3</v>
      </c>
      <c r="E177" s="69">
        <f>'Key financial and ops fig.s COM'!E88</f>
        <v>5</v>
      </c>
      <c r="F177" s="69">
        <f>'Key financial and ops fig.s COM'!F88</f>
        <v>7</v>
      </c>
      <c r="G177" s="92">
        <f>'Key financial and ops fig.s COM'!G88</f>
        <v>10</v>
      </c>
      <c r="H177" s="227">
        <f>'Key financial and ops fig.s COM'!H88</f>
        <v>6.25</v>
      </c>
      <c r="I177" s="68">
        <f>'Alt. scenario COM'!D88</f>
        <v>3</v>
      </c>
      <c r="J177" s="69">
        <f>'Alt. scenario COM'!E88</f>
        <v>5</v>
      </c>
      <c r="K177" s="69">
        <f>'Alt. scenario COM'!F88</f>
        <v>7</v>
      </c>
      <c r="L177" s="92">
        <f>'Alt. scenario COM'!G88</f>
        <v>10</v>
      </c>
      <c r="M177" s="245">
        <f>'Alt. scenario COM'!H88</f>
        <v>6.25</v>
      </c>
      <c r="N177" s="68">
        <f>'Key financial and ops fig.s COM'!I88</f>
        <v>12</v>
      </c>
      <c r="O177" s="69">
        <f>'Key financial and ops fig.s COM'!J88</f>
        <v>14</v>
      </c>
      <c r="P177" s="69">
        <f>'Key financial and ops fig.s COM'!K88</f>
        <v>16</v>
      </c>
      <c r="Q177" s="92">
        <f>'Key financial and ops fig.s COM'!L88</f>
        <v>18</v>
      </c>
      <c r="R177" s="227">
        <f>'Key financial and ops fig.s COM'!M88</f>
        <v>15</v>
      </c>
      <c r="S177" s="68">
        <f>'Alt. scenario COM'!I88</f>
        <v>12</v>
      </c>
      <c r="T177" s="69">
        <f>'Alt. scenario COM'!J88</f>
        <v>14</v>
      </c>
      <c r="U177" s="69">
        <f>'Alt. scenario COM'!K88</f>
        <v>16</v>
      </c>
      <c r="V177" s="92">
        <f>'Alt. scenario COM'!L88</f>
        <v>18</v>
      </c>
      <c r="W177" s="245">
        <f>'Alt. scenario COM'!M88</f>
        <v>15</v>
      </c>
      <c r="X177" s="68">
        <f>'Key financial and ops fig.s COM'!N88</f>
        <v>20</v>
      </c>
      <c r="Y177" s="69">
        <f>'Key financial and ops fig.s COM'!O88</f>
        <v>22</v>
      </c>
      <c r="Z177" s="69">
        <f>'Key financial and ops fig.s COM'!P88</f>
        <v>24</v>
      </c>
      <c r="AA177" s="92">
        <f>'Key financial and ops fig.s COM'!Q88</f>
        <v>26</v>
      </c>
      <c r="AB177" s="227">
        <f>'Key financial and ops fig.s COM'!R88</f>
        <v>23</v>
      </c>
      <c r="AC177" s="68">
        <f>'Alt. scenario COM'!N88</f>
        <v>20</v>
      </c>
      <c r="AD177" s="69">
        <f>'Alt. scenario COM'!O88</f>
        <v>22</v>
      </c>
      <c r="AE177" s="69">
        <f>'Alt. scenario COM'!P88</f>
        <v>24</v>
      </c>
      <c r="AF177" s="92">
        <f>'Alt. scenario COM'!Q88</f>
        <v>26</v>
      </c>
      <c r="AG177" s="245">
        <f>'Alt. scenario COM'!R88</f>
        <v>23</v>
      </c>
      <c r="AH177" s="68">
        <f>'Key financial and ops fig.s COM'!S88</f>
        <v>28</v>
      </c>
      <c r="AI177" s="69">
        <f>'Key financial and ops fig.s COM'!T88</f>
        <v>30</v>
      </c>
      <c r="AJ177" s="69">
        <f>'Key financial and ops fig.s COM'!U88</f>
        <v>32</v>
      </c>
      <c r="AK177" s="92">
        <f>'Key financial and ops fig.s COM'!V88</f>
        <v>34</v>
      </c>
      <c r="AL177" s="227">
        <f>'Key financial and ops fig.s COM'!W88</f>
        <v>31</v>
      </c>
      <c r="AM177" s="68">
        <f>'Alt. scenario COM'!S88</f>
        <v>28</v>
      </c>
      <c r="AN177" s="69">
        <f>'Alt. scenario COM'!T88</f>
        <v>30</v>
      </c>
      <c r="AO177" s="69">
        <f>'Alt. scenario COM'!U88</f>
        <v>32</v>
      </c>
      <c r="AP177" s="92">
        <f>'Alt. scenario COM'!V88</f>
        <v>34</v>
      </c>
      <c r="AQ177" s="245">
        <f>'Alt. scenario COM'!W88</f>
        <v>31</v>
      </c>
      <c r="AR177" s="68">
        <f>'Key financial and ops fig.s COM'!X88</f>
        <v>36</v>
      </c>
      <c r="AS177" s="69">
        <f>'Key financial and ops fig.s COM'!Y88</f>
        <v>37</v>
      </c>
      <c r="AT177" s="69">
        <f>'Key financial and ops fig.s COM'!Z88</f>
        <v>39</v>
      </c>
      <c r="AU177" s="92">
        <f>'Key financial and ops fig.s COM'!AA88</f>
        <v>41</v>
      </c>
      <c r="AV177" s="227">
        <f>'Key financial and ops fig.s COM'!AB88</f>
        <v>38.25</v>
      </c>
      <c r="AW177" s="68">
        <f>'Alt. scenario COM'!X88</f>
        <v>36</v>
      </c>
      <c r="AX177" s="69">
        <f>'Alt. scenario COM'!Y88</f>
        <v>37</v>
      </c>
      <c r="AY177" s="69">
        <f>'Alt. scenario COM'!Z88</f>
        <v>39</v>
      </c>
      <c r="AZ177" s="92">
        <f>'Alt. scenario COM'!AA88</f>
        <v>41</v>
      </c>
      <c r="BA177" s="245">
        <f>'Alt. scenario COM'!AB88</f>
        <v>38.25</v>
      </c>
      <c r="BB177" s="68">
        <f>'Key financial and ops fig.s COM'!AC88</f>
        <v>41</v>
      </c>
      <c r="BC177" s="69">
        <f>'Key financial and ops fig.s COM'!AD88</f>
        <v>40</v>
      </c>
      <c r="BD177" s="69">
        <f>'Key financial and ops fig.s COM'!AE88</f>
        <v>40</v>
      </c>
      <c r="BE177" s="92">
        <f>'Key financial and ops fig.s COM'!AF88</f>
        <v>40</v>
      </c>
      <c r="BF177" s="227">
        <f>'Key financial and ops fig.s COM'!AG88</f>
        <v>40.25</v>
      </c>
      <c r="BG177" s="68">
        <f>'Alt. scenario COM'!AC88</f>
        <v>41</v>
      </c>
      <c r="BH177" s="69">
        <f>'Alt. scenario COM'!AD88</f>
        <v>40</v>
      </c>
      <c r="BI177" s="69">
        <f>'Alt. scenario COM'!AE88</f>
        <v>40</v>
      </c>
      <c r="BJ177" s="92">
        <f>'Alt. scenario COM'!AF88</f>
        <v>40</v>
      </c>
      <c r="BK177" s="245">
        <f>'Alt. scenario COM'!AG88</f>
        <v>40.25</v>
      </c>
      <c r="BL177" s="68">
        <f>'Key financial and ops fig.s COM'!AH88</f>
        <v>39</v>
      </c>
      <c r="BM177" s="69">
        <f>'Key financial and ops fig.s COM'!AI88</f>
        <v>39</v>
      </c>
      <c r="BN177" s="69">
        <f>'Key financial and ops fig.s COM'!AJ88</f>
        <v>39</v>
      </c>
      <c r="BO177" s="92">
        <f>'Key financial and ops fig.s COM'!AK88</f>
        <v>39</v>
      </c>
      <c r="BP177" s="227">
        <f>'Key financial and ops fig.s COM'!AL88</f>
        <v>39</v>
      </c>
      <c r="BQ177" s="68">
        <f>'Alt. scenario COM'!AH88</f>
        <v>39</v>
      </c>
      <c r="BR177" s="69">
        <f>'Alt. scenario COM'!AI88</f>
        <v>39</v>
      </c>
      <c r="BS177" s="69">
        <f>'Alt. scenario COM'!AJ88</f>
        <v>39</v>
      </c>
      <c r="BT177" s="92">
        <f>'Alt. scenario COM'!AK88</f>
        <v>39</v>
      </c>
      <c r="BU177" s="245">
        <f>'Alt. scenario COM'!AL88</f>
        <v>39</v>
      </c>
    </row>
    <row r="178" spans="1:73" s="56" customFormat="1" ht="15.95">
      <c r="A178" s="31"/>
      <c r="B178" s="32"/>
      <c r="C178" s="189" t="s">
        <v>324</v>
      </c>
      <c r="D178" s="68">
        <f>'Key financial and ops fig.s COM'!D89</f>
        <v>2</v>
      </c>
      <c r="E178" s="69">
        <f>'Key financial and ops fig.s COM'!E89</f>
        <v>3</v>
      </c>
      <c r="F178" s="69">
        <f>'Key financial and ops fig.s COM'!F89</f>
        <v>4</v>
      </c>
      <c r="G178" s="92">
        <f>'Key financial and ops fig.s COM'!G89</f>
        <v>5</v>
      </c>
      <c r="H178" s="227">
        <f>'Key financial and ops fig.s COM'!H89</f>
        <v>3.5</v>
      </c>
      <c r="I178" s="68">
        <f>'Alt. scenario COM'!D89</f>
        <v>2</v>
      </c>
      <c r="J178" s="69">
        <f>'Alt. scenario COM'!E89</f>
        <v>3</v>
      </c>
      <c r="K178" s="69">
        <f>'Alt. scenario COM'!F89</f>
        <v>4</v>
      </c>
      <c r="L178" s="92">
        <f>'Alt. scenario COM'!G89</f>
        <v>5</v>
      </c>
      <c r="M178" s="245">
        <f>'Alt. scenario COM'!H89</f>
        <v>3.5</v>
      </c>
      <c r="N178" s="68">
        <f>'Key financial and ops fig.s COM'!I89</f>
        <v>7</v>
      </c>
      <c r="O178" s="69">
        <f>'Key financial and ops fig.s COM'!J89</f>
        <v>8</v>
      </c>
      <c r="P178" s="69">
        <f>'Key financial and ops fig.s COM'!K89</f>
        <v>9</v>
      </c>
      <c r="Q178" s="92">
        <f>'Key financial and ops fig.s COM'!L89</f>
        <v>10</v>
      </c>
      <c r="R178" s="227">
        <f>'Key financial and ops fig.s COM'!M89</f>
        <v>8.5</v>
      </c>
      <c r="S178" s="68">
        <f>'Alt. scenario COM'!I89</f>
        <v>7</v>
      </c>
      <c r="T178" s="69">
        <f>'Alt. scenario COM'!J89</f>
        <v>8</v>
      </c>
      <c r="U178" s="69">
        <f>'Alt. scenario COM'!K89</f>
        <v>9</v>
      </c>
      <c r="V178" s="92">
        <f>'Alt. scenario COM'!L89</f>
        <v>10</v>
      </c>
      <c r="W178" s="245">
        <f>'Alt. scenario COM'!M89</f>
        <v>8.5</v>
      </c>
      <c r="X178" s="68">
        <f>'Key financial and ops fig.s COM'!N89</f>
        <v>11</v>
      </c>
      <c r="Y178" s="69">
        <f>'Key financial and ops fig.s COM'!O89</f>
        <v>12</v>
      </c>
      <c r="Z178" s="69">
        <f>'Key financial and ops fig.s COM'!P89</f>
        <v>14</v>
      </c>
      <c r="AA178" s="92">
        <f>'Key financial and ops fig.s COM'!Q89</f>
        <v>15</v>
      </c>
      <c r="AB178" s="227">
        <f>'Key financial and ops fig.s COM'!R89</f>
        <v>13</v>
      </c>
      <c r="AC178" s="68">
        <f>'Alt. scenario COM'!N89</f>
        <v>11</v>
      </c>
      <c r="AD178" s="69">
        <f>'Alt. scenario COM'!O89</f>
        <v>12</v>
      </c>
      <c r="AE178" s="69">
        <f>'Alt. scenario COM'!P89</f>
        <v>14</v>
      </c>
      <c r="AF178" s="92">
        <f>'Alt. scenario COM'!Q89</f>
        <v>15</v>
      </c>
      <c r="AG178" s="245">
        <f>'Alt. scenario COM'!R89</f>
        <v>13</v>
      </c>
      <c r="AH178" s="68">
        <f>'Key financial and ops fig.s COM'!S89</f>
        <v>16</v>
      </c>
      <c r="AI178" s="69">
        <f>'Key financial and ops fig.s COM'!T89</f>
        <v>17</v>
      </c>
      <c r="AJ178" s="69">
        <f>'Key financial and ops fig.s COM'!U89</f>
        <v>18</v>
      </c>
      <c r="AK178" s="92">
        <f>'Key financial and ops fig.s COM'!V89</f>
        <v>19</v>
      </c>
      <c r="AL178" s="227">
        <f>'Key financial and ops fig.s COM'!W89</f>
        <v>17.5</v>
      </c>
      <c r="AM178" s="68">
        <f>'Alt. scenario COM'!S89</f>
        <v>16</v>
      </c>
      <c r="AN178" s="69">
        <f>'Alt. scenario COM'!T89</f>
        <v>17</v>
      </c>
      <c r="AO178" s="69">
        <f>'Alt. scenario COM'!U89</f>
        <v>18</v>
      </c>
      <c r="AP178" s="92">
        <f>'Alt. scenario COM'!V89</f>
        <v>19</v>
      </c>
      <c r="AQ178" s="245">
        <f>'Alt. scenario COM'!W89</f>
        <v>17.5</v>
      </c>
      <c r="AR178" s="68">
        <f>'Key financial and ops fig.s COM'!X89</f>
        <v>20</v>
      </c>
      <c r="AS178" s="69">
        <f>'Key financial and ops fig.s COM'!Y89</f>
        <v>21</v>
      </c>
      <c r="AT178" s="69">
        <f>'Key financial and ops fig.s COM'!Z89</f>
        <v>22</v>
      </c>
      <c r="AU178" s="92">
        <f>'Key financial and ops fig.s COM'!AA89</f>
        <v>23</v>
      </c>
      <c r="AV178" s="227">
        <f>'Key financial and ops fig.s COM'!AB89</f>
        <v>21.5</v>
      </c>
      <c r="AW178" s="68">
        <f>'Alt. scenario COM'!X89</f>
        <v>20</v>
      </c>
      <c r="AX178" s="69">
        <f>'Alt. scenario COM'!Y89</f>
        <v>21</v>
      </c>
      <c r="AY178" s="69">
        <f>'Alt. scenario COM'!Z89</f>
        <v>22</v>
      </c>
      <c r="AZ178" s="92">
        <f>'Alt. scenario COM'!AA89</f>
        <v>23</v>
      </c>
      <c r="BA178" s="245">
        <f>'Alt. scenario COM'!AB89</f>
        <v>21.5</v>
      </c>
      <c r="BB178" s="68">
        <f>'Key financial and ops fig.s COM'!AC89</f>
        <v>23</v>
      </c>
      <c r="BC178" s="69">
        <f>'Key financial and ops fig.s COM'!AD89</f>
        <v>22</v>
      </c>
      <c r="BD178" s="69">
        <f>'Key financial and ops fig.s COM'!AE89</f>
        <v>22</v>
      </c>
      <c r="BE178" s="92">
        <f>'Key financial and ops fig.s COM'!AF89</f>
        <v>22</v>
      </c>
      <c r="BF178" s="227">
        <f>'Key financial and ops fig.s COM'!AG89</f>
        <v>22.25</v>
      </c>
      <c r="BG178" s="68">
        <f>'Alt. scenario COM'!AC89</f>
        <v>23</v>
      </c>
      <c r="BH178" s="69">
        <f>'Alt. scenario COM'!AD89</f>
        <v>22</v>
      </c>
      <c r="BI178" s="69">
        <f>'Alt. scenario COM'!AE89</f>
        <v>22</v>
      </c>
      <c r="BJ178" s="92">
        <f>'Alt. scenario COM'!AF89</f>
        <v>22</v>
      </c>
      <c r="BK178" s="245">
        <f>'Alt. scenario COM'!AG89</f>
        <v>22.25</v>
      </c>
      <c r="BL178" s="68">
        <f>'Key financial and ops fig.s COM'!AH89</f>
        <v>22</v>
      </c>
      <c r="BM178" s="69">
        <f>'Key financial and ops fig.s COM'!AI89</f>
        <v>22</v>
      </c>
      <c r="BN178" s="69">
        <f>'Key financial and ops fig.s COM'!AJ89</f>
        <v>22</v>
      </c>
      <c r="BO178" s="92">
        <f>'Key financial and ops fig.s COM'!AK89</f>
        <v>21</v>
      </c>
      <c r="BP178" s="227">
        <f>'Key financial and ops fig.s COM'!AL89</f>
        <v>21.75</v>
      </c>
      <c r="BQ178" s="68">
        <f>'Alt. scenario COM'!AH89</f>
        <v>22</v>
      </c>
      <c r="BR178" s="69">
        <f>'Alt. scenario COM'!AI89</f>
        <v>22</v>
      </c>
      <c r="BS178" s="69">
        <f>'Alt. scenario COM'!AJ89</f>
        <v>22</v>
      </c>
      <c r="BT178" s="92">
        <f>'Alt. scenario COM'!AK89</f>
        <v>21</v>
      </c>
      <c r="BU178" s="245">
        <f>'Alt. scenario COM'!AL89</f>
        <v>21.75</v>
      </c>
    </row>
    <row r="179" spans="1:73" s="56" customFormat="1" ht="17.100000000000001" thickBot="1">
      <c r="A179" s="190"/>
      <c r="B179" s="191"/>
      <c r="C179" s="192" t="s">
        <v>325</v>
      </c>
      <c r="D179" s="94">
        <f>'Key financial and ops fig.s COM'!D90</f>
        <v>3</v>
      </c>
      <c r="E179" s="95">
        <f>'Key financial and ops fig.s COM'!E90</f>
        <v>5</v>
      </c>
      <c r="F179" s="95">
        <f>'Key financial and ops fig.s COM'!F90</f>
        <v>7</v>
      </c>
      <c r="G179" s="96">
        <f>'Key financial and ops fig.s COM'!G90</f>
        <v>10</v>
      </c>
      <c r="H179" s="228">
        <f>'Key financial and ops fig.s COM'!H90</f>
        <v>6.25</v>
      </c>
      <c r="I179" s="94">
        <f>'Alt. scenario COM'!D90</f>
        <v>3</v>
      </c>
      <c r="J179" s="95">
        <f>'Alt. scenario COM'!E90</f>
        <v>5</v>
      </c>
      <c r="K179" s="95">
        <f>'Alt. scenario COM'!F90</f>
        <v>7</v>
      </c>
      <c r="L179" s="96">
        <f>'Alt. scenario COM'!G90</f>
        <v>10</v>
      </c>
      <c r="M179" s="246">
        <f>'Alt. scenario COM'!H90</f>
        <v>6.25</v>
      </c>
      <c r="N179" s="94">
        <f>'Key financial and ops fig.s COM'!I90</f>
        <v>12</v>
      </c>
      <c r="O179" s="95">
        <f>'Key financial and ops fig.s COM'!J90</f>
        <v>14</v>
      </c>
      <c r="P179" s="95">
        <f>'Key financial and ops fig.s COM'!K90</f>
        <v>16</v>
      </c>
      <c r="Q179" s="96">
        <f>'Key financial and ops fig.s COM'!L90</f>
        <v>18</v>
      </c>
      <c r="R179" s="228">
        <f>'Key financial and ops fig.s COM'!M90</f>
        <v>15</v>
      </c>
      <c r="S179" s="94">
        <f>'Alt. scenario COM'!I90</f>
        <v>12</v>
      </c>
      <c r="T179" s="95">
        <f>'Alt. scenario COM'!J90</f>
        <v>14</v>
      </c>
      <c r="U179" s="95">
        <f>'Alt. scenario COM'!K90</f>
        <v>16</v>
      </c>
      <c r="V179" s="96">
        <f>'Alt. scenario COM'!L90</f>
        <v>18</v>
      </c>
      <c r="W179" s="246">
        <f>'Alt. scenario COM'!M90</f>
        <v>15</v>
      </c>
      <c r="X179" s="94">
        <f>'Key financial and ops fig.s COM'!N90</f>
        <v>20</v>
      </c>
      <c r="Y179" s="95">
        <f>'Key financial and ops fig.s COM'!O90</f>
        <v>22</v>
      </c>
      <c r="Z179" s="95">
        <f>'Key financial and ops fig.s COM'!P90</f>
        <v>24</v>
      </c>
      <c r="AA179" s="96">
        <f>'Key financial and ops fig.s COM'!Q90</f>
        <v>26</v>
      </c>
      <c r="AB179" s="228">
        <f>'Key financial and ops fig.s COM'!R90</f>
        <v>23</v>
      </c>
      <c r="AC179" s="94">
        <f>'Alt. scenario COM'!N90</f>
        <v>20</v>
      </c>
      <c r="AD179" s="95">
        <f>'Alt. scenario COM'!O90</f>
        <v>22</v>
      </c>
      <c r="AE179" s="95">
        <f>'Alt. scenario COM'!P90</f>
        <v>24</v>
      </c>
      <c r="AF179" s="96">
        <f>'Alt. scenario COM'!Q90</f>
        <v>26</v>
      </c>
      <c r="AG179" s="246">
        <f>'Alt. scenario COM'!R90</f>
        <v>23</v>
      </c>
      <c r="AH179" s="94">
        <f>'Key financial and ops fig.s COM'!S90</f>
        <v>28</v>
      </c>
      <c r="AI179" s="95">
        <f>'Key financial and ops fig.s COM'!T90</f>
        <v>30</v>
      </c>
      <c r="AJ179" s="95">
        <f>'Key financial and ops fig.s COM'!U90</f>
        <v>32</v>
      </c>
      <c r="AK179" s="96">
        <f>'Key financial and ops fig.s COM'!V90</f>
        <v>34</v>
      </c>
      <c r="AL179" s="228">
        <f>'Key financial and ops fig.s COM'!W90</f>
        <v>31</v>
      </c>
      <c r="AM179" s="94">
        <f>'Alt. scenario COM'!S90</f>
        <v>28</v>
      </c>
      <c r="AN179" s="95">
        <f>'Alt. scenario COM'!T90</f>
        <v>30</v>
      </c>
      <c r="AO179" s="95">
        <f>'Alt. scenario COM'!U90</f>
        <v>32</v>
      </c>
      <c r="AP179" s="96">
        <f>'Alt. scenario COM'!V90</f>
        <v>34</v>
      </c>
      <c r="AQ179" s="246">
        <f>'Alt. scenario COM'!W90</f>
        <v>31</v>
      </c>
      <c r="AR179" s="94">
        <f>'Key financial and ops fig.s COM'!X90</f>
        <v>36</v>
      </c>
      <c r="AS179" s="95">
        <f>'Key financial and ops fig.s COM'!Y90</f>
        <v>37</v>
      </c>
      <c r="AT179" s="95">
        <f>'Key financial and ops fig.s COM'!Z90</f>
        <v>39</v>
      </c>
      <c r="AU179" s="96">
        <f>'Key financial and ops fig.s COM'!AA90</f>
        <v>41</v>
      </c>
      <c r="AV179" s="228">
        <f>'Key financial and ops fig.s COM'!AB90</f>
        <v>38.25</v>
      </c>
      <c r="AW179" s="94">
        <f>'Alt. scenario COM'!X90</f>
        <v>36</v>
      </c>
      <c r="AX179" s="95">
        <f>'Alt. scenario COM'!Y90</f>
        <v>37</v>
      </c>
      <c r="AY179" s="95">
        <f>'Alt. scenario COM'!Z90</f>
        <v>39</v>
      </c>
      <c r="AZ179" s="96">
        <f>'Alt. scenario COM'!AA90</f>
        <v>41</v>
      </c>
      <c r="BA179" s="246">
        <f>'Alt. scenario COM'!AB90</f>
        <v>38.25</v>
      </c>
      <c r="BB179" s="94">
        <f>'Key financial and ops fig.s COM'!AC90</f>
        <v>41</v>
      </c>
      <c r="BC179" s="95">
        <f>'Key financial and ops fig.s COM'!AD90</f>
        <v>40</v>
      </c>
      <c r="BD179" s="95">
        <f>'Key financial and ops fig.s COM'!AE90</f>
        <v>40</v>
      </c>
      <c r="BE179" s="96">
        <f>'Key financial and ops fig.s COM'!AF90</f>
        <v>40</v>
      </c>
      <c r="BF179" s="228">
        <f>'Key financial and ops fig.s COM'!AG90</f>
        <v>40.25</v>
      </c>
      <c r="BG179" s="94">
        <f>'Alt. scenario COM'!AC90</f>
        <v>41</v>
      </c>
      <c r="BH179" s="95">
        <f>'Alt. scenario COM'!AD90</f>
        <v>40</v>
      </c>
      <c r="BI179" s="95">
        <f>'Alt. scenario COM'!AE90</f>
        <v>40</v>
      </c>
      <c r="BJ179" s="96">
        <f>'Alt. scenario COM'!AF90</f>
        <v>40</v>
      </c>
      <c r="BK179" s="246">
        <f>'Alt. scenario COM'!AG90</f>
        <v>40.25</v>
      </c>
      <c r="BL179" s="94">
        <f>'Key financial and ops fig.s COM'!AH90</f>
        <v>39</v>
      </c>
      <c r="BM179" s="95">
        <f>'Key financial and ops fig.s COM'!AI90</f>
        <v>39</v>
      </c>
      <c r="BN179" s="95">
        <f>'Key financial and ops fig.s COM'!AJ90</f>
        <v>39</v>
      </c>
      <c r="BO179" s="96">
        <f>'Key financial and ops fig.s COM'!AK90</f>
        <v>39</v>
      </c>
      <c r="BP179" s="228">
        <f>'Key financial and ops fig.s COM'!AL90</f>
        <v>39</v>
      </c>
      <c r="BQ179" s="94">
        <f>'Alt. scenario COM'!AH90</f>
        <v>39</v>
      </c>
      <c r="BR179" s="95">
        <f>'Alt. scenario COM'!AI90</f>
        <v>39</v>
      </c>
      <c r="BS179" s="95">
        <f>'Alt. scenario COM'!AJ90</f>
        <v>39</v>
      </c>
      <c r="BT179" s="96">
        <f>'Alt. scenario COM'!AK90</f>
        <v>39</v>
      </c>
      <c r="BU179" s="246">
        <f>'Alt. scenario COM'!AL90</f>
        <v>39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8E47D-0409-4C15-BB45-EB891FC9C8A2}">
  <sheetPr>
    <tabColor theme="0"/>
  </sheetPr>
  <dimension ref="A1:X180"/>
  <sheetViews>
    <sheetView workbookViewId="0"/>
  </sheetViews>
  <sheetFormatPr defaultColWidth="9" defaultRowHeight="15"/>
  <cols>
    <col min="1" max="1" width="5.140625" style="2" bestFit="1" customWidth="1"/>
    <col min="2" max="2" width="29" style="2" bestFit="1" customWidth="1"/>
    <col min="3" max="3" width="21.140625" style="2" bestFit="1" customWidth="1"/>
    <col min="4" max="4" width="10.85546875" style="2" bestFit="1" customWidth="1"/>
    <col min="5" max="6" width="9.85546875" style="2" bestFit="1" customWidth="1"/>
    <col min="7" max="7" width="9.28515625" style="2" bestFit="1" customWidth="1"/>
    <col min="8" max="9" width="8.85546875" style="2" bestFit="1" customWidth="1"/>
    <col min="10" max="10" width="9.85546875" style="2" bestFit="1" customWidth="1"/>
    <col min="11" max="11" width="9.28515625" style="2" bestFit="1" customWidth="1"/>
    <col min="12" max="12" width="8.85546875" style="2" bestFit="1" customWidth="1"/>
    <col min="13" max="13" width="7.7109375" style="2" bestFit="1" customWidth="1"/>
    <col min="14" max="14" width="23.28515625" style="2" bestFit="1" customWidth="1"/>
    <col min="15" max="15" width="19.7109375" style="2" bestFit="1" customWidth="1"/>
    <col min="16" max="16" width="9.28515625" style="2" bestFit="1" customWidth="1"/>
    <col min="17" max="17" width="5.140625" style="2" bestFit="1" customWidth="1"/>
    <col min="18" max="18" width="7.7109375" style="2" bestFit="1" customWidth="1"/>
    <col min="19" max="16384" width="9" style="2"/>
  </cols>
  <sheetData>
    <row r="1" spans="1:24" s="3" customFormat="1" ht="86.1" customHeight="1"/>
    <row r="2" spans="1:24" s="3" customFormat="1">
      <c r="B2" s="3" t="s">
        <v>0</v>
      </c>
    </row>
    <row r="3" spans="1:24" s="5" customFormat="1" ht="15.95">
      <c r="B3" s="5" t="s">
        <v>327</v>
      </c>
      <c r="X3" s="7"/>
    </row>
    <row r="4" spans="1:24" s="10" customFormat="1" ht="15.95">
      <c r="B4" s="24"/>
    </row>
    <row r="5" spans="1:24" s="10" customFormat="1">
      <c r="B5" s="26" t="s">
        <v>328</v>
      </c>
      <c r="C5" s="26" t="s">
        <v>329</v>
      </c>
    </row>
    <row r="6" spans="1:24" s="10" customFormat="1">
      <c r="B6" s="14" t="s">
        <v>330</v>
      </c>
      <c r="C6" s="14">
        <v>0.33329999999999999</v>
      </c>
    </row>
    <row r="7" spans="1:24" s="10" customFormat="1">
      <c r="B7" s="14" t="s">
        <v>331</v>
      </c>
      <c r="C7" s="14">
        <v>0.33329999999999999</v>
      </c>
    </row>
    <row r="8" spans="1:24" s="10" customFormat="1">
      <c r="B8" s="14" t="s">
        <v>332</v>
      </c>
      <c r="C8" s="14">
        <f>1-(C6+C7)</f>
        <v>0.33340000000000003</v>
      </c>
    </row>
    <row r="9" spans="1:24" s="10" customFormat="1" ht="15.95">
      <c r="B9" s="24"/>
      <c r="O9" s="27"/>
    </row>
    <row r="10" spans="1:24">
      <c r="B10" s="25" t="s">
        <v>333</v>
      </c>
    </row>
    <row r="11" spans="1:24" ht="14.25" customHeight="1">
      <c r="A11" s="255" t="s">
        <v>334</v>
      </c>
      <c r="B11" s="257" t="s">
        <v>335</v>
      </c>
      <c r="C11" s="259" t="s">
        <v>336</v>
      </c>
      <c r="D11" s="261" t="s">
        <v>337</v>
      </c>
      <c r="E11" s="261" t="s">
        <v>338</v>
      </c>
      <c r="F11" s="262" t="s">
        <v>339</v>
      </c>
      <c r="G11" s="262"/>
      <c r="H11" s="262"/>
      <c r="I11" s="263"/>
      <c r="J11" s="264" t="s">
        <v>340</v>
      </c>
      <c r="K11" s="262"/>
      <c r="L11" s="262"/>
      <c r="M11" s="265"/>
      <c r="N11" s="254" t="s">
        <v>341</v>
      </c>
      <c r="O11" s="254" t="s">
        <v>342</v>
      </c>
      <c r="P11" s="254" t="s">
        <v>343</v>
      </c>
      <c r="Q11" s="254" t="s">
        <v>344</v>
      </c>
      <c r="R11" s="254" t="s">
        <v>345</v>
      </c>
    </row>
    <row r="12" spans="1:24" ht="48">
      <c r="A12" s="256"/>
      <c r="B12" s="258"/>
      <c r="C12" s="260"/>
      <c r="D12" s="261"/>
      <c r="E12" s="261"/>
      <c r="F12" s="11" t="s">
        <v>346</v>
      </c>
      <c r="G12" s="11" t="s">
        <v>343</v>
      </c>
      <c r="H12" s="11" t="s">
        <v>344</v>
      </c>
      <c r="I12" s="12" t="s">
        <v>345</v>
      </c>
      <c r="J12" s="11" t="s">
        <v>346</v>
      </c>
      <c r="K12" s="11" t="s">
        <v>343</v>
      </c>
      <c r="L12" s="11" t="s">
        <v>344</v>
      </c>
      <c r="M12" s="12" t="s">
        <v>345</v>
      </c>
      <c r="N12" s="254"/>
      <c r="O12" s="254"/>
      <c r="P12" s="254"/>
      <c r="Q12" s="254"/>
      <c r="R12" s="254"/>
    </row>
    <row r="13" spans="1:24">
      <c r="A13" s="13" t="s">
        <v>347</v>
      </c>
      <c r="B13" s="13" t="s">
        <v>49</v>
      </c>
      <c r="C13" s="13" t="s">
        <v>348</v>
      </c>
      <c r="D13" s="14">
        <v>159.41147529199949</v>
      </c>
      <c r="E13" s="14">
        <v>87.558349844877284</v>
      </c>
      <c r="F13" s="14">
        <v>133.17999936180018</v>
      </c>
      <c r="G13" s="14">
        <v>18.508130726857786</v>
      </c>
      <c r="H13" s="14">
        <v>6.034611373204644</v>
      </c>
      <c r="I13" s="14">
        <v>1.68873383013686</v>
      </c>
      <c r="J13" s="14">
        <v>77.319825756340322</v>
      </c>
      <c r="K13" s="14">
        <v>6.7958944169940985</v>
      </c>
      <c r="L13" s="14">
        <v>2.2862019971661574</v>
      </c>
      <c r="M13" s="14">
        <v>1.1564276743766977</v>
      </c>
      <c r="N13" s="14">
        <v>246.96982513687675</v>
      </c>
      <c r="O13" s="14">
        <f t="shared" ref="O13:O42" si="0">F13+J13</f>
        <v>210.49982511814051</v>
      </c>
      <c r="P13" s="14">
        <f t="shared" ref="P13:P42" si="1">G13+K13</f>
        <v>25.304025143851884</v>
      </c>
      <c r="Q13" s="14">
        <f t="shared" ref="Q13:Q42" si="2">H13+L13</f>
        <v>8.3208133703708018</v>
      </c>
      <c r="R13" s="14">
        <f t="shared" ref="R13:R42" si="3">I13+M13</f>
        <v>2.8451615045135576</v>
      </c>
    </row>
    <row r="14" spans="1:24">
      <c r="A14" s="13" t="s">
        <v>349</v>
      </c>
      <c r="B14" s="13" t="s">
        <v>350</v>
      </c>
      <c r="C14" s="13" t="s">
        <v>348</v>
      </c>
      <c r="D14" s="14">
        <v>113.88899484128362</v>
      </c>
      <c r="E14" s="14">
        <v>73.563321003530731</v>
      </c>
      <c r="F14" s="14">
        <v>84.335846415411709</v>
      </c>
      <c r="G14" s="14">
        <v>23.350748582194839</v>
      </c>
      <c r="H14" s="14">
        <v>5.8375182687118947</v>
      </c>
      <c r="I14" s="14">
        <v>0.3648815749651762</v>
      </c>
      <c r="J14" s="14">
        <v>63.187229915006469</v>
      </c>
      <c r="K14" s="14">
        <v>8.4965291084078878</v>
      </c>
      <c r="L14" s="14">
        <v>1.6180005577085643</v>
      </c>
      <c r="M14" s="14">
        <v>0.26156142240780206</v>
      </c>
      <c r="N14" s="14">
        <v>187.45231584481434</v>
      </c>
      <c r="O14" s="14">
        <f t="shared" si="0"/>
        <v>147.52307633041818</v>
      </c>
      <c r="P14" s="14">
        <f t="shared" si="1"/>
        <v>31.847277690602727</v>
      </c>
      <c r="Q14" s="14">
        <f t="shared" si="2"/>
        <v>7.4555188264204588</v>
      </c>
      <c r="R14" s="14">
        <f t="shared" si="3"/>
        <v>0.62644299737297826</v>
      </c>
    </row>
    <row r="15" spans="1:24">
      <c r="A15" s="13" t="s">
        <v>351</v>
      </c>
      <c r="B15" s="13" t="s">
        <v>352</v>
      </c>
      <c r="C15" s="13" t="s">
        <v>348</v>
      </c>
      <c r="D15" s="14">
        <v>2456.9338037803641</v>
      </c>
      <c r="E15" s="14">
        <v>2080.6176072727289</v>
      </c>
      <c r="F15" s="14">
        <v>2303.9455416720875</v>
      </c>
      <c r="G15" s="14">
        <v>95.706204181007124</v>
      </c>
      <c r="H15" s="14">
        <v>51.641318399891105</v>
      </c>
      <c r="I15" s="14">
        <v>5.6407395273782353</v>
      </c>
      <c r="J15" s="14">
        <v>2021.0342539909527</v>
      </c>
      <c r="K15" s="14">
        <v>39.402055032640519</v>
      </c>
      <c r="L15" s="14">
        <v>14.153157132149806</v>
      </c>
      <c r="M15" s="14">
        <v>6.0281411169855827</v>
      </c>
      <c r="N15" s="14">
        <v>4537.551411053093</v>
      </c>
      <c r="O15" s="14">
        <f t="shared" si="0"/>
        <v>4324.97979566304</v>
      </c>
      <c r="P15" s="14">
        <f t="shared" si="1"/>
        <v>135.10825921364764</v>
      </c>
      <c r="Q15" s="14">
        <f t="shared" si="2"/>
        <v>65.794475532040906</v>
      </c>
      <c r="R15" s="14">
        <f t="shared" si="3"/>
        <v>11.668880644363817</v>
      </c>
    </row>
    <row r="16" spans="1:24">
      <c r="A16" s="13" t="s">
        <v>353</v>
      </c>
      <c r="B16" s="13" t="s">
        <v>354</v>
      </c>
      <c r="C16" s="13" t="s">
        <v>348</v>
      </c>
      <c r="D16" s="14">
        <v>817.98520867990749</v>
      </c>
      <c r="E16" s="14">
        <v>438.10949956841102</v>
      </c>
      <c r="F16" s="14">
        <v>687.66386191062531</v>
      </c>
      <c r="G16" s="14">
        <v>45.756014928968916</v>
      </c>
      <c r="H16" s="14">
        <v>66.236538050050243</v>
      </c>
      <c r="I16" s="14">
        <v>18.328793790262957</v>
      </c>
      <c r="J16" s="14">
        <v>381.0908581720077</v>
      </c>
      <c r="K16" s="14">
        <v>20.619940727531585</v>
      </c>
      <c r="L16" s="14">
        <v>31.475879620469343</v>
      </c>
      <c r="M16" s="14">
        <v>4.9228210484023798</v>
      </c>
      <c r="N16" s="14">
        <v>1256.0947082483185</v>
      </c>
      <c r="O16" s="14">
        <f t="shared" si="0"/>
        <v>1068.754720082633</v>
      </c>
      <c r="P16" s="14">
        <f t="shared" si="1"/>
        <v>66.375955656500508</v>
      </c>
      <c r="Q16" s="14">
        <f t="shared" si="2"/>
        <v>97.712417670519585</v>
      </c>
      <c r="R16" s="14">
        <f t="shared" si="3"/>
        <v>23.251614838665336</v>
      </c>
    </row>
    <row r="17" spans="1:18">
      <c r="A17" s="13" t="s">
        <v>355</v>
      </c>
      <c r="B17" s="13" t="s">
        <v>356</v>
      </c>
      <c r="C17" s="13" t="s">
        <v>348</v>
      </c>
      <c r="D17" s="14">
        <v>6450.2833591336257</v>
      </c>
      <c r="E17" s="14">
        <v>1664.7166712244612</v>
      </c>
      <c r="F17" s="14">
        <v>5339.4271125243276</v>
      </c>
      <c r="G17" s="14">
        <v>746.48784286294654</v>
      </c>
      <c r="H17" s="14">
        <v>315.89890218862831</v>
      </c>
      <c r="I17" s="14">
        <v>48.469501557723376</v>
      </c>
      <c r="J17" s="14">
        <v>1499.9634176299601</v>
      </c>
      <c r="K17" s="14">
        <v>80.068868699500527</v>
      </c>
      <c r="L17" s="14">
        <v>52.085521920178749</v>
      </c>
      <c r="M17" s="14">
        <v>32.598862974821806</v>
      </c>
      <c r="N17" s="14">
        <v>8115.0000303580873</v>
      </c>
      <c r="O17" s="14">
        <f t="shared" si="0"/>
        <v>6839.3905301542873</v>
      </c>
      <c r="P17" s="14">
        <f t="shared" si="1"/>
        <v>826.55671156244705</v>
      </c>
      <c r="Q17" s="14">
        <f t="shared" si="2"/>
        <v>367.98442410880705</v>
      </c>
      <c r="R17" s="14">
        <f t="shared" si="3"/>
        <v>81.068364532545189</v>
      </c>
    </row>
    <row r="18" spans="1:18">
      <c r="A18" s="13" t="s">
        <v>357</v>
      </c>
      <c r="B18" s="13" t="s">
        <v>358</v>
      </c>
      <c r="C18" s="13" t="s">
        <v>348</v>
      </c>
      <c r="D18" s="14">
        <v>49.719765421528045</v>
      </c>
      <c r="E18" s="14">
        <v>34.601788697545246</v>
      </c>
      <c r="F18" s="14">
        <v>40.161182712771421</v>
      </c>
      <c r="G18" s="14">
        <v>7.0378313255608962</v>
      </c>
      <c r="H18" s="14">
        <v>2.2276600209630479</v>
      </c>
      <c r="I18" s="14">
        <v>0.29309136223267696</v>
      </c>
      <c r="J18" s="14">
        <v>25.645212327832613</v>
      </c>
      <c r="K18" s="14">
        <v>6.974377870663627</v>
      </c>
      <c r="L18" s="14">
        <v>1.9239437962424848</v>
      </c>
      <c r="M18" s="14">
        <v>5.825470280652191E-2</v>
      </c>
      <c r="N18" s="14">
        <v>84.321554119073298</v>
      </c>
      <c r="O18" s="14">
        <f t="shared" si="0"/>
        <v>65.806395040604031</v>
      </c>
      <c r="P18" s="14">
        <f t="shared" si="1"/>
        <v>14.012209196224523</v>
      </c>
      <c r="Q18" s="14">
        <f t="shared" si="2"/>
        <v>4.1516038172055332</v>
      </c>
      <c r="R18" s="14">
        <f t="shared" si="3"/>
        <v>0.35134606503919885</v>
      </c>
    </row>
    <row r="19" spans="1:18">
      <c r="A19" s="13" t="s">
        <v>359</v>
      </c>
      <c r="B19" s="13" t="s">
        <v>360</v>
      </c>
      <c r="C19" s="13" t="s">
        <v>348</v>
      </c>
      <c r="D19" s="14">
        <v>215.5117023264697</v>
      </c>
      <c r="E19" s="14">
        <v>155.03528878977997</v>
      </c>
      <c r="F19" s="14">
        <v>203.55300262046489</v>
      </c>
      <c r="G19" s="14">
        <v>7.9978508078333075</v>
      </c>
      <c r="H19" s="14">
        <v>3.2179011963380941</v>
      </c>
      <c r="I19" s="14">
        <v>0.74294770183340475</v>
      </c>
      <c r="J19" s="14">
        <v>151.58874259561409</v>
      </c>
      <c r="K19" s="14">
        <v>1.5860532838506971</v>
      </c>
      <c r="L19" s="14">
        <v>1.4724501209359833</v>
      </c>
      <c r="M19" s="14">
        <v>0.38804278937919851</v>
      </c>
      <c r="N19" s="14">
        <v>370.54699111624967</v>
      </c>
      <c r="O19" s="14">
        <f t="shared" si="0"/>
        <v>355.14174521607902</v>
      </c>
      <c r="P19" s="14">
        <f t="shared" si="1"/>
        <v>9.5839040916840048</v>
      </c>
      <c r="Q19" s="14">
        <f t="shared" si="2"/>
        <v>4.6903513172740769</v>
      </c>
      <c r="R19" s="14">
        <f t="shared" si="3"/>
        <v>1.1309904912126032</v>
      </c>
    </row>
    <row r="20" spans="1:18">
      <c r="A20" s="13" t="s">
        <v>361</v>
      </c>
      <c r="B20" s="13" t="s">
        <v>362</v>
      </c>
      <c r="C20" s="13" t="s">
        <v>348</v>
      </c>
      <c r="D20" s="14">
        <v>2617.8533480393016</v>
      </c>
      <c r="E20" s="14">
        <v>2874.5438886817469</v>
      </c>
      <c r="F20" s="14">
        <v>2421.2389665023893</v>
      </c>
      <c r="G20" s="14">
        <v>135.0495115697241</v>
      </c>
      <c r="H20" s="14">
        <v>55.960288204714381</v>
      </c>
      <c r="I20" s="14">
        <v>5.6045817624740906</v>
      </c>
      <c r="J20" s="14">
        <v>2784.6250717720136</v>
      </c>
      <c r="K20" s="14">
        <v>73.198818347686029</v>
      </c>
      <c r="L20" s="14">
        <v>10.983213657512257</v>
      </c>
      <c r="M20" s="14">
        <v>5.7367849045350612</v>
      </c>
      <c r="N20" s="14">
        <v>5492.397236721049</v>
      </c>
      <c r="O20" s="14">
        <f t="shared" si="0"/>
        <v>5205.8640382744034</v>
      </c>
      <c r="P20" s="14">
        <f t="shared" si="1"/>
        <v>208.24832991741013</v>
      </c>
      <c r="Q20" s="14">
        <f t="shared" si="2"/>
        <v>66.94350186222664</v>
      </c>
      <c r="R20" s="14">
        <f t="shared" si="3"/>
        <v>11.341366667009151</v>
      </c>
    </row>
    <row r="21" spans="1:18">
      <c r="A21" s="13" t="s">
        <v>363</v>
      </c>
      <c r="B21" s="13" t="s">
        <v>364</v>
      </c>
      <c r="C21" s="13" t="s">
        <v>348</v>
      </c>
      <c r="D21" s="14">
        <v>25154.682533939649</v>
      </c>
      <c r="E21" s="14">
        <v>16314.465800887878</v>
      </c>
      <c r="F21" s="14">
        <v>21936.244861923369</v>
      </c>
      <c r="G21" s="14">
        <v>3085.6630620342839</v>
      </c>
      <c r="H21" s="14">
        <v>125.29130295090701</v>
      </c>
      <c r="I21" s="14">
        <v>7.4833070310901233</v>
      </c>
      <c r="J21" s="14">
        <v>13721.271430141096</v>
      </c>
      <c r="K21" s="14">
        <v>2444.2403405895052</v>
      </c>
      <c r="L21" s="14">
        <v>144.48433713966267</v>
      </c>
      <c r="M21" s="14">
        <v>4.4696930176141381</v>
      </c>
      <c r="N21" s="14">
        <v>41469.148334827529</v>
      </c>
      <c r="O21" s="14">
        <f t="shared" si="0"/>
        <v>35657.516292064465</v>
      </c>
      <c r="P21" s="14">
        <f t="shared" si="1"/>
        <v>5529.9034026237896</v>
      </c>
      <c r="Q21" s="14">
        <f t="shared" si="2"/>
        <v>269.77564009056971</v>
      </c>
      <c r="R21" s="14">
        <f t="shared" si="3"/>
        <v>11.953000048704261</v>
      </c>
    </row>
    <row r="22" spans="1:18">
      <c r="A22" s="13" t="s">
        <v>365</v>
      </c>
      <c r="B22" s="13" t="s">
        <v>366</v>
      </c>
      <c r="C22" s="13" t="s">
        <v>348</v>
      </c>
      <c r="D22" s="14">
        <v>444.01435728583198</v>
      </c>
      <c r="E22" s="14">
        <v>158.84854946327607</v>
      </c>
      <c r="F22" s="14">
        <v>374.48078863655672</v>
      </c>
      <c r="G22" s="14">
        <v>39.475790024179197</v>
      </c>
      <c r="H22" s="14">
        <v>25.275117660839975</v>
      </c>
      <c r="I22" s="14">
        <v>4.7826609642560598</v>
      </c>
      <c r="J22" s="14">
        <v>151.37227755222597</v>
      </c>
      <c r="K22" s="14">
        <v>3.6387076594615069</v>
      </c>
      <c r="L22" s="14">
        <v>3.4493071455054714</v>
      </c>
      <c r="M22" s="14">
        <v>0.38825710608313763</v>
      </c>
      <c r="N22" s="14">
        <v>602.86290674910811</v>
      </c>
      <c r="O22" s="14">
        <f t="shared" si="0"/>
        <v>525.85306618878269</v>
      </c>
      <c r="P22" s="14">
        <f t="shared" si="1"/>
        <v>43.114497683640707</v>
      </c>
      <c r="Q22" s="14">
        <f t="shared" si="2"/>
        <v>28.724424806345446</v>
      </c>
      <c r="R22" s="14">
        <f t="shared" si="3"/>
        <v>5.170918070339197</v>
      </c>
    </row>
    <row r="23" spans="1:18">
      <c r="A23" s="13" t="s">
        <v>367</v>
      </c>
      <c r="B23" s="13" t="s">
        <v>368</v>
      </c>
      <c r="C23" s="13" t="s">
        <v>348</v>
      </c>
      <c r="D23" s="14">
        <v>667.14360848378578</v>
      </c>
      <c r="E23" s="14">
        <v>596.80352431779284</v>
      </c>
      <c r="F23" s="14">
        <v>518.02235482808373</v>
      </c>
      <c r="G23" s="14">
        <v>99.166177316321452</v>
      </c>
      <c r="H23" s="14">
        <v>42.640599780246902</v>
      </c>
      <c r="I23" s="14">
        <v>7.3144765591337642</v>
      </c>
      <c r="J23" s="14">
        <v>440.8992887710271</v>
      </c>
      <c r="K23" s="14">
        <v>109.01241230511536</v>
      </c>
      <c r="L23" s="14">
        <v>43.416921127330937</v>
      </c>
      <c r="M23" s="14">
        <v>3.4749021143194789</v>
      </c>
      <c r="N23" s="14">
        <v>1263.9471328015786</v>
      </c>
      <c r="O23" s="14">
        <f t="shared" si="0"/>
        <v>958.92164359911089</v>
      </c>
      <c r="P23" s="14">
        <f t="shared" si="1"/>
        <v>208.1785896214368</v>
      </c>
      <c r="Q23" s="14">
        <f t="shared" si="2"/>
        <v>86.057520907577839</v>
      </c>
      <c r="R23" s="14">
        <f t="shared" si="3"/>
        <v>10.789378673453243</v>
      </c>
    </row>
    <row r="24" spans="1:18">
      <c r="A24" s="13" t="s">
        <v>369</v>
      </c>
      <c r="B24" s="13" t="s">
        <v>370</v>
      </c>
      <c r="C24" s="13" t="s">
        <v>348</v>
      </c>
      <c r="D24" s="14">
        <v>130.3499909446565</v>
      </c>
      <c r="E24" s="14">
        <v>99.262243751344613</v>
      </c>
      <c r="F24" s="14">
        <v>114.46718692063723</v>
      </c>
      <c r="G24" s="14">
        <v>9.7139869884969912</v>
      </c>
      <c r="H24" s="14">
        <v>4.7719814391212765</v>
      </c>
      <c r="I24" s="14">
        <v>1.3968355964009911</v>
      </c>
      <c r="J24" s="14">
        <v>89.704805394371277</v>
      </c>
      <c r="K24" s="14">
        <v>5.1238884033542043</v>
      </c>
      <c r="L24" s="14">
        <v>3.7739251832724237</v>
      </c>
      <c r="M24" s="14">
        <v>0.65962477034671441</v>
      </c>
      <c r="N24" s="14">
        <v>229.61223469600111</v>
      </c>
      <c r="O24" s="14">
        <f t="shared" si="0"/>
        <v>204.17199231500851</v>
      </c>
      <c r="P24" s="14">
        <f t="shared" si="1"/>
        <v>14.837875391851195</v>
      </c>
      <c r="Q24" s="14">
        <f t="shared" si="2"/>
        <v>8.5459066223936997</v>
      </c>
      <c r="R24" s="14">
        <f t="shared" si="3"/>
        <v>2.0564603667477055</v>
      </c>
    </row>
    <row r="25" spans="1:18">
      <c r="A25" s="13" t="s">
        <v>371</v>
      </c>
      <c r="B25" s="13" t="s">
        <v>372</v>
      </c>
      <c r="C25" s="13" t="s">
        <v>348</v>
      </c>
      <c r="D25" s="14">
        <v>275.32125290936557</v>
      </c>
      <c r="E25" s="14">
        <v>191.84192836973267</v>
      </c>
      <c r="F25" s="14">
        <v>233.07341495155322</v>
      </c>
      <c r="G25" s="14">
        <v>34.788744524400933</v>
      </c>
      <c r="H25" s="14">
        <v>6.677017050798038</v>
      </c>
      <c r="I25" s="14">
        <v>0.78207638261336732</v>
      </c>
      <c r="J25" s="14">
        <v>155.44290786813858</v>
      </c>
      <c r="K25" s="14">
        <v>33.837777400900222</v>
      </c>
      <c r="L25" s="14">
        <v>2.2282850045558655</v>
      </c>
      <c r="M25" s="14">
        <v>0.33295809613801841</v>
      </c>
      <c r="N25" s="14">
        <v>467.16318127909824</v>
      </c>
      <c r="O25" s="14">
        <f t="shared" si="0"/>
        <v>388.51632281969182</v>
      </c>
      <c r="P25" s="14">
        <f t="shared" si="1"/>
        <v>68.626521925301148</v>
      </c>
      <c r="Q25" s="14">
        <f t="shared" si="2"/>
        <v>8.9053020553539035</v>
      </c>
      <c r="R25" s="14">
        <f t="shared" si="3"/>
        <v>1.1150344787513857</v>
      </c>
    </row>
    <row r="26" spans="1:18">
      <c r="A26" s="13" t="s">
        <v>373</v>
      </c>
      <c r="B26" s="13" t="s">
        <v>374</v>
      </c>
      <c r="C26" s="13" t="s">
        <v>348</v>
      </c>
      <c r="D26" s="14">
        <v>2131.4224308162561</v>
      </c>
      <c r="E26" s="14">
        <v>1967.574982996171</v>
      </c>
      <c r="F26" s="14">
        <v>2026.2563233075191</v>
      </c>
      <c r="G26" s="14">
        <v>82.224797693776367</v>
      </c>
      <c r="H26" s="14">
        <v>18.348577161864469</v>
      </c>
      <c r="I26" s="14">
        <v>4.5927326530961992</v>
      </c>
      <c r="J26" s="14">
        <v>1876.2456123160359</v>
      </c>
      <c r="K26" s="14">
        <v>63.35496614214594</v>
      </c>
      <c r="L26" s="14">
        <v>27.974404537989216</v>
      </c>
      <c r="M26" s="15">
        <v>0</v>
      </c>
      <c r="N26" s="14">
        <v>4098.9974138124271</v>
      </c>
      <c r="O26" s="14">
        <f t="shared" si="0"/>
        <v>3902.5019356235553</v>
      </c>
      <c r="P26" s="14">
        <f t="shared" si="1"/>
        <v>145.57976383592231</v>
      </c>
      <c r="Q26" s="14">
        <f t="shared" si="2"/>
        <v>46.322981699853685</v>
      </c>
      <c r="R26" s="14">
        <f t="shared" si="3"/>
        <v>4.5927326530961992</v>
      </c>
    </row>
    <row r="27" spans="1:18">
      <c r="A27" s="13" t="s">
        <v>375</v>
      </c>
      <c r="B27" s="13" t="s">
        <v>376</v>
      </c>
      <c r="C27" s="13" t="s">
        <v>348</v>
      </c>
      <c r="D27" s="14">
        <v>202.01505219186595</v>
      </c>
      <c r="E27" s="14">
        <v>155.40157761046265</v>
      </c>
      <c r="F27" s="14">
        <v>181.23981275922276</v>
      </c>
      <c r="G27" s="14">
        <v>13.504735777361399</v>
      </c>
      <c r="H27" s="14">
        <v>5.7612252085268949</v>
      </c>
      <c r="I27" s="14">
        <v>1.509278446754899</v>
      </c>
      <c r="J27" s="14">
        <v>123.62395187926521</v>
      </c>
      <c r="K27" s="14">
        <v>23.838158257580318</v>
      </c>
      <c r="L27" s="14">
        <v>6.096467430959593</v>
      </c>
      <c r="M27" s="14">
        <v>1.8430000426575404</v>
      </c>
      <c r="N27" s="14">
        <v>357.41662980232854</v>
      </c>
      <c r="O27" s="14">
        <f t="shared" si="0"/>
        <v>304.86376463848796</v>
      </c>
      <c r="P27" s="14">
        <f t="shared" si="1"/>
        <v>37.342894034941715</v>
      </c>
      <c r="Q27" s="14">
        <f t="shared" si="2"/>
        <v>11.857692639486487</v>
      </c>
      <c r="R27" s="14">
        <f t="shared" si="3"/>
        <v>3.3522784894124396</v>
      </c>
    </row>
    <row r="28" spans="1:18">
      <c r="A28" s="13" t="s">
        <v>377</v>
      </c>
      <c r="B28" s="13" t="s">
        <v>378</v>
      </c>
      <c r="C28" s="13" t="s">
        <v>348</v>
      </c>
      <c r="D28" s="14">
        <v>30.314022792117285</v>
      </c>
      <c r="E28" s="14">
        <v>16.585762597192289</v>
      </c>
      <c r="F28" s="14">
        <v>24.224788996832661</v>
      </c>
      <c r="G28" s="14">
        <v>3.1634308042344488</v>
      </c>
      <c r="H28" s="14">
        <v>2.2788385428328337</v>
      </c>
      <c r="I28" s="14">
        <v>0.64696444821734211</v>
      </c>
      <c r="J28" s="14">
        <v>14.377255236262789</v>
      </c>
      <c r="K28" s="14">
        <v>1.2114958769460471</v>
      </c>
      <c r="L28" s="14">
        <v>0.85753057257570076</v>
      </c>
      <c r="M28" s="14">
        <v>0.13948091140775074</v>
      </c>
      <c r="N28" s="14">
        <v>46.899785389309571</v>
      </c>
      <c r="O28" s="14">
        <f t="shared" si="0"/>
        <v>38.602044233095448</v>
      </c>
      <c r="P28" s="14">
        <f t="shared" si="1"/>
        <v>4.3749266811804954</v>
      </c>
      <c r="Q28" s="14">
        <f t="shared" si="2"/>
        <v>3.1363691154085345</v>
      </c>
      <c r="R28" s="14">
        <f t="shared" si="3"/>
        <v>0.78644535962509288</v>
      </c>
    </row>
    <row r="29" spans="1:18">
      <c r="A29" s="13" t="s">
        <v>379</v>
      </c>
      <c r="B29" s="13" t="s">
        <v>380</v>
      </c>
      <c r="C29" s="13" t="s">
        <v>348</v>
      </c>
      <c r="D29" s="14">
        <v>2005.1473880458045</v>
      </c>
      <c r="E29" s="14">
        <v>952.74562153813577</v>
      </c>
      <c r="F29" s="14">
        <v>1696.0760243380187</v>
      </c>
      <c r="G29" s="14">
        <v>209.20663951580343</v>
      </c>
      <c r="H29" s="14">
        <v>87.360843919049103</v>
      </c>
      <c r="I29" s="14">
        <v>12.503880272933284</v>
      </c>
      <c r="J29" s="14">
        <v>909.19184129680707</v>
      </c>
      <c r="K29" s="14">
        <v>26.115876139150629</v>
      </c>
      <c r="L29" s="14">
        <v>17.159306159100055</v>
      </c>
      <c r="M29" s="14">
        <v>0.27859794307798674</v>
      </c>
      <c r="N29" s="14">
        <v>2957.8930095839401</v>
      </c>
      <c r="O29" s="14">
        <f t="shared" si="0"/>
        <v>2605.2678656348257</v>
      </c>
      <c r="P29" s="14">
        <f t="shared" si="1"/>
        <v>235.32251565495406</v>
      </c>
      <c r="Q29" s="14">
        <f t="shared" si="2"/>
        <v>104.52015007814916</v>
      </c>
      <c r="R29" s="14">
        <f t="shared" si="3"/>
        <v>12.78247821601127</v>
      </c>
    </row>
    <row r="30" spans="1:18">
      <c r="A30" s="13" t="s">
        <v>381</v>
      </c>
      <c r="B30" s="13" t="s">
        <v>382</v>
      </c>
      <c r="C30" s="13" t="s">
        <v>348</v>
      </c>
      <c r="D30" s="14">
        <v>2090.1081280101002</v>
      </c>
      <c r="E30" s="14">
        <v>2385.807132405946</v>
      </c>
      <c r="F30" s="14">
        <v>1967.9150604840906</v>
      </c>
      <c r="G30" s="14">
        <v>85.440367808371533</v>
      </c>
      <c r="H30" s="14">
        <v>31.981138545377178</v>
      </c>
      <c r="I30" s="14">
        <v>4.7715611722608759</v>
      </c>
      <c r="J30" s="14">
        <v>2261.1104203690884</v>
      </c>
      <c r="K30" s="14">
        <v>80.532203564408505</v>
      </c>
      <c r="L30" s="14">
        <v>40.548553978766044</v>
      </c>
      <c r="M30" s="14">
        <v>3.6159544936831822</v>
      </c>
      <c r="N30" s="14">
        <v>4475.9152604160472</v>
      </c>
      <c r="O30" s="14">
        <f t="shared" si="0"/>
        <v>4229.025480853179</v>
      </c>
      <c r="P30" s="14">
        <f t="shared" si="1"/>
        <v>165.97257137278004</v>
      </c>
      <c r="Q30" s="14">
        <f t="shared" si="2"/>
        <v>72.529692524143229</v>
      </c>
      <c r="R30" s="14">
        <f t="shared" si="3"/>
        <v>8.3875156659440577</v>
      </c>
    </row>
    <row r="31" spans="1:18">
      <c r="A31" s="13" t="s">
        <v>383</v>
      </c>
      <c r="B31" s="13" t="s">
        <v>384</v>
      </c>
      <c r="C31" s="13" t="s">
        <v>348</v>
      </c>
      <c r="D31" s="14">
        <v>17400.912038965482</v>
      </c>
      <c r="E31" s="14">
        <v>19098.12446737416</v>
      </c>
      <c r="F31" s="14">
        <v>16190.535267828098</v>
      </c>
      <c r="G31" s="14">
        <v>905.3680826090274</v>
      </c>
      <c r="H31" s="14">
        <v>294.90874846379694</v>
      </c>
      <c r="I31" s="14">
        <v>10.099940064561384</v>
      </c>
      <c r="J31" s="14">
        <v>18080.380640774776</v>
      </c>
      <c r="K31" s="14">
        <v>722.28426707483538</v>
      </c>
      <c r="L31" s="14">
        <v>289.03770538602265</v>
      </c>
      <c r="M31" s="14">
        <v>6.421854138527789</v>
      </c>
      <c r="N31" s="14">
        <v>36499.036506339646</v>
      </c>
      <c r="O31" s="14">
        <f t="shared" si="0"/>
        <v>34270.915908602874</v>
      </c>
      <c r="P31" s="14">
        <f t="shared" si="1"/>
        <v>1627.6523496838627</v>
      </c>
      <c r="Q31" s="14">
        <f t="shared" si="2"/>
        <v>583.94645384981959</v>
      </c>
      <c r="R31" s="14">
        <f t="shared" si="3"/>
        <v>16.521794203089172</v>
      </c>
    </row>
    <row r="32" spans="1:18">
      <c r="A32" s="13" t="s">
        <v>385</v>
      </c>
      <c r="B32" s="13" t="s">
        <v>386</v>
      </c>
      <c r="C32" s="13" t="s">
        <v>348</v>
      </c>
      <c r="D32" s="14">
        <v>73.78320232627506</v>
      </c>
      <c r="E32" s="14">
        <v>27.594045970607464</v>
      </c>
      <c r="F32" s="14">
        <v>53.378236809774052</v>
      </c>
      <c r="G32" s="14">
        <v>12.19180256096546</v>
      </c>
      <c r="H32" s="14">
        <v>6.2018991903447898</v>
      </c>
      <c r="I32" s="14">
        <v>2.0112637651907557</v>
      </c>
      <c r="J32" s="14">
        <v>19.350761082493847</v>
      </c>
      <c r="K32" s="14">
        <v>4.3589063453093573</v>
      </c>
      <c r="L32" s="14">
        <v>3.5436782155149675</v>
      </c>
      <c r="M32" s="14">
        <v>0.34070032728929522</v>
      </c>
      <c r="N32" s="14">
        <v>101.37724829688254</v>
      </c>
      <c r="O32" s="14">
        <f t="shared" si="0"/>
        <v>72.728997892267898</v>
      </c>
      <c r="P32" s="14">
        <f t="shared" si="1"/>
        <v>16.550708906274817</v>
      </c>
      <c r="Q32" s="14">
        <f t="shared" si="2"/>
        <v>9.7455774058597573</v>
      </c>
      <c r="R32" s="14">
        <f t="shared" si="3"/>
        <v>2.3519640924800509</v>
      </c>
    </row>
    <row r="33" spans="1:18">
      <c r="A33" s="13" t="s">
        <v>387</v>
      </c>
      <c r="B33" s="13" t="s">
        <v>388</v>
      </c>
      <c r="C33" s="13" t="s">
        <v>348</v>
      </c>
      <c r="D33" s="14">
        <v>11245.784225599024</v>
      </c>
      <c r="E33" s="14">
        <v>2458.0912061252657</v>
      </c>
      <c r="F33" s="14">
        <v>10242.803734555881</v>
      </c>
      <c r="G33" s="14">
        <v>546.55527722493025</v>
      </c>
      <c r="H33" s="14">
        <v>411.08838160224923</v>
      </c>
      <c r="I33" s="14">
        <v>45.336832215963412</v>
      </c>
      <c r="J33" s="14">
        <v>2262.7442778124696</v>
      </c>
      <c r="K33" s="14">
        <v>166.03891365517086</v>
      </c>
      <c r="L33" s="14">
        <v>29.308014657625129</v>
      </c>
      <c r="M33" s="15">
        <v>0</v>
      </c>
      <c r="N33" s="14">
        <v>13703.875431724289</v>
      </c>
      <c r="O33" s="14">
        <f t="shared" si="0"/>
        <v>12505.54801236835</v>
      </c>
      <c r="P33" s="14">
        <f t="shared" si="1"/>
        <v>712.59419088010111</v>
      </c>
      <c r="Q33" s="14">
        <f t="shared" si="2"/>
        <v>440.39639625987434</v>
      </c>
      <c r="R33" s="14">
        <f t="shared" si="3"/>
        <v>45.336832215963412</v>
      </c>
    </row>
    <row r="34" spans="1:18">
      <c r="A34" s="13" t="s">
        <v>389</v>
      </c>
      <c r="B34" s="13" t="s">
        <v>390</v>
      </c>
      <c r="C34" s="13" t="s">
        <v>348</v>
      </c>
      <c r="D34" s="14">
        <v>824.35338388357798</v>
      </c>
      <c r="E34" s="14">
        <v>837.59580779319845</v>
      </c>
      <c r="F34" s="14">
        <v>767.90113819349938</v>
      </c>
      <c r="G34" s="14">
        <v>38.884099146751851</v>
      </c>
      <c r="H34" s="14">
        <v>16.64681790427986</v>
      </c>
      <c r="I34" s="14">
        <v>0.92132863904693252</v>
      </c>
      <c r="J34" s="14">
        <v>804.24455560243598</v>
      </c>
      <c r="K34" s="14">
        <v>24.129956610568392</v>
      </c>
      <c r="L34" s="14">
        <v>8.6254700122225838</v>
      </c>
      <c r="M34" s="14">
        <v>0.59582556797161412</v>
      </c>
      <c r="N34" s="14">
        <v>1661.9491916767765</v>
      </c>
      <c r="O34" s="14">
        <f t="shared" si="0"/>
        <v>1572.1456937959354</v>
      </c>
      <c r="P34" s="14">
        <f t="shared" si="1"/>
        <v>63.014055757320243</v>
      </c>
      <c r="Q34" s="14">
        <f t="shared" si="2"/>
        <v>25.272287916502442</v>
      </c>
      <c r="R34" s="14">
        <f t="shared" si="3"/>
        <v>1.5171542070185466</v>
      </c>
    </row>
    <row r="35" spans="1:18">
      <c r="A35" s="13" t="s">
        <v>391</v>
      </c>
      <c r="B35" s="13" t="s">
        <v>392</v>
      </c>
      <c r="C35" s="13" t="s">
        <v>348</v>
      </c>
      <c r="D35" s="14">
        <v>1406.960575027987</v>
      </c>
      <c r="E35" s="14">
        <v>1231.0643004039766</v>
      </c>
      <c r="F35" s="14">
        <v>1307.6202128636314</v>
      </c>
      <c r="G35" s="14">
        <v>64.017806619336056</v>
      </c>
      <c r="H35" s="14">
        <v>29.792600941647997</v>
      </c>
      <c r="I35" s="14">
        <v>5.5299546033714728</v>
      </c>
      <c r="J35" s="14">
        <v>1192.3750277654638</v>
      </c>
      <c r="K35" s="14">
        <v>22.455069752590763</v>
      </c>
      <c r="L35" s="14">
        <v>13.168608683824585</v>
      </c>
      <c r="M35" s="14">
        <v>3.0655942020973956</v>
      </c>
      <c r="N35" s="14">
        <v>2638.0248754319632</v>
      </c>
      <c r="O35" s="14">
        <f t="shared" si="0"/>
        <v>2499.995240629095</v>
      </c>
      <c r="P35" s="14">
        <f t="shared" si="1"/>
        <v>86.472876371926816</v>
      </c>
      <c r="Q35" s="14">
        <f t="shared" si="2"/>
        <v>42.961209625472584</v>
      </c>
      <c r="R35" s="14">
        <f t="shared" si="3"/>
        <v>8.5955488054688693</v>
      </c>
    </row>
    <row r="36" spans="1:18">
      <c r="A36" s="13" t="s">
        <v>393</v>
      </c>
      <c r="B36" s="13" t="s">
        <v>394</v>
      </c>
      <c r="C36" s="13" t="s">
        <v>348</v>
      </c>
      <c r="D36" s="14">
        <v>332.04604298332748</v>
      </c>
      <c r="E36" s="14">
        <v>255.70003478186393</v>
      </c>
      <c r="F36" s="14">
        <v>273.30424768090739</v>
      </c>
      <c r="G36" s="14">
        <v>35.921249064380007</v>
      </c>
      <c r="H36" s="14">
        <v>19.024512911653556</v>
      </c>
      <c r="I36" s="14">
        <v>3.7960333263865369</v>
      </c>
      <c r="J36" s="14">
        <v>219.80638884840349</v>
      </c>
      <c r="K36" s="14">
        <v>19.54250304425652</v>
      </c>
      <c r="L36" s="14">
        <v>13.847714704879609</v>
      </c>
      <c r="M36" s="14">
        <v>2.5034281843243229</v>
      </c>
      <c r="N36" s="14">
        <v>587.74607776519144</v>
      </c>
      <c r="O36" s="14">
        <f t="shared" si="0"/>
        <v>493.11063652931091</v>
      </c>
      <c r="P36" s="14">
        <f t="shared" si="1"/>
        <v>55.463752108636527</v>
      </c>
      <c r="Q36" s="14">
        <f t="shared" si="2"/>
        <v>32.872227616533166</v>
      </c>
      <c r="R36" s="14">
        <f t="shared" si="3"/>
        <v>6.2994615107108594</v>
      </c>
    </row>
    <row r="37" spans="1:18">
      <c r="A37" s="13" t="s">
        <v>395</v>
      </c>
      <c r="B37" s="13" t="s">
        <v>396</v>
      </c>
      <c r="C37" s="13" t="s">
        <v>348</v>
      </c>
      <c r="D37" s="14">
        <v>718.45065640774328</v>
      </c>
      <c r="E37" s="14">
        <v>511.61349796801693</v>
      </c>
      <c r="F37" s="14">
        <v>558.52498051568045</v>
      </c>
      <c r="G37" s="14">
        <v>77.774899714744379</v>
      </c>
      <c r="H37" s="14">
        <v>62.513246212656952</v>
      </c>
      <c r="I37" s="14">
        <v>19.637529964661532</v>
      </c>
      <c r="J37" s="14">
        <v>467.33762596987367</v>
      </c>
      <c r="K37" s="14">
        <v>23.619340305856213</v>
      </c>
      <c r="L37" s="14">
        <v>15.510803651175706</v>
      </c>
      <c r="M37" s="14">
        <v>5.1457280411113322</v>
      </c>
      <c r="N37" s="14">
        <v>1230.0641543757602</v>
      </c>
      <c r="O37" s="14">
        <f t="shared" si="0"/>
        <v>1025.8626064855541</v>
      </c>
      <c r="P37" s="14">
        <f t="shared" si="1"/>
        <v>101.39424002060059</v>
      </c>
      <c r="Q37" s="14">
        <f t="shared" si="2"/>
        <v>78.024049863832659</v>
      </c>
      <c r="R37" s="14">
        <f t="shared" si="3"/>
        <v>24.783258005772865</v>
      </c>
    </row>
    <row r="38" spans="1:18">
      <c r="A38" s="13" t="s">
        <v>397</v>
      </c>
      <c r="B38" s="13" t="s">
        <v>398</v>
      </c>
      <c r="C38" s="13" t="s">
        <v>348</v>
      </c>
      <c r="D38" s="14">
        <v>1441.2742854540072</v>
      </c>
      <c r="E38" s="14">
        <v>675.60393769327857</v>
      </c>
      <c r="F38" s="14">
        <v>1316.9777135682984</v>
      </c>
      <c r="G38" s="14">
        <v>74.587883243643148</v>
      </c>
      <c r="H38" s="14">
        <v>38.026726199086355</v>
      </c>
      <c r="I38" s="14">
        <v>11.681962442979309</v>
      </c>
      <c r="J38" s="14">
        <v>624.69599249088674</v>
      </c>
      <c r="K38" s="14">
        <v>27.255757880493586</v>
      </c>
      <c r="L38" s="14">
        <v>11.653646966070145</v>
      </c>
      <c r="M38" s="14">
        <v>11.998540355828123</v>
      </c>
      <c r="N38" s="14">
        <v>2116.8782231472856</v>
      </c>
      <c r="O38" s="14">
        <f t="shared" si="0"/>
        <v>1941.6737060591852</v>
      </c>
      <c r="P38" s="14">
        <f t="shared" si="1"/>
        <v>101.84364112413674</v>
      </c>
      <c r="Q38" s="14">
        <f t="shared" si="2"/>
        <v>49.680373165156496</v>
      </c>
      <c r="R38" s="14">
        <f t="shared" si="3"/>
        <v>23.680502798807431</v>
      </c>
    </row>
    <row r="39" spans="1:18">
      <c r="A39" s="13" t="s">
        <v>399</v>
      </c>
      <c r="B39" s="13" t="s">
        <v>400</v>
      </c>
      <c r="C39" s="13" t="s">
        <v>348</v>
      </c>
      <c r="D39" s="14">
        <v>382.24792917284435</v>
      </c>
      <c r="E39" s="14">
        <v>288.76020038564445</v>
      </c>
      <c r="F39" s="14">
        <v>347.44265828230471</v>
      </c>
      <c r="G39" s="14">
        <v>27.375309116707101</v>
      </c>
      <c r="H39" s="14">
        <v>6.2951941056729552</v>
      </c>
      <c r="I39" s="14">
        <v>1.1347676681595351</v>
      </c>
      <c r="J39" s="14">
        <v>274.60854547397014</v>
      </c>
      <c r="K39" s="14">
        <v>10.106485261987865</v>
      </c>
      <c r="L39" s="14">
        <v>3.8510053323380773</v>
      </c>
      <c r="M39" s="14">
        <v>0.19416431734835288</v>
      </c>
      <c r="N39" s="14">
        <v>671.0081295584888</v>
      </c>
      <c r="O39" s="14">
        <f t="shared" si="0"/>
        <v>622.05120375627484</v>
      </c>
      <c r="P39" s="14">
        <f t="shared" si="1"/>
        <v>37.481794378694964</v>
      </c>
      <c r="Q39" s="14">
        <f t="shared" si="2"/>
        <v>10.146199438011033</v>
      </c>
      <c r="R39" s="14">
        <f t="shared" si="3"/>
        <v>1.328931985507888</v>
      </c>
    </row>
    <row r="40" spans="1:18">
      <c r="A40" s="13" t="s">
        <v>401</v>
      </c>
      <c r="B40" s="13" t="s">
        <v>402</v>
      </c>
      <c r="C40" s="13" t="s">
        <v>348</v>
      </c>
      <c r="D40" s="14">
        <v>6271.8713522928902</v>
      </c>
      <c r="E40" s="14">
        <v>5021.7249888898614</v>
      </c>
      <c r="F40" s="14">
        <v>5859.1708563632383</v>
      </c>
      <c r="G40" s="14">
        <v>315.86415239524507</v>
      </c>
      <c r="H40" s="14">
        <v>89.846219569410081</v>
      </c>
      <c r="I40" s="14">
        <v>6.9901239649971183</v>
      </c>
      <c r="J40" s="14">
        <v>4715.3710732209211</v>
      </c>
      <c r="K40" s="14">
        <v>227.84500123139509</v>
      </c>
      <c r="L40" s="14">
        <v>74.141946900107541</v>
      </c>
      <c r="M40" s="14">
        <v>4.3669675374373131</v>
      </c>
      <c r="N40" s="14">
        <v>11293.596341182751</v>
      </c>
      <c r="O40" s="14">
        <f t="shared" si="0"/>
        <v>10574.54192958416</v>
      </c>
      <c r="P40" s="14">
        <f t="shared" si="1"/>
        <v>543.70915362664016</v>
      </c>
      <c r="Q40" s="14">
        <f t="shared" si="2"/>
        <v>163.98816646951764</v>
      </c>
      <c r="R40" s="14">
        <f t="shared" si="3"/>
        <v>11.357091502434432</v>
      </c>
    </row>
    <row r="41" spans="1:18">
      <c r="A41" s="13" t="s">
        <v>403</v>
      </c>
      <c r="B41" s="13" t="s">
        <v>404</v>
      </c>
      <c r="C41" s="13" t="s">
        <v>348</v>
      </c>
      <c r="D41" s="14">
        <v>1588.9260182599455</v>
      </c>
      <c r="E41" s="14">
        <v>1096.503655737901</v>
      </c>
      <c r="F41" s="14">
        <v>1311.6144721160001</v>
      </c>
      <c r="G41" s="14">
        <v>167.80183912819049</v>
      </c>
      <c r="H41" s="14">
        <v>92.098842664382715</v>
      </c>
      <c r="I41" s="14">
        <v>17.410864351372084</v>
      </c>
      <c r="J41" s="14">
        <v>976.81247139605182</v>
      </c>
      <c r="K41" s="14">
        <v>68.158284835318355</v>
      </c>
      <c r="L41" s="14">
        <v>46.597224032522718</v>
      </c>
      <c r="M41" s="14">
        <v>4.9356754740082325</v>
      </c>
      <c r="N41" s="14">
        <v>2685.4296739978467</v>
      </c>
      <c r="O41" s="14">
        <f t="shared" si="0"/>
        <v>2288.4269435120518</v>
      </c>
      <c r="P41" s="14">
        <f t="shared" si="1"/>
        <v>235.96012396350886</v>
      </c>
      <c r="Q41" s="14">
        <f t="shared" si="2"/>
        <v>138.69606669690543</v>
      </c>
      <c r="R41" s="14">
        <f t="shared" si="3"/>
        <v>22.346539825380315</v>
      </c>
    </row>
    <row r="42" spans="1:18">
      <c r="A42" s="16" t="s">
        <v>405</v>
      </c>
      <c r="B42" s="16" t="s">
        <v>406</v>
      </c>
      <c r="C42" s="13" t="s">
        <v>348</v>
      </c>
      <c r="D42" s="17">
        <v>1292.4807357467214</v>
      </c>
      <c r="E42" s="14">
        <v>1402.159840081061</v>
      </c>
      <c r="F42" s="14">
        <v>1213.048664437491</v>
      </c>
      <c r="G42" s="14">
        <v>58.202985217430069</v>
      </c>
      <c r="H42" s="14">
        <v>19.381256514172062</v>
      </c>
      <c r="I42" s="14">
        <v>1.8478295776282359</v>
      </c>
      <c r="J42" s="14">
        <v>1350.1802134073237</v>
      </c>
      <c r="K42" s="14">
        <v>35.1877885795721</v>
      </c>
      <c r="L42" s="14">
        <v>15.658083556523348</v>
      </c>
      <c r="M42" s="14">
        <v>1.1337545376420157</v>
      </c>
      <c r="N42" s="14">
        <v>2694.640575827782</v>
      </c>
      <c r="O42" s="14">
        <f t="shared" si="0"/>
        <v>2563.2288778448146</v>
      </c>
      <c r="P42" s="14">
        <f t="shared" si="1"/>
        <v>93.390773797002169</v>
      </c>
      <c r="Q42" s="14">
        <f t="shared" si="2"/>
        <v>35.03934007069541</v>
      </c>
      <c r="R42" s="14">
        <f t="shared" si="3"/>
        <v>2.9815841152702518</v>
      </c>
    </row>
    <row r="43" spans="1:18">
      <c r="A43" s="18"/>
      <c r="B43" s="18"/>
      <c r="C43" s="18"/>
      <c r="D43" s="19"/>
      <c r="E43" s="20"/>
      <c r="F43" s="20"/>
      <c r="G43" s="19"/>
      <c r="H43" s="21"/>
      <c r="I43" s="21"/>
      <c r="J43" s="21"/>
      <c r="K43" s="21"/>
      <c r="L43" s="21"/>
      <c r="M43" s="21"/>
      <c r="N43" s="21"/>
      <c r="O43" s="21"/>
      <c r="P43" s="19"/>
      <c r="Q43" s="21"/>
      <c r="R43" s="19"/>
    </row>
    <row r="44" spans="1:18">
      <c r="A44" s="22" t="s">
        <v>407</v>
      </c>
      <c r="B44" s="22" t="s">
        <v>408</v>
      </c>
      <c r="C44" s="13" t="s">
        <v>348</v>
      </c>
      <c r="D44" s="23">
        <v>2537.1467858162232</v>
      </c>
      <c r="E44" s="14">
        <v>2875.2240264775392</v>
      </c>
      <c r="F44" s="14">
        <v>2374.3063095067982</v>
      </c>
      <c r="G44" s="14">
        <v>108.53720809235072</v>
      </c>
      <c r="H44" s="14">
        <v>48.227846086046512</v>
      </c>
      <c r="I44" s="14">
        <v>6.0754221310277998</v>
      </c>
      <c r="J44" s="14">
        <v>2798.7969689652728</v>
      </c>
      <c r="K44" s="14">
        <v>61.555652713619409</v>
      </c>
      <c r="L44" s="14">
        <v>9.6757381903937816</v>
      </c>
      <c r="M44" s="14">
        <v>5.1956666082530152</v>
      </c>
      <c r="N44" s="14">
        <v>5412.3708122937624</v>
      </c>
      <c r="O44" s="14">
        <f t="shared" ref="O44:O75" si="4">F44+J44</f>
        <v>5173.103278472071</v>
      </c>
      <c r="P44" s="14">
        <f t="shared" ref="P44:P75" si="5">G44+K44</f>
        <v>170.09286080597013</v>
      </c>
      <c r="Q44" s="14">
        <f t="shared" ref="Q44:Q75" si="6">H44+L44</f>
        <v>57.903584276440291</v>
      </c>
      <c r="R44" s="14">
        <f t="shared" ref="R44:R75" si="7">I44+M44</f>
        <v>11.271088739280815</v>
      </c>
    </row>
    <row r="45" spans="1:18">
      <c r="A45" s="13" t="s">
        <v>409</v>
      </c>
      <c r="B45" t="s">
        <v>410</v>
      </c>
      <c r="C45" s="13" t="s">
        <v>348</v>
      </c>
      <c r="D45" s="14">
        <v>416.26116683509275</v>
      </c>
      <c r="E45" s="14">
        <v>127.83061145815893</v>
      </c>
      <c r="F45" s="14">
        <v>225.05559644840551</v>
      </c>
      <c r="G45" s="14">
        <v>68.103863103649701</v>
      </c>
      <c r="H45" s="14">
        <v>109.99713482865566</v>
      </c>
      <c r="I45" s="14">
        <v>13.104572454381941</v>
      </c>
      <c r="J45" s="14">
        <v>80.493044357865401</v>
      </c>
      <c r="K45" s="14">
        <v>27.930789619089172</v>
      </c>
      <c r="L45" s="14">
        <v>17.66754802370729</v>
      </c>
      <c r="M45" s="14">
        <v>1.7392294574970548</v>
      </c>
      <c r="N45" s="14">
        <v>544.09177829325154</v>
      </c>
      <c r="O45" s="14">
        <f t="shared" si="4"/>
        <v>305.5486408062709</v>
      </c>
      <c r="P45" s="14">
        <f t="shared" si="5"/>
        <v>96.034652722738869</v>
      </c>
      <c r="Q45" s="14">
        <f t="shared" si="6"/>
        <v>127.66468285236294</v>
      </c>
      <c r="R45" s="14">
        <f t="shared" si="7"/>
        <v>14.843801911878996</v>
      </c>
    </row>
    <row r="46" spans="1:18">
      <c r="A46" s="13" t="s">
        <v>411</v>
      </c>
      <c r="B46" s="13" t="s">
        <v>412</v>
      </c>
      <c r="C46" s="13" t="s">
        <v>348</v>
      </c>
      <c r="D46" s="14">
        <v>2107.4707370768465</v>
      </c>
      <c r="E46" s="14">
        <v>1556.0371323433949</v>
      </c>
      <c r="F46" s="14">
        <v>1772.7386731017725</v>
      </c>
      <c r="G46" s="14">
        <v>166.42142350144022</v>
      </c>
      <c r="H46" s="14">
        <v>143.32209922188298</v>
      </c>
      <c r="I46" s="14">
        <v>24.988541251751123</v>
      </c>
      <c r="J46" s="14">
        <v>1380.057451093202</v>
      </c>
      <c r="K46" s="14">
        <v>67.786142103161808</v>
      </c>
      <c r="L46" s="14">
        <v>92.962923053535064</v>
      </c>
      <c r="M46" s="14">
        <v>15.230616093496202</v>
      </c>
      <c r="N46" s="14">
        <v>3663.5078694202416</v>
      </c>
      <c r="O46" s="14">
        <f t="shared" si="4"/>
        <v>3152.7961241949743</v>
      </c>
      <c r="P46" s="14">
        <f t="shared" si="5"/>
        <v>234.20756560460202</v>
      </c>
      <c r="Q46" s="14">
        <f t="shared" si="6"/>
        <v>236.28502227541804</v>
      </c>
      <c r="R46" s="14">
        <f t="shared" si="7"/>
        <v>40.219157345247325</v>
      </c>
    </row>
    <row r="47" spans="1:18">
      <c r="A47" s="13" t="s">
        <v>413</v>
      </c>
      <c r="B47" s="13" t="s">
        <v>414</v>
      </c>
      <c r="C47" s="13" t="s">
        <v>348</v>
      </c>
      <c r="D47" s="14">
        <v>196.51933523740709</v>
      </c>
      <c r="E47" s="14">
        <v>142.22105168770358</v>
      </c>
      <c r="F47" s="14">
        <v>171.27267379550372</v>
      </c>
      <c r="G47" s="14">
        <v>17.74525178864068</v>
      </c>
      <c r="H47" s="14">
        <v>6.37286712480332</v>
      </c>
      <c r="I47" s="14">
        <v>1.1285425284593891</v>
      </c>
      <c r="J47" s="14">
        <v>127.93555005952739</v>
      </c>
      <c r="K47" s="14">
        <v>10.633403849096673</v>
      </c>
      <c r="L47" s="14">
        <v>2.2618071616876589</v>
      </c>
      <c r="M47" s="14">
        <v>1.3902906173918532</v>
      </c>
      <c r="N47" s="14">
        <v>338.74038692511067</v>
      </c>
      <c r="O47" s="14">
        <f t="shared" si="4"/>
        <v>299.20822385503112</v>
      </c>
      <c r="P47" s="14">
        <f t="shared" si="5"/>
        <v>28.378655637737353</v>
      </c>
      <c r="Q47" s="14">
        <f t="shared" si="6"/>
        <v>8.6346742864909789</v>
      </c>
      <c r="R47" s="14">
        <f t="shared" si="7"/>
        <v>2.5188331458512421</v>
      </c>
    </row>
    <row r="48" spans="1:18">
      <c r="A48" s="13" t="s">
        <v>415</v>
      </c>
      <c r="B48" s="13" t="s">
        <v>416</v>
      </c>
      <c r="C48" s="13" t="s">
        <v>348</v>
      </c>
      <c r="D48" s="14">
        <v>1062.3426426526594</v>
      </c>
      <c r="E48" s="14">
        <v>665.01618546971349</v>
      </c>
      <c r="F48" s="14">
        <v>822.8397310025756</v>
      </c>
      <c r="G48" s="14">
        <v>127.75931701412607</v>
      </c>
      <c r="H48" s="14">
        <v>79.2063570750163</v>
      </c>
      <c r="I48" s="14">
        <v>32.537237560941414</v>
      </c>
      <c r="J48" s="14">
        <v>577.21561208926687</v>
      </c>
      <c r="K48" s="14">
        <v>44.027130564174179</v>
      </c>
      <c r="L48" s="14">
        <v>34.401832436488036</v>
      </c>
      <c r="M48" s="14">
        <v>9.371610379784407</v>
      </c>
      <c r="N48" s="14">
        <v>1727.3588281223731</v>
      </c>
      <c r="O48" s="14">
        <f t="shared" si="4"/>
        <v>1400.0553430918426</v>
      </c>
      <c r="P48" s="14">
        <f t="shared" si="5"/>
        <v>171.78644757830025</v>
      </c>
      <c r="Q48" s="14">
        <f t="shared" si="6"/>
        <v>113.60818951150434</v>
      </c>
      <c r="R48" s="14">
        <f t="shared" si="7"/>
        <v>41.908847940725821</v>
      </c>
    </row>
    <row r="49" spans="1:18">
      <c r="A49" s="13" t="s">
        <v>417</v>
      </c>
      <c r="B49" s="13" t="s">
        <v>418</v>
      </c>
      <c r="C49" s="13" t="s">
        <v>348</v>
      </c>
      <c r="D49" s="14">
        <v>259.79687639013935</v>
      </c>
      <c r="E49" s="14">
        <v>157.69252865755971</v>
      </c>
      <c r="F49" s="14">
        <v>184.94740515491506</v>
      </c>
      <c r="G49" s="14">
        <v>44.349416599284311</v>
      </c>
      <c r="H49" s="14">
        <v>27.117794591775201</v>
      </c>
      <c r="I49" s="14">
        <v>3.3822600441648314</v>
      </c>
      <c r="J49" s="14">
        <v>124.50106553450307</v>
      </c>
      <c r="K49" s="14">
        <v>23.481539048755216</v>
      </c>
      <c r="L49" s="14">
        <v>8.4607298125715538</v>
      </c>
      <c r="M49" s="14">
        <v>1.249194261729885</v>
      </c>
      <c r="N49" s="14">
        <v>417.48940504769911</v>
      </c>
      <c r="O49" s="14">
        <f t="shared" si="4"/>
        <v>309.44847068941812</v>
      </c>
      <c r="P49" s="14">
        <f t="shared" si="5"/>
        <v>67.83095564803952</v>
      </c>
      <c r="Q49" s="14">
        <f t="shared" si="6"/>
        <v>35.578524404346751</v>
      </c>
      <c r="R49" s="14">
        <f t="shared" si="7"/>
        <v>4.6314543058947164</v>
      </c>
    </row>
    <row r="50" spans="1:18">
      <c r="A50" s="13" t="s">
        <v>419</v>
      </c>
      <c r="B50" s="13" t="s">
        <v>420</v>
      </c>
      <c r="C50" s="13" t="s">
        <v>348</v>
      </c>
      <c r="D50" s="14">
        <v>318.27572465506313</v>
      </c>
      <c r="E50" s="14">
        <v>156.55659431373712</v>
      </c>
      <c r="F50" s="14">
        <v>231.57141927509051</v>
      </c>
      <c r="G50" s="14">
        <v>64.312095214635903</v>
      </c>
      <c r="H50" s="14">
        <v>19.294386974399686</v>
      </c>
      <c r="I50" s="14">
        <v>3.0978231909370342</v>
      </c>
      <c r="J50" s="14">
        <v>120.18413950081444</v>
      </c>
      <c r="K50" s="14">
        <v>31.02761393608727</v>
      </c>
      <c r="L50" s="14">
        <v>4.8824692883685108</v>
      </c>
      <c r="M50" s="14">
        <v>0.4623715884669195</v>
      </c>
      <c r="N50" s="14">
        <v>474.83231896880022</v>
      </c>
      <c r="O50" s="14">
        <f t="shared" si="4"/>
        <v>351.75555877590494</v>
      </c>
      <c r="P50" s="14">
        <f t="shared" si="5"/>
        <v>95.339709150723166</v>
      </c>
      <c r="Q50" s="14">
        <f t="shared" si="6"/>
        <v>24.176856262768197</v>
      </c>
      <c r="R50" s="14">
        <f t="shared" si="7"/>
        <v>3.5601947794039539</v>
      </c>
    </row>
    <row r="51" spans="1:18">
      <c r="A51" s="13" t="s">
        <v>421</v>
      </c>
      <c r="B51" s="13" t="s">
        <v>422</v>
      </c>
      <c r="C51" s="13" t="s">
        <v>348</v>
      </c>
      <c r="D51" s="14">
        <v>1390.3822495021475</v>
      </c>
      <c r="E51" s="14">
        <v>1225.4994139616119</v>
      </c>
      <c r="F51" s="14">
        <v>1291.7832530231417</v>
      </c>
      <c r="G51" s="14">
        <v>64.529013695478397</v>
      </c>
      <c r="H51" s="14">
        <v>34.069982783527344</v>
      </c>
      <c r="I51" s="14">
        <v>0</v>
      </c>
      <c r="J51" s="14">
        <v>1194.9866001903772</v>
      </c>
      <c r="K51" s="14">
        <v>26.684312918349086</v>
      </c>
      <c r="L51" s="14">
        <v>3.8285008528855498</v>
      </c>
      <c r="M51" s="14">
        <v>0</v>
      </c>
      <c r="N51" s="14">
        <v>2615.8816634637592</v>
      </c>
      <c r="O51" s="14">
        <f t="shared" si="4"/>
        <v>2486.7698532135191</v>
      </c>
      <c r="P51" s="14">
        <f t="shared" si="5"/>
        <v>91.213326613827491</v>
      </c>
      <c r="Q51" s="14">
        <f t="shared" si="6"/>
        <v>37.898483636412891</v>
      </c>
      <c r="R51" s="14">
        <f t="shared" si="7"/>
        <v>0</v>
      </c>
    </row>
    <row r="52" spans="1:18">
      <c r="A52" s="13" t="s">
        <v>423</v>
      </c>
      <c r="B52" s="13" t="s">
        <v>424</v>
      </c>
      <c r="C52" s="13" t="s">
        <v>348</v>
      </c>
      <c r="D52" s="14">
        <v>233.89876033621195</v>
      </c>
      <c r="E52" s="14">
        <v>152.49096098353547</v>
      </c>
      <c r="F52" s="14">
        <v>160.00707083546322</v>
      </c>
      <c r="G52" s="14">
        <v>44.132557070522068</v>
      </c>
      <c r="H52" s="14">
        <v>23.606075752852945</v>
      </c>
      <c r="I52" s="14">
        <v>6.1530566773737077</v>
      </c>
      <c r="J52" s="14">
        <v>118.79148094256945</v>
      </c>
      <c r="K52" s="14">
        <v>20.59988154461913</v>
      </c>
      <c r="L52" s="14">
        <v>12.408701404721906</v>
      </c>
      <c r="M52" s="14">
        <v>0.69089709162497392</v>
      </c>
      <c r="N52" s="14">
        <v>386.38972131974737</v>
      </c>
      <c r="O52" s="14">
        <f t="shared" si="4"/>
        <v>278.79855177803267</v>
      </c>
      <c r="P52" s="14">
        <f t="shared" si="5"/>
        <v>64.732438615141206</v>
      </c>
      <c r="Q52" s="14">
        <f t="shared" si="6"/>
        <v>36.014777157574855</v>
      </c>
      <c r="R52" s="14">
        <f t="shared" si="7"/>
        <v>6.8439537689986816</v>
      </c>
    </row>
    <row r="53" spans="1:18">
      <c r="A53" s="13" t="s">
        <v>425</v>
      </c>
      <c r="B53" s="13" t="s">
        <v>426</v>
      </c>
      <c r="C53" s="13" t="s">
        <v>348</v>
      </c>
      <c r="D53" s="14">
        <v>351.98774027865005</v>
      </c>
      <c r="E53" s="14">
        <v>219.39168842279028</v>
      </c>
      <c r="F53" s="14">
        <v>328.88784741931829</v>
      </c>
      <c r="G53" s="14">
        <v>13.147934315921377</v>
      </c>
      <c r="H53" s="14">
        <v>8.4187887564826891</v>
      </c>
      <c r="I53" s="14">
        <v>1.5331697869277203</v>
      </c>
      <c r="J53" s="14">
        <v>213.19184639853819</v>
      </c>
      <c r="K53" s="14">
        <v>3.9668971964135737</v>
      </c>
      <c r="L53" s="14">
        <v>2.1315309984376403</v>
      </c>
      <c r="M53" s="14">
        <v>0.10141382940085165</v>
      </c>
      <c r="N53" s="14">
        <v>571.37942870144025</v>
      </c>
      <c r="O53" s="14">
        <f t="shared" si="4"/>
        <v>542.07969381785642</v>
      </c>
      <c r="P53" s="14">
        <f t="shared" si="5"/>
        <v>17.114831512334952</v>
      </c>
      <c r="Q53" s="14">
        <f t="shared" si="6"/>
        <v>10.550319754920329</v>
      </c>
      <c r="R53" s="14">
        <f t="shared" si="7"/>
        <v>1.6345836163285721</v>
      </c>
    </row>
    <row r="54" spans="1:18">
      <c r="A54" s="13" t="s">
        <v>427</v>
      </c>
      <c r="B54" s="13" t="s">
        <v>428</v>
      </c>
      <c r="C54" s="13" t="s">
        <v>348</v>
      </c>
      <c r="D54" s="14">
        <v>28.751854849978368</v>
      </c>
      <c r="E54" s="14">
        <v>25.181719335654403</v>
      </c>
      <c r="F54" s="14">
        <v>20.774076825447064</v>
      </c>
      <c r="G54" s="14">
        <v>6.5287952187834186</v>
      </c>
      <c r="H54" s="14">
        <v>1.2018336622936974</v>
      </c>
      <c r="I54" s="14">
        <v>0.2471491434541867</v>
      </c>
      <c r="J54" s="14">
        <v>18.278889434370111</v>
      </c>
      <c r="K54" s="14">
        <v>6.2428716468577248</v>
      </c>
      <c r="L54" s="14">
        <v>0.36721714964871449</v>
      </c>
      <c r="M54" s="14">
        <v>0.29274110477785498</v>
      </c>
      <c r="N54" s="14">
        <v>53.933574185632772</v>
      </c>
      <c r="O54" s="14">
        <f t="shared" si="4"/>
        <v>39.052966259817175</v>
      </c>
      <c r="P54" s="14">
        <f t="shared" si="5"/>
        <v>12.771666865641144</v>
      </c>
      <c r="Q54" s="14">
        <f t="shared" si="6"/>
        <v>1.5690508119424118</v>
      </c>
      <c r="R54" s="14">
        <f t="shared" si="7"/>
        <v>0.53989024823204168</v>
      </c>
    </row>
    <row r="55" spans="1:18">
      <c r="A55" s="13" t="s">
        <v>429</v>
      </c>
      <c r="B55" s="13" t="s">
        <v>430</v>
      </c>
      <c r="C55" s="13" t="s">
        <v>348</v>
      </c>
      <c r="D55" s="14">
        <v>16583.960403797853</v>
      </c>
      <c r="E55" s="14">
        <v>10970.309196326814</v>
      </c>
      <c r="F55" s="14">
        <v>13923.598665991805</v>
      </c>
      <c r="G55" s="14">
        <v>1477.3954309911974</v>
      </c>
      <c r="H55" s="14">
        <v>904.49066616393907</v>
      </c>
      <c r="I55" s="14">
        <v>278.47564065091035</v>
      </c>
      <c r="J55" s="14">
        <v>9972.5508986724144</v>
      </c>
      <c r="K55" s="14">
        <v>607.9627803278679</v>
      </c>
      <c r="L55" s="14">
        <v>364.68983109475533</v>
      </c>
      <c r="M55" s="14">
        <v>25.105686231777536</v>
      </c>
      <c r="N55" s="14">
        <v>27554.269600124666</v>
      </c>
      <c r="O55" s="14">
        <f t="shared" si="4"/>
        <v>23896.149564664222</v>
      </c>
      <c r="P55" s="14">
        <f t="shared" si="5"/>
        <v>2085.358211319065</v>
      </c>
      <c r="Q55" s="14">
        <f t="shared" si="6"/>
        <v>1269.1804972586945</v>
      </c>
      <c r="R55" s="14">
        <f t="shared" si="7"/>
        <v>303.5813268826879</v>
      </c>
    </row>
    <row r="56" spans="1:18">
      <c r="A56" s="13" t="s">
        <v>431</v>
      </c>
      <c r="B56" s="13" t="s">
        <v>432</v>
      </c>
      <c r="C56" s="13" t="s">
        <v>348</v>
      </c>
      <c r="D56" s="14">
        <v>17.428106701794462</v>
      </c>
      <c r="E56" s="14">
        <v>12.928577193904962</v>
      </c>
      <c r="F56" s="14">
        <v>15.278030427360511</v>
      </c>
      <c r="G56" s="14">
        <v>1.4831663778285722</v>
      </c>
      <c r="H56" s="14">
        <v>0.60730465236587583</v>
      </c>
      <c r="I56" s="14">
        <v>5.9605244239503176E-2</v>
      </c>
      <c r="J56" s="14">
        <v>12.063413760198475</v>
      </c>
      <c r="K56" s="14">
        <v>0.59329019896712953</v>
      </c>
      <c r="L56" s="14">
        <v>0.24654695573249907</v>
      </c>
      <c r="M56" s="14">
        <v>2.5326279006857591E-2</v>
      </c>
      <c r="N56" s="14">
        <v>30.356683895699422</v>
      </c>
      <c r="O56" s="14">
        <f t="shared" si="4"/>
        <v>27.341444187558984</v>
      </c>
      <c r="P56" s="14">
        <f t="shared" si="5"/>
        <v>2.0764565767957017</v>
      </c>
      <c r="Q56" s="14">
        <f t="shared" si="6"/>
        <v>0.8538516080983749</v>
      </c>
      <c r="R56" s="14">
        <f t="shared" si="7"/>
        <v>8.4931523246360774E-2</v>
      </c>
    </row>
    <row r="57" spans="1:18">
      <c r="A57" s="13" t="s">
        <v>433</v>
      </c>
      <c r="B57" s="13" t="s">
        <v>434</v>
      </c>
      <c r="C57" s="13" t="s">
        <v>348</v>
      </c>
      <c r="D57" s="14">
        <v>129.4898261396639</v>
      </c>
      <c r="E57" s="14">
        <v>98.053257172314233</v>
      </c>
      <c r="F57" s="14">
        <v>115.77299541225948</v>
      </c>
      <c r="G57" s="14">
        <v>8.6013271000369933</v>
      </c>
      <c r="H57" s="14">
        <v>4.502137001562537</v>
      </c>
      <c r="I57" s="14">
        <v>0.61336662580489765</v>
      </c>
      <c r="J57" s="14">
        <v>94.146659791618418</v>
      </c>
      <c r="K57" s="14">
        <v>1.9608038362602214</v>
      </c>
      <c r="L57" s="14">
        <v>1.3726377511340384</v>
      </c>
      <c r="M57" s="14">
        <v>0.57315579330154787</v>
      </c>
      <c r="N57" s="14">
        <v>227.54308331197814</v>
      </c>
      <c r="O57" s="14">
        <f t="shared" si="4"/>
        <v>209.91965520387788</v>
      </c>
      <c r="P57" s="14">
        <f t="shared" si="5"/>
        <v>10.562130936297216</v>
      </c>
      <c r="Q57" s="14">
        <f t="shared" si="6"/>
        <v>5.8747747526965757</v>
      </c>
      <c r="R57" s="14">
        <f t="shared" si="7"/>
        <v>1.1865224191064456</v>
      </c>
    </row>
    <row r="58" spans="1:18">
      <c r="A58" s="13" t="s">
        <v>435</v>
      </c>
      <c r="B58" s="13" t="s">
        <v>436</v>
      </c>
      <c r="C58" s="13" t="s">
        <v>348</v>
      </c>
      <c r="D58" s="14">
        <v>1605.5508534997275</v>
      </c>
      <c r="E58" s="14">
        <v>1042.8905506341903</v>
      </c>
      <c r="F58" s="14">
        <v>1072.6291791710523</v>
      </c>
      <c r="G58" s="14">
        <v>183.22031658880167</v>
      </c>
      <c r="H58" s="14">
        <v>253.32636373147216</v>
      </c>
      <c r="I58" s="14">
        <v>96.374994008401131</v>
      </c>
      <c r="J58" s="14">
        <v>769.47753892073956</v>
      </c>
      <c r="K58" s="14">
        <v>137.13365471733982</v>
      </c>
      <c r="L58" s="14">
        <v>117.05808067447487</v>
      </c>
      <c r="M58" s="14">
        <v>19.221276321635948</v>
      </c>
      <c r="N58" s="14">
        <v>2648.4414041339169</v>
      </c>
      <c r="O58" s="14">
        <f t="shared" si="4"/>
        <v>1842.1067180917919</v>
      </c>
      <c r="P58" s="14">
        <f t="shared" si="5"/>
        <v>320.35397130614149</v>
      </c>
      <c r="Q58" s="14">
        <f t="shared" si="6"/>
        <v>370.38444440594702</v>
      </c>
      <c r="R58" s="14">
        <f t="shared" si="7"/>
        <v>115.59627033003707</v>
      </c>
    </row>
    <row r="59" spans="1:18">
      <c r="A59" s="13" t="s">
        <v>437</v>
      </c>
      <c r="B59" s="13" t="s">
        <v>438</v>
      </c>
      <c r="C59" s="13" t="s">
        <v>348</v>
      </c>
      <c r="D59" s="14">
        <v>268.46660938127377</v>
      </c>
      <c r="E59" s="14">
        <v>173.97757194245597</v>
      </c>
      <c r="F59" s="14">
        <v>176.24582814837908</v>
      </c>
      <c r="G59" s="14">
        <v>52.71074397445237</v>
      </c>
      <c r="H59" s="14">
        <v>30.833678562644305</v>
      </c>
      <c r="I59" s="14">
        <v>8.6763586957979939</v>
      </c>
      <c r="J59" s="14">
        <v>140.09697248050881</v>
      </c>
      <c r="K59" s="14">
        <v>27.074803330706342</v>
      </c>
      <c r="L59" s="14">
        <v>6.0645540797045179</v>
      </c>
      <c r="M59" s="14">
        <v>0.74124205153628164</v>
      </c>
      <c r="N59" s="14">
        <v>442.44418132372977</v>
      </c>
      <c r="O59" s="14">
        <f t="shared" si="4"/>
        <v>316.34280062888786</v>
      </c>
      <c r="P59" s="14">
        <f t="shared" si="5"/>
        <v>79.785547305158715</v>
      </c>
      <c r="Q59" s="14">
        <f t="shared" si="6"/>
        <v>36.898232642348823</v>
      </c>
      <c r="R59" s="14">
        <f t="shared" si="7"/>
        <v>9.4176007473342764</v>
      </c>
    </row>
    <row r="60" spans="1:18">
      <c r="A60" s="13" t="s">
        <v>439</v>
      </c>
      <c r="B60" s="13" t="s">
        <v>440</v>
      </c>
      <c r="C60" s="13" t="s">
        <v>348</v>
      </c>
      <c r="D60" s="14">
        <v>1453.6645513216354</v>
      </c>
      <c r="E60" s="14">
        <v>962.20354543669146</v>
      </c>
      <c r="F60" s="14">
        <v>1204.7272532433096</v>
      </c>
      <c r="G60" s="14">
        <v>109.24851133552494</v>
      </c>
      <c r="H60" s="14">
        <v>119.20428289819787</v>
      </c>
      <c r="I60" s="14">
        <v>20.484503844602958</v>
      </c>
      <c r="J60" s="14">
        <v>888.32212270240768</v>
      </c>
      <c r="K60" s="14">
        <v>34.974447680530034</v>
      </c>
      <c r="L60" s="14">
        <v>34.188385017544093</v>
      </c>
      <c r="M60" s="14">
        <v>4.7185900362096582</v>
      </c>
      <c r="N60" s="14">
        <v>2415.8680967583268</v>
      </c>
      <c r="O60" s="14">
        <f t="shared" si="4"/>
        <v>2093.0493759457172</v>
      </c>
      <c r="P60" s="14">
        <f t="shared" si="5"/>
        <v>144.22295901605497</v>
      </c>
      <c r="Q60" s="14">
        <f t="shared" si="6"/>
        <v>153.39266791574198</v>
      </c>
      <c r="R60" s="14">
        <f t="shared" si="7"/>
        <v>25.203093880812617</v>
      </c>
    </row>
    <row r="61" spans="1:18">
      <c r="A61" s="13" t="s">
        <v>441</v>
      </c>
      <c r="B61" s="13" t="s">
        <v>442</v>
      </c>
      <c r="C61" s="13" t="s">
        <v>348</v>
      </c>
      <c r="D61" s="14">
        <v>84247.448863397964</v>
      </c>
      <c r="E61" s="14">
        <v>60131.966395006064</v>
      </c>
      <c r="F61" s="14">
        <v>71489.787557491538</v>
      </c>
      <c r="G61" s="14">
        <v>4218.322259468815</v>
      </c>
      <c r="H61" s="14">
        <v>6961.9379888301846</v>
      </c>
      <c r="I61" s="14">
        <v>1577.4010576074338</v>
      </c>
      <c r="J61" s="14">
        <v>49906.584846841433</v>
      </c>
      <c r="K61" s="14">
        <v>4129.2930109069803</v>
      </c>
      <c r="L61" s="14">
        <v>5511.2130826401681</v>
      </c>
      <c r="M61" s="14">
        <v>584.87545461748221</v>
      </c>
      <c r="N61" s="14">
        <v>144379.41525840404</v>
      </c>
      <c r="O61" s="14">
        <f t="shared" si="4"/>
        <v>121396.37240433297</v>
      </c>
      <c r="P61" s="14">
        <f t="shared" si="5"/>
        <v>8347.6152703757944</v>
      </c>
      <c r="Q61" s="14">
        <f t="shared" si="6"/>
        <v>12473.151071470353</v>
      </c>
      <c r="R61" s="14">
        <f t="shared" si="7"/>
        <v>2162.2765122249161</v>
      </c>
    </row>
    <row r="62" spans="1:18">
      <c r="A62" s="13" t="s">
        <v>443</v>
      </c>
      <c r="B62" s="13" t="s">
        <v>444</v>
      </c>
      <c r="C62" s="13" t="s">
        <v>348</v>
      </c>
      <c r="D62" s="14">
        <v>1948.1953238142914</v>
      </c>
      <c r="E62" s="14">
        <v>1849.0286057743604</v>
      </c>
      <c r="F62" s="14">
        <v>1790.2411562130296</v>
      </c>
      <c r="G62" s="14">
        <v>87.773669485150123</v>
      </c>
      <c r="H62" s="14">
        <v>62.793252530524484</v>
      </c>
      <c r="I62" s="14">
        <v>7.3872455855872268</v>
      </c>
      <c r="J62" s="14">
        <v>1785.1218647608493</v>
      </c>
      <c r="K62" s="14">
        <v>39.73378285588678</v>
      </c>
      <c r="L62" s="14">
        <v>23.104662034175238</v>
      </c>
      <c r="M62" s="14">
        <v>1.0682961234489341</v>
      </c>
      <c r="N62" s="14">
        <v>3797.2239295886516</v>
      </c>
      <c r="O62" s="14">
        <f t="shared" si="4"/>
        <v>3575.363020973879</v>
      </c>
      <c r="P62" s="14">
        <f t="shared" si="5"/>
        <v>127.5074523410369</v>
      </c>
      <c r="Q62" s="14">
        <f t="shared" si="6"/>
        <v>85.897914564699718</v>
      </c>
      <c r="R62" s="14">
        <f t="shared" si="7"/>
        <v>8.4555417090361615</v>
      </c>
    </row>
    <row r="63" spans="1:18">
      <c r="A63" s="13" t="s">
        <v>445</v>
      </c>
      <c r="B63" s="13" t="s">
        <v>446</v>
      </c>
      <c r="C63" s="13" t="s">
        <v>348</v>
      </c>
      <c r="D63" s="14">
        <v>4722.8326880852337</v>
      </c>
      <c r="E63" s="14">
        <v>3861.3566740742313</v>
      </c>
      <c r="F63" s="14">
        <v>4220.4117799389451</v>
      </c>
      <c r="G63" s="14">
        <v>322.35224180219024</v>
      </c>
      <c r="H63" s="14">
        <v>157.57776617806661</v>
      </c>
      <c r="I63" s="14">
        <v>22.490900166031292</v>
      </c>
      <c r="J63" s="14">
        <v>3458.4615941168818</v>
      </c>
      <c r="K63" s="14">
        <v>293.72419317664321</v>
      </c>
      <c r="L63" s="14">
        <v>91.353435464320555</v>
      </c>
      <c r="M63" s="14">
        <v>17.817451316385508</v>
      </c>
      <c r="N63" s="14">
        <v>8584.1893621594645</v>
      </c>
      <c r="O63" s="14">
        <f t="shared" si="4"/>
        <v>7678.8733740558273</v>
      </c>
      <c r="P63" s="14">
        <f t="shared" si="5"/>
        <v>616.0764349788335</v>
      </c>
      <c r="Q63" s="14">
        <f t="shared" si="6"/>
        <v>248.93120164238718</v>
      </c>
      <c r="R63" s="14">
        <f t="shared" si="7"/>
        <v>40.308351482416796</v>
      </c>
    </row>
    <row r="64" spans="1:18">
      <c r="A64" s="13" t="s">
        <v>447</v>
      </c>
      <c r="B64" s="13" t="s">
        <v>448</v>
      </c>
      <c r="C64" s="13" t="s">
        <v>348</v>
      </c>
      <c r="D64" s="14">
        <v>1971.825616108852</v>
      </c>
      <c r="E64" s="14">
        <v>1175.3944481321287</v>
      </c>
      <c r="F64" s="14">
        <v>1312.8338377877089</v>
      </c>
      <c r="G64" s="14">
        <v>306.08894153751987</v>
      </c>
      <c r="H64" s="14">
        <v>225.65298364607122</v>
      </c>
      <c r="I64" s="14">
        <v>127.24985313755184</v>
      </c>
      <c r="J64" s="14">
        <v>885.72906674765397</v>
      </c>
      <c r="K64" s="14">
        <v>169.41276352162188</v>
      </c>
      <c r="L64" s="14">
        <v>110.86639334873377</v>
      </c>
      <c r="M64" s="14">
        <v>9.3862245141189184</v>
      </c>
      <c r="N64" s="14">
        <v>3147.2200642409807</v>
      </c>
      <c r="O64" s="14">
        <f t="shared" si="4"/>
        <v>2198.562904535363</v>
      </c>
      <c r="P64" s="14">
        <f t="shared" si="5"/>
        <v>475.50170505914173</v>
      </c>
      <c r="Q64" s="14">
        <f t="shared" si="6"/>
        <v>336.51937699480499</v>
      </c>
      <c r="R64" s="14">
        <f t="shared" si="7"/>
        <v>136.63607765167075</v>
      </c>
    </row>
    <row r="65" spans="1:18">
      <c r="A65" s="13" t="s">
        <v>449</v>
      </c>
      <c r="B65" s="13" t="s">
        <v>450</v>
      </c>
      <c r="C65" s="13" t="s">
        <v>348</v>
      </c>
      <c r="D65" s="14">
        <v>1790.9154863098763</v>
      </c>
      <c r="E65" s="14">
        <v>1496.9663451634069</v>
      </c>
      <c r="F65" s="14">
        <v>1650.5658695690904</v>
      </c>
      <c r="G65" s="14">
        <v>107.63483355598358</v>
      </c>
      <c r="H65" s="14">
        <v>26.572915899143453</v>
      </c>
      <c r="I65" s="14">
        <v>6.1418672856588783</v>
      </c>
      <c r="J65" s="14">
        <v>1420.475176741797</v>
      </c>
      <c r="K65" s="14">
        <v>65.570370681987328</v>
      </c>
      <c r="L65" s="14">
        <v>8.4269769393325902</v>
      </c>
      <c r="M65" s="14">
        <v>2.4938208002900271</v>
      </c>
      <c r="N65" s="14">
        <v>3287.881831473283</v>
      </c>
      <c r="O65" s="14">
        <f t="shared" si="4"/>
        <v>3071.0410463108874</v>
      </c>
      <c r="P65" s="14">
        <f t="shared" si="5"/>
        <v>173.20520423797092</v>
      </c>
      <c r="Q65" s="14">
        <f t="shared" si="6"/>
        <v>34.999892838476043</v>
      </c>
      <c r="R65" s="14">
        <f t="shared" si="7"/>
        <v>8.6356880859489049</v>
      </c>
    </row>
    <row r="66" spans="1:18">
      <c r="A66" s="13" t="s">
        <v>451</v>
      </c>
      <c r="B66" s="13" t="s">
        <v>452</v>
      </c>
      <c r="C66" s="13" t="s">
        <v>348</v>
      </c>
      <c r="D66" s="14">
        <v>1437.0192678675194</v>
      </c>
      <c r="E66" s="14">
        <v>967.59805438389174</v>
      </c>
      <c r="F66" s="14">
        <v>1107.2283922923939</v>
      </c>
      <c r="G66" s="14">
        <v>241.9566275242554</v>
      </c>
      <c r="H66" s="14">
        <v>79.342020069933866</v>
      </c>
      <c r="I66" s="14">
        <v>8.4922279809361179</v>
      </c>
      <c r="J66" s="14">
        <v>765.48378296626299</v>
      </c>
      <c r="K66" s="14">
        <v>148.50132762787041</v>
      </c>
      <c r="L66" s="14">
        <v>49.243309521700056</v>
      </c>
      <c r="M66" s="14">
        <v>4.3696342680582001</v>
      </c>
      <c r="N66" s="14">
        <v>2404.6173222514112</v>
      </c>
      <c r="O66" s="14">
        <f t="shared" si="4"/>
        <v>1872.7121752586568</v>
      </c>
      <c r="P66" s="14">
        <f t="shared" si="5"/>
        <v>390.45795515212581</v>
      </c>
      <c r="Q66" s="14">
        <f t="shared" si="6"/>
        <v>128.58532959163392</v>
      </c>
      <c r="R66" s="14">
        <f t="shared" si="7"/>
        <v>12.861862248994317</v>
      </c>
    </row>
    <row r="67" spans="1:18">
      <c r="A67" s="13" t="s">
        <v>453</v>
      </c>
      <c r="B67" s="13" t="s">
        <v>454</v>
      </c>
      <c r="C67" s="13" t="s">
        <v>348</v>
      </c>
      <c r="D67" s="14">
        <v>63.061806648911542</v>
      </c>
      <c r="E67" s="14">
        <v>36.946800376000454</v>
      </c>
      <c r="F67" s="14">
        <v>51.242062745377908</v>
      </c>
      <c r="G67" s="14">
        <v>5.5384763695749077</v>
      </c>
      <c r="H67" s="14">
        <v>5.4292735506286789</v>
      </c>
      <c r="I67" s="14">
        <v>0.85199398333004805</v>
      </c>
      <c r="J67" s="14">
        <v>30.248897839268398</v>
      </c>
      <c r="K67" s="14">
        <v>4.0577682440129976</v>
      </c>
      <c r="L67" s="14">
        <v>2.1459287257316806</v>
      </c>
      <c r="M67" s="14">
        <v>0.49420556698737245</v>
      </c>
      <c r="N67" s="14">
        <v>100.008607024912</v>
      </c>
      <c r="O67" s="14">
        <f t="shared" si="4"/>
        <v>81.490960584646302</v>
      </c>
      <c r="P67" s="14">
        <f t="shared" si="5"/>
        <v>9.5962446135879063</v>
      </c>
      <c r="Q67" s="14">
        <f t="shared" si="6"/>
        <v>7.5752022763603595</v>
      </c>
      <c r="R67" s="14">
        <f t="shared" si="7"/>
        <v>1.3461995503174204</v>
      </c>
    </row>
    <row r="68" spans="1:18">
      <c r="A68" s="13" t="s">
        <v>455</v>
      </c>
      <c r="B68" s="13" t="s">
        <v>456</v>
      </c>
      <c r="C68" s="13" t="s">
        <v>348</v>
      </c>
      <c r="D68" s="14">
        <v>171.68750197992497</v>
      </c>
      <c r="E68" s="14">
        <v>98.840090960876978</v>
      </c>
      <c r="F68" s="14">
        <v>127.41439131396766</v>
      </c>
      <c r="G68" s="14">
        <v>28.834935089476183</v>
      </c>
      <c r="H68" s="14">
        <v>11.647577905981715</v>
      </c>
      <c r="I68" s="14">
        <v>3.790597670499448</v>
      </c>
      <c r="J68" s="14">
        <v>81.179938005032028</v>
      </c>
      <c r="K68" s="14">
        <v>13.643652080067866</v>
      </c>
      <c r="L68" s="14">
        <v>3.7636972175906132</v>
      </c>
      <c r="M68" s="14">
        <v>0.25280365818645839</v>
      </c>
      <c r="N68" s="14">
        <v>270.52759294080192</v>
      </c>
      <c r="O68" s="14">
        <f t="shared" si="4"/>
        <v>208.59432931899968</v>
      </c>
      <c r="P68" s="14">
        <f t="shared" si="5"/>
        <v>42.478587169544049</v>
      </c>
      <c r="Q68" s="14">
        <f t="shared" si="6"/>
        <v>15.411275123572327</v>
      </c>
      <c r="R68" s="14">
        <f t="shared" si="7"/>
        <v>4.0434013286859063</v>
      </c>
    </row>
    <row r="69" spans="1:18">
      <c r="A69" s="13" t="s">
        <v>457</v>
      </c>
      <c r="B69" s="13" t="s">
        <v>458</v>
      </c>
      <c r="C69" s="13" t="s">
        <v>348</v>
      </c>
      <c r="D69" s="14">
        <v>1223.6365000107523</v>
      </c>
      <c r="E69" s="14">
        <v>772.09689549303425</v>
      </c>
      <c r="F69" s="14">
        <v>923.82737823363482</v>
      </c>
      <c r="G69" s="14">
        <v>205.59883297138452</v>
      </c>
      <c r="H69" s="14">
        <v>87.359495701240107</v>
      </c>
      <c r="I69" s="14">
        <v>6.8507931044928752</v>
      </c>
      <c r="J69" s="14">
        <v>604.37912393806857</v>
      </c>
      <c r="K69" s="14">
        <v>122.19157270034709</v>
      </c>
      <c r="L69" s="14">
        <v>32.999536632839124</v>
      </c>
      <c r="M69" s="14">
        <v>12.526662221779324</v>
      </c>
      <c r="N69" s="14">
        <v>1995.7333955037866</v>
      </c>
      <c r="O69" s="14">
        <f t="shared" si="4"/>
        <v>1528.2065021717035</v>
      </c>
      <c r="P69" s="14">
        <f t="shared" si="5"/>
        <v>327.79040567173161</v>
      </c>
      <c r="Q69" s="14">
        <f t="shared" si="6"/>
        <v>120.35903233407923</v>
      </c>
      <c r="R69" s="14">
        <f t="shared" si="7"/>
        <v>19.377455326272198</v>
      </c>
    </row>
    <row r="70" spans="1:18">
      <c r="A70" s="13" t="s">
        <v>459</v>
      </c>
      <c r="B70" t="s">
        <v>460</v>
      </c>
      <c r="C70" s="13" t="s">
        <v>348</v>
      </c>
      <c r="D70" s="14">
        <v>2043.3731980486496</v>
      </c>
      <c r="E70" s="14">
        <v>1081.9969254964478</v>
      </c>
      <c r="F70" s="14">
        <v>1474.7317217965676</v>
      </c>
      <c r="G70" s="14">
        <v>286.99504493818142</v>
      </c>
      <c r="H70" s="14">
        <v>237.01521755197723</v>
      </c>
      <c r="I70" s="14">
        <v>44.631213761923078</v>
      </c>
      <c r="J70" s="14">
        <v>843.90773986124134</v>
      </c>
      <c r="K70" s="14">
        <v>152.29847457333051</v>
      </c>
      <c r="L70" s="14">
        <v>69.543573405147583</v>
      </c>
      <c r="M70" s="14">
        <v>16.247137656728384</v>
      </c>
      <c r="N70" s="14">
        <v>3125.3701235450972</v>
      </c>
      <c r="O70" s="14">
        <f t="shared" si="4"/>
        <v>2318.6394616578091</v>
      </c>
      <c r="P70" s="14">
        <f t="shared" si="5"/>
        <v>439.29351951151193</v>
      </c>
      <c r="Q70" s="14">
        <f t="shared" si="6"/>
        <v>306.55879095712481</v>
      </c>
      <c r="R70" s="14">
        <f t="shared" si="7"/>
        <v>60.878351418651462</v>
      </c>
    </row>
    <row r="71" spans="1:18">
      <c r="A71" s="13" t="s">
        <v>461</v>
      </c>
      <c r="B71" s="13" t="s">
        <v>462</v>
      </c>
      <c r="C71" s="13" t="s">
        <v>348</v>
      </c>
      <c r="D71" s="14">
        <v>516.58544430973234</v>
      </c>
      <c r="E71" s="14">
        <v>293.43056606323159</v>
      </c>
      <c r="F71" s="14">
        <v>446.37264223228891</v>
      </c>
      <c r="G71" s="14">
        <v>47.646799706850302</v>
      </c>
      <c r="H71" s="14">
        <v>19.469334522260286</v>
      </c>
      <c r="I71" s="14">
        <v>3.096667848332789</v>
      </c>
      <c r="J71" s="14">
        <v>237.60234306268359</v>
      </c>
      <c r="K71" s="14">
        <v>42.744760355308543</v>
      </c>
      <c r="L71" s="14">
        <v>12.605742859533249</v>
      </c>
      <c r="M71" s="14">
        <v>0.47771978570627976</v>
      </c>
      <c r="N71" s="14">
        <v>810.01601037296405</v>
      </c>
      <c r="O71" s="14">
        <f t="shared" si="4"/>
        <v>683.9749852949725</v>
      </c>
      <c r="P71" s="14">
        <f t="shared" si="5"/>
        <v>90.391560062158845</v>
      </c>
      <c r="Q71" s="14">
        <f t="shared" si="6"/>
        <v>32.075077381793534</v>
      </c>
      <c r="R71" s="14">
        <f t="shared" si="7"/>
        <v>3.5743876340390686</v>
      </c>
    </row>
    <row r="72" spans="1:18">
      <c r="A72" s="13" t="s">
        <v>463</v>
      </c>
      <c r="B72" s="13" t="s">
        <v>464</v>
      </c>
      <c r="C72" s="13" t="s">
        <v>348</v>
      </c>
      <c r="D72" s="14">
        <v>1294.1872484163291</v>
      </c>
      <c r="E72" s="14">
        <v>1267.2465064231976</v>
      </c>
      <c r="F72" s="14">
        <v>1201.6755678038123</v>
      </c>
      <c r="G72" s="14">
        <v>69.380841168244842</v>
      </c>
      <c r="H72" s="14">
        <v>22.632821751274495</v>
      </c>
      <c r="I72" s="14">
        <v>0.49801769299725152</v>
      </c>
      <c r="J72" s="14">
        <v>1205.7248021711366</v>
      </c>
      <c r="K72" s="14">
        <v>55.868282015903269</v>
      </c>
      <c r="L72" s="14">
        <v>5.1766705408273062</v>
      </c>
      <c r="M72" s="14">
        <v>0.47675169533051309</v>
      </c>
      <c r="N72" s="14">
        <v>2561.433754839527</v>
      </c>
      <c r="O72" s="14">
        <f t="shared" si="4"/>
        <v>2407.4003699749492</v>
      </c>
      <c r="P72" s="14">
        <f t="shared" si="5"/>
        <v>125.24912318414812</v>
      </c>
      <c r="Q72" s="14">
        <f t="shared" si="6"/>
        <v>27.809492292101801</v>
      </c>
      <c r="R72" s="14">
        <f t="shared" si="7"/>
        <v>0.97476938832776461</v>
      </c>
    </row>
    <row r="73" spans="1:18">
      <c r="A73" s="13" t="s">
        <v>465</v>
      </c>
      <c r="B73" t="s">
        <v>466</v>
      </c>
      <c r="C73" s="13" t="s">
        <v>348</v>
      </c>
      <c r="D73" s="14">
        <v>315.75484544693586</v>
      </c>
      <c r="E73" s="14">
        <v>210.41464987301916</v>
      </c>
      <c r="F73" s="14">
        <v>195.50400650792716</v>
      </c>
      <c r="G73" s="14">
        <v>66.273635611377145</v>
      </c>
      <c r="H73" s="14">
        <v>47.316994040484317</v>
      </c>
      <c r="I73" s="14">
        <v>6.6602092871472545</v>
      </c>
      <c r="J73" s="14">
        <v>127.91928421538059</v>
      </c>
      <c r="K73" s="14">
        <v>59.635197370290584</v>
      </c>
      <c r="L73" s="14">
        <v>17.301981359073686</v>
      </c>
      <c r="M73" s="14">
        <v>5.5581869282743002</v>
      </c>
      <c r="N73" s="14">
        <v>526.16949531995499</v>
      </c>
      <c r="O73" s="14">
        <f t="shared" si="4"/>
        <v>323.42329072330773</v>
      </c>
      <c r="P73" s="14">
        <f t="shared" si="5"/>
        <v>125.90883298166773</v>
      </c>
      <c r="Q73" s="14">
        <f t="shared" si="6"/>
        <v>64.618975399557996</v>
      </c>
      <c r="R73" s="14">
        <f t="shared" si="7"/>
        <v>12.218396215421555</v>
      </c>
    </row>
    <row r="74" spans="1:18">
      <c r="A74" s="13" t="s">
        <v>467</v>
      </c>
      <c r="B74" s="13" t="s">
        <v>468</v>
      </c>
      <c r="C74" s="13" t="s">
        <v>348</v>
      </c>
      <c r="D74" s="14">
        <v>139.60051885364422</v>
      </c>
      <c r="E74" s="14">
        <v>81.890231876611864</v>
      </c>
      <c r="F74" s="14">
        <v>107.26893231281025</v>
      </c>
      <c r="G74" s="14">
        <v>16.065315843361951</v>
      </c>
      <c r="H74" s="14">
        <v>10.995041351851686</v>
      </c>
      <c r="I74" s="14">
        <v>5.2712293456203145</v>
      </c>
      <c r="J74" s="14">
        <v>69.111971824574482</v>
      </c>
      <c r="K74" s="14">
        <v>8.3560847642541436</v>
      </c>
      <c r="L74" s="14">
        <v>3.1695832185034893</v>
      </c>
      <c r="M74" s="14">
        <v>1.2525920692797423</v>
      </c>
      <c r="N74" s="14">
        <v>221.49075073025605</v>
      </c>
      <c r="O74" s="14">
        <f t="shared" si="4"/>
        <v>176.38090413738473</v>
      </c>
      <c r="P74" s="14">
        <f t="shared" si="5"/>
        <v>24.421400607616093</v>
      </c>
      <c r="Q74" s="14">
        <f t="shared" si="6"/>
        <v>14.164624570355176</v>
      </c>
      <c r="R74" s="14">
        <f t="shared" si="7"/>
        <v>6.5238214149000573</v>
      </c>
    </row>
    <row r="75" spans="1:18">
      <c r="A75" s="13" t="s">
        <v>469</v>
      </c>
      <c r="B75" s="13" t="s">
        <v>470</v>
      </c>
      <c r="C75" s="13" t="s">
        <v>348</v>
      </c>
      <c r="D75" s="14">
        <v>394.3271418893263</v>
      </c>
      <c r="E75" s="14">
        <v>198.22860997226516</v>
      </c>
      <c r="F75" s="14">
        <v>271.71591364042621</v>
      </c>
      <c r="G75" s="14">
        <v>67.418363806023535</v>
      </c>
      <c r="H75" s="14">
        <v>43.333116742586036</v>
      </c>
      <c r="I75" s="14">
        <v>11.859747700290523</v>
      </c>
      <c r="J75" s="14">
        <v>141.41064249585318</v>
      </c>
      <c r="K75" s="14">
        <v>35.817853314290929</v>
      </c>
      <c r="L75" s="14">
        <v>17.990900893696843</v>
      </c>
      <c r="M75" s="14">
        <v>3.0092132684241784</v>
      </c>
      <c r="N75" s="14">
        <v>592.55575186159138</v>
      </c>
      <c r="O75" s="14">
        <f t="shared" si="4"/>
        <v>413.12655613627942</v>
      </c>
      <c r="P75" s="14">
        <f t="shared" si="5"/>
        <v>103.23621712031446</v>
      </c>
      <c r="Q75" s="14">
        <f t="shared" si="6"/>
        <v>61.324017636282875</v>
      </c>
      <c r="R75" s="14">
        <f t="shared" si="7"/>
        <v>14.868960968714701</v>
      </c>
    </row>
    <row r="76" spans="1:18">
      <c r="A76" s="13" t="s">
        <v>471</v>
      </c>
      <c r="B76" s="13" t="s">
        <v>472</v>
      </c>
      <c r="C76" s="13" t="s">
        <v>348</v>
      </c>
      <c r="D76" s="14">
        <v>106107.97052263732</v>
      </c>
      <c r="E76" s="14">
        <v>35726.185735596482</v>
      </c>
      <c r="F76" s="14">
        <v>98643.627353562115</v>
      </c>
      <c r="G76" s="14">
        <v>4688.88201221494</v>
      </c>
      <c r="H76" s="14">
        <v>1863.0900313787949</v>
      </c>
      <c r="I76" s="14">
        <v>912.37112548146342</v>
      </c>
      <c r="J76" s="14">
        <v>33254.626605370664</v>
      </c>
      <c r="K76" s="14">
        <v>1550.3511834941344</v>
      </c>
      <c r="L76" s="14">
        <v>695.40130470393524</v>
      </c>
      <c r="M76" s="14">
        <v>225.8066420277554</v>
      </c>
      <c r="N76" s="14">
        <v>141834.15625823379</v>
      </c>
      <c r="O76" s="14">
        <f t="shared" ref="O76:O107" si="8">F76+J76</f>
        <v>131898.25395893276</v>
      </c>
      <c r="P76" s="14">
        <f t="shared" ref="P76:P107" si="9">G76+K76</f>
        <v>6239.2331957090746</v>
      </c>
      <c r="Q76" s="14">
        <f t="shared" ref="Q76:Q107" si="10">H76+L76</f>
        <v>2558.4913360827304</v>
      </c>
      <c r="R76" s="14">
        <f t="shared" ref="R76:R107" si="11">I76+M76</f>
        <v>1138.1777675092189</v>
      </c>
    </row>
    <row r="77" spans="1:18">
      <c r="A77" s="13" t="s">
        <v>473</v>
      </c>
      <c r="B77" s="13" t="s">
        <v>474</v>
      </c>
      <c r="C77" s="13" t="s">
        <v>348</v>
      </c>
      <c r="D77" s="14">
        <v>180.41725963218389</v>
      </c>
      <c r="E77" s="14">
        <v>92.074804354758797</v>
      </c>
      <c r="F77" s="14">
        <v>125.24382692257846</v>
      </c>
      <c r="G77" s="14">
        <v>18.239197447730241</v>
      </c>
      <c r="H77" s="14">
        <v>29.193682538982227</v>
      </c>
      <c r="I77" s="14">
        <v>7.7405527228929687</v>
      </c>
      <c r="J77" s="14">
        <v>71.05606598666148</v>
      </c>
      <c r="K77" s="14">
        <v>9.7097394108522277</v>
      </c>
      <c r="L77" s="14">
        <v>9.9183284121503927</v>
      </c>
      <c r="M77" s="14">
        <v>1.390670545094705</v>
      </c>
      <c r="N77" s="14">
        <v>272.4920639869427</v>
      </c>
      <c r="O77" s="14">
        <f t="shared" si="8"/>
        <v>196.29989290923993</v>
      </c>
      <c r="P77" s="14">
        <f t="shared" si="9"/>
        <v>27.948936858582471</v>
      </c>
      <c r="Q77" s="14">
        <f t="shared" si="10"/>
        <v>39.112010951132618</v>
      </c>
      <c r="R77" s="14">
        <f t="shared" si="11"/>
        <v>9.1312232679876733</v>
      </c>
    </row>
    <row r="78" spans="1:18">
      <c r="A78" s="13" t="s">
        <v>475</v>
      </c>
      <c r="B78" t="s">
        <v>476</v>
      </c>
      <c r="C78" s="13" t="s">
        <v>348</v>
      </c>
      <c r="D78" s="14">
        <v>6442.4012427316575</v>
      </c>
      <c r="E78" s="14">
        <v>2482.1481815487773</v>
      </c>
      <c r="F78" s="14">
        <v>5603.2715851098665</v>
      </c>
      <c r="G78" s="14">
        <v>660.84565133536432</v>
      </c>
      <c r="H78" s="14">
        <v>141.26960769773532</v>
      </c>
      <c r="I78" s="14">
        <v>37.014398588692018</v>
      </c>
      <c r="J78" s="14">
        <v>2230.2265075552873</v>
      </c>
      <c r="K78" s="14">
        <v>233.7844343199057</v>
      </c>
      <c r="L78" s="14">
        <v>16.761275610108783</v>
      </c>
      <c r="M78" s="14">
        <v>1.3759640634751666</v>
      </c>
      <c r="N78" s="14">
        <v>8924.5494242804325</v>
      </c>
      <c r="O78" s="14">
        <f t="shared" si="8"/>
        <v>7833.4980926651533</v>
      </c>
      <c r="P78" s="14">
        <f t="shared" si="9"/>
        <v>894.63008565527002</v>
      </c>
      <c r="Q78" s="14">
        <f t="shared" si="10"/>
        <v>158.03088330784411</v>
      </c>
      <c r="R78" s="14">
        <f t="shared" si="11"/>
        <v>38.390362652167184</v>
      </c>
    </row>
    <row r="79" spans="1:18">
      <c r="A79" s="13" t="s">
        <v>477</v>
      </c>
      <c r="B79" s="13" t="s">
        <v>478</v>
      </c>
      <c r="C79" s="13" t="s">
        <v>348</v>
      </c>
      <c r="D79" s="14">
        <v>1627.7430422045115</v>
      </c>
      <c r="E79" s="14">
        <v>789.90543493545181</v>
      </c>
      <c r="F79" s="14">
        <v>1124.7423059458861</v>
      </c>
      <c r="G79" s="14">
        <v>354.98839577650961</v>
      </c>
      <c r="H79" s="14">
        <v>134.02581197394696</v>
      </c>
      <c r="I79" s="14">
        <v>13.986528508168909</v>
      </c>
      <c r="J79" s="14">
        <v>540.67957959914509</v>
      </c>
      <c r="K79" s="14">
        <v>207.74955843437354</v>
      </c>
      <c r="L79" s="14">
        <v>37.572293788499991</v>
      </c>
      <c r="M79" s="14">
        <v>3.9040031134332054</v>
      </c>
      <c r="N79" s="14">
        <v>2417.6484771399632</v>
      </c>
      <c r="O79" s="14">
        <f t="shared" si="8"/>
        <v>1665.4218855450313</v>
      </c>
      <c r="P79" s="14">
        <f t="shared" si="9"/>
        <v>562.73795421088312</v>
      </c>
      <c r="Q79" s="14">
        <f t="shared" si="10"/>
        <v>171.59810576244695</v>
      </c>
      <c r="R79" s="14">
        <f t="shared" si="11"/>
        <v>17.890531621602115</v>
      </c>
    </row>
    <row r="80" spans="1:18">
      <c r="A80" s="13" t="s">
        <v>479</v>
      </c>
      <c r="B80" s="13" t="s">
        <v>480</v>
      </c>
      <c r="C80" s="13" t="s">
        <v>348</v>
      </c>
      <c r="D80" s="14">
        <v>241.43551730879767</v>
      </c>
      <c r="E80" s="14">
        <v>191.21297156485687</v>
      </c>
      <c r="F80" s="14">
        <v>220.34589032510689</v>
      </c>
      <c r="G80" s="14">
        <v>17.027375467941951</v>
      </c>
      <c r="H80" s="14">
        <v>3.4642458028097183</v>
      </c>
      <c r="I80" s="14">
        <v>0.59800571293907168</v>
      </c>
      <c r="J80" s="14">
        <v>177.86438142077574</v>
      </c>
      <c r="K80" s="14">
        <v>10.615950132056939</v>
      </c>
      <c r="L80" s="14">
        <v>2.4801312877762176</v>
      </c>
      <c r="M80" s="14">
        <v>0.25250872424795334</v>
      </c>
      <c r="N80" s="14">
        <v>432.64848887365451</v>
      </c>
      <c r="O80" s="14">
        <f t="shared" si="8"/>
        <v>398.21027174588266</v>
      </c>
      <c r="P80" s="14">
        <f t="shared" si="9"/>
        <v>27.643325599998889</v>
      </c>
      <c r="Q80" s="14">
        <f t="shared" si="10"/>
        <v>5.9443770905859363</v>
      </c>
      <c r="R80" s="14">
        <f t="shared" si="11"/>
        <v>0.85051443718702502</v>
      </c>
    </row>
    <row r="81" spans="1:18">
      <c r="A81" s="13" t="s">
        <v>481</v>
      </c>
      <c r="B81" s="13" t="s">
        <v>482</v>
      </c>
      <c r="C81" s="13" t="s">
        <v>348</v>
      </c>
      <c r="D81" s="14">
        <v>4065.7330185831452</v>
      </c>
      <c r="E81" s="14">
        <v>1822.7416630690693</v>
      </c>
      <c r="F81" s="14">
        <v>2497.5824786374064</v>
      </c>
      <c r="G81" s="14">
        <v>464.82587913627742</v>
      </c>
      <c r="H81" s="14">
        <v>806.93705652599419</v>
      </c>
      <c r="I81" s="14">
        <v>296.38760428346745</v>
      </c>
      <c r="J81" s="14">
        <v>1101.7136471961578</v>
      </c>
      <c r="K81" s="14">
        <v>292.72436960078875</v>
      </c>
      <c r="L81" s="14">
        <v>342.39734902168601</v>
      </c>
      <c r="M81" s="14">
        <v>85.906297250436722</v>
      </c>
      <c r="N81" s="14">
        <v>5888.4746816522147</v>
      </c>
      <c r="O81" s="14">
        <f t="shared" si="8"/>
        <v>3599.2961258335645</v>
      </c>
      <c r="P81" s="14">
        <f t="shared" si="9"/>
        <v>757.55024873706611</v>
      </c>
      <c r="Q81" s="14">
        <f t="shared" si="10"/>
        <v>1149.3344055476803</v>
      </c>
      <c r="R81" s="14">
        <f t="shared" si="11"/>
        <v>382.2939015339042</v>
      </c>
    </row>
    <row r="82" spans="1:18">
      <c r="A82" s="13" t="s">
        <v>483</v>
      </c>
      <c r="B82" t="s">
        <v>484</v>
      </c>
      <c r="C82" s="13" t="s">
        <v>348</v>
      </c>
      <c r="D82" s="14">
        <v>3365.3269067866963</v>
      </c>
      <c r="E82" s="14">
        <v>2237.7004948789308</v>
      </c>
      <c r="F82" s="14">
        <v>2666.2570587804439</v>
      </c>
      <c r="G82" s="14">
        <v>457.6325049641469</v>
      </c>
      <c r="H82" s="14">
        <v>209.08501691087091</v>
      </c>
      <c r="I82" s="14">
        <v>32.352326131234641</v>
      </c>
      <c r="J82" s="14">
        <v>1725.4122054257887</v>
      </c>
      <c r="K82" s="14">
        <v>395.15354331470758</v>
      </c>
      <c r="L82" s="14">
        <v>114.99138631632385</v>
      </c>
      <c r="M82" s="14">
        <v>2.1433598221112415</v>
      </c>
      <c r="N82" s="14">
        <v>5603.0274016656267</v>
      </c>
      <c r="O82" s="14">
        <f t="shared" si="8"/>
        <v>4391.6692642062326</v>
      </c>
      <c r="P82" s="14">
        <f t="shared" si="9"/>
        <v>852.78604827885442</v>
      </c>
      <c r="Q82" s="14">
        <f t="shared" si="10"/>
        <v>324.07640322719476</v>
      </c>
      <c r="R82" s="14">
        <f t="shared" si="11"/>
        <v>34.495685953345884</v>
      </c>
    </row>
    <row r="83" spans="1:18">
      <c r="A83" s="13" t="s">
        <v>485</v>
      </c>
      <c r="B83" s="13" t="s">
        <v>486</v>
      </c>
      <c r="C83" s="13" t="s">
        <v>348</v>
      </c>
      <c r="D83" s="14">
        <v>251.13965715995943</v>
      </c>
      <c r="E83" s="14">
        <v>92.759442433655664</v>
      </c>
      <c r="F83" s="14">
        <v>148.35336366349341</v>
      </c>
      <c r="G83" s="14">
        <v>34.710231455506197</v>
      </c>
      <c r="H83" s="14">
        <v>49.520129892050747</v>
      </c>
      <c r="I83" s="14">
        <v>18.555932148909051</v>
      </c>
      <c r="J83" s="14">
        <v>75.137585677148465</v>
      </c>
      <c r="K83" s="14">
        <v>5.644172896871047</v>
      </c>
      <c r="L83" s="14">
        <v>10.940840350844089</v>
      </c>
      <c r="M83" s="14">
        <v>1.0368435087920715</v>
      </c>
      <c r="N83" s="14">
        <v>343.89909959361512</v>
      </c>
      <c r="O83" s="14">
        <f t="shared" si="8"/>
        <v>223.49094934064186</v>
      </c>
      <c r="P83" s="14">
        <f t="shared" si="9"/>
        <v>40.354404352377244</v>
      </c>
      <c r="Q83" s="14">
        <f t="shared" si="10"/>
        <v>60.460970242894838</v>
      </c>
      <c r="R83" s="14">
        <f t="shared" si="11"/>
        <v>19.592775657701122</v>
      </c>
    </row>
    <row r="84" spans="1:18">
      <c r="A84" s="13" t="s">
        <v>487</v>
      </c>
      <c r="B84" s="13" t="s">
        <v>488</v>
      </c>
      <c r="C84" s="13" t="s">
        <v>348</v>
      </c>
      <c r="D84" s="14">
        <v>437.71381575638401</v>
      </c>
      <c r="E84" s="14">
        <v>205.17073661640322</v>
      </c>
      <c r="F84" s="14">
        <v>410.43827172273433</v>
      </c>
      <c r="G84" s="14">
        <v>20.395137486546233</v>
      </c>
      <c r="H84" s="14">
        <v>6.7924365849476125</v>
      </c>
      <c r="I84" s="14">
        <v>8.7969962155876283E-2</v>
      </c>
      <c r="J84" s="14">
        <v>200.52357654425404</v>
      </c>
      <c r="K84" s="14">
        <v>3.7427283857572151</v>
      </c>
      <c r="L84" s="14">
        <v>0.88472806325290232</v>
      </c>
      <c r="M84" s="14">
        <v>1.9703623139066841E-2</v>
      </c>
      <c r="N84" s="14">
        <v>642.8845523727872</v>
      </c>
      <c r="O84" s="14">
        <f t="shared" si="8"/>
        <v>610.96184826698834</v>
      </c>
      <c r="P84" s="14">
        <f t="shared" si="9"/>
        <v>24.137865872303447</v>
      </c>
      <c r="Q84" s="14">
        <f t="shared" si="10"/>
        <v>7.6771646482005149</v>
      </c>
      <c r="R84" s="14">
        <f t="shared" si="11"/>
        <v>0.10767358529494313</v>
      </c>
    </row>
    <row r="85" spans="1:18">
      <c r="A85" s="13" t="s">
        <v>489</v>
      </c>
      <c r="B85" s="13" t="s">
        <v>490</v>
      </c>
      <c r="C85" s="13" t="s">
        <v>348</v>
      </c>
      <c r="D85" s="14">
        <v>22.58385090890145</v>
      </c>
      <c r="E85" s="14">
        <v>10.292285078454062</v>
      </c>
      <c r="F85" s="14">
        <v>15.182567087386387</v>
      </c>
      <c r="G85" s="14">
        <v>3.5589222438917627</v>
      </c>
      <c r="H85" s="14">
        <v>3.2853358373307207</v>
      </c>
      <c r="I85" s="14">
        <v>0.55702574029257912</v>
      </c>
      <c r="J85" s="14">
        <v>7.4254210693703833</v>
      </c>
      <c r="K85" s="14">
        <v>1.9896608428137113</v>
      </c>
      <c r="L85" s="14">
        <v>0.70391157186445896</v>
      </c>
      <c r="M85" s="14">
        <v>0.17329159440550918</v>
      </c>
      <c r="N85" s="14">
        <v>32.876135987355518</v>
      </c>
      <c r="O85" s="14">
        <f t="shared" si="8"/>
        <v>22.607988156756768</v>
      </c>
      <c r="P85" s="14">
        <f t="shared" si="9"/>
        <v>5.5485830867054737</v>
      </c>
      <c r="Q85" s="14">
        <f t="shared" si="10"/>
        <v>3.9892474091951797</v>
      </c>
      <c r="R85" s="14">
        <f t="shared" si="11"/>
        <v>0.73031733469808824</v>
      </c>
    </row>
    <row r="86" spans="1:18">
      <c r="A86" s="13" t="s">
        <v>491</v>
      </c>
      <c r="B86" s="13" t="s">
        <v>492</v>
      </c>
      <c r="C86" s="13" t="s">
        <v>348</v>
      </c>
      <c r="D86" s="14">
        <v>76.178508244453454</v>
      </c>
      <c r="E86" s="14">
        <v>42.563854558495521</v>
      </c>
      <c r="F86" s="14">
        <v>56.747365264096501</v>
      </c>
      <c r="G86" s="14">
        <v>10.10439584966981</v>
      </c>
      <c r="H86" s="14">
        <v>8.2125080001734219</v>
      </c>
      <c r="I86" s="14">
        <v>1.114239130513722</v>
      </c>
      <c r="J86" s="14">
        <v>35.532172499496184</v>
      </c>
      <c r="K86" s="14">
        <v>3.5447839104456111</v>
      </c>
      <c r="L86" s="14">
        <v>2.8271193692356151</v>
      </c>
      <c r="M86" s="14">
        <v>0.65977877931810713</v>
      </c>
      <c r="N86" s="14">
        <v>118.74236280294897</v>
      </c>
      <c r="O86" s="14">
        <f t="shared" si="8"/>
        <v>92.279537763592685</v>
      </c>
      <c r="P86" s="14">
        <f t="shared" si="9"/>
        <v>13.649179760115421</v>
      </c>
      <c r="Q86" s="14">
        <f t="shared" si="10"/>
        <v>11.039627369409036</v>
      </c>
      <c r="R86" s="14">
        <f t="shared" si="11"/>
        <v>1.7740179098318292</v>
      </c>
    </row>
    <row r="87" spans="1:18">
      <c r="A87" s="13" t="s">
        <v>493</v>
      </c>
      <c r="B87" s="13" t="s">
        <v>494</v>
      </c>
      <c r="C87" s="13" t="s">
        <v>348</v>
      </c>
      <c r="D87" s="14">
        <v>7408.5448159990983</v>
      </c>
      <c r="E87" s="14">
        <v>5330.4389773551038</v>
      </c>
      <c r="F87" s="14">
        <v>6419.4007818039863</v>
      </c>
      <c r="G87" s="14">
        <v>706.06004892851786</v>
      </c>
      <c r="H87" s="14">
        <v>240.03326762812245</v>
      </c>
      <c r="I87" s="14">
        <v>43.050717638471525</v>
      </c>
      <c r="J87" s="14">
        <v>5086.558580456096</v>
      </c>
      <c r="K87" s="14">
        <v>187.98627201760294</v>
      </c>
      <c r="L87" s="14">
        <v>49.1026832723064</v>
      </c>
      <c r="M87" s="14">
        <v>6.7914416090982579</v>
      </c>
      <c r="N87" s="14">
        <v>12738.9837933542</v>
      </c>
      <c r="O87" s="14">
        <f t="shared" si="8"/>
        <v>11505.959362260082</v>
      </c>
      <c r="P87" s="14">
        <f t="shared" si="9"/>
        <v>894.04632094612077</v>
      </c>
      <c r="Q87" s="14">
        <f t="shared" si="10"/>
        <v>289.13595090042884</v>
      </c>
      <c r="R87" s="14">
        <f t="shared" si="11"/>
        <v>49.842159247569782</v>
      </c>
    </row>
    <row r="88" spans="1:18">
      <c r="A88" s="13" t="s">
        <v>495</v>
      </c>
      <c r="B88" s="13" t="s">
        <v>496</v>
      </c>
      <c r="C88" s="13" t="s">
        <v>348</v>
      </c>
      <c r="D88" s="14">
        <v>1630.6424499524467</v>
      </c>
      <c r="E88" s="14">
        <v>1356.810692982604</v>
      </c>
      <c r="F88" s="14">
        <v>1487.283756840382</v>
      </c>
      <c r="G88" s="14">
        <v>75.427314143123894</v>
      </c>
      <c r="H88" s="14">
        <v>67.779646830849089</v>
      </c>
      <c r="I88" s="14">
        <v>0.15173213809181549</v>
      </c>
      <c r="J88" s="14">
        <v>1289.6359240538036</v>
      </c>
      <c r="K88" s="14">
        <v>52.978200008460782</v>
      </c>
      <c r="L88" s="14">
        <v>8.8767628420069542</v>
      </c>
      <c r="M88" s="14">
        <v>5.3198060783326193</v>
      </c>
      <c r="N88" s="14">
        <v>2987.4531429350504</v>
      </c>
      <c r="O88" s="14">
        <f t="shared" si="8"/>
        <v>2776.9196808941856</v>
      </c>
      <c r="P88" s="14">
        <f t="shared" si="9"/>
        <v>128.40551415158467</v>
      </c>
      <c r="Q88" s="14">
        <f t="shared" si="10"/>
        <v>76.656409672856043</v>
      </c>
      <c r="R88" s="14">
        <f t="shared" si="11"/>
        <v>5.4715382164244346</v>
      </c>
    </row>
    <row r="89" spans="1:18">
      <c r="A89" s="13" t="s">
        <v>497</v>
      </c>
      <c r="B89" s="13" t="s">
        <v>498</v>
      </c>
      <c r="C89" s="13" t="s">
        <v>348</v>
      </c>
      <c r="D89" s="14">
        <v>531.19031776028328</v>
      </c>
      <c r="E89" s="14">
        <v>317.88075804163367</v>
      </c>
      <c r="F89" s="14">
        <v>381.9606817141713</v>
      </c>
      <c r="G89" s="14">
        <v>89.136822774638688</v>
      </c>
      <c r="H89" s="14">
        <v>39.471686000231728</v>
      </c>
      <c r="I89" s="14">
        <v>20.621127271241537</v>
      </c>
      <c r="J89" s="14">
        <v>260.49816703107064</v>
      </c>
      <c r="K89" s="14">
        <v>42.589885877142322</v>
      </c>
      <c r="L89" s="14">
        <v>13.74514010817094</v>
      </c>
      <c r="M89" s="14">
        <v>1.0475650252498061</v>
      </c>
      <c r="N89" s="14">
        <v>849.071075801917</v>
      </c>
      <c r="O89" s="14">
        <f t="shared" si="8"/>
        <v>642.45884874524199</v>
      </c>
      <c r="P89" s="14">
        <f t="shared" si="9"/>
        <v>131.726708651781</v>
      </c>
      <c r="Q89" s="14">
        <f t="shared" si="10"/>
        <v>53.216826108402671</v>
      </c>
      <c r="R89" s="14">
        <f t="shared" si="11"/>
        <v>21.668692296491344</v>
      </c>
    </row>
    <row r="90" spans="1:18">
      <c r="A90" s="13" t="s">
        <v>499</v>
      </c>
      <c r="B90" s="13" t="s">
        <v>500</v>
      </c>
      <c r="C90" s="13" t="s">
        <v>348</v>
      </c>
      <c r="D90" s="14">
        <v>170.11201382646595</v>
      </c>
      <c r="E90" s="14">
        <v>83.287101141584529</v>
      </c>
      <c r="F90" s="14">
        <v>129.49630964163711</v>
      </c>
      <c r="G90" s="14">
        <v>24.953427050409896</v>
      </c>
      <c r="H90" s="14">
        <v>13.495250369827007</v>
      </c>
      <c r="I90" s="14">
        <v>2.1670267645919479</v>
      </c>
      <c r="J90" s="14">
        <v>64.366459257101425</v>
      </c>
      <c r="K90" s="14">
        <v>13.902679714574207</v>
      </c>
      <c r="L90" s="14">
        <v>4.7291650164509758</v>
      </c>
      <c r="M90" s="14">
        <v>0.28879715345791634</v>
      </c>
      <c r="N90" s="14">
        <v>253.3991149680505</v>
      </c>
      <c r="O90" s="14">
        <f t="shared" si="8"/>
        <v>193.86276889873852</v>
      </c>
      <c r="P90" s="14">
        <f t="shared" si="9"/>
        <v>38.856106764984105</v>
      </c>
      <c r="Q90" s="14">
        <f t="shared" si="10"/>
        <v>18.224415386277983</v>
      </c>
      <c r="R90" s="14">
        <f t="shared" si="11"/>
        <v>2.4558239180498642</v>
      </c>
    </row>
    <row r="91" spans="1:18">
      <c r="A91" s="13" t="s">
        <v>501</v>
      </c>
      <c r="B91" s="13" t="s">
        <v>502</v>
      </c>
      <c r="C91" s="13" t="s">
        <v>348</v>
      </c>
      <c r="D91" s="14">
        <v>143.3511648346705</v>
      </c>
      <c r="E91" s="14">
        <v>117.76038563023126</v>
      </c>
      <c r="F91" s="14">
        <v>110.74488457666861</v>
      </c>
      <c r="G91" s="14">
        <v>16.0538038194663</v>
      </c>
      <c r="H91" s="14">
        <v>13.296736820570736</v>
      </c>
      <c r="I91" s="14">
        <v>3.2557396179648563</v>
      </c>
      <c r="J91" s="14">
        <v>112.83700106979001</v>
      </c>
      <c r="K91" s="14">
        <v>3.2360373650810037</v>
      </c>
      <c r="L91" s="14">
        <v>1.4009768404318268</v>
      </c>
      <c r="M91" s="14">
        <v>0.28637035492841589</v>
      </c>
      <c r="N91" s="14">
        <v>261.11155046490177</v>
      </c>
      <c r="O91" s="14">
        <f t="shared" si="8"/>
        <v>223.5818856464586</v>
      </c>
      <c r="P91" s="14">
        <f t="shared" si="9"/>
        <v>19.289841184547303</v>
      </c>
      <c r="Q91" s="14">
        <f t="shared" si="10"/>
        <v>14.697713661002563</v>
      </c>
      <c r="R91" s="14">
        <f t="shared" si="11"/>
        <v>3.5421099728932721</v>
      </c>
    </row>
    <row r="92" spans="1:18">
      <c r="A92" s="13" t="s">
        <v>503</v>
      </c>
      <c r="B92" s="13" t="s">
        <v>504</v>
      </c>
      <c r="C92" s="13" t="s">
        <v>348</v>
      </c>
      <c r="D92" s="14">
        <v>401.98299360378138</v>
      </c>
      <c r="E92" s="14">
        <v>265.69352609055449</v>
      </c>
      <c r="F92" s="14">
        <v>336.24938793181889</v>
      </c>
      <c r="G92" s="14">
        <v>37.306207417220008</v>
      </c>
      <c r="H92" s="14">
        <v>24.537332002683435</v>
      </c>
      <c r="I92" s="14">
        <v>3.8900662520590581</v>
      </c>
      <c r="J92" s="14">
        <v>243.33815986164342</v>
      </c>
      <c r="K92" s="14">
        <v>14.453584940824417</v>
      </c>
      <c r="L92" s="14">
        <v>7.1025796830604548</v>
      </c>
      <c r="M92" s="14">
        <v>0.79920160502615045</v>
      </c>
      <c r="N92" s="14">
        <v>667.67651969433575</v>
      </c>
      <c r="O92" s="14">
        <f t="shared" si="8"/>
        <v>579.58754779346236</v>
      </c>
      <c r="P92" s="14">
        <f t="shared" si="9"/>
        <v>51.759792358044422</v>
      </c>
      <c r="Q92" s="14">
        <f t="shared" si="10"/>
        <v>31.63991168574389</v>
      </c>
      <c r="R92" s="14">
        <f t="shared" si="11"/>
        <v>4.6892678570852082</v>
      </c>
    </row>
    <row r="93" spans="1:18">
      <c r="A93" s="13" t="s">
        <v>505</v>
      </c>
      <c r="B93" s="13" t="s">
        <v>506</v>
      </c>
      <c r="C93" s="13" t="s">
        <v>348</v>
      </c>
      <c r="D93" s="14">
        <v>2651.4582371729207</v>
      </c>
      <c r="E93" s="14">
        <v>2295.9099146085036</v>
      </c>
      <c r="F93" s="14">
        <v>2458.3782826329052</v>
      </c>
      <c r="G93" s="14">
        <v>150.83488226944087</v>
      </c>
      <c r="H93" s="14">
        <v>39.843386913263195</v>
      </c>
      <c r="I93" s="14">
        <v>2.4016853573118198</v>
      </c>
      <c r="J93" s="14">
        <v>2174.2968248533866</v>
      </c>
      <c r="K93" s="14">
        <v>104.53505791081604</v>
      </c>
      <c r="L93" s="14">
        <v>15.323438341157225</v>
      </c>
      <c r="M93" s="14">
        <v>1.7545935031432738</v>
      </c>
      <c r="N93" s="14">
        <v>4947.3681517814239</v>
      </c>
      <c r="O93" s="14">
        <f t="shared" si="8"/>
        <v>4632.6751074862914</v>
      </c>
      <c r="P93" s="14">
        <f t="shared" si="9"/>
        <v>255.36994018025689</v>
      </c>
      <c r="Q93" s="14">
        <f t="shared" si="10"/>
        <v>55.166825254420417</v>
      </c>
      <c r="R93" s="14">
        <f t="shared" si="11"/>
        <v>4.1562788604550933</v>
      </c>
    </row>
    <row r="94" spans="1:18">
      <c r="A94" s="13" t="s">
        <v>507</v>
      </c>
      <c r="B94" s="13" t="s">
        <v>508</v>
      </c>
      <c r="C94" s="13" t="s">
        <v>348</v>
      </c>
      <c r="D94" s="14">
        <v>5049.3711641909758</v>
      </c>
      <c r="E94" s="14">
        <v>4645.5684156961152</v>
      </c>
      <c r="F94" s="14">
        <v>4566.769969067992</v>
      </c>
      <c r="G94" s="14">
        <v>415.67758711582746</v>
      </c>
      <c r="H94" s="14">
        <v>53.910717825678475</v>
      </c>
      <c r="I94" s="14">
        <v>13.012890181478562</v>
      </c>
      <c r="J94" s="14">
        <v>4010.0941864381675</v>
      </c>
      <c r="K94" s="14">
        <v>478.32890452825694</v>
      </c>
      <c r="L94" s="14">
        <v>139.68904309123167</v>
      </c>
      <c r="M94" s="14">
        <v>17.456281638458321</v>
      </c>
      <c r="N94" s="14">
        <v>9694.9395798870901</v>
      </c>
      <c r="O94" s="14">
        <f t="shared" si="8"/>
        <v>8576.8641555061586</v>
      </c>
      <c r="P94" s="14">
        <f t="shared" si="9"/>
        <v>894.00649164408446</v>
      </c>
      <c r="Q94" s="14">
        <f t="shared" si="10"/>
        <v>193.59976091691016</v>
      </c>
      <c r="R94" s="14">
        <f t="shared" si="11"/>
        <v>30.469171819936882</v>
      </c>
    </row>
    <row r="95" spans="1:18">
      <c r="A95" s="13" t="s">
        <v>509</v>
      </c>
      <c r="B95" s="13" t="s">
        <v>510</v>
      </c>
      <c r="C95" s="13" t="s">
        <v>348</v>
      </c>
      <c r="D95" s="14">
        <v>1421.5176050326218</v>
      </c>
      <c r="E95" s="14">
        <v>886.99447863239743</v>
      </c>
      <c r="F95" s="14">
        <v>973.09955262693506</v>
      </c>
      <c r="G95" s="14">
        <v>246.2790848975859</v>
      </c>
      <c r="H95" s="14">
        <v>174.61641845008018</v>
      </c>
      <c r="I95" s="14">
        <v>27.522549058020733</v>
      </c>
      <c r="J95" s="14">
        <v>700.54146545285244</v>
      </c>
      <c r="K95" s="14">
        <v>121.3872432478052</v>
      </c>
      <c r="L95" s="14">
        <v>56.509127801114417</v>
      </c>
      <c r="M95" s="14">
        <v>8.5566421306254199</v>
      </c>
      <c r="N95" s="14">
        <v>2308.512083665019</v>
      </c>
      <c r="O95" s="14">
        <f t="shared" si="8"/>
        <v>1673.6410180797875</v>
      </c>
      <c r="P95" s="14">
        <f t="shared" si="9"/>
        <v>367.66632814539111</v>
      </c>
      <c r="Q95" s="14">
        <f t="shared" si="10"/>
        <v>231.12554625119458</v>
      </c>
      <c r="R95" s="14">
        <f t="shared" si="11"/>
        <v>36.079191188646149</v>
      </c>
    </row>
    <row r="96" spans="1:18">
      <c r="A96" s="13" t="s">
        <v>511</v>
      </c>
      <c r="B96" s="13" t="s">
        <v>512</v>
      </c>
      <c r="C96" s="13" t="s">
        <v>348</v>
      </c>
      <c r="D96" s="14">
        <v>580.0913999571984</v>
      </c>
      <c r="E96" s="14">
        <v>332.58623532083948</v>
      </c>
      <c r="F96" s="14">
        <v>387.12752406007473</v>
      </c>
      <c r="G96" s="14">
        <v>117.4943205725198</v>
      </c>
      <c r="H96" s="14">
        <v>66.135174204244379</v>
      </c>
      <c r="I96" s="14">
        <v>9.3343811203595486</v>
      </c>
      <c r="J96" s="14">
        <v>251.36674426808884</v>
      </c>
      <c r="K96" s="14">
        <v>57.285289869529578</v>
      </c>
      <c r="L96" s="14">
        <v>18.535653625097602</v>
      </c>
      <c r="M96" s="14">
        <v>5.3985475581234361</v>
      </c>
      <c r="N96" s="14">
        <v>912.67763527803788</v>
      </c>
      <c r="O96" s="14">
        <f t="shared" si="8"/>
        <v>638.49426832816357</v>
      </c>
      <c r="P96" s="14">
        <f t="shared" si="9"/>
        <v>174.77961044204937</v>
      </c>
      <c r="Q96" s="14">
        <f t="shared" si="10"/>
        <v>84.670827829341988</v>
      </c>
      <c r="R96" s="14">
        <f t="shared" si="11"/>
        <v>14.732928678482985</v>
      </c>
    </row>
    <row r="97" spans="1:18">
      <c r="A97" s="13" t="s">
        <v>513</v>
      </c>
      <c r="B97" s="13" t="s">
        <v>514</v>
      </c>
      <c r="C97" s="13" t="s">
        <v>348</v>
      </c>
      <c r="D97" s="14">
        <v>164.00412178314394</v>
      </c>
      <c r="E97" s="14">
        <v>27.943090871591139</v>
      </c>
      <c r="F97" s="14">
        <v>90.663798842451556</v>
      </c>
      <c r="G97" s="14">
        <v>16.664245979856585</v>
      </c>
      <c r="H97" s="14">
        <v>41.417667525123164</v>
      </c>
      <c r="I97" s="14">
        <v>15.258409435712611</v>
      </c>
      <c r="J97" s="14">
        <v>21.646297774512224</v>
      </c>
      <c r="K97" s="14">
        <v>1.7980581641795867</v>
      </c>
      <c r="L97" s="14">
        <v>3.4194408196492114</v>
      </c>
      <c r="M97" s="14">
        <v>1.0792941132501168</v>
      </c>
      <c r="N97" s="14">
        <v>191.9472126547351</v>
      </c>
      <c r="O97" s="14">
        <f t="shared" si="8"/>
        <v>112.31009661696378</v>
      </c>
      <c r="P97" s="14">
        <f t="shared" si="9"/>
        <v>18.462304144036171</v>
      </c>
      <c r="Q97" s="14">
        <f t="shared" si="10"/>
        <v>44.837108344772375</v>
      </c>
      <c r="R97" s="14">
        <f t="shared" si="11"/>
        <v>16.337703548962729</v>
      </c>
    </row>
    <row r="98" spans="1:18">
      <c r="A98" s="13" t="s">
        <v>515</v>
      </c>
      <c r="B98" s="13" t="s">
        <v>516</v>
      </c>
      <c r="C98" s="13" t="s">
        <v>348</v>
      </c>
      <c r="D98" s="14">
        <v>687.42119744590127</v>
      </c>
      <c r="E98" s="14">
        <v>391.90052868391018</v>
      </c>
      <c r="F98" s="14">
        <v>530.5669586941226</v>
      </c>
      <c r="G98" s="14">
        <v>77.059767267958961</v>
      </c>
      <c r="H98" s="14">
        <v>63.989157500303456</v>
      </c>
      <c r="I98" s="14">
        <v>15.805313983516289</v>
      </c>
      <c r="J98" s="14">
        <v>308.93064319557595</v>
      </c>
      <c r="K98" s="14">
        <v>44.042197464273698</v>
      </c>
      <c r="L98" s="14">
        <v>25.76975735892384</v>
      </c>
      <c r="M98" s="14">
        <v>13.1579306651367</v>
      </c>
      <c r="N98" s="14">
        <v>1079.3217261298116</v>
      </c>
      <c r="O98" s="14">
        <f t="shared" si="8"/>
        <v>839.49760188969856</v>
      </c>
      <c r="P98" s="14">
        <f t="shared" si="9"/>
        <v>121.10196473223266</v>
      </c>
      <c r="Q98" s="14">
        <f t="shared" si="10"/>
        <v>89.758914859227303</v>
      </c>
      <c r="R98" s="14">
        <f t="shared" si="11"/>
        <v>28.963244648652989</v>
      </c>
    </row>
    <row r="99" spans="1:18">
      <c r="A99" s="13" t="s">
        <v>517</v>
      </c>
      <c r="B99" t="s">
        <v>518</v>
      </c>
      <c r="C99" s="13" t="s">
        <v>348</v>
      </c>
      <c r="D99" s="14">
        <v>4473.3721361220805</v>
      </c>
      <c r="E99" s="14">
        <v>3013.8422389957718</v>
      </c>
      <c r="F99" s="14">
        <v>2865.9160164529135</v>
      </c>
      <c r="G99" s="14">
        <v>732.42523436279271</v>
      </c>
      <c r="H99" s="14">
        <v>728.6712639226389</v>
      </c>
      <c r="I99" s="14">
        <v>146.35962138373537</v>
      </c>
      <c r="J99" s="14">
        <v>2212.7130625694508</v>
      </c>
      <c r="K99" s="14">
        <v>400.03951759068178</v>
      </c>
      <c r="L99" s="14">
        <v>330.82360273584339</v>
      </c>
      <c r="M99" s="14">
        <v>70.266056099795748</v>
      </c>
      <c r="N99" s="14">
        <v>7487.2143751178519</v>
      </c>
      <c r="O99" s="14">
        <f t="shared" si="8"/>
        <v>5078.6290790223647</v>
      </c>
      <c r="P99" s="14">
        <f t="shared" si="9"/>
        <v>1132.4647519534744</v>
      </c>
      <c r="Q99" s="14">
        <f t="shared" si="10"/>
        <v>1059.4948666584824</v>
      </c>
      <c r="R99" s="14">
        <f t="shared" si="11"/>
        <v>216.62567748353112</v>
      </c>
    </row>
    <row r="100" spans="1:18">
      <c r="A100" s="13" t="s">
        <v>519</v>
      </c>
      <c r="B100" s="13" t="s">
        <v>520</v>
      </c>
      <c r="C100" s="13" t="s">
        <v>348</v>
      </c>
      <c r="D100" s="14">
        <v>1687.103919323217</v>
      </c>
      <c r="E100" s="14">
        <v>905.0767127753021</v>
      </c>
      <c r="F100" s="14">
        <v>1302.2424586721374</v>
      </c>
      <c r="G100" s="14">
        <v>193.5430301227986</v>
      </c>
      <c r="H100" s="14">
        <v>162.23547103336273</v>
      </c>
      <c r="I100" s="14">
        <v>29.082959494918164</v>
      </c>
      <c r="J100" s="14">
        <v>783.14508679317237</v>
      </c>
      <c r="K100" s="14">
        <v>83.490483103104793</v>
      </c>
      <c r="L100" s="14">
        <v>36.901661454551594</v>
      </c>
      <c r="M100" s="14">
        <v>1.539481424473331</v>
      </c>
      <c r="N100" s="14">
        <v>2592.1806320985193</v>
      </c>
      <c r="O100" s="14">
        <f t="shared" si="8"/>
        <v>2085.3875454653098</v>
      </c>
      <c r="P100" s="14">
        <f t="shared" si="9"/>
        <v>277.03351322590339</v>
      </c>
      <c r="Q100" s="14">
        <f t="shared" si="10"/>
        <v>199.13713248791433</v>
      </c>
      <c r="R100" s="14">
        <f t="shared" si="11"/>
        <v>30.622440919391494</v>
      </c>
    </row>
    <row r="101" spans="1:18">
      <c r="A101" s="13" t="s">
        <v>521</v>
      </c>
      <c r="B101" s="13" t="s">
        <v>522</v>
      </c>
      <c r="C101" s="13" t="s">
        <v>348</v>
      </c>
      <c r="D101" s="14">
        <v>3093.1624327319555</v>
      </c>
      <c r="E101" s="14">
        <v>1235.1852395149815</v>
      </c>
      <c r="F101" s="14">
        <v>2795.4201805845323</v>
      </c>
      <c r="G101" s="14">
        <v>171.43107025070131</v>
      </c>
      <c r="H101" s="14">
        <v>111.02146015242568</v>
      </c>
      <c r="I101" s="14">
        <v>15.289721744296102</v>
      </c>
      <c r="J101" s="14">
        <v>1162.6539921371918</v>
      </c>
      <c r="K101" s="14">
        <v>38.519550124319196</v>
      </c>
      <c r="L101" s="14">
        <v>24.931008962638661</v>
      </c>
      <c r="M101" s="14">
        <v>9.0806882908316613</v>
      </c>
      <c r="N101" s="14">
        <v>4328.3476722469368</v>
      </c>
      <c r="O101" s="14">
        <f t="shared" si="8"/>
        <v>3958.0741727217242</v>
      </c>
      <c r="P101" s="14">
        <f t="shared" si="9"/>
        <v>209.95062037502049</v>
      </c>
      <c r="Q101" s="14">
        <f t="shared" si="10"/>
        <v>135.95246911506433</v>
      </c>
      <c r="R101" s="14">
        <f t="shared" si="11"/>
        <v>24.370410035127762</v>
      </c>
    </row>
    <row r="102" spans="1:18">
      <c r="A102" s="13" t="s">
        <v>523</v>
      </c>
      <c r="B102" s="13" t="s">
        <v>524</v>
      </c>
      <c r="C102" s="13" t="s">
        <v>348</v>
      </c>
      <c r="D102" s="14">
        <v>402.21834056052694</v>
      </c>
      <c r="E102" s="14">
        <v>450.31583447819241</v>
      </c>
      <c r="F102" s="14">
        <v>361.96787868174516</v>
      </c>
      <c r="G102" s="14">
        <v>31.689485996140355</v>
      </c>
      <c r="H102" s="14">
        <v>6.9870331575900604</v>
      </c>
      <c r="I102" s="14">
        <v>1.5739427250513329</v>
      </c>
      <c r="J102" s="14">
        <v>423.94712340705803</v>
      </c>
      <c r="K102" s="14">
        <v>19.111198884678778</v>
      </c>
      <c r="L102" s="14">
        <v>6.8364251490009629</v>
      </c>
      <c r="M102" s="14">
        <v>0.42108703745464088</v>
      </c>
      <c r="N102" s="14">
        <v>852.53417503871935</v>
      </c>
      <c r="O102" s="14">
        <f t="shared" si="8"/>
        <v>785.91500208880325</v>
      </c>
      <c r="P102" s="14">
        <f t="shared" si="9"/>
        <v>50.800684880819134</v>
      </c>
      <c r="Q102" s="14">
        <f t="shared" si="10"/>
        <v>13.823458306591023</v>
      </c>
      <c r="R102" s="14">
        <f t="shared" si="11"/>
        <v>1.9950297625059739</v>
      </c>
    </row>
    <row r="103" spans="1:18">
      <c r="A103" s="13" t="s">
        <v>525</v>
      </c>
      <c r="B103" t="s">
        <v>526</v>
      </c>
      <c r="C103" s="13" t="s">
        <v>348</v>
      </c>
      <c r="D103" s="14">
        <v>211.7932886332315</v>
      </c>
      <c r="E103" s="14">
        <v>100.36576309771293</v>
      </c>
      <c r="F103" s="14">
        <v>161.33771933445109</v>
      </c>
      <c r="G103" s="14">
        <v>20.268350781506449</v>
      </c>
      <c r="H103" s="14">
        <v>24.504907628293971</v>
      </c>
      <c r="I103" s="14">
        <v>5.6823108889799645</v>
      </c>
      <c r="J103" s="14">
        <v>84.208591465873653</v>
      </c>
      <c r="K103" s="14">
        <v>5.595327152463593</v>
      </c>
      <c r="L103" s="14">
        <v>7.3501658347925787</v>
      </c>
      <c r="M103" s="14">
        <v>3.211678644583098</v>
      </c>
      <c r="N103" s="14">
        <v>312.15905173094444</v>
      </c>
      <c r="O103" s="14">
        <f t="shared" si="8"/>
        <v>245.54631080032476</v>
      </c>
      <c r="P103" s="14">
        <f t="shared" si="9"/>
        <v>25.863677933970042</v>
      </c>
      <c r="Q103" s="14">
        <f t="shared" si="10"/>
        <v>31.855073463086548</v>
      </c>
      <c r="R103" s="14">
        <f t="shared" si="11"/>
        <v>8.8939895335630617</v>
      </c>
    </row>
    <row r="104" spans="1:18">
      <c r="A104" s="13" t="s">
        <v>527</v>
      </c>
      <c r="B104" s="13" t="s">
        <v>528</v>
      </c>
      <c r="C104" s="13" t="s">
        <v>348</v>
      </c>
      <c r="D104" s="14">
        <v>60.81696807204775</v>
      </c>
      <c r="E104" s="14">
        <v>32.568053305893663</v>
      </c>
      <c r="F104" s="14">
        <v>50.254957097651001</v>
      </c>
      <c r="G104" s="14">
        <v>7.3052808184529123</v>
      </c>
      <c r="H104" s="14">
        <v>2.7302169505915654</v>
      </c>
      <c r="I104" s="14">
        <v>0.52651320535226664</v>
      </c>
      <c r="J104" s="14">
        <v>25.898645380941169</v>
      </c>
      <c r="K104" s="14">
        <v>4.5113925775877375</v>
      </c>
      <c r="L104" s="14">
        <v>1.6394510806424203</v>
      </c>
      <c r="M104" s="14">
        <v>0.51856426672233336</v>
      </c>
      <c r="N104" s="14">
        <v>93.385021377941413</v>
      </c>
      <c r="O104" s="14">
        <f t="shared" si="8"/>
        <v>76.153602478592177</v>
      </c>
      <c r="P104" s="14">
        <f t="shared" si="9"/>
        <v>11.816673396040649</v>
      </c>
      <c r="Q104" s="14">
        <f t="shared" si="10"/>
        <v>4.3696680312339859</v>
      </c>
      <c r="R104" s="14">
        <f t="shared" si="11"/>
        <v>1.0450774720745999</v>
      </c>
    </row>
    <row r="105" spans="1:18">
      <c r="A105" s="13" t="s">
        <v>529</v>
      </c>
      <c r="B105" s="13" t="s">
        <v>530</v>
      </c>
      <c r="C105" s="13" t="s">
        <v>348</v>
      </c>
      <c r="D105" s="14">
        <v>330.95847797436159</v>
      </c>
      <c r="E105" s="14">
        <v>152.75610237049855</v>
      </c>
      <c r="F105" s="14">
        <v>233.27701269412637</v>
      </c>
      <c r="G105" s="14">
        <v>49.464197869103579</v>
      </c>
      <c r="H105" s="14">
        <v>35.454683541960776</v>
      </c>
      <c r="I105" s="14">
        <v>12.762583869170829</v>
      </c>
      <c r="J105" s="14">
        <v>116.56775489391379</v>
      </c>
      <c r="K105" s="14">
        <v>25.011114885635081</v>
      </c>
      <c r="L105" s="14">
        <v>7.2287241684176688</v>
      </c>
      <c r="M105" s="14">
        <v>3.9485084225319924</v>
      </c>
      <c r="N105" s="14">
        <v>483.71458034486011</v>
      </c>
      <c r="O105" s="14">
        <f t="shared" si="8"/>
        <v>349.84476758804016</v>
      </c>
      <c r="P105" s="14">
        <f t="shared" si="9"/>
        <v>74.475312754738667</v>
      </c>
      <c r="Q105" s="14">
        <f t="shared" si="10"/>
        <v>42.683407710378447</v>
      </c>
      <c r="R105" s="14">
        <f t="shared" si="11"/>
        <v>16.711092291702823</v>
      </c>
    </row>
    <row r="106" spans="1:18">
      <c r="A106" s="13" t="s">
        <v>531</v>
      </c>
      <c r="B106" s="13" t="s">
        <v>532</v>
      </c>
      <c r="C106" s="13" t="s">
        <v>348</v>
      </c>
      <c r="D106" s="14">
        <v>691.37518133737035</v>
      </c>
      <c r="E106" s="14">
        <v>783.05889800641978</v>
      </c>
      <c r="F106" s="14">
        <v>647.73988988006909</v>
      </c>
      <c r="G106" s="14">
        <v>32.912759506825232</v>
      </c>
      <c r="H106" s="14">
        <v>10.296025316583467</v>
      </c>
      <c r="I106" s="14">
        <v>0.42650663389252991</v>
      </c>
      <c r="J106" s="14">
        <v>742.78118113479195</v>
      </c>
      <c r="K106" s="14">
        <v>28.602274714790006</v>
      </c>
      <c r="L106" s="14">
        <v>11.536900232230851</v>
      </c>
      <c r="M106" s="14">
        <v>0.13854192460691464</v>
      </c>
      <c r="N106" s="14">
        <v>1474.43407934379</v>
      </c>
      <c r="O106" s="14">
        <f t="shared" si="8"/>
        <v>1390.521071014861</v>
      </c>
      <c r="P106" s="14">
        <f t="shared" si="9"/>
        <v>61.515034221615238</v>
      </c>
      <c r="Q106" s="14">
        <f t="shared" si="10"/>
        <v>21.832925548814316</v>
      </c>
      <c r="R106" s="14">
        <f t="shared" si="11"/>
        <v>0.56504855849944458</v>
      </c>
    </row>
    <row r="107" spans="1:18">
      <c r="A107" s="13" t="s">
        <v>533</v>
      </c>
      <c r="B107" s="13" t="s">
        <v>534</v>
      </c>
      <c r="C107" s="13" t="s">
        <v>348</v>
      </c>
      <c r="D107" s="14">
        <v>7302.1734583949519</v>
      </c>
      <c r="E107" s="14">
        <v>5825.9164220688199</v>
      </c>
      <c r="F107" s="14">
        <v>6162.3065067943035</v>
      </c>
      <c r="G107" s="14">
        <v>863.87194016947944</v>
      </c>
      <c r="H107" s="14">
        <v>264.10867717873271</v>
      </c>
      <c r="I107" s="14">
        <v>11.886334252435264</v>
      </c>
      <c r="J107" s="14">
        <v>4757.2660619891531</v>
      </c>
      <c r="K107" s="14">
        <v>878.98907127819666</v>
      </c>
      <c r="L107" s="14">
        <v>154.21026308908932</v>
      </c>
      <c r="M107" s="14">
        <v>35.451025712380265</v>
      </c>
      <c r="N107" s="14">
        <v>13128.089880463771</v>
      </c>
      <c r="O107" s="14">
        <f t="shared" si="8"/>
        <v>10919.572568783457</v>
      </c>
      <c r="P107" s="14">
        <f t="shared" si="9"/>
        <v>1742.861011447676</v>
      </c>
      <c r="Q107" s="14">
        <f t="shared" si="10"/>
        <v>418.31894026782203</v>
      </c>
      <c r="R107" s="14">
        <f t="shared" si="11"/>
        <v>47.337359964815526</v>
      </c>
    </row>
    <row r="108" spans="1:18">
      <c r="A108" s="13" t="s">
        <v>535</v>
      </c>
      <c r="B108" s="13" t="s">
        <v>536</v>
      </c>
      <c r="C108" s="13" t="s">
        <v>348</v>
      </c>
      <c r="D108" s="14">
        <v>522.09450655500041</v>
      </c>
      <c r="E108" s="14">
        <v>154.97175975849612</v>
      </c>
      <c r="F108" s="14">
        <v>438.99753054638666</v>
      </c>
      <c r="G108" s="14">
        <v>41.940893842237003</v>
      </c>
      <c r="H108" s="14">
        <v>26.24327335340298</v>
      </c>
      <c r="I108" s="14">
        <v>14.912808812973781</v>
      </c>
      <c r="J108" s="14">
        <v>120.92609345565991</v>
      </c>
      <c r="K108" s="14">
        <v>15.620744317082716</v>
      </c>
      <c r="L108" s="14">
        <v>6.3655603626735502</v>
      </c>
      <c r="M108" s="14">
        <v>12.059361623079912</v>
      </c>
      <c r="N108" s="14">
        <v>677.06626631349661</v>
      </c>
      <c r="O108" s="14">
        <f t="shared" ref="O108:O139" si="12">F108+J108</f>
        <v>559.92362400204661</v>
      </c>
      <c r="P108" s="14">
        <f t="shared" ref="P108:P139" si="13">G108+K108</f>
        <v>57.56163815931972</v>
      </c>
      <c r="Q108" s="14">
        <f t="shared" ref="Q108:Q139" si="14">H108+L108</f>
        <v>32.608833716076532</v>
      </c>
      <c r="R108" s="14">
        <f t="shared" ref="R108:R139" si="15">I108+M108</f>
        <v>26.972170436053695</v>
      </c>
    </row>
    <row r="109" spans="1:18">
      <c r="A109" s="13" t="s">
        <v>537</v>
      </c>
      <c r="B109" t="s">
        <v>538</v>
      </c>
      <c r="C109" s="13" t="s">
        <v>348</v>
      </c>
      <c r="D109" s="14">
        <v>4922.5238633600811</v>
      </c>
      <c r="E109" s="14">
        <v>1775.3842893244623</v>
      </c>
      <c r="F109" s="14">
        <v>3828.8668994765326</v>
      </c>
      <c r="G109" s="14">
        <v>557.60648253736122</v>
      </c>
      <c r="H109" s="14">
        <v>472.23088329069685</v>
      </c>
      <c r="I109" s="14">
        <v>63.819598055491007</v>
      </c>
      <c r="J109" s="14">
        <v>1362.67281515543</v>
      </c>
      <c r="K109" s="14">
        <v>239.91888221311495</v>
      </c>
      <c r="L109" s="14">
        <v>138.5504786220551</v>
      </c>
      <c r="M109" s="14">
        <v>34.242113333862015</v>
      </c>
      <c r="N109" s="14">
        <v>6697.908152684543</v>
      </c>
      <c r="O109" s="14">
        <f t="shared" si="12"/>
        <v>5191.5397146319629</v>
      </c>
      <c r="P109" s="14">
        <f t="shared" si="13"/>
        <v>797.52536475047623</v>
      </c>
      <c r="Q109" s="14">
        <f t="shared" si="14"/>
        <v>610.78136191275189</v>
      </c>
      <c r="R109" s="14">
        <f t="shared" si="15"/>
        <v>98.061711389353022</v>
      </c>
    </row>
    <row r="110" spans="1:18">
      <c r="A110" s="13" t="s">
        <v>539</v>
      </c>
      <c r="B110" s="13" t="s">
        <v>540</v>
      </c>
      <c r="C110" s="13" t="s">
        <v>348</v>
      </c>
      <c r="D110" s="14">
        <v>230.66025652788448</v>
      </c>
      <c r="E110" s="14">
        <v>177.7036742348003</v>
      </c>
      <c r="F110" s="14">
        <v>197.91394972119352</v>
      </c>
      <c r="G110" s="14">
        <v>17.946514929760102</v>
      </c>
      <c r="H110" s="14">
        <v>11.209522447540326</v>
      </c>
      <c r="I110" s="14">
        <v>3.5902694293905242</v>
      </c>
      <c r="J110" s="14">
        <v>162.43322039027009</v>
      </c>
      <c r="K110" s="14">
        <v>7.2100184794067452</v>
      </c>
      <c r="L110" s="14">
        <v>7.1681727586625712</v>
      </c>
      <c r="M110" s="14">
        <v>0.89226260646089128</v>
      </c>
      <c r="N110" s="14">
        <v>408.36393076268484</v>
      </c>
      <c r="O110" s="14">
        <f t="shared" si="12"/>
        <v>360.34717011146358</v>
      </c>
      <c r="P110" s="14">
        <f t="shared" si="13"/>
        <v>25.156533409166848</v>
      </c>
      <c r="Q110" s="14">
        <f t="shared" si="14"/>
        <v>18.377695206202898</v>
      </c>
      <c r="R110" s="14">
        <f t="shared" si="15"/>
        <v>4.4825320358514151</v>
      </c>
    </row>
    <row r="111" spans="1:18">
      <c r="A111" s="13" t="s">
        <v>541</v>
      </c>
      <c r="B111" s="13" t="s">
        <v>542</v>
      </c>
      <c r="C111" s="13" t="s">
        <v>348</v>
      </c>
      <c r="D111" s="14">
        <v>16505.830597733726</v>
      </c>
      <c r="E111" s="14">
        <v>10808.495525522243</v>
      </c>
      <c r="F111" s="14">
        <v>11444.653545521851</v>
      </c>
      <c r="G111" s="14">
        <v>2520.6480740009547</v>
      </c>
      <c r="H111" s="14">
        <v>2392.1517559913218</v>
      </c>
      <c r="I111" s="14">
        <v>148.3772222195974</v>
      </c>
      <c r="J111" s="14">
        <v>7843.2395486623773</v>
      </c>
      <c r="K111" s="14">
        <v>1619.066942921962</v>
      </c>
      <c r="L111" s="14">
        <v>1232.2334383554339</v>
      </c>
      <c r="M111" s="14">
        <v>113.95559558247156</v>
      </c>
      <c r="N111" s="14">
        <v>27314.326123255971</v>
      </c>
      <c r="O111" s="14">
        <f t="shared" si="12"/>
        <v>19287.893094184226</v>
      </c>
      <c r="P111" s="14">
        <f t="shared" si="13"/>
        <v>4139.7150169229171</v>
      </c>
      <c r="Q111" s="14">
        <f t="shared" si="14"/>
        <v>3624.3851943467557</v>
      </c>
      <c r="R111" s="14">
        <f t="shared" si="15"/>
        <v>262.33281780206897</v>
      </c>
    </row>
    <row r="112" spans="1:18">
      <c r="A112" s="13" t="s">
        <v>543</v>
      </c>
      <c r="B112" s="13" t="s">
        <v>544</v>
      </c>
      <c r="C112" s="13" t="s">
        <v>348</v>
      </c>
      <c r="D112" s="14">
        <v>9713.9872866023306</v>
      </c>
      <c r="E112" s="14">
        <v>10188.757172040689</v>
      </c>
      <c r="F112" s="14">
        <v>8327.6668167309599</v>
      </c>
      <c r="G112" s="14">
        <v>808.52357848394286</v>
      </c>
      <c r="H112" s="14">
        <v>522.94023801244612</v>
      </c>
      <c r="I112" s="14">
        <v>54.856653374981647</v>
      </c>
      <c r="J112" s="14">
        <v>9064.9724722705632</v>
      </c>
      <c r="K112" s="14">
        <v>850.80199665496286</v>
      </c>
      <c r="L112" s="14">
        <v>261.39523711476022</v>
      </c>
      <c r="M112" s="14">
        <v>11.587466000401099</v>
      </c>
      <c r="N112" s="14">
        <v>19902.744458643017</v>
      </c>
      <c r="O112" s="14">
        <f t="shared" si="12"/>
        <v>17392.639289001523</v>
      </c>
      <c r="P112" s="14">
        <f t="shared" si="13"/>
        <v>1659.3255751389056</v>
      </c>
      <c r="Q112" s="14">
        <f t="shared" si="14"/>
        <v>784.33547512720634</v>
      </c>
      <c r="R112" s="14">
        <f t="shared" si="15"/>
        <v>66.444119375382741</v>
      </c>
    </row>
    <row r="113" spans="1:18">
      <c r="A113" s="13" t="s">
        <v>545</v>
      </c>
      <c r="B113" s="13" t="s">
        <v>546</v>
      </c>
      <c r="C113" s="13" t="s">
        <v>348</v>
      </c>
      <c r="D113" s="14">
        <v>1697.0188316981364</v>
      </c>
      <c r="E113" s="14">
        <v>1337.9566967526853</v>
      </c>
      <c r="F113" s="14">
        <v>1431.885335795115</v>
      </c>
      <c r="G113" s="14">
        <v>149.4152085222928</v>
      </c>
      <c r="H113" s="14">
        <v>96.03834830767488</v>
      </c>
      <c r="I113" s="14">
        <v>19.67993907305371</v>
      </c>
      <c r="J113" s="14">
        <v>1150.5250380877462</v>
      </c>
      <c r="K113" s="14">
        <v>86.262493836533082</v>
      </c>
      <c r="L113" s="14">
        <v>76.113752555506224</v>
      </c>
      <c r="M113" s="14">
        <v>25.055412272899623</v>
      </c>
      <c r="N113" s="14">
        <v>3034.9755284508215</v>
      </c>
      <c r="O113" s="14">
        <f t="shared" si="12"/>
        <v>2582.4103738828612</v>
      </c>
      <c r="P113" s="14">
        <f t="shared" si="13"/>
        <v>235.67770235882588</v>
      </c>
      <c r="Q113" s="14">
        <f t="shared" si="14"/>
        <v>172.15210086318109</v>
      </c>
      <c r="R113" s="14">
        <f t="shared" si="15"/>
        <v>44.735351345953333</v>
      </c>
    </row>
    <row r="114" spans="1:18">
      <c r="A114" s="13" t="s">
        <v>547</v>
      </c>
      <c r="B114" s="13" t="s">
        <v>548</v>
      </c>
      <c r="C114" s="13" t="s">
        <v>549</v>
      </c>
      <c r="D114" s="14">
        <v>291.0335679768213</v>
      </c>
      <c r="E114" s="14">
        <v>178.40167516718233</v>
      </c>
      <c r="F114" s="14">
        <v>260.99312564383763</v>
      </c>
      <c r="G114" s="14">
        <v>18.934829118723226</v>
      </c>
      <c r="H114" s="14">
        <v>9.5966207629443385</v>
      </c>
      <c r="I114" s="14">
        <v>1.5089924513161486</v>
      </c>
      <c r="J114" s="14">
        <v>172.3230786150811</v>
      </c>
      <c r="K114" s="14">
        <v>4.0924935870046228</v>
      </c>
      <c r="L114" s="14">
        <v>1.7482409068905933</v>
      </c>
      <c r="M114" s="14">
        <v>0.23786205820601453</v>
      </c>
      <c r="N114" s="14">
        <v>469.43524314400366</v>
      </c>
      <c r="O114" s="14">
        <f t="shared" si="12"/>
        <v>433.31620425891873</v>
      </c>
      <c r="P114" s="14">
        <f t="shared" si="13"/>
        <v>23.027322705727848</v>
      </c>
      <c r="Q114" s="14">
        <f t="shared" si="14"/>
        <v>11.344861669834932</v>
      </c>
      <c r="R114" s="14">
        <f t="shared" si="15"/>
        <v>1.746854509522163</v>
      </c>
    </row>
    <row r="115" spans="1:18">
      <c r="A115" s="13" t="s">
        <v>550</v>
      </c>
      <c r="B115" s="13" t="s">
        <v>551</v>
      </c>
      <c r="C115" s="13" t="s">
        <v>549</v>
      </c>
      <c r="D115" s="14">
        <v>480.4430039027003</v>
      </c>
      <c r="E115" s="14">
        <v>243.08438658739047</v>
      </c>
      <c r="F115" s="14">
        <v>468.28795556053456</v>
      </c>
      <c r="G115" s="14">
        <v>10.090332881223748</v>
      </c>
      <c r="H115" s="14">
        <v>1.8113895789434205</v>
      </c>
      <c r="I115" s="14">
        <v>0.25332588199856854</v>
      </c>
      <c r="J115" s="14">
        <v>237.93174547903391</v>
      </c>
      <c r="K115" s="14">
        <v>3.6847254665322278</v>
      </c>
      <c r="L115" s="14">
        <v>1.4679156418243278</v>
      </c>
      <c r="M115" s="14">
        <v>0</v>
      </c>
      <c r="N115" s="14">
        <v>723.52739049009074</v>
      </c>
      <c r="O115" s="14">
        <f t="shared" si="12"/>
        <v>706.21970103956846</v>
      </c>
      <c r="P115" s="14">
        <f t="shared" si="13"/>
        <v>13.775058347755976</v>
      </c>
      <c r="Q115" s="14">
        <f t="shared" si="14"/>
        <v>3.279305220767748</v>
      </c>
      <c r="R115" s="14">
        <f t="shared" si="15"/>
        <v>0.25332588199856854</v>
      </c>
    </row>
    <row r="116" spans="1:18">
      <c r="A116" s="13" t="s">
        <v>552</v>
      </c>
      <c r="B116" s="13" t="s">
        <v>553</v>
      </c>
      <c r="C116" s="13" t="s">
        <v>549</v>
      </c>
      <c r="D116" s="14">
        <v>716.72767098013719</v>
      </c>
      <c r="E116" s="14">
        <v>660.26661839702183</v>
      </c>
      <c r="F116" s="14">
        <v>699.50468832666331</v>
      </c>
      <c r="G116" s="14">
        <v>11.772225312583789</v>
      </c>
      <c r="H116" s="14">
        <v>4.5189966659379444</v>
      </c>
      <c r="I116" s="14">
        <v>0.93176067495208459</v>
      </c>
      <c r="J116" s="14">
        <v>654.8404944984768</v>
      </c>
      <c r="K116" s="14">
        <v>3.2226314227033073</v>
      </c>
      <c r="L116" s="14">
        <v>1.8355887167744598</v>
      </c>
      <c r="M116" s="14">
        <v>0.36790375906721501</v>
      </c>
      <c r="N116" s="14">
        <v>1376.994289377159</v>
      </c>
      <c r="O116" s="14">
        <f t="shared" si="12"/>
        <v>1354.34518282514</v>
      </c>
      <c r="P116" s="14">
        <f t="shared" si="13"/>
        <v>14.994856735287096</v>
      </c>
      <c r="Q116" s="14">
        <f t="shared" si="14"/>
        <v>6.3545853827124041</v>
      </c>
      <c r="R116" s="14">
        <f t="shared" si="15"/>
        <v>1.2996644340192995</v>
      </c>
    </row>
    <row r="117" spans="1:18">
      <c r="A117" s="13" t="s">
        <v>554</v>
      </c>
      <c r="B117" s="13" t="s">
        <v>555</v>
      </c>
      <c r="C117" s="13" t="s">
        <v>549</v>
      </c>
      <c r="D117" s="14">
        <v>7760.3422268028717</v>
      </c>
      <c r="E117" s="14">
        <v>6445.1163087981322</v>
      </c>
      <c r="F117" s="14">
        <v>6838.8188007949811</v>
      </c>
      <c r="G117" s="14">
        <v>834.71326620340119</v>
      </c>
      <c r="H117" s="14">
        <v>83.978407794264299</v>
      </c>
      <c r="I117" s="14">
        <v>2.8317520102259102</v>
      </c>
      <c r="J117" s="14">
        <v>6177.3684691326953</v>
      </c>
      <c r="K117" s="14">
        <v>240.55982882965608</v>
      </c>
      <c r="L117" s="14">
        <v>22.952757253881131</v>
      </c>
      <c r="M117" s="14">
        <v>4.2352535818995474</v>
      </c>
      <c r="N117" s="14">
        <v>14205.458535601003</v>
      </c>
      <c r="O117" s="14">
        <f t="shared" si="12"/>
        <v>13016.187269927676</v>
      </c>
      <c r="P117" s="14">
        <f t="shared" si="13"/>
        <v>1075.2730950330572</v>
      </c>
      <c r="Q117" s="14">
        <f t="shared" si="14"/>
        <v>106.93116504814543</v>
      </c>
      <c r="R117" s="14">
        <f t="shared" si="15"/>
        <v>7.067005592125458</v>
      </c>
    </row>
    <row r="118" spans="1:18">
      <c r="A118" s="13" t="s">
        <v>556</v>
      </c>
      <c r="B118" s="13" t="s">
        <v>557</v>
      </c>
      <c r="C118" s="13" t="s">
        <v>549</v>
      </c>
      <c r="D118" s="14">
        <v>22.755963405491723</v>
      </c>
      <c r="E118" s="14">
        <v>9.1182863005194257</v>
      </c>
      <c r="F118" s="14">
        <v>15.572045043525605</v>
      </c>
      <c r="G118" s="14">
        <v>2.7183114782188915</v>
      </c>
      <c r="H118" s="14">
        <v>2.6449517474524344</v>
      </c>
      <c r="I118" s="14">
        <v>1.820655136294792</v>
      </c>
      <c r="J118" s="14">
        <v>8.3144774428532049</v>
      </c>
      <c r="K118" s="14">
        <v>0.14730433816960148</v>
      </c>
      <c r="L118" s="14">
        <v>0.41008800317586591</v>
      </c>
      <c r="M118" s="14">
        <v>0.24641651632075312</v>
      </c>
      <c r="N118" s="14">
        <v>31.874249706011149</v>
      </c>
      <c r="O118" s="14">
        <f t="shared" si="12"/>
        <v>23.886522486378809</v>
      </c>
      <c r="P118" s="14">
        <f t="shared" si="13"/>
        <v>2.8656158163884928</v>
      </c>
      <c r="Q118" s="14">
        <f t="shared" si="14"/>
        <v>3.0550397506283002</v>
      </c>
      <c r="R118" s="14">
        <f t="shared" si="15"/>
        <v>2.067071652615545</v>
      </c>
    </row>
    <row r="119" spans="1:18">
      <c r="A119" s="13" t="s">
        <v>558</v>
      </c>
      <c r="B119" s="13" t="s">
        <v>559</v>
      </c>
      <c r="C119" s="13" t="s">
        <v>549</v>
      </c>
      <c r="D119" s="14">
        <v>8.4097166568674915</v>
      </c>
      <c r="E119" s="14">
        <v>6.1289893838581984</v>
      </c>
      <c r="F119" s="14">
        <v>6.8571939816414451</v>
      </c>
      <c r="G119" s="14">
        <v>0.96387526377466171</v>
      </c>
      <c r="H119" s="14">
        <v>0.49239937498184599</v>
      </c>
      <c r="I119" s="14">
        <v>9.6248036469539278E-2</v>
      </c>
      <c r="J119" s="14">
        <v>5.2838465971453923</v>
      </c>
      <c r="K119" s="14">
        <v>0.53033315269370906</v>
      </c>
      <c r="L119" s="14">
        <v>0.27485302662436523</v>
      </c>
      <c r="M119" s="14">
        <v>3.995660739473151E-2</v>
      </c>
      <c r="N119" s="14">
        <v>14.538706040725689</v>
      </c>
      <c r="O119" s="14">
        <f t="shared" si="12"/>
        <v>12.141040578786837</v>
      </c>
      <c r="P119" s="14">
        <f t="shared" si="13"/>
        <v>1.4942084164683709</v>
      </c>
      <c r="Q119" s="14">
        <f t="shared" si="14"/>
        <v>0.76725240160621122</v>
      </c>
      <c r="R119" s="14">
        <f t="shared" si="15"/>
        <v>0.13620464386427078</v>
      </c>
    </row>
    <row r="120" spans="1:18">
      <c r="A120" s="13" t="s">
        <v>560</v>
      </c>
      <c r="B120" t="s">
        <v>561</v>
      </c>
      <c r="C120" s="13" t="s">
        <v>549</v>
      </c>
      <c r="D120" s="14">
        <v>805.16078801666924</v>
      </c>
      <c r="E120" s="14">
        <v>733.75377764761129</v>
      </c>
      <c r="F120" s="14">
        <v>764.29320005953116</v>
      </c>
      <c r="G120" s="14">
        <v>37.341480281802625</v>
      </c>
      <c r="H120" s="14">
        <v>3.5261076753354694</v>
      </c>
      <c r="I120" s="14">
        <v>0</v>
      </c>
      <c r="J120" s="14">
        <v>698.41819091770162</v>
      </c>
      <c r="K120" s="14">
        <v>32.518560153705273</v>
      </c>
      <c r="L120" s="14">
        <v>2.8170265762043876</v>
      </c>
      <c r="M120" s="14">
        <v>0</v>
      </c>
      <c r="N120" s="14">
        <v>1538.9145656642804</v>
      </c>
      <c r="O120" s="14">
        <f t="shared" si="12"/>
        <v>1462.7113909772329</v>
      </c>
      <c r="P120" s="14">
        <f t="shared" si="13"/>
        <v>69.860040435507898</v>
      </c>
      <c r="Q120" s="14">
        <f t="shared" si="14"/>
        <v>6.3431342515398565</v>
      </c>
      <c r="R120" s="14">
        <f t="shared" si="15"/>
        <v>0</v>
      </c>
    </row>
    <row r="121" spans="1:18">
      <c r="A121" s="13" t="s">
        <v>562</v>
      </c>
      <c r="B121" t="s">
        <v>563</v>
      </c>
      <c r="C121" s="13" t="s">
        <v>549</v>
      </c>
      <c r="D121" s="14">
        <v>13.835306393339268</v>
      </c>
      <c r="E121" s="14">
        <v>11.656136101094772</v>
      </c>
      <c r="F121" s="14">
        <v>10.775901241811056</v>
      </c>
      <c r="G121" s="14">
        <v>1.3853041216211488</v>
      </c>
      <c r="H121" s="14">
        <v>1.1195078631466391</v>
      </c>
      <c r="I121" s="14">
        <v>0.55459316676042414</v>
      </c>
      <c r="J121" s="14">
        <v>10.66167162734601</v>
      </c>
      <c r="K121" s="14">
        <v>0.62424626470869027</v>
      </c>
      <c r="L121" s="14">
        <v>0.33945077298353171</v>
      </c>
      <c r="M121" s="14">
        <v>3.0767436056539959E-2</v>
      </c>
      <c r="N121" s="14">
        <v>25.49144249443404</v>
      </c>
      <c r="O121" s="14">
        <f t="shared" si="12"/>
        <v>21.437572869157066</v>
      </c>
      <c r="P121" s="14">
        <f t="shared" si="13"/>
        <v>2.0095503863298392</v>
      </c>
      <c r="Q121" s="14">
        <f t="shared" si="14"/>
        <v>1.4589586361301707</v>
      </c>
      <c r="R121" s="14">
        <f t="shared" si="15"/>
        <v>0.58536060281696412</v>
      </c>
    </row>
    <row r="122" spans="1:18">
      <c r="A122" s="13" t="s">
        <v>564</v>
      </c>
      <c r="B122" s="13" t="s">
        <v>565</v>
      </c>
      <c r="C122" s="13" t="s">
        <v>549</v>
      </c>
      <c r="D122" s="14">
        <v>21.892414952541401</v>
      </c>
      <c r="E122" s="14">
        <v>13.882783873840015</v>
      </c>
      <c r="F122" s="14">
        <v>19.615512375690976</v>
      </c>
      <c r="G122" s="14">
        <v>2.073095912628848</v>
      </c>
      <c r="H122" s="14">
        <v>0.19743770596465215</v>
      </c>
      <c r="I122" s="14">
        <v>6.3689582569242641E-3</v>
      </c>
      <c r="J122" s="14">
        <v>11.732127360086999</v>
      </c>
      <c r="K122" s="14">
        <v>1.9786039926527754</v>
      </c>
      <c r="L122" s="14">
        <v>0.15771481100855456</v>
      </c>
      <c r="M122" s="14">
        <v>1.4337710091686776E-2</v>
      </c>
      <c r="N122" s="14">
        <v>35.775198826381413</v>
      </c>
      <c r="O122" s="14">
        <f t="shared" si="12"/>
        <v>31.347639735777975</v>
      </c>
      <c r="P122" s="14">
        <f t="shared" si="13"/>
        <v>4.0516999052816232</v>
      </c>
      <c r="Q122" s="14">
        <f t="shared" si="14"/>
        <v>0.35515251697320671</v>
      </c>
      <c r="R122" s="14">
        <f t="shared" si="15"/>
        <v>2.070666834861104E-2</v>
      </c>
    </row>
    <row r="123" spans="1:18">
      <c r="A123" s="13" t="s">
        <v>566</v>
      </c>
      <c r="B123" t="s">
        <v>567</v>
      </c>
      <c r="C123" s="13" t="s">
        <v>549</v>
      </c>
      <c r="D123" s="14">
        <v>169.97456170053326</v>
      </c>
      <c r="E123" s="14">
        <v>142.21951179110127</v>
      </c>
      <c r="F123" s="14">
        <v>159.48973830469942</v>
      </c>
      <c r="G123" s="14">
        <v>2.0176450456911228</v>
      </c>
      <c r="H123" s="14">
        <v>6.3834336098885487</v>
      </c>
      <c r="I123" s="14">
        <v>2.0837447402541587</v>
      </c>
      <c r="J123" s="14">
        <v>136.02185719042464</v>
      </c>
      <c r="K123" s="14">
        <v>1.6604229902360692</v>
      </c>
      <c r="L123" s="14">
        <v>4.0856468729445101</v>
      </c>
      <c r="M123" s="14">
        <v>0.4515847374960219</v>
      </c>
      <c r="N123" s="14">
        <v>312.19407349163447</v>
      </c>
      <c r="O123" s="14">
        <f t="shared" si="12"/>
        <v>295.51159549512408</v>
      </c>
      <c r="P123" s="14">
        <f t="shared" si="13"/>
        <v>3.678068035927192</v>
      </c>
      <c r="Q123" s="14">
        <f t="shared" si="14"/>
        <v>10.469080482833059</v>
      </c>
      <c r="R123" s="14">
        <f t="shared" si="15"/>
        <v>2.5353294777501807</v>
      </c>
    </row>
    <row r="124" spans="1:18">
      <c r="A124" s="13" t="s">
        <v>568</v>
      </c>
      <c r="B124" s="13" t="s">
        <v>569</v>
      </c>
      <c r="C124" s="13" t="s">
        <v>549</v>
      </c>
      <c r="D124" s="14">
        <v>4244.1360089621812</v>
      </c>
      <c r="E124" s="14">
        <v>3474.4534554033226</v>
      </c>
      <c r="F124" s="14">
        <v>3999.0174310425791</v>
      </c>
      <c r="G124" s="14">
        <v>101.0850203342423</v>
      </c>
      <c r="H124" s="14">
        <v>117.01951286050985</v>
      </c>
      <c r="I124" s="14">
        <v>27.014044724849427</v>
      </c>
      <c r="J124" s="14">
        <v>3394.6684994653388</v>
      </c>
      <c r="K124" s="14">
        <v>36.454529371111185</v>
      </c>
      <c r="L124" s="14">
        <v>38.685324922793079</v>
      </c>
      <c r="M124" s="14">
        <v>4.6451016440796256</v>
      </c>
      <c r="N124" s="14">
        <v>7718.5894643655038</v>
      </c>
      <c r="O124" s="14">
        <f t="shared" si="12"/>
        <v>7393.6859305079179</v>
      </c>
      <c r="P124" s="14">
        <f t="shared" si="13"/>
        <v>137.53954970535349</v>
      </c>
      <c r="Q124" s="14">
        <f t="shared" si="14"/>
        <v>155.70483778330293</v>
      </c>
      <c r="R124" s="14">
        <f t="shared" si="15"/>
        <v>31.659146368929051</v>
      </c>
    </row>
    <row r="125" spans="1:18">
      <c r="A125" s="13" t="s">
        <v>570</v>
      </c>
      <c r="B125" s="13" t="s">
        <v>571</v>
      </c>
      <c r="C125" s="13" t="s">
        <v>549</v>
      </c>
      <c r="D125" s="14">
        <v>29.44953892977043</v>
      </c>
      <c r="E125" s="14">
        <v>23.66066698982323</v>
      </c>
      <c r="F125" s="14">
        <v>26.682017457106298</v>
      </c>
      <c r="G125" s="14">
        <v>0.53286926600857654</v>
      </c>
      <c r="H125" s="14">
        <v>1.6847893877446565</v>
      </c>
      <c r="I125" s="14">
        <v>0.54986281891090016</v>
      </c>
      <c r="J125" s="14">
        <v>21.671552202648503</v>
      </c>
      <c r="K125" s="14">
        <v>0.53274690078624487</v>
      </c>
      <c r="L125" s="14">
        <v>1.3115997068270049</v>
      </c>
      <c r="M125" s="14">
        <v>0.14476817956147958</v>
      </c>
      <c r="N125" s="14">
        <v>53.11020591959366</v>
      </c>
      <c r="O125" s="14">
        <f t="shared" si="12"/>
        <v>48.353569659754797</v>
      </c>
      <c r="P125" s="14">
        <f t="shared" si="13"/>
        <v>1.0656161667948214</v>
      </c>
      <c r="Q125" s="14">
        <f t="shared" si="14"/>
        <v>2.9963890945716614</v>
      </c>
      <c r="R125" s="14">
        <f t="shared" si="15"/>
        <v>0.69463099847237975</v>
      </c>
    </row>
    <row r="126" spans="1:18">
      <c r="A126" s="13" t="s">
        <v>572</v>
      </c>
      <c r="B126" s="13" t="s">
        <v>573</v>
      </c>
      <c r="C126" s="13" t="s">
        <v>549</v>
      </c>
      <c r="D126" s="14">
        <v>9.4029018798274073</v>
      </c>
      <c r="E126" s="14">
        <v>11.209126861348464</v>
      </c>
      <c r="F126" s="14">
        <v>8.7038796545305388</v>
      </c>
      <c r="G126" s="14">
        <v>0.37837769584714154</v>
      </c>
      <c r="H126" s="14">
        <v>0.26943252837398746</v>
      </c>
      <c r="I126" s="14">
        <v>5.1212001075738978E-2</v>
      </c>
      <c r="J126" s="14">
        <v>10.669554223305418</v>
      </c>
      <c r="K126" s="14">
        <v>0.27115495923576555</v>
      </c>
      <c r="L126" s="14">
        <v>0.15311761713884484</v>
      </c>
      <c r="M126" s="14">
        <v>0.11530006166843478</v>
      </c>
      <c r="N126" s="14">
        <v>20.61202874117587</v>
      </c>
      <c r="O126" s="14">
        <f t="shared" si="12"/>
        <v>19.373433877835957</v>
      </c>
      <c r="P126" s="14">
        <f t="shared" si="13"/>
        <v>0.64953265508290703</v>
      </c>
      <c r="Q126" s="14">
        <f t="shared" si="14"/>
        <v>0.42255014551283232</v>
      </c>
      <c r="R126" s="14">
        <f t="shared" si="15"/>
        <v>0.16651206274417374</v>
      </c>
    </row>
    <row r="127" spans="1:18">
      <c r="A127" s="13" t="s">
        <v>574</v>
      </c>
      <c r="B127" s="13" t="s">
        <v>575</v>
      </c>
      <c r="C127" s="13" t="s">
        <v>549</v>
      </c>
      <c r="D127" s="14">
        <v>162.31142555673091</v>
      </c>
      <c r="E127" s="14">
        <v>93.470464141158644</v>
      </c>
      <c r="F127" s="14">
        <v>131.94761692757442</v>
      </c>
      <c r="G127" s="14">
        <v>7.8188006422630467</v>
      </c>
      <c r="H127" s="14">
        <v>18.290237330643553</v>
      </c>
      <c r="I127" s="14">
        <v>4.2547706562498906</v>
      </c>
      <c r="J127" s="14">
        <v>77.226284873293963</v>
      </c>
      <c r="K127" s="14">
        <v>4.7317174773364457</v>
      </c>
      <c r="L127" s="14">
        <v>10.402196148192521</v>
      </c>
      <c r="M127" s="14">
        <v>1.1102656423357169</v>
      </c>
      <c r="N127" s="14">
        <v>255.78188969788957</v>
      </c>
      <c r="O127" s="14">
        <f t="shared" si="12"/>
        <v>209.17390180086838</v>
      </c>
      <c r="P127" s="14">
        <f t="shared" si="13"/>
        <v>12.550518119599491</v>
      </c>
      <c r="Q127" s="14">
        <f t="shared" si="14"/>
        <v>28.692433478836072</v>
      </c>
      <c r="R127" s="14">
        <f t="shared" si="15"/>
        <v>5.3650362985856077</v>
      </c>
    </row>
    <row r="128" spans="1:18">
      <c r="A128" s="13" t="s">
        <v>576</v>
      </c>
      <c r="B128" s="13" t="s">
        <v>577</v>
      </c>
      <c r="C128" s="13" t="s">
        <v>549</v>
      </c>
      <c r="D128" s="14">
        <v>574.94985726924074</v>
      </c>
      <c r="E128" s="14">
        <v>550.15467423378857</v>
      </c>
      <c r="F128" s="14">
        <v>525.22054571936599</v>
      </c>
      <c r="G128" s="14">
        <v>30.871790104168891</v>
      </c>
      <c r="H128" s="14">
        <v>15.758261181460767</v>
      </c>
      <c r="I128" s="14">
        <v>3.099260264245093</v>
      </c>
      <c r="J128" s="14">
        <v>523.07474437951635</v>
      </c>
      <c r="K128" s="14">
        <v>16.989720187318618</v>
      </c>
      <c r="L128" s="14">
        <v>8.7944099484561917</v>
      </c>
      <c r="M128" s="14">
        <v>1.2957997184974415</v>
      </c>
      <c r="N128" s="14">
        <v>1125.1045315030294</v>
      </c>
      <c r="O128" s="14">
        <f t="shared" si="12"/>
        <v>1048.2952900988823</v>
      </c>
      <c r="P128" s="14">
        <f t="shared" si="13"/>
        <v>47.861510291487505</v>
      </c>
      <c r="Q128" s="14">
        <f t="shared" si="14"/>
        <v>24.552671129916959</v>
      </c>
      <c r="R128" s="14">
        <f t="shared" si="15"/>
        <v>4.3950599827425343</v>
      </c>
    </row>
    <row r="129" spans="1:18">
      <c r="A129" s="13" t="s">
        <v>578</v>
      </c>
      <c r="B129" t="s">
        <v>579</v>
      </c>
      <c r="C129" s="13" t="s">
        <v>549</v>
      </c>
      <c r="D129" s="14">
        <v>227.98880888418478</v>
      </c>
      <c r="E129" s="14">
        <v>115.27849183796579</v>
      </c>
      <c r="F129" s="14">
        <v>181.99183065779673</v>
      </c>
      <c r="G129" s="14">
        <v>35.282993347871525</v>
      </c>
      <c r="H129" s="14">
        <v>8.9217385051224092</v>
      </c>
      <c r="I129" s="14">
        <v>1.7922463733941096</v>
      </c>
      <c r="J129" s="14">
        <v>81.681311035046718</v>
      </c>
      <c r="K129" s="14">
        <v>28.883442865024179</v>
      </c>
      <c r="L129" s="14">
        <v>3.8755927427487644</v>
      </c>
      <c r="M129" s="14">
        <v>0.83814519514613017</v>
      </c>
      <c r="N129" s="14">
        <v>343.26730072215059</v>
      </c>
      <c r="O129" s="14">
        <f t="shared" si="12"/>
        <v>263.67314169284344</v>
      </c>
      <c r="P129" s="14">
        <f t="shared" si="13"/>
        <v>64.166436212895704</v>
      </c>
      <c r="Q129" s="14">
        <f t="shared" si="14"/>
        <v>12.797331247871174</v>
      </c>
      <c r="R129" s="14">
        <f t="shared" si="15"/>
        <v>2.6303915685402397</v>
      </c>
    </row>
    <row r="130" spans="1:18">
      <c r="A130" s="13" t="s">
        <v>580</v>
      </c>
      <c r="B130" s="13" t="s">
        <v>581</v>
      </c>
      <c r="C130" s="13" t="s">
        <v>549</v>
      </c>
      <c r="D130" s="14">
        <v>21.352877441611653</v>
      </c>
      <c r="E130" s="14">
        <v>8.2580015849771868</v>
      </c>
      <c r="F130" s="14">
        <v>14.701124733478713</v>
      </c>
      <c r="G130" s="14">
        <v>2.7502291676401245</v>
      </c>
      <c r="H130" s="14">
        <v>2.5540032292577748</v>
      </c>
      <c r="I130" s="14">
        <v>1.3475203112350442</v>
      </c>
      <c r="J130" s="14">
        <v>7.5503548076613187</v>
      </c>
      <c r="K130" s="14">
        <v>0.14458394586885373</v>
      </c>
      <c r="L130" s="14">
        <v>0.38589658791757436</v>
      </c>
      <c r="M130" s="14">
        <v>0.17716624352944046</v>
      </c>
      <c r="N130" s="14">
        <v>29.61087902658884</v>
      </c>
      <c r="O130" s="14">
        <f t="shared" si="12"/>
        <v>22.251479541140032</v>
      </c>
      <c r="P130" s="14">
        <f t="shared" si="13"/>
        <v>2.8948131135089783</v>
      </c>
      <c r="Q130" s="14">
        <f t="shared" si="14"/>
        <v>2.9398998171753492</v>
      </c>
      <c r="R130" s="14">
        <f t="shared" si="15"/>
        <v>1.5246865547644848</v>
      </c>
    </row>
    <row r="131" spans="1:18">
      <c r="A131" s="13" t="s">
        <v>582</v>
      </c>
      <c r="B131" s="13" t="s">
        <v>583</v>
      </c>
      <c r="C131" s="13" t="s">
        <v>549</v>
      </c>
      <c r="D131" s="14">
        <v>70.901461693171768</v>
      </c>
      <c r="E131" s="14">
        <v>37.965894935891875</v>
      </c>
      <c r="F131" s="14">
        <v>46.196869470986371</v>
      </c>
      <c r="G131" s="14">
        <v>16.095296832060377</v>
      </c>
      <c r="H131" s="14">
        <v>7.1413702264907695</v>
      </c>
      <c r="I131" s="14">
        <v>1.467925163634251</v>
      </c>
      <c r="J131" s="14">
        <v>23.140653148390559</v>
      </c>
      <c r="K131" s="14">
        <v>10.583445639874313</v>
      </c>
      <c r="L131" s="14">
        <v>3.8013966928031984</v>
      </c>
      <c r="M131" s="14">
        <v>0.44039945482381104</v>
      </c>
      <c r="N131" s="14">
        <v>108.86735662906364</v>
      </c>
      <c r="O131" s="14">
        <f t="shared" si="12"/>
        <v>69.337522619376927</v>
      </c>
      <c r="P131" s="14">
        <f t="shared" si="13"/>
        <v>26.67874247193469</v>
      </c>
      <c r="Q131" s="14">
        <f t="shared" si="14"/>
        <v>10.942766919293968</v>
      </c>
      <c r="R131" s="14">
        <f t="shared" si="15"/>
        <v>1.908324618458062</v>
      </c>
    </row>
    <row r="132" spans="1:18">
      <c r="A132" s="13" t="s">
        <v>584</v>
      </c>
      <c r="B132" s="13" t="s">
        <v>585</v>
      </c>
      <c r="C132" s="13" t="s">
        <v>549</v>
      </c>
      <c r="D132" s="14">
        <v>892.88848768431569</v>
      </c>
      <c r="E132" s="14">
        <v>465.27068169428446</v>
      </c>
      <c r="F132" s="14">
        <v>689.38320289897501</v>
      </c>
      <c r="G132" s="14">
        <v>75.395324397503444</v>
      </c>
      <c r="H132" s="14">
        <v>84.586898367496104</v>
      </c>
      <c r="I132" s="14">
        <v>43.523062020341008</v>
      </c>
      <c r="J132" s="14">
        <v>441.39607060378597</v>
      </c>
      <c r="K132" s="14">
        <v>7.333627008472229</v>
      </c>
      <c r="L132" s="14">
        <v>11.150098181718091</v>
      </c>
      <c r="M132" s="14">
        <v>5.390885900308179</v>
      </c>
      <c r="N132" s="14">
        <v>1358.1591693785999</v>
      </c>
      <c r="O132" s="14">
        <f t="shared" si="12"/>
        <v>1130.779273502761</v>
      </c>
      <c r="P132" s="14">
        <f t="shared" si="13"/>
        <v>82.728951405975678</v>
      </c>
      <c r="Q132" s="14">
        <f t="shared" si="14"/>
        <v>95.736996549214197</v>
      </c>
      <c r="R132" s="14">
        <f t="shared" si="15"/>
        <v>48.913947920649186</v>
      </c>
    </row>
    <row r="133" spans="1:18">
      <c r="A133" s="13" t="s">
        <v>586</v>
      </c>
      <c r="B133" s="13" t="s">
        <v>587</v>
      </c>
      <c r="C133" s="13" t="s">
        <v>549</v>
      </c>
      <c r="D133" s="14">
        <v>70.490561338721989</v>
      </c>
      <c r="E133" s="14">
        <v>35.225992883347303</v>
      </c>
      <c r="F133" s="14">
        <v>58.805004002946525</v>
      </c>
      <c r="G133" s="14">
        <v>4.6334117253744811</v>
      </c>
      <c r="H133" s="14">
        <v>5.0136336883291577</v>
      </c>
      <c r="I133" s="14">
        <v>2.0385119220718133</v>
      </c>
      <c r="J133" s="14">
        <v>31.320163607801206</v>
      </c>
      <c r="K133" s="14">
        <v>1.9989692342051715</v>
      </c>
      <c r="L133" s="14">
        <v>1.5684774433942463</v>
      </c>
      <c r="M133" s="14">
        <v>0.33838259794668218</v>
      </c>
      <c r="N133" s="14">
        <v>105.71655422206929</v>
      </c>
      <c r="O133" s="14">
        <f t="shared" si="12"/>
        <v>90.125167610747724</v>
      </c>
      <c r="P133" s="14">
        <f t="shared" si="13"/>
        <v>6.6323809595796526</v>
      </c>
      <c r="Q133" s="14">
        <f t="shared" si="14"/>
        <v>6.582111131723404</v>
      </c>
      <c r="R133" s="14">
        <f t="shared" si="15"/>
        <v>2.3768945200184954</v>
      </c>
    </row>
    <row r="134" spans="1:18">
      <c r="A134" s="13" t="s">
        <v>588</v>
      </c>
      <c r="B134" s="13" t="s">
        <v>589</v>
      </c>
      <c r="C134" s="13" t="s">
        <v>549</v>
      </c>
      <c r="D134" s="14">
        <v>4482.2048982810156</v>
      </c>
      <c r="E134" s="14">
        <v>2525.5764813339974</v>
      </c>
      <c r="F134" s="14">
        <v>4353.3227343666404</v>
      </c>
      <c r="G134" s="14">
        <v>59.962504215022001</v>
      </c>
      <c r="H134" s="14">
        <v>57.669024077433249</v>
      </c>
      <c r="I134" s="14">
        <v>11.250635621919907</v>
      </c>
      <c r="J134" s="14">
        <v>2376.95125640578</v>
      </c>
      <c r="K134" s="14">
        <v>44.990377972491423</v>
      </c>
      <c r="L134" s="14">
        <v>88.233269242957178</v>
      </c>
      <c r="M134" s="14">
        <v>15.401577712768626</v>
      </c>
      <c r="N134" s="14">
        <v>7007.781379615014</v>
      </c>
      <c r="O134" s="14">
        <f t="shared" si="12"/>
        <v>6730.2739907724208</v>
      </c>
      <c r="P134" s="14">
        <f t="shared" si="13"/>
        <v>104.95288218751342</v>
      </c>
      <c r="Q134" s="14">
        <f t="shared" si="14"/>
        <v>145.90229332039041</v>
      </c>
      <c r="R134" s="14">
        <f t="shared" si="15"/>
        <v>26.652213334688533</v>
      </c>
    </row>
    <row r="135" spans="1:18">
      <c r="A135" s="13" t="s">
        <v>590</v>
      </c>
      <c r="B135" t="s">
        <v>591</v>
      </c>
      <c r="C135" s="13" t="s">
        <v>549</v>
      </c>
      <c r="D135" s="14">
        <v>19.679051020352794</v>
      </c>
      <c r="E135" s="14">
        <v>20.249941110388196</v>
      </c>
      <c r="F135" s="14">
        <v>19.48919994353545</v>
      </c>
      <c r="G135" s="14">
        <v>0.15411440353407971</v>
      </c>
      <c r="H135" s="14">
        <v>3.1269589122856753E-2</v>
      </c>
      <c r="I135" s="14">
        <v>4.4670841604081074E-3</v>
      </c>
      <c r="J135" s="14">
        <v>19.236497374049886</v>
      </c>
      <c r="K135" s="14">
        <v>0.75530240727100306</v>
      </c>
      <c r="L135" s="14">
        <v>0.25575113157594093</v>
      </c>
      <c r="M135" s="14">
        <v>2.3901974913639341E-3</v>
      </c>
      <c r="N135" s="14">
        <v>39.928992130740987</v>
      </c>
      <c r="O135" s="14">
        <f t="shared" si="12"/>
        <v>38.725697317585336</v>
      </c>
      <c r="P135" s="14">
        <f t="shared" si="13"/>
        <v>0.90941681080508274</v>
      </c>
      <c r="Q135" s="14">
        <f t="shared" si="14"/>
        <v>0.28702072069879769</v>
      </c>
      <c r="R135" s="14">
        <f t="shared" si="15"/>
        <v>6.8572816517720415E-3</v>
      </c>
    </row>
    <row r="136" spans="1:18">
      <c r="A136" s="13" t="s">
        <v>592</v>
      </c>
      <c r="B136" s="13" t="s">
        <v>593</v>
      </c>
      <c r="C136" s="13" t="s">
        <v>549</v>
      </c>
      <c r="D136" s="14">
        <v>38.848132168517679</v>
      </c>
      <c r="E136" s="14">
        <v>17.513959724716962</v>
      </c>
      <c r="F136" s="14">
        <v>36.019747951617177</v>
      </c>
      <c r="G136" s="14">
        <v>1.6091204368051675</v>
      </c>
      <c r="H136" s="14">
        <v>0.84192155721861739</v>
      </c>
      <c r="I136" s="14">
        <v>0.37734222287671415</v>
      </c>
      <c r="J136" s="14">
        <v>16.505174299390411</v>
      </c>
      <c r="K136" s="14">
        <v>0.51699776109912099</v>
      </c>
      <c r="L136" s="14">
        <v>0.21521458439522598</v>
      </c>
      <c r="M136" s="14">
        <v>0.27657307983220492</v>
      </c>
      <c r="N136" s="14">
        <v>56.362091893234641</v>
      </c>
      <c r="O136" s="14">
        <f t="shared" si="12"/>
        <v>52.524922251007588</v>
      </c>
      <c r="P136" s="14">
        <f t="shared" si="13"/>
        <v>2.1261181979042885</v>
      </c>
      <c r="Q136" s="14">
        <f t="shared" si="14"/>
        <v>1.0571361416138434</v>
      </c>
      <c r="R136" s="14">
        <f t="shared" si="15"/>
        <v>0.65391530270891907</v>
      </c>
    </row>
    <row r="137" spans="1:18">
      <c r="A137" s="13" t="s">
        <v>594</v>
      </c>
      <c r="B137" s="13" t="s">
        <v>595</v>
      </c>
      <c r="C137" s="13" t="s">
        <v>549</v>
      </c>
      <c r="D137" s="14">
        <v>643.3480943105551</v>
      </c>
      <c r="E137" s="14">
        <v>531.43499278721094</v>
      </c>
      <c r="F137" s="14">
        <v>582.76294993928423</v>
      </c>
      <c r="G137" s="14">
        <v>12.654250208983855</v>
      </c>
      <c r="H137" s="14">
        <v>35.830893434752042</v>
      </c>
      <c r="I137" s="14">
        <v>12.100000727534958</v>
      </c>
      <c r="J137" s="14">
        <v>483.61222384565417</v>
      </c>
      <c r="K137" s="14">
        <v>10.203445112631163</v>
      </c>
      <c r="L137" s="14">
        <v>34.193942632271074</v>
      </c>
      <c r="M137" s="14">
        <v>3.4253811966544685</v>
      </c>
      <c r="N137" s="14">
        <v>1174.7830870977659</v>
      </c>
      <c r="O137" s="14">
        <f t="shared" si="12"/>
        <v>1066.3751737849384</v>
      </c>
      <c r="P137" s="14">
        <f t="shared" si="13"/>
        <v>22.857695321615019</v>
      </c>
      <c r="Q137" s="14">
        <f t="shared" si="14"/>
        <v>70.024836067023116</v>
      </c>
      <c r="R137" s="14">
        <f t="shared" si="15"/>
        <v>15.525381924189427</v>
      </c>
    </row>
    <row r="138" spans="1:18">
      <c r="A138" s="13" t="s">
        <v>596</v>
      </c>
      <c r="B138" s="13" t="s">
        <v>597</v>
      </c>
      <c r="C138" s="13" t="s">
        <v>549</v>
      </c>
      <c r="D138" s="14">
        <v>62.568059881155861</v>
      </c>
      <c r="E138" s="14">
        <v>85.977636264668462</v>
      </c>
      <c r="F138" s="14">
        <v>54.494588856994255</v>
      </c>
      <c r="G138" s="14">
        <v>1.65210024818751</v>
      </c>
      <c r="H138" s="14">
        <v>4.9151540968718237</v>
      </c>
      <c r="I138" s="14">
        <v>1.5062166791022735</v>
      </c>
      <c r="J138" s="14">
        <v>81.22711499862514</v>
      </c>
      <c r="K138" s="14">
        <v>1.1107690642940542</v>
      </c>
      <c r="L138" s="14">
        <v>3.2000727804662037</v>
      </c>
      <c r="M138" s="14">
        <v>0.43967942128306314</v>
      </c>
      <c r="N138" s="14">
        <v>148.54569614582434</v>
      </c>
      <c r="O138" s="14">
        <f t="shared" si="12"/>
        <v>135.72170385561941</v>
      </c>
      <c r="P138" s="14">
        <f t="shared" si="13"/>
        <v>2.7628693124815644</v>
      </c>
      <c r="Q138" s="14">
        <f t="shared" si="14"/>
        <v>8.1152268773380278</v>
      </c>
      <c r="R138" s="14">
        <f t="shared" si="15"/>
        <v>1.9458961003853368</v>
      </c>
    </row>
    <row r="139" spans="1:18">
      <c r="A139" s="13" t="s">
        <v>598</v>
      </c>
      <c r="B139" s="13" t="s">
        <v>599</v>
      </c>
      <c r="C139" s="13" t="s">
        <v>549</v>
      </c>
      <c r="D139" s="14">
        <v>81.383734458874329</v>
      </c>
      <c r="E139" s="14">
        <v>82.052481982919261</v>
      </c>
      <c r="F139" s="14">
        <v>73.963992592539498</v>
      </c>
      <c r="G139" s="14">
        <v>1.4882902248142393</v>
      </c>
      <c r="H139" s="14">
        <v>4.564974474004778</v>
      </c>
      <c r="I139" s="14">
        <v>1.3664771675158294</v>
      </c>
      <c r="J139" s="14">
        <v>77.903019754218846</v>
      </c>
      <c r="K139" s="14">
        <v>1.0586700630886501</v>
      </c>
      <c r="L139" s="14">
        <v>2.6810901288127424</v>
      </c>
      <c r="M139" s="14">
        <v>0.40970203679901329</v>
      </c>
      <c r="N139" s="14">
        <v>163.43621644179356</v>
      </c>
      <c r="O139" s="14">
        <f t="shared" si="12"/>
        <v>151.86701234675834</v>
      </c>
      <c r="P139" s="14">
        <f t="shared" si="13"/>
        <v>2.5469602879028894</v>
      </c>
      <c r="Q139" s="14">
        <f t="shared" si="14"/>
        <v>7.2460646028175208</v>
      </c>
      <c r="R139" s="14">
        <f t="shared" si="15"/>
        <v>1.7761792043148428</v>
      </c>
    </row>
    <row r="140" spans="1:18">
      <c r="A140" s="13" t="s">
        <v>600</v>
      </c>
      <c r="B140" s="13" t="s">
        <v>601</v>
      </c>
      <c r="C140" s="13" t="s">
        <v>549</v>
      </c>
      <c r="D140" s="14">
        <v>33.173450990454505</v>
      </c>
      <c r="E140" s="14">
        <v>21.64162629083642</v>
      </c>
      <c r="F140" s="14">
        <v>30.491196617625803</v>
      </c>
      <c r="G140" s="14">
        <v>2.2394230652877485</v>
      </c>
      <c r="H140" s="14">
        <v>0.41715204371796655</v>
      </c>
      <c r="I140" s="14">
        <v>2.5679263822989053E-2</v>
      </c>
      <c r="J140" s="14">
        <v>20.465613197480167</v>
      </c>
      <c r="K140" s="14">
        <v>1.0947347622808197</v>
      </c>
      <c r="L140" s="14">
        <v>6.850874733793709E-2</v>
      </c>
      <c r="M140" s="14">
        <v>1.2769583737497129E-2</v>
      </c>
      <c r="N140" s="14">
        <v>54.815077281290925</v>
      </c>
      <c r="O140" s="14">
        <f t="shared" ref="O140:O171" si="16">F140+J140</f>
        <v>50.95680981510597</v>
      </c>
      <c r="P140" s="14">
        <f t="shared" ref="P140:P171" si="17">G140+K140</f>
        <v>3.3341578275685682</v>
      </c>
      <c r="Q140" s="14">
        <f t="shared" ref="Q140:Q171" si="18">H140+L140</f>
        <v>0.48566079105590365</v>
      </c>
      <c r="R140" s="14">
        <f t="shared" ref="R140:R171" si="19">I140+M140</f>
        <v>3.844884756048618E-2</v>
      </c>
    </row>
    <row r="141" spans="1:18">
      <c r="A141" s="13" t="s">
        <v>602</v>
      </c>
      <c r="B141" s="13" t="s">
        <v>603</v>
      </c>
      <c r="C141" s="13" t="s">
        <v>549</v>
      </c>
      <c r="D141" s="14">
        <v>3.3583675518710159</v>
      </c>
      <c r="E141" s="14">
        <v>2.0855048498845057</v>
      </c>
      <c r="F141" s="14">
        <v>2.8677408684460359</v>
      </c>
      <c r="G141" s="14">
        <v>0.3041620948456748</v>
      </c>
      <c r="H141" s="14">
        <v>0.15604837909473748</v>
      </c>
      <c r="I141" s="14">
        <v>3.0416209484567476E-2</v>
      </c>
      <c r="J141" s="14">
        <v>1.8182163917381877</v>
      </c>
      <c r="K141" s="14">
        <v>0.16748547162816466</v>
      </c>
      <c r="L141" s="14">
        <v>8.7184218107811753E-2</v>
      </c>
      <c r="M141" s="14">
        <v>1.2618768410341173E-2</v>
      </c>
      <c r="N141" s="14">
        <v>5.443872401755522</v>
      </c>
      <c r="O141" s="14">
        <f t="shared" si="16"/>
        <v>4.6859572601842236</v>
      </c>
      <c r="P141" s="14">
        <f t="shared" si="17"/>
        <v>0.47164756647383943</v>
      </c>
      <c r="Q141" s="14">
        <f t="shared" si="18"/>
        <v>0.24323259720254925</v>
      </c>
      <c r="R141" s="14">
        <f t="shared" si="19"/>
        <v>4.3034977894908649E-2</v>
      </c>
    </row>
    <row r="142" spans="1:18">
      <c r="A142" s="13" t="s">
        <v>604</v>
      </c>
      <c r="B142" s="13" t="s">
        <v>605</v>
      </c>
      <c r="C142" s="13" t="s">
        <v>549</v>
      </c>
      <c r="D142" s="14">
        <v>26.143122675816649</v>
      </c>
      <c r="E142" s="14">
        <v>19.349645591093896</v>
      </c>
      <c r="F142" s="14">
        <v>22.09336850673337</v>
      </c>
      <c r="G142" s="14">
        <v>2.5185173677442019</v>
      </c>
      <c r="H142" s="14">
        <v>1.2796570426821243</v>
      </c>
      <c r="I142" s="14">
        <v>0.2515797586569532</v>
      </c>
      <c r="J142" s="14">
        <v>17.144593582354208</v>
      </c>
      <c r="K142" s="14">
        <v>1.385830330974513</v>
      </c>
      <c r="L142" s="14">
        <v>0.71416298998260663</v>
      </c>
      <c r="M142" s="14">
        <v>0.10505868778256529</v>
      </c>
      <c r="N142" s="14">
        <v>45.492768266910545</v>
      </c>
      <c r="O142" s="14">
        <f t="shared" si="16"/>
        <v>39.237962089087574</v>
      </c>
      <c r="P142" s="14">
        <f t="shared" si="17"/>
        <v>3.9043476987187149</v>
      </c>
      <c r="Q142" s="14">
        <f t="shared" si="18"/>
        <v>1.9938200326647308</v>
      </c>
      <c r="R142" s="14">
        <f t="shared" si="19"/>
        <v>0.35663844643951848</v>
      </c>
    </row>
    <row r="143" spans="1:18">
      <c r="A143" s="13" t="s">
        <v>606</v>
      </c>
      <c r="B143" s="13" t="s">
        <v>607</v>
      </c>
      <c r="C143" s="13" t="s">
        <v>549</v>
      </c>
      <c r="D143" s="14">
        <v>488.43640446538251</v>
      </c>
      <c r="E143" s="14">
        <v>355.84574718399779</v>
      </c>
      <c r="F143" s="14">
        <v>429.75724366420616</v>
      </c>
      <c r="G143" s="14">
        <v>23.607272640954079</v>
      </c>
      <c r="H143" s="14">
        <v>21.134780277559052</v>
      </c>
      <c r="I143" s="14">
        <v>13.937107882663211</v>
      </c>
      <c r="J143" s="14">
        <v>315.09092741126466</v>
      </c>
      <c r="K143" s="14">
        <v>16.841343721022966</v>
      </c>
      <c r="L143" s="14">
        <v>14.476377673684659</v>
      </c>
      <c r="M143" s="14">
        <v>9.4370983780255138</v>
      </c>
      <c r="N143" s="14">
        <v>844.28215164938035</v>
      </c>
      <c r="O143" s="14">
        <f t="shared" si="16"/>
        <v>744.84817107547087</v>
      </c>
      <c r="P143" s="14">
        <f t="shared" si="17"/>
        <v>40.448616361977045</v>
      </c>
      <c r="Q143" s="14">
        <f t="shared" si="18"/>
        <v>35.611157951243712</v>
      </c>
      <c r="R143" s="14">
        <f t="shared" si="19"/>
        <v>23.374206260688723</v>
      </c>
    </row>
    <row r="144" spans="1:18">
      <c r="A144" s="13" t="s">
        <v>608</v>
      </c>
      <c r="B144" s="13" t="s">
        <v>609</v>
      </c>
      <c r="C144" s="13" t="s">
        <v>549</v>
      </c>
      <c r="D144" s="14">
        <v>653.59875770174767</v>
      </c>
      <c r="E144" s="14">
        <v>601.14589843414581</v>
      </c>
      <c r="F144" s="14">
        <v>600.47733355768582</v>
      </c>
      <c r="G144" s="14">
        <v>32.977005845361035</v>
      </c>
      <c r="H144" s="14">
        <v>16.8337346409972</v>
      </c>
      <c r="I144" s="14">
        <v>3.3106836577035685</v>
      </c>
      <c r="J144" s="14">
        <v>572.21883997055477</v>
      </c>
      <c r="K144" s="14">
        <v>18.149206328405022</v>
      </c>
      <c r="L144" s="14">
        <v>9.3934821068904064</v>
      </c>
      <c r="M144" s="14">
        <v>1.3843700282956415</v>
      </c>
      <c r="N144" s="14">
        <v>1254.7446561358934</v>
      </c>
      <c r="O144" s="14">
        <f t="shared" si="16"/>
        <v>1172.6961735282407</v>
      </c>
      <c r="P144" s="14">
        <f t="shared" si="17"/>
        <v>51.126212173766056</v>
      </c>
      <c r="Q144" s="14">
        <f t="shared" si="18"/>
        <v>26.227216747887606</v>
      </c>
      <c r="R144" s="14">
        <f t="shared" si="19"/>
        <v>4.69505368599921</v>
      </c>
    </row>
    <row r="145" spans="1:18">
      <c r="A145" s="13" t="s">
        <v>610</v>
      </c>
      <c r="B145" s="13" t="s">
        <v>611</v>
      </c>
      <c r="C145" s="13" t="s">
        <v>549</v>
      </c>
      <c r="D145" s="14">
        <v>1375.1895962526899</v>
      </c>
      <c r="E145" s="14">
        <v>244.41063407449116</v>
      </c>
      <c r="F145" s="14">
        <v>1100.6993109295522</v>
      </c>
      <c r="G145" s="14">
        <v>113.47616241065033</v>
      </c>
      <c r="H145" s="14">
        <v>105.41190144340015</v>
      </c>
      <c r="I145" s="14">
        <v>55.602221469086935</v>
      </c>
      <c r="J145" s="14">
        <v>215.19869861256811</v>
      </c>
      <c r="K145" s="14">
        <v>5.9768520186380485</v>
      </c>
      <c r="L145" s="14">
        <v>15.907884495745881</v>
      </c>
      <c r="M145" s="14">
        <v>7.3271989475391148</v>
      </c>
      <c r="N145" s="14">
        <v>1619.600230327181</v>
      </c>
      <c r="O145" s="14">
        <f t="shared" si="16"/>
        <v>1315.8980095421202</v>
      </c>
      <c r="P145" s="14">
        <f t="shared" si="17"/>
        <v>119.45301442928837</v>
      </c>
      <c r="Q145" s="14">
        <f t="shared" si="18"/>
        <v>121.31978593914603</v>
      </c>
      <c r="R145" s="14">
        <f t="shared" si="19"/>
        <v>62.929420416626051</v>
      </c>
    </row>
    <row r="146" spans="1:18">
      <c r="A146" s="13" t="s">
        <v>612</v>
      </c>
      <c r="B146" s="13" t="s">
        <v>613</v>
      </c>
      <c r="C146" s="13" t="s">
        <v>549</v>
      </c>
      <c r="D146" s="14">
        <v>8.1694010494227793</v>
      </c>
      <c r="E146" s="14">
        <v>4.2522030031405409</v>
      </c>
      <c r="F146" s="14">
        <v>5.4665257230999602</v>
      </c>
      <c r="G146" s="14">
        <v>2.0680279939468069</v>
      </c>
      <c r="H146" s="14">
        <v>0.52259626333520659</v>
      </c>
      <c r="I146" s="14">
        <v>0.11225106904080641</v>
      </c>
      <c r="J146" s="14">
        <v>2.6409013464566926</v>
      </c>
      <c r="K146" s="14">
        <v>1.310830461673955</v>
      </c>
      <c r="L146" s="14">
        <v>0.26813571872571607</v>
      </c>
      <c r="M146" s="14">
        <v>3.233547628417726E-2</v>
      </c>
      <c r="N146" s="14">
        <v>12.421604052563321</v>
      </c>
      <c r="O146" s="14">
        <f t="shared" si="16"/>
        <v>8.1074270695566533</v>
      </c>
      <c r="P146" s="14">
        <f t="shared" si="17"/>
        <v>3.3788584556207617</v>
      </c>
      <c r="Q146" s="14">
        <f t="shared" si="18"/>
        <v>0.79073198206092266</v>
      </c>
      <c r="R146" s="14">
        <f t="shared" si="19"/>
        <v>0.14458654532498366</v>
      </c>
    </row>
    <row r="147" spans="1:18">
      <c r="A147" s="13" t="s">
        <v>614</v>
      </c>
      <c r="B147" s="13" t="s">
        <v>615</v>
      </c>
      <c r="C147" s="13" t="s">
        <v>549</v>
      </c>
      <c r="D147" s="14">
        <v>1861.6799273693307</v>
      </c>
      <c r="E147" s="14">
        <v>1420.8365899427326</v>
      </c>
      <c r="F147" s="14">
        <v>1787.9902959978317</v>
      </c>
      <c r="G147" s="14">
        <v>54.379317402673351</v>
      </c>
      <c r="H147" s="14">
        <v>14.726314321899077</v>
      </c>
      <c r="I147" s="14">
        <v>4.5839996469263875</v>
      </c>
      <c r="J147" s="14">
        <v>1345.7331287713996</v>
      </c>
      <c r="K147" s="14">
        <v>56.879227862102638</v>
      </c>
      <c r="L147" s="14">
        <v>15.126800058461892</v>
      </c>
      <c r="M147" s="14">
        <v>3.0974332507684306</v>
      </c>
      <c r="N147" s="14">
        <v>3282.5165173120631</v>
      </c>
      <c r="O147" s="14">
        <f t="shared" si="16"/>
        <v>3133.7234247692313</v>
      </c>
      <c r="P147" s="14">
        <f t="shared" si="17"/>
        <v>111.25854526477599</v>
      </c>
      <c r="Q147" s="14">
        <f t="shared" si="18"/>
        <v>29.853114380360971</v>
      </c>
      <c r="R147" s="14">
        <f t="shared" si="19"/>
        <v>7.6814328976948181</v>
      </c>
    </row>
    <row r="148" spans="1:18">
      <c r="A148" s="13" t="s">
        <v>616</v>
      </c>
      <c r="B148" s="13" t="s">
        <v>617</v>
      </c>
      <c r="C148" s="13" t="s">
        <v>549</v>
      </c>
      <c r="D148" s="14">
        <v>879.37800436061366</v>
      </c>
      <c r="E148" s="14">
        <v>873.70726698677686</v>
      </c>
      <c r="F148" s="14">
        <v>855.36865367345945</v>
      </c>
      <c r="G148" s="14">
        <v>17.592590248394401</v>
      </c>
      <c r="H148" s="14">
        <v>5.8582305199483908</v>
      </c>
      <c r="I148" s="14">
        <v>0.5585299188114764</v>
      </c>
      <c r="J148" s="14">
        <v>856.53921534114238</v>
      </c>
      <c r="K148" s="14">
        <v>11.621972112681258</v>
      </c>
      <c r="L148" s="14">
        <v>5.1716182737778702</v>
      </c>
      <c r="M148" s="14">
        <v>0.37446125917531542</v>
      </c>
      <c r="N148" s="14">
        <v>1753.0852713473905</v>
      </c>
      <c r="O148" s="14">
        <f t="shared" si="16"/>
        <v>1711.9078690146018</v>
      </c>
      <c r="P148" s="14">
        <f t="shared" si="17"/>
        <v>29.214562361075657</v>
      </c>
      <c r="Q148" s="14">
        <f t="shared" si="18"/>
        <v>11.029848793726261</v>
      </c>
      <c r="R148" s="14">
        <f t="shared" si="19"/>
        <v>0.93299117798679188</v>
      </c>
    </row>
    <row r="149" spans="1:18">
      <c r="A149" s="13" t="s">
        <v>618</v>
      </c>
      <c r="B149" t="s">
        <v>619</v>
      </c>
      <c r="C149" s="13" t="s">
        <v>549</v>
      </c>
      <c r="D149" s="14">
        <v>259.03775803365039</v>
      </c>
      <c r="E149" s="14">
        <v>236.12963723675514</v>
      </c>
      <c r="F149" s="14">
        <v>247.38836958379602</v>
      </c>
      <c r="G149" s="14">
        <v>5.0648268789833875</v>
      </c>
      <c r="H149" s="14">
        <v>4.9820024681896795</v>
      </c>
      <c r="I149" s="14">
        <v>1.6025591026813166</v>
      </c>
      <c r="J149" s="14">
        <v>229.20488187228048</v>
      </c>
      <c r="K149" s="14">
        <v>3.3079441907742169</v>
      </c>
      <c r="L149" s="14">
        <v>2.0471820726918044</v>
      </c>
      <c r="M149" s="14">
        <v>1.569629101008637</v>
      </c>
      <c r="N149" s="14">
        <v>495.16739527040551</v>
      </c>
      <c r="O149" s="14">
        <f t="shared" si="16"/>
        <v>476.59325145607647</v>
      </c>
      <c r="P149" s="14">
        <f t="shared" si="17"/>
        <v>8.3727710697576043</v>
      </c>
      <c r="Q149" s="14">
        <f t="shared" si="18"/>
        <v>7.0291845408814844</v>
      </c>
      <c r="R149" s="14">
        <f t="shared" si="19"/>
        <v>3.1721882036899536</v>
      </c>
    </row>
    <row r="150" spans="1:18">
      <c r="A150" s="13" t="s">
        <v>620</v>
      </c>
      <c r="B150" s="13" t="s">
        <v>621</v>
      </c>
      <c r="C150" s="13" t="s">
        <v>549</v>
      </c>
      <c r="D150" s="14">
        <v>175.15843844965437</v>
      </c>
      <c r="E150" s="14">
        <v>59.629998317875732</v>
      </c>
      <c r="F150" s="14">
        <v>130.11270886491309</v>
      </c>
      <c r="G150" s="14">
        <v>18.622241954254637</v>
      </c>
      <c r="H150" s="14">
        <v>17.298589072901862</v>
      </c>
      <c r="I150" s="14">
        <v>9.1248985575847712</v>
      </c>
      <c r="J150" s="14">
        <v>54.836700661952783</v>
      </c>
      <c r="K150" s="14">
        <v>0.98054836027976466</v>
      </c>
      <c r="L150" s="14">
        <v>2.610643275009827</v>
      </c>
      <c r="M150" s="14">
        <v>1.2021060206333594</v>
      </c>
      <c r="N150" s="14">
        <v>234.7884367675301</v>
      </c>
      <c r="O150" s="14">
        <f t="shared" si="16"/>
        <v>184.94940952686588</v>
      </c>
      <c r="P150" s="14">
        <f t="shared" si="17"/>
        <v>19.602790314534403</v>
      </c>
      <c r="Q150" s="14">
        <f t="shared" si="18"/>
        <v>19.90923234791169</v>
      </c>
      <c r="R150" s="14">
        <f t="shared" si="19"/>
        <v>10.32700457821813</v>
      </c>
    </row>
    <row r="151" spans="1:18">
      <c r="A151" s="13" t="s">
        <v>622</v>
      </c>
      <c r="B151" s="13" t="s">
        <v>623</v>
      </c>
      <c r="C151" s="13" t="s">
        <v>549</v>
      </c>
      <c r="D151" s="14">
        <v>7.460996775667236</v>
      </c>
      <c r="E151" s="14">
        <v>4.933970631560479</v>
      </c>
      <c r="F151" s="14">
        <v>6.4471178470025743</v>
      </c>
      <c r="G151" s="14">
        <v>0.62991669287656227</v>
      </c>
      <c r="H151" s="14">
        <v>0.32110720786549274</v>
      </c>
      <c r="I151" s="14">
        <v>6.2855027922607096E-2</v>
      </c>
      <c r="J151" s="14">
        <v>4.3824058840955376</v>
      </c>
      <c r="K151" s="14">
        <v>0.34635893819303859</v>
      </c>
      <c r="L151" s="14">
        <v>0.17911027283270148</v>
      </c>
      <c r="M151" s="14">
        <v>2.6095536439201542E-2</v>
      </c>
      <c r="N151" s="14">
        <v>12.394967407227716</v>
      </c>
      <c r="O151" s="14">
        <f t="shared" si="16"/>
        <v>10.829523731098112</v>
      </c>
      <c r="P151" s="14">
        <f t="shared" si="17"/>
        <v>0.9762756310696008</v>
      </c>
      <c r="Q151" s="14">
        <f t="shared" si="18"/>
        <v>0.50021748069819427</v>
      </c>
      <c r="R151" s="14">
        <f t="shared" si="19"/>
        <v>8.8950564361808634E-2</v>
      </c>
    </row>
    <row r="152" spans="1:18">
      <c r="A152" s="13" t="s">
        <v>624</v>
      </c>
      <c r="B152" s="13" t="s">
        <v>625</v>
      </c>
      <c r="C152" s="13" t="s">
        <v>549</v>
      </c>
      <c r="D152" s="14">
        <v>70.58487852449754</v>
      </c>
      <c r="E152" s="14">
        <v>39.260842512422947</v>
      </c>
      <c r="F152" s="14">
        <v>67.616277015978966</v>
      </c>
      <c r="G152" s="14">
        <v>2.2854395184677601</v>
      </c>
      <c r="H152" s="14">
        <v>0.68316199005081424</v>
      </c>
      <c r="I152" s="14">
        <v>0</v>
      </c>
      <c r="J152" s="14">
        <v>38.037002172416123</v>
      </c>
      <c r="K152" s="14">
        <v>0.87668252546250136</v>
      </c>
      <c r="L152" s="14">
        <v>0.34715781454432504</v>
      </c>
      <c r="M152" s="14">
        <v>0</v>
      </c>
      <c r="N152" s="14">
        <v>109.84572103692049</v>
      </c>
      <c r="O152" s="14">
        <f t="shared" si="16"/>
        <v>105.65327918839509</v>
      </c>
      <c r="P152" s="14">
        <f t="shared" si="17"/>
        <v>3.1621220439302613</v>
      </c>
      <c r="Q152" s="14">
        <f t="shared" si="18"/>
        <v>1.0303198045951394</v>
      </c>
      <c r="R152" s="14">
        <f t="shared" si="19"/>
        <v>0</v>
      </c>
    </row>
    <row r="153" spans="1:18">
      <c r="A153" s="13" t="s">
        <v>626</v>
      </c>
      <c r="B153" s="13" t="s">
        <v>627</v>
      </c>
      <c r="C153" s="13" t="s">
        <v>549</v>
      </c>
      <c r="D153" s="14">
        <v>41.280927997938974</v>
      </c>
      <c r="E153" s="14">
        <v>24.529140088749884</v>
      </c>
      <c r="F153" s="14">
        <v>31.280193036390763</v>
      </c>
      <c r="G153" s="14">
        <v>6.1673389191255934</v>
      </c>
      <c r="H153" s="14">
        <v>3.1417113948411641</v>
      </c>
      <c r="I153" s="14">
        <v>0.69168464758145543</v>
      </c>
      <c r="J153" s="14">
        <v>16.828335596510204</v>
      </c>
      <c r="K153" s="14">
        <v>4.848416590159129</v>
      </c>
      <c r="L153" s="14">
        <v>2.3950507561577816</v>
      </c>
      <c r="M153" s="14">
        <v>0.45733714592276653</v>
      </c>
      <c r="N153" s="14">
        <v>65.810068086688858</v>
      </c>
      <c r="O153" s="14">
        <f t="shared" si="16"/>
        <v>48.10852863290097</v>
      </c>
      <c r="P153" s="14">
        <f t="shared" si="17"/>
        <v>11.015755509284723</v>
      </c>
      <c r="Q153" s="14">
        <f t="shared" si="18"/>
        <v>5.5367621509989462</v>
      </c>
      <c r="R153" s="14">
        <f t="shared" si="19"/>
        <v>1.149021793504222</v>
      </c>
    </row>
    <row r="154" spans="1:18">
      <c r="A154" s="13" t="s">
        <v>628</v>
      </c>
      <c r="B154" t="s">
        <v>629</v>
      </c>
      <c r="C154" s="13" t="s">
        <v>549</v>
      </c>
      <c r="D154" s="14">
        <v>110.67752694997245</v>
      </c>
      <c r="E154" s="14">
        <v>127.30974833953708</v>
      </c>
      <c r="F154" s="14">
        <v>107.56313550180265</v>
      </c>
      <c r="G154" s="14">
        <v>1.3137898196849971</v>
      </c>
      <c r="H154" s="14">
        <v>1.5172014677082386</v>
      </c>
      <c r="I154" s="14">
        <v>0.28340016077656727</v>
      </c>
      <c r="J154" s="14">
        <v>123.74939715936799</v>
      </c>
      <c r="K154" s="14">
        <v>1.2509341984377886</v>
      </c>
      <c r="L154" s="14">
        <v>1.9118205474651504</v>
      </c>
      <c r="M154" s="14">
        <v>0.39759643426615149</v>
      </c>
      <c r="N154" s="14">
        <v>237.98727528950951</v>
      </c>
      <c r="O154" s="14">
        <f t="shared" si="16"/>
        <v>231.31253266117062</v>
      </c>
      <c r="P154" s="14">
        <f t="shared" si="17"/>
        <v>2.5647240181227859</v>
      </c>
      <c r="Q154" s="14">
        <f t="shared" si="18"/>
        <v>3.429022015173389</v>
      </c>
      <c r="R154" s="14">
        <f t="shared" si="19"/>
        <v>0.68099659504271881</v>
      </c>
    </row>
    <row r="155" spans="1:18">
      <c r="A155" s="13" t="s">
        <v>630</v>
      </c>
      <c r="B155" s="13" t="s">
        <v>631</v>
      </c>
      <c r="C155" s="13" t="s">
        <v>549</v>
      </c>
      <c r="D155" s="14">
        <v>11.170280816834135</v>
      </c>
      <c r="E155" s="14">
        <v>10.312557246254583</v>
      </c>
      <c r="F155" s="14">
        <v>9.6643611779637126</v>
      </c>
      <c r="G155" s="14">
        <v>1.3886243906166962</v>
      </c>
      <c r="H155" s="14">
        <v>0.11351153056812228</v>
      </c>
      <c r="I155" s="14">
        <v>3.7837176856040764E-3</v>
      </c>
      <c r="J155" s="14">
        <v>9.7336799067612976</v>
      </c>
      <c r="K155" s="14">
        <v>0.47224204011294385</v>
      </c>
      <c r="L155" s="14">
        <v>9.1401685183150422E-2</v>
      </c>
      <c r="M155" s="14">
        <v>1.5233614197191738E-2</v>
      </c>
      <c r="N155" s="14">
        <v>21.482838063088721</v>
      </c>
      <c r="O155" s="14">
        <f t="shared" si="16"/>
        <v>19.398041084725008</v>
      </c>
      <c r="P155" s="14">
        <f t="shared" si="17"/>
        <v>1.8608664307296401</v>
      </c>
      <c r="Q155" s="14">
        <f t="shared" si="18"/>
        <v>0.20491321575127269</v>
      </c>
      <c r="R155" s="14">
        <f t="shared" si="19"/>
        <v>1.9017331882795814E-2</v>
      </c>
    </row>
    <row r="156" spans="1:18">
      <c r="A156" s="13" t="s">
        <v>632</v>
      </c>
      <c r="B156" s="13" t="s">
        <v>633</v>
      </c>
      <c r="C156" s="13" t="s">
        <v>549</v>
      </c>
      <c r="D156" s="14">
        <v>924.87749135201818</v>
      </c>
      <c r="E156" s="14">
        <v>418.9513262998201</v>
      </c>
      <c r="F156" s="14">
        <v>900.67811599403603</v>
      </c>
      <c r="G156" s="14">
        <v>16.723616316759696</v>
      </c>
      <c r="H156" s="14">
        <v>7.4757590412223873</v>
      </c>
      <c r="I156" s="14">
        <v>0</v>
      </c>
      <c r="J156" s="14">
        <v>414.57805470141091</v>
      </c>
      <c r="K156" s="14">
        <v>3.3668694943380251</v>
      </c>
      <c r="L156" s="14">
        <v>1.0064021040711735</v>
      </c>
      <c r="M156" s="14">
        <v>0</v>
      </c>
      <c r="N156" s="14">
        <v>1343.8288176518383</v>
      </c>
      <c r="O156" s="14">
        <f t="shared" si="16"/>
        <v>1315.2561706954471</v>
      </c>
      <c r="P156" s="14">
        <f t="shared" si="17"/>
        <v>20.090485811097722</v>
      </c>
      <c r="Q156" s="14">
        <f t="shared" si="18"/>
        <v>8.4821611452935599</v>
      </c>
      <c r="R156" s="14">
        <f t="shared" si="19"/>
        <v>0</v>
      </c>
    </row>
    <row r="157" spans="1:18">
      <c r="A157" s="13" t="s">
        <v>634</v>
      </c>
      <c r="B157" s="13" t="s">
        <v>635</v>
      </c>
      <c r="C157" s="13" t="s">
        <v>549</v>
      </c>
      <c r="D157" s="14">
        <v>2248.5687297428517</v>
      </c>
      <c r="E157" s="14">
        <v>1720.3647108454982</v>
      </c>
      <c r="F157" s="14">
        <v>1983.7886128034397</v>
      </c>
      <c r="G157" s="14">
        <v>227.3215855735732</v>
      </c>
      <c r="H157" s="14">
        <v>30.992649088103551</v>
      </c>
      <c r="I157" s="14">
        <v>6.4658822777353162</v>
      </c>
      <c r="J157" s="14">
        <v>1367.7029610262639</v>
      </c>
      <c r="K157" s="14">
        <v>306.8586999480774</v>
      </c>
      <c r="L157" s="14">
        <v>39.177627840199605</v>
      </c>
      <c r="M157" s="14">
        <v>6.6254220309571625</v>
      </c>
      <c r="N157" s="14">
        <v>3968.9334405883496</v>
      </c>
      <c r="O157" s="14">
        <f t="shared" si="16"/>
        <v>3351.4915738297036</v>
      </c>
      <c r="P157" s="14">
        <f t="shared" si="17"/>
        <v>534.1802855216506</v>
      </c>
      <c r="Q157" s="14">
        <f t="shared" si="18"/>
        <v>70.170276928303153</v>
      </c>
      <c r="R157" s="14">
        <f t="shared" si="19"/>
        <v>13.091304308692479</v>
      </c>
    </row>
    <row r="158" spans="1:18">
      <c r="A158" s="13" t="s">
        <v>636</v>
      </c>
      <c r="B158" s="13" t="s">
        <v>637</v>
      </c>
      <c r="C158" s="13" t="s">
        <v>549</v>
      </c>
      <c r="D158" s="14">
        <v>159.23784885854869</v>
      </c>
      <c r="E158" s="14">
        <v>80.983055309883724</v>
      </c>
      <c r="F158" s="14">
        <v>143.78055836324239</v>
      </c>
      <c r="G158" s="14">
        <v>3.3701761717718961</v>
      </c>
      <c r="H158" s="14">
        <v>9.2378610125491836</v>
      </c>
      <c r="I158" s="14">
        <v>2.8492533109851963</v>
      </c>
      <c r="J158" s="14">
        <v>72.298954410083311</v>
      </c>
      <c r="K158" s="14">
        <v>1.4820073371381177</v>
      </c>
      <c r="L158" s="14">
        <v>6.3472162791015601</v>
      </c>
      <c r="M158" s="14">
        <v>0.85487728356074066</v>
      </c>
      <c r="N158" s="14">
        <v>240.22090416843244</v>
      </c>
      <c r="O158" s="14">
        <f t="shared" si="16"/>
        <v>216.07951277332569</v>
      </c>
      <c r="P158" s="14">
        <f t="shared" si="17"/>
        <v>4.8521835089100138</v>
      </c>
      <c r="Q158" s="14">
        <f t="shared" si="18"/>
        <v>15.585077291650745</v>
      </c>
      <c r="R158" s="14">
        <f t="shared" si="19"/>
        <v>3.7041305945459371</v>
      </c>
    </row>
    <row r="159" spans="1:18">
      <c r="A159" s="13" t="s">
        <v>638</v>
      </c>
      <c r="B159" s="13" t="s">
        <v>639</v>
      </c>
      <c r="C159" s="13" t="s">
        <v>549</v>
      </c>
      <c r="D159" s="14">
        <v>34.57525734766903</v>
      </c>
      <c r="E159" s="14">
        <v>16.470347050832974</v>
      </c>
      <c r="F159" s="14">
        <v>32.278315161402013</v>
      </c>
      <c r="G159" s="14">
        <v>1.7075648770808707</v>
      </c>
      <c r="H159" s="14">
        <v>0.44973502143118976</v>
      </c>
      <c r="I159" s="14">
        <v>0.13964228775495843</v>
      </c>
      <c r="J159" s="14">
        <v>15.749140576089525</v>
      </c>
      <c r="K159" s="14">
        <v>0.36801612609652734</v>
      </c>
      <c r="L159" s="14">
        <v>0.29652967624033388</v>
      </c>
      <c r="M159" s="14">
        <v>5.6660672406589473E-2</v>
      </c>
      <c r="N159" s="14">
        <v>51.045604398502</v>
      </c>
      <c r="O159" s="14">
        <f t="shared" si="16"/>
        <v>48.027455737491536</v>
      </c>
      <c r="P159" s="14">
        <f t="shared" si="17"/>
        <v>2.075581003177398</v>
      </c>
      <c r="Q159" s="14">
        <f t="shared" si="18"/>
        <v>0.7462646976715237</v>
      </c>
      <c r="R159" s="14">
        <f t="shared" si="19"/>
        <v>0.19630296016154791</v>
      </c>
    </row>
    <row r="160" spans="1:18">
      <c r="A160" s="13" t="s">
        <v>640</v>
      </c>
      <c r="B160" s="13" t="s">
        <v>641</v>
      </c>
      <c r="C160" s="13" t="s">
        <v>549</v>
      </c>
      <c r="D160" s="14">
        <v>882.68482977093583</v>
      </c>
      <c r="E160" s="14">
        <v>701.82297733720759</v>
      </c>
      <c r="F160" s="14">
        <v>844.94947691352138</v>
      </c>
      <c r="G160" s="14">
        <v>37.735352857414412</v>
      </c>
      <c r="H160" s="14">
        <v>0</v>
      </c>
      <c r="I160" s="14">
        <v>0</v>
      </c>
      <c r="J160" s="14">
        <v>665.14828060625587</v>
      </c>
      <c r="K160" s="14">
        <v>36.674696730951773</v>
      </c>
      <c r="L160" s="14">
        <v>0</v>
      </c>
      <c r="M160" s="14">
        <v>0</v>
      </c>
      <c r="N160" s="14">
        <v>1584.5078071081434</v>
      </c>
      <c r="O160" s="14">
        <f t="shared" si="16"/>
        <v>1510.0977575197771</v>
      </c>
      <c r="P160" s="14">
        <f t="shared" si="17"/>
        <v>74.410049588366178</v>
      </c>
      <c r="Q160" s="14">
        <f t="shared" si="18"/>
        <v>0</v>
      </c>
      <c r="R160" s="14">
        <f t="shared" si="19"/>
        <v>0</v>
      </c>
    </row>
    <row r="161" spans="1:18">
      <c r="A161" s="13" t="s">
        <v>642</v>
      </c>
      <c r="B161" s="13" t="s">
        <v>643</v>
      </c>
      <c r="C161" s="13" t="s">
        <v>549</v>
      </c>
      <c r="D161" s="14">
        <v>53.411954780865727</v>
      </c>
      <c r="E161" s="14">
        <v>52.918783806752323</v>
      </c>
      <c r="F161" s="14">
        <v>45.188128435853457</v>
      </c>
      <c r="G161" s="14">
        <v>1.5547870670189923</v>
      </c>
      <c r="H161" s="14">
        <v>5.3386311025703161</v>
      </c>
      <c r="I161" s="14">
        <v>1.3304081754229571</v>
      </c>
      <c r="J161" s="14">
        <v>45.98804032357404</v>
      </c>
      <c r="K161" s="14">
        <v>1.9488031423500582</v>
      </c>
      <c r="L161" s="14">
        <v>4.3298408278110916</v>
      </c>
      <c r="M161" s="14">
        <v>0.65209951301713487</v>
      </c>
      <c r="N161" s="14">
        <v>106.33073858761806</v>
      </c>
      <c r="O161" s="14">
        <f t="shared" si="16"/>
        <v>91.176168759427497</v>
      </c>
      <c r="P161" s="14">
        <f t="shared" si="17"/>
        <v>3.5035902093690505</v>
      </c>
      <c r="Q161" s="14">
        <f t="shared" si="18"/>
        <v>9.6684719303814077</v>
      </c>
      <c r="R161" s="14">
        <f t="shared" si="19"/>
        <v>1.9825076884400921</v>
      </c>
    </row>
    <row r="162" spans="1:18">
      <c r="A162" s="13" t="s">
        <v>644</v>
      </c>
      <c r="B162" s="13" t="s">
        <v>645</v>
      </c>
      <c r="C162" s="13" t="s">
        <v>549</v>
      </c>
      <c r="D162" s="14">
        <v>1159.5900727674782</v>
      </c>
      <c r="E162" s="14">
        <v>1009.3352906928419</v>
      </c>
      <c r="F162" s="14">
        <v>1134.4679917411613</v>
      </c>
      <c r="G162" s="14">
        <v>20.854722506142476</v>
      </c>
      <c r="H162" s="14">
        <v>3.7437840221978731</v>
      </c>
      <c r="I162" s="14">
        <v>0.52357449797664335</v>
      </c>
      <c r="J162" s="14">
        <v>998.64883631900454</v>
      </c>
      <c r="K162" s="14">
        <v>7.6420324548419183</v>
      </c>
      <c r="L162" s="14">
        <v>3.0444219189954951</v>
      </c>
      <c r="M162" s="14">
        <v>0</v>
      </c>
      <c r="N162" s="14">
        <v>2168.9253634603201</v>
      </c>
      <c r="O162" s="14">
        <f t="shared" si="16"/>
        <v>2133.116828060166</v>
      </c>
      <c r="P162" s="14">
        <f t="shared" si="17"/>
        <v>28.496754960984394</v>
      </c>
      <c r="Q162" s="14">
        <f t="shared" si="18"/>
        <v>6.7882059411933682</v>
      </c>
      <c r="R162" s="14">
        <f t="shared" si="19"/>
        <v>0.52357449797664335</v>
      </c>
    </row>
    <row r="163" spans="1:18">
      <c r="A163" s="13" t="s">
        <v>646</v>
      </c>
      <c r="B163" s="13" t="s">
        <v>647</v>
      </c>
      <c r="C163" s="13" t="s">
        <v>549</v>
      </c>
      <c r="D163" s="14">
        <v>309.9305481760191</v>
      </c>
      <c r="E163" s="14">
        <v>266.40907914003714</v>
      </c>
      <c r="F163" s="14">
        <v>276.8210375975782</v>
      </c>
      <c r="G163" s="14">
        <v>16.19172953069711</v>
      </c>
      <c r="H163" s="14">
        <v>14.180124431496072</v>
      </c>
      <c r="I163" s="14">
        <v>2.7376566162477274</v>
      </c>
      <c r="J163" s="14">
        <v>237.40181625995567</v>
      </c>
      <c r="K163" s="14">
        <v>17.015378266741752</v>
      </c>
      <c r="L163" s="14">
        <v>10.325960369084326</v>
      </c>
      <c r="M163" s="14">
        <v>1.6659242442554132</v>
      </c>
      <c r="N163" s="14">
        <v>576.33962731605629</v>
      </c>
      <c r="O163" s="14">
        <f t="shared" si="16"/>
        <v>514.22285385753389</v>
      </c>
      <c r="P163" s="14">
        <f t="shared" si="17"/>
        <v>33.207107797438866</v>
      </c>
      <c r="Q163" s="14">
        <f t="shared" si="18"/>
        <v>24.506084800580396</v>
      </c>
      <c r="R163" s="14">
        <f t="shared" si="19"/>
        <v>4.4035808605031406</v>
      </c>
    </row>
    <row r="164" spans="1:18">
      <c r="A164" s="13" t="s">
        <v>107</v>
      </c>
      <c r="B164" s="13" t="s">
        <v>648</v>
      </c>
      <c r="C164" s="13" t="s">
        <v>549</v>
      </c>
      <c r="D164" s="14">
        <v>698.2389769803259</v>
      </c>
      <c r="E164" s="14">
        <v>444.39177807441678</v>
      </c>
      <c r="F164" s="14">
        <v>607.78894126567286</v>
      </c>
      <c r="G164" s="14">
        <v>70.332810195934925</v>
      </c>
      <c r="H164" s="14">
        <v>16.307075873577965</v>
      </c>
      <c r="I164" s="14">
        <v>3.8101496451400716</v>
      </c>
      <c r="J164" s="14">
        <v>337.23666221074632</v>
      </c>
      <c r="K164" s="14">
        <v>80.103579140497231</v>
      </c>
      <c r="L164" s="14">
        <v>21.971553416231352</v>
      </c>
      <c r="M164" s="14">
        <v>5.0799833069418732</v>
      </c>
      <c r="N164" s="14">
        <v>1142.6307550547426</v>
      </c>
      <c r="O164" s="14">
        <f t="shared" si="16"/>
        <v>945.02560347641918</v>
      </c>
      <c r="P164" s="14">
        <f t="shared" si="17"/>
        <v>150.43638933643217</v>
      </c>
      <c r="Q164" s="14">
        <f t="shared" si="18"/>
        <v>38.278629289809317</v>
      </c>
      <c r="R164" s="14">
        <f t="shared" si="19"/>
        <v>8.8901329520819452</v>
      </c>
    </row>
    <row r="165" spans="1:18">
      <c r="A165" s="13" t="s">
        <v>649</v>
      </c>
      <c r="B165" s="13" t="s">
        <v>650</v>
      </c>
      <c r="C165" s="13" t="s">
        <v>549</v>
      </c>
      <c r="D165" s="14">
        <v>59.489626307607978</v>
      </c>
      <c r="E165" s="14">
        <v>31.637467312048198</v>
      </c>
      <c r="F165" s="14">
        <v>39.447958460257169</v>
      </c>
      <c r="G165" s="14">
        <v>10.86749605269824</v>
      </c>
      <c r="H165" s="14">
        <v>8.5951796191678227</v>
      </c>
      <c r="I165" s="14">
        <v>0.57899217548473947</v>
      </c>
      <c r="J165" s="14">
        <v>20.067577479484015</v>
      </c>
      <c r="K165" s="14">
        <v>6.9511372797512117</v>
      </c>
      <c r="L165" s="14">
        <v>4.4496792196919763</v>
      </c>
      <c r="M165" s="14">
        <v>0.16907333312099421</v>
      </c>
      <c r="N165" s="14">
        <v>91.127093619656165</v>
      </c>
      <c r="O165" s="14">
        <f t="shared" si="16"/>
        <v>59.515535939741184</v>
      </c>
      <c r="P165" s="14">
        <f t="shared" si="17"/>
        <v>17.818633332449451</v>
      </c>
      <c r="Q165" s="14">
        <f t="shared" si="18"/>
        <v>13.044858838859799</v>
      </c>
      <c r="R165" s="14">
        <f t="shared" si="19"/>
        <v>0.74806550860573373</v>
      </c>
    </row>
    <row r="166" spans="1:18">
      <c r="A166" s="13" t="s">
        <v>651</v>
      </c>
      <c r="B166" s="13" t="s">
        <v>652</v>
      </c>
      <c r="C166" s="13" t="s">
        <v>549</v>
      </c>
      <c r="D166" s="14">
        <v>530.10869920348182</v>
      </c>
      <c r="E166" s="14">
        <v>505.48554516565122</v>
      </c>
      <c r="F166" s="14">
        <v>484.93515057209186</v>
      </c>
      <c r="G166" s="14">
        <v>34.10247224436629</v>
      </c>
      <c r="H166" s="14">
        <v>10.713039040328614</v>
      </c>
      <c r="I166" s="14">
        <v>0.35803734669512399</v>
      </c>
      <c r="J166" s="14">
        <v>446.24949296280545</v>
      </c>
      <c r="K166" s="14">
        <v>45.492488223860718</v>
      </c>
      <c r="L166" s="14">
        <v>13.381123825553175</v>
      </c>
      <c r="M166" s="14">
        <v>0.36244015343185743</v>
      </c>
      <c r="N166" s="14">
        <v>1035.5942443691331</v>
      </c>
      <c r="O166" s="14">
        <f t="shared" si="16"/>
        <v>931.1846435348973</v>
      </c>
      <c r="P166" s="14">
        <f t="shared" si="17"/>
        <v>79.594960468227015</v>
      </c>
      <c r="Q166" s="14">
        <f t="shared" si="18"/>
        <v>24.094162865881788</v>
      </c>
      <c r="R166" s="14">
        <f t="shared" si="19"/>
        <v>0.72047750012698142</v>
      </c>
    </row>
    <row r="167" spans="1:18">
      <c r="A167" s="13" t="s">
        <v>653</v>
      </c>
      <c r="B167" s="13" t="s">
        <v>654</v>
      </c>
      <c r="C167" s="13" t="s">
        <v>549</v>
      </c>
      <c r="D167" s="14">
        <v>415.49579457199656</v>
      </c>
      <c r="E167" s="14">
        <v>337.50695050665723</v>
      </c>
      <c r="F167" s="14">
        <v>373.64839812062814</v>
      </c>
      <c r="G167" s="14">
        <v>35.154745177429376</v>
      </c>
      <c r="H167" s="14">
        <v>5.6416557904767943</v>
      </c>
      <c r="I167" s="14">
        <v>1.050995483462219</v>
      </c>
      <c r="J167" s="14">
        <v>299.92659830933923</v>
      </c>
      <c r="K167" s="14">
        <v>32.480228221876786</v>
      </c>
      <c r="L167" s="14">
        <v>4.3805366238117491</v>
      </c>
      <c r="M167" s="14">
        <v>0.71958735162952725</v>
      </c>
      <c r="N167" s="14">
        <v>753.0027450786539</v>
      </c>
      <c r="O167" s="14">
        <f t="shared" si="16"/>
        <v>673.57499642996731</v>
      </c>
      <c r="P167" s="14">
        <f t="shared" si="17"/>
        <v>67.634973399306162</v>
      </c>
      <c r="Q167" s="14">
        <f t="shared" si="18"/>
        <v>10.022192414288543</v>
      </c>
      <c r="R167" s="14">
        <f t="shared" si="19"/>
        <v>1.7705828350917463</v>
      </c>
    </row>
    <row r="168" spans="1:18">
      <c r="A168" s="13" t="s">
        <v>655</v>
      </c>
      <c r="B168" t="s">
        <v>656</v>
      </c>
      <c r="C168" s="13" t="s">
        <v>549</v>
      </c>
      <c r="D168" s="14">
        <v>123.00647350699997</v>
      </c>
      <c r="E168" s="14">
        <v>34.063577400543586</v>
      </c>
      <c r="F168" s="14">
        <v>88.143304165636664</v>
      </c>
      <c r="G168" s="14">
        <v>14.413281516381439</v>
      </c>
      <c r="H168" s="14">
        <v>13.387894182811928</v>
      </c>
      <c r="I168" s="14">
        <v>7.0619936421699432</v>
      </c>
      <c r="J168" s="14">
        <v>30.353309498948395</v>
      </c>
      <c r="K168" s="14">
        <v>0.75891843441719886</v>
      </c>
      <c r="L168" s="14">
        <v>2.0205803042922046</v>
      </c>
      <c r="M168" s="14">
        <v>0.93076916288579115</v>
      </c>
      <c r="N168" s="14">
        <v>157.07005090754356</v>
      </c>
      <c r="O168" s="14">
        <f t="shared" si="16"/>
        <v>118.49661366458506</v>
      </c>
      <c r="P168" s="14">
        <f t="shared" si="17"/>
        <v>15.172199950798637</v>
      </c>
      <c r="Q168" s="14">
        <f t="shared" si="18"/>
        <v>15.408474487104133</v>
      </c>
      <c r="R168" s="14">
        <f t="shared" si="19"/>
        <v>7.992762805055734</v>
      </c>
    </row>
    <row r="169" spans="1:18">
      <c r="A169" s="13" t="s">
        <v>657</v>
      </c>
      <c r="B169" s="13" t="s">
        <v>658</v>
      </c>
      <c r="C169" s="13" t="s">
        <v>549</v>
      </c>
      <c r="D169" s="14">
        <v>96.990675598901888</v>
      </c>
      <c r="E169" s="14">
        <v>86.701313195584959</v>
      </c>
      <c r="F169" s="14">
        <v>69.366831300827997</v>
      </c>
      <c r="G169" s="14">
        <v>23.844456962187696</v>
      </c>
      <c r="H169" s="14">
        <v>3.6578015135952242</v>
      </c>
      <c r="I169" s="14">
        <v>0.12158582229098758</v>
      </c>
      <c r="J169" s="14">
        <v>52.340044177501532</v>
      </c>
      <c r="K169" s="14">
        <v>29.944697526400933</v>
      </c>
      <c r="L169" s="14">
        <v>4.3003960449413796</v>
      </c>
      <c r="M169" s="14">
        <v>0.11617544674110901</v>
      </c>
      <c r="N169" s="14">
        <v>183.69198879448683</v>
      </c>
      <c r="O169" s="14">
        <f t="shared" si="16"/>
        <v>121.70687547832952</v>
      </c>
      <c r="P169" s="14">
        <f t="shared" si="17"/>
        <v>53.789154488588629</v>
      </c>
      <c r="Q169" s="14">
        <f t="shared" si="18"/>
        <v>7.9581975585366038</v>
      </c>
      <c r="R169" s="14">
        <f t="shared" si="19"/>
        <v>0.2377612690320966</v>
      </c>
    </row>
    <row r="170" spans="1:18">
      <c r="A170" s="13" t="s">
        <v>659</v>
      </c>
      <c r="B170" s="13" t="s">
        <v>660</v>
      </c>
      <c r="C170" s="13" t="s">
        <v>549</v>
      </c>
      <c r="D170" s="14">
        <v>32.119061898156708</v>
      </c>
      <c r="E170" s="14">
        <v>32.17435213277615</v>
      </c>
      <c r="F170" s="14">
        <v>28.627187251195192</v>
      </c>
      <c r="G170" s="14">
        <v>2.6356827189457674</v>
      </c>
      <c r="H170" s="14">
        <v>0.82842354116118067</v>
      </c>
      <c r="I170" s="14">
        <v>2.7768386854564713E-2</v>
      </c>
      <c r="J170" s="14">
        <v>27.596920040120075</v>
      </c>
      <c r="K170" s="14">
        <v>3.5144460621382843</v>
      </c>
      <c r="L170" s="14">
        <v>1.0341453242634342</v>
      </c>
      <c r="M170" s="14">
        <v>2.8840706254358722E-2</v>
      </c>
      <c r="N170" s="14">
        <v>64.293414030932851</v>
      </c>
      <c r="O170" s="14">
        <f t="shared" si="16"/>
        <v>56.224107291315264</v>
      </c>
      <c r="P170" s="14">
        <f t="shared" si="17"/>
        <v>6.1501287810840513</v>
      </c>
      <c r="Q170" s="14">
        <f t="shared" si="18"/>
        <v>1.8625688654246149</v>
      </c>
      <c r="R170" s="14">
        <f t="shared" si="19"/>
        <v>5.6609093108923439E-2</v>
      </c>
    </row>
    <row r="171" spans="1:18">
      <c r="A171" s="13" t="s">
        <v>661</v>
      </c>
      <c r="B171" s="13" t="s">
        <v>662</v>
      </c>
      <c r="C171" s="13" t="s">
        <v>549</v>
      </c>
      <c r="D171" s="14">
        <v>9.0909851193010525</v>
      </c>
      <c r="E171" s="14">
        <v>7.8882956047460047</v>
      </c>
      <c r="F171" s="14">
        <v>8.2413349946366719</v>
      </c>
      <c r="G171" s="14">
        <v>0.1632222607907888</v>
      </c>
      <c r="H171" s="14">
        <v>0.51761579963106308</v>
      </c>
      <c r="I171" s="14">
        <v>0.16881206424252815</v>
      </c>
      <c r="J171" s="14">
        <v>7.2776110122531303</v>
      </c>
      <c r="K171" s="14">
        <v>0.16267144166840752</v>
      </c>
      <c r="L171" s="14">
        <v>0.40267848675294327</v>
      </c>
      <c r="M171" s="14">
        <v>4.5334664071523409E-2</v>
      </c>
      <c r="N171" s="14">
        <v>16.979280724047058</v>
      </c>
      <c r="O171" s="14">
        <f t="shared" si="16"/>
        <v>15.518946006889802</v>
      </c>
      <c r="P171" s="14">
        <f t="shared" si="17"/>
        <v>0.32589370245919635</v>
      </c>
      <c r="Q171" s="14">
        <f t="shared" si="18"/>
        <v>0.92029428638400634</v>
      </c>
      <c r="R171" s="14">
        <f t="shared" si="19"/>
        <v>0.21414672831405157</v>
      </c>
    </row>
    <row r="172" spans="1:18">
      <c r="A172" s="13" t="s">
        <v>663</v>
      </c>
      <c r="B172" s="13" t="s">
        <v>664</v>
      </c>
      <c r="C172" s="13" t="s">
        <v>549</v>
      </c>
      <c r="D172" s="14">
        <v>14.650401507140176</v>
      </c>
      <c r="E172" s="14">
        <v>10.215610533722863</v>
      </c>
      <c r="F172" s="14">
        <v>12.083987398925116</v>
      </c>
      <c r="G172" s="14">
        <v>1.5929466878576226</v>
      </c>
      <c r="H172" s="14">
        <v>0.81306653859399491</v>
      </c>
      <c r="I172" s="14">
        <v>0.16040088176344114</v>
      </c>
      <c r="J172" s="14">
        <v>8.818449034309106</v>
      </c>
      <c r="K172" s="14">
        <v>0.87622671354986492</v>
      </c>
      <c r="L172" s="14">
        <v>0.45371739413951911</v>
      </c>
      <c r="M172" s="14">
        <v>6.7217391724373202E-2</v>
      </c>
      <c r="N172" s="14">
        <v>24.866012040863041</v>
      </c>
      <c r="O172" s="14">
        <f t="shared" ref="O172:O180" si="20">F172+J172</f>
        <v>20.902436433234222</v>
      </c>
      <c r="P172" s="14">
        <f t="shared" ref="P172:P180" si="21">G172+K172</f>
        <v>2.4691734014074873</v>
      </c>
      <c r="Q172" s="14">
        <f t="shared" ref="Q172:Q180" si="22">H172+L172</f>
        <v>1.266783932733514</v>
      </c>
      <c r="R172" s="14">
        <f t="shared" ref="R172:R180" si="23">I172+M172</f>
        <v>0.22761827348781433</v>
      </c>
    </row>
    <row r="173" spans="1:18">
      <c r="A173" s="13" t="s">
        <v>665</v>
      </c>
      <c r="B173" t="s">
        <v>666</v>
      </c>
      <c r="C173" s="13" t="s">
        <v>549</v>
      </c>
      <c r="D173" s="14">
        <v>22.471058819423</v>
      </c>
      <c r="E173" s="14">
        <v>19.16789540828961</v>
      </c>
      <c r="F173" s="14">
        <v>18.041347058847556</v>
      </c>
      <c r="G173" s="14">
        <v>0.9403142654217912</v>
      </c>
      <c r="H173" s="14">
        <v>2.605587374932945</v>
      </c>
      <c r="I173" s="14">
        <v>0.88381012022070848</v>
      </c>
      <c r="J173" s="14">
        <v>15.273205731939223</v>
      </c>
      <c r="K173" s="14">
        <v>0.82483801196918927</v>
      </c>
      <c r="L173" s="14">
        <v>2.6653856419830833</v>
      </c>
      <c r="M173" s="14">
        <v>0.40446602239811486</v>
      </c>
      <c r="N173" s="14">
        <v>41.638954227712617</v>
      </c>
      <c r="O173" s="14">
        <f t="shared" si="20"/>
        <v>33.314552790786777</v>
      </c>
      <c r="P173" s="14">
        <f t="shared" si="21"/>
        <v>1.7651522773909805</v>
      </c>
      <c r="Q173" s="14">
        <f t="shared" si="22"/>
        <v>5.2709730169160283</v>
      </c>
      <c r="R173" s="14">
        <f t="shared" si="23"/>
        <v>1.2882761426188234</v>
      </c>
    </row>
    <row r="174" spans="1:18">
      <c r="A174" s="13" t="s">
        <v>667</v>
      </c>
      <c r="B174" t="s">
        <v>668</v>
      </c>
      <c r="C174" s="13" t="s">
        <v>549</v>
      </c>
      <c r="D174" s="14">
        <v>876.02070474844379</v>
      </c>
      <c r="E174" s="14">
        <v>771.73830906526132</v>
      </c>
      <c r="F174" s="14">
        <v>799.13078247510839</v>
      </c>
      <c r="G174" s="14">
        <v>31.786636363114976</v>
      </c>
      <c r="H174" s="14">
        <v>29.527771845568168</v>
      </c>
      <c r="I174" s="14">
        <v>15.575514064652173</v>
      </c>
      <c r="J174" s="14">
        <v>762.52560571052572</v>
      </c>
      <c r="K174" s="14">
        <v>1.8849454801016521</v>
      </c>
      <c r="L174" s="14">
        <v>5.0166957757108719</v>
      </c>
      <c r="M174" s="14">
        <v>2.3110620989229855</v>
      </c>
      <c r="N174" s="14">
        <v>1647.7590138137048</v>
      </c>
      <c r="O174" s="14">
        <f t="shared" si="20"/>
        <v>1561.6563881856341</v>
      </c>
      <c r="P174" s="14">
        <f t="shared" si="21"/>
        <v>33.671581843216629</v>
      </c>
      <c r="Q174" s="14">
        <f t="shared" si="22"/>
        <v>34.54446762127904</v>
      </c>
      <c r="R174" s="14">
        <f t="shared" si="23"/>
        <v>17.88657616357516</v>
      </c>
    </row>
    <row r="175" spans="1:18">
      <c r="A175" s="13" t="s">
        <v>669</v>
      </c>
      <c r="B175" s="13" t="s">
        <v>670</v>
      </c>
      <c r="C175" s="13" t="s">
        <v>549</v>
      </c>
      <c r="D175" s="14">
        <v>829.31794861351648</v>
      </c>
      <c r="E175" s="14">
        <v>529.95836127750817</v>
      </c>
      <c r="F175" s="14">
        <v>806.65013545105057</v>
      </c>
      <c r="G175" s="14">
        <v>15.665189884499769</v>
      </c>
      <c r="H175" s="14">
        <v>7.0026232779660704</v>
      </c>
      <c r="I175" s="14">
        <v>0</v>
      </c>
      <c r="J175" s="14">
        <v>522.30546615499725</v>
      </c>
      <c r="K175" s="14">
        <v>5.8917674220651968</v>
      </c>
      <c r="L175" s="14">
        <v>1.7611277004457313</v>
      </c>
      <c r="M175" s="14">
        <v>0</v>
      </c>
      <c r="N175" s="14">
        <v>1359.2763098910245</v>
      </c>
      <c r="O175" s="14">
        <f t="shared" si="20"/>
        <v>1328.9556016060478</v>
      </c>
      <c r="P175" s="14">
        <f t="shared" si="21"/>
        <v>21.556957306564968</v>
      </c>
      <c r="Q175" s="14">
        <f t="shared" si="22"/>
        <v>8.7637509784118013</v>
      </c>
      <c r="R175" s="14">
        <f t="shared" si="23"/>
        <v>0</v>
      </c>
    </row>
    <row r="176" spans="1:18">
      <c r="A176" s="13" t="s">
        <v>671</v>
      </c>
      <c r="B176" t="s">
        <v>672</v>
      </c>
      <c r="C176" s="13" t="s">
        <v>549</v>
      </c>
      <c r="D176" s="14">
        <v>39.926262951887537</v>
      </c>
      <c r="E176" s="14">
        <v>40.447889321387642</v>
      </c>
      <c r="F176" s="14">
        <v>30.878477558216286</v>
      </c>
      <c r="G176" s="14">
        <v>4.3616433807043906</v>
      </c>
      <c r="H176" s="14">
        <v>4.3998196903823281</v>
      </c>
      <c r="I176" s="14">
        <v>0.28632232258453327</v>
      </c>
      <c r="J176" s="14">
        <v>28.632345482140188</v>
      </c>
      <c r="K176" s="14">
        <v>4.6113683614146908</v>
      </c>
      <c r="L176" s="14">
        <v>6.9083518471004988</v>
      </c>
      <c r="M176" s="14">
        <v>0.29582363073226314</v>
      </c>
      <c r="N176" s="14">
        <v>80.374152273275172</v>
      </c>
      <c r="O176" s="14">
        <f t="shared" si="20"/>
        <v>59.51082304035647</v>
      </c>
      <c r="P176" s="14">
        <f t="shared" si="21"/>
        <v>8.9730117421190805</v>
      </c>
      <c r="Q176" s="14">
        <f t="shared" si="22"/>
        <v>11.308171537482828</v>
      </c>
      <c r="R176" s="14">
        <f t="shared" si="23"/>
        <v>0.58214595331679642</v>
      </c>
    </row>
    <row r="177" spans="1:18">
      <c r="A177" s="13" t="s">
        <v>673</v>
      </c>
      <c r="B177" s="13" t="s">
        <v>674</v>
      </c>
      <c r="C177" s="13" t="s">
        <v>549</v>
      </c>
      <c r="D177" s="14">
        <v>4.5556790856557408</v>
      </c>
      <c r="E177" s="14">
        <v>3.7252006297631075</v>
      </c>
      <c r="F177" s="14">
        <v>4.201885886016596</v>
      </c>
      <c r="G177" s="14">
        <v>0.24196201584516244</v>
      </c>
      <c r="H177" s="14">
        <v>0.10776459529238329</v>
      </c>
      <c r="I177" s="14">
        <v>4.0665885015993691E-3</v>
      </c>
      <c r="J177" s="14">
        <v>2.8042342169869232</v>
      </c>
      <c r="K177" s="14">
        <v>0.73624535577236494</v>
      </c>
      <c r="L177" s="14">
        <v>0.18208218476090746</v>
      </c>
      <c r="M177" s="14">
        <v>2.638872242911702E-3</v>
      </c>
      <c r="N177" s="14">
        <v>8.2808797154188483</v>
      </c>
      <c r="O177" s="14">
        <f t="shared" si="20"/>
        <v>7.0061201030035196</v>
      </c>
      <c r="P177" s="14">
        <f t="shared" si="21"/>
        <v>0.97820737161752735</v>
      </c>
      <c r="Q177" s="14">
        <f t="shared" si="22"/>
        <v>0.28984678005329073</v>
      </c>
      <c r="R177" s="14">
        <f t="shared" si="23"/>
        <v>6.7054607445110707E-3</v>
      </c>
    </row>
    <row r="178" spans="1:18">
      <c r="A178" s="13" t="s">
        <v>675</v>
      </c>
      <c r="B178" t="s">
        <v>676</v>
      </c>
      <c r="C178" s="13" t="s">
        <v>549</v>
      </c>
      <c r="D178" s="14">
        <v>57.347076802151989</v>
      </c>
      <c r="E178" s="14">
        <v>34.317716724267981</v>
      </c>
      <c r="F178" s="14">
        <v>50.279479609309504</v>
      </c>
      <c r="G178" s="14">
        <v>2.8899327299372803</v>
      </c>
      <c r="H178" s="14">
        <v>3.2382372944958369</v>
      </c>
      <c r="I178" s="14">
        <v>0.93942716840936391</v>
      </c>
      <c r="J178" s="14">
        <v>30.467157617398598</v>
      </c>
      <c r="K178" s="14">
        <v>1.615373633524777</v>
      </c>
      <c r="L178" s="14">
        <v>1.8366095876814312</v>
      </c>
      <c r="M178" s="14">
        <v>0.39857588566317864</v>
      </c>
      <c r="N178" s="14">
        <v>91.664793526419984</v>
      </c>
      <c r="O178" s="14">
        <f t="shared" si="20"/>
        <v>80.746637226708103</v>
      </c>
      <c r="P178" s="14">
        <f t="shared" si="21"/>
        <v>4.5053063634620578</v>
      </c>
      <c r="Q178" s="14">
        <f t="shared" si="22"/>
        <v>5.0748468821772681</v>
      </c>
      <c r="R178" s="14">
        <f t="shared" si="23"/>
        <v>1.3380030540725425</v>
      </c>
    </row>
    <row r="179" spans="1:18">
      <c r="A179" s="13" t="s">
        <v>677</v>
      </c>
      <c r="B179" s="13" t="s">
        <v>678</v>
      </c>
      <c r="C179" s="13" t="s">
        <v>549</v>
      </c>
      <c r="D179" s="14">
        <v>4.1278459309535984</v>
      </c>
      <c r="E179" s="14">
        <v>2.5951713493482615</v>
      </c>
      <c r="F179" s="14">
        <v>3.6806615913633993</v>
      </c>
      <c r="G179" s="14">
        <v>0.27723018357343837</v>
      </c>
      <c r="H179" s="14">
        <v>0.1422311376594162</v>
      </c>
      <c r="I179" s="14">
        <v>2.7723018357343837E-2</v>
      </c>
      <c r="J179" s="14">
        <v>2.3515498410319089</v>
      </c>
      <c r="K179" s="14">
        <v>0.15265553739994653</v>
      </c>
      <c r="L179" s="14">
        <v>7.9464526317780393E-2</v>
      </c>
      <c r="M179" s="14">
        <v>1.1501444598626108E-2</v>
      </c>
      <c r="N179" s="14">
        <v>6.7230172803018595</v>
      </c>
      <c r="O179" s="14">
        <f t="shared" si="20"/>
        <v>6.0322114323953082</v>
      </c>
      <c r="P179" s="14">
        <f t="shared" si="21"/>
        <v>0.4298857209733849</v>
      </c>
      <c r="Q179" s="14">
        <f t="shared" si="22"/>
        <v>0.22169566397719659</v>
      </c>
      <c r="R179" s="14">
        <f t="shared" si="23"/>
        <v>3.9224462955969944E-2</v>
      </c>
    </row>
    <row r="180" spans="1:18">
      <c r="A180" s="13" t="s">
        <v>679</v>
      </c>
      <c r="B180" s="13" t="s">
        <v>680</v>
      </c>
      <c r="C180" s="13" t="s">
        <v>549</v>
      </c>
      <c r="D180" s="14">
        <v>7.3145539140265612</v>
      </c>
      <c r="E180" s="14">
        <v>4.6194456593098501</v>
      </c>
      <c r="F180" s="14">
        <v>6.1579116721392531</v>
      </c>
      <c r="G180" s="14">
        <v>0.33735398721713156</v>
      </c>
      <c r="H180" s="14">
        <v>0.24096713372652254</v>
      </c>
      <c r="I180" s="14">
        <v>0.57832112094365418</v>
      </c>
      <c r="J180" s="14">
        <v>2.1112437183349857</v>
      </c>
      <c r="K180" s="14">
        <v>0.8166238877592582</v>
      </c>
      <c r="L180" s="14">
        <v>1.3999266647301571</v>
      </c>
      <c r="M180" s="14">
        <v>0.29165138848544941</v>
      </c>
      <c r="N180" s="14">
        <v>11.933999573336413</v>
      </c>
      <c r="O180" s="14">
        <f t="shared" si="20"/>
        <v>8.2691553904742392</v>
      </c>
      <c r="P180" s="14">
        <f t="shared" si="21"/>
        <v>1.1539778749763898</v>
      </c>
      <c r="Q180" s="14">
        <f t="shared" si="22"/>
        <v>1.6408937984566796</v>
      </c>
      <c r="R180" s="14">
        <f t="shared" si="23"/>
        <v>0.86997250942910354</v>
      </c>
    </row>
  </sheetData>
  <mergeCells count="12">
    <mergeCell ref="R11:R12"/>
    <mergeCell ref="A11:A12"/>
    <mergeCell ref="B11:B12"/>
    <mergeCell ref="C11:C12"/>
    <mergeCell ref="D11:D12"/>
    <mergeCell ref="E11:E12"/>
    <mergeCell ref="F11:I11"/>
    <mergeCell ref="J11:M11"/>
    <mergeCell ref="N11:N12"/>
    <mergeCell ref="O11:O12"/>
    <mergeCell ref="P11:P12"/>
    <mergeCell ref="Q11:Q12"/>
  </mergeCells>
  <dataValidations count="1">
    <dataValidation type="custom" allowBlank="1" showInputMessage="1" showErrorMessage="1" sqref="C8" xr:uid="{D949FF06-69B6-43F9-AA6D-8D3D55C583A4}">
      <formula1>SUM(C6:C8)=100%</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9C27-7F99-4AE4-9B0B-F1A3680C1A77}">
  <sheetPr>
    <tabColor theme="0"/>
  </sheetPr>
  <dimension ref="A1:CW168"/>
  <sheetViews>
    <sheetView workbookViewId="0"/>
  </sheetViews>
  <sheetFormatPr defaultColWidth="8.85546875" defaultRowHeight="15"/>
  <cols>
    <col min="1" max="1" width="8.85546875" bestFit="1" customWidth="1"/>
    <col min="3" max="3" width="10.7109375" bestFit="1" customWidth="1"/>
    <col min="6" max="6" width="12.140625" bestFit="1" customWidth="1"/>
    <col min="7" max="8" width="10.7109375" bestFit="1" customWidth="1"/>
    <col min="9" max="12" width="12.140625" bestFit="1" customWidth="1"/>
    <col min="14" max="15" width="12.140625" bestFit="1" customWidth="1"/>
    <col min="16" max="20" width="13.140625" bestFit="1" customWidth="1"/>
    <col min="26" max="26" width="10.7109375" bestFit="1" customWidth="1"/>
    <col min="29" max="29" width="21.28515625" bestFit="1" customWidth="1"/>
  </cols>
  <sheetData>
    <row r="1" spans="1:101">
      <c r="A1" t="s">
        <v>335</v>
      </c>
      <c r="B1" t="s">
        <v>681</v>
      </c>
      <c r="C1">
        <v>1</v>
      </c>
      <c r="E1" s="32"/>
      <c r="F1" s="32" t="s">
        <v>218</v>
      </c>
      <c r="G1" s="32" t="s">
        <v>223</v>
      </c>
      <c r="H1" s="32" t="s">
        <v>228</v>
      </c>
      <c r="I1" s="32" t="s">
        <v>233</v>
      </c>
      <c r="J1" s="32" t="s">
        <v>238</v>
      </c>
      <c r="K1" s="32" t="s">
        <v>243</v>
      </c>
      <c r="L1" s="32" t="s">
        <v>248</v>
      </c>
      <c r="N1" s="32" t="s">
        <v>218</v>
      </c>
      <c r="O1" s="32" t="s">
        <v>223</v>
      </c>
      <c r="P1" s="32" t="s">
        <v>228</v>
      </c>
      <c r="Q1" s="32" t="s">
        <v>233</v>
      </c>
      <c r="R1" s="32" t="s">
        <v>238</v>
      </c>
      <c r="S1" s="32" t="s">
        <v>243</v>
      </c>
      <c r="T1" s="32" t="s">
        <v>248</v>
      </c>
      <c r="V1" s="32" t="s">
        <v>218</v>
      </c>
      <c r="W1" s="32" t="s">
        <v>223</v>
      </c>
      <c r="X1" s="32" t="s">
        <v>228</v>
      </c>
      <c r="Y1" s="32" t="s">
        <v>233</v>
      </c>
      <c r="Z1" s="32" t="s">
        <v>238</v>
      </c>
      <c r="AA1" s="32" t="s">
        <v>243</v>
      </c>
      <c r="AB1" s="32" t="s">
        <v>248</v>
      </c>
      <c r="AD1" s="32" t="s">
        <v>218</v>
      </c>
      <c r="AE1" s="32" t="s">
        <v>223</v>
      </c>
      <c r="AF1" s="32" t="s">
        <v>228</v>
      </c>
      <c r="AG1" s="32" t="s">
        <v>233</v>
      </c>
      <c r="AH1" s="32" t="s">
        <v>238</v>
      </c>
      <c r="AI1" s="32" t="s">
        <v>243</v>
      </c>
      <c r="AJ1" s="32" t="s">
        <v>248</v>
      </c>
      <c r="AL1" s="32" t="s">
        <v>218</v>
      </c>
      <c r="AM1" s="32" t="s">
        <v>223</v>
      </c>
      <c r="AN1" s="32" t="s">
        <v>228</v>
      </c>
      <c r="AO1" s="32" t="s">
        <v>233</v>
      </c>
      <c r="AP1" s="32" t="s">
        <v>238</v>
      </c>
      <c r="AQ1" s="32" t="s">
        <v>243</v>
      </c>
      <c r="AR1" s="32" t="s">
        <v>248</v>
      </c>
    </row>
    <row r="2" spans="1:101">
      <c r="A2" s="9" t="s">
        <v>49</v>
      </c>
      <c r="B2" t="s">
        <v>55</v>
      </c>
      <c r="C2">
        <v>2</v>
      </c>
      <c r="E2" s="32" t="s">
        <v>288</v>
      </c>
      <c r="F2" s="47">
        <f>'Key financial and ops fig.s LCY'!H48</f>
        <v>-73958698.660714269</v>
      </c>
      <c r="G2" s="47">
        <f>'Key financial and ops fig.s LCY'!M48</f>
        <v>517746810.13392866</v>
      </c>
      <c r="H2" s="47">
        <f>'Key financial and ops fig.s LCY'!R48</f>
        <v>929733101.91964269</v>
      </c>
      <c r="I2" s="47">
        <f>'Key financial and ops fig.s LCY'!W48</f>
        <v>1257186546.5625</v>
      </c>
      <c r="J2" s="47">
        <f>'Key financial and ops fig.s LCY'!AB48</f>
        <v>1564556465.4910712</v>
      </c>
      <c r="K2" s="47">
        <f>'Key financial and ops fig.s LCY'!AG48</f>
        <v>1589243665.1785712</v>
      </c>
      <c r="L2" s="47">
        <f>'Key financial and ops fig.s LCY'!AL48</f>
        <v>1537884136.6071429</v>
      </c>
      <c r="M2" t="str">
        <f>'Key financial and ops fig.s LCY'!C76</f>
        <v>Business loans volume (cummulative)</v>
      </c>
      <c r="N2" s="1">
        <f>'Key financial and ops fig.s LCY'!H76</f>
        <v>4875000000</v>
      </c>
      <c r="O2" s="1">
        <f>'Key financial and ops fig.s LCY'!M76</f>
        <v>9500000000</v>
      </c>
      <c r="P2" s="1">
        <f>'Key financial and ops fig.s LCY'!R76</f>
        <v>13875000000</v>
      </c>
      <c r="Q2" s="1">
        <f>'Key financial and ops fig.s LCY'!W76</f>
        <v>18000000000</v>
      </c>
      <c r="R2" s="1">
        <f>'Key financial and ops fig.s LCY'!AB76</f>
        <v>21875000000</v>
      </c>
      <c r="S2" s="1">
        <f>'Key financial and ops fig.s LCY'!AG76</f>
        <v>21250000000</v>
      </c>
      <c r="T2" s="1">
        <f>'Key financial and ops fig.s LCY'!AL76</f>
        <v>20625000000</v>
      </c>
      <c r="U2" t="str">
        <f>'Key financial and ops fig.s LCY'!C64</f>
        <v>Share of medium sector</v>
      </c>
      <c r="V2" s="134">
        <f>'Key financial and ops fig.s LCY'!H64</f>
        <v>1.3707481961263179E-2</v>
      </c>
      <c r="W2" s="134">
        <f>'Key financial and ops fig.s LCY'!M64</f>
        <v>2.6712016129641067E-2</v>
      </c>
      <c r="X2" s="134">
        <f>'Key financial and ops fig.s LCY'!R64</f>
        <v>3.9013602505133665E-2</v>
      </c>
      <c r="Y2" s="134">
        <f>'Key financial and ops fig.s LCY'!W64</f>
        <v>5.061224108774097E-2</v>
      </c>
      <c r="Z2" s="134">
        <f>'Key financial and ops fig.s LCY'!AB64</f>
        <v>6.1507931877462986E-2</v>
      </c>
      <c r="AA2" s="134">
        <f>'Key financial and ops fig.s LCY'!AG64</f>
        <v>5.9750562395249757E-2</v>
      </c>
      <c r="AB2" s="134">
        <f>'Key financial and ops fig.s LCY'!AL64</f>
        <v>5.7993192913036527E-2</v>
      </c>
      <c r="AC2" t="s">
        <v>682</v>
      </c>
      <c r="AD2" s="140">
        <f>'Key financial and ops fig.s LCY'!H86</f>
        <v>3.5</v>
      </c>
      <c r="AE2" s="140">
        <f>'Key financial and ops fig.s LCY'!M86</f>
        <v>7.5</v>
      </c>
      <c r="AF2" s="140">
        <f>'Key financial and ops fig.s LCY'!R86</f>
        <v>11.5</v>
      </c>
      <c r="AG2" s="140">
        <f>'Key financial and ops fig.s LCY'!W86</f>
        <v>15.5</v>
      </c>
      <c r="AH2" s="140">
        <f>'Key financial and ops fig.s LCY'!AB86</f>
        <v>19.5</v>
      </c>
      <c r="AI2" s="140">
        <f>'Key financial and ops fig.s LCY'!AG86</f>
        <v>20.25</v>
      </c>
      <c r="AJ2" s="140">
        <f>'Key financial and ops fig.s LCY'!AL86</f>
        <v>20</v>
      </c>
      <c r="AK2" t="str">
        <f>'Key financial and ops fig.s LCY'!C87</f>
        <v>no. of employed clerks</v>
      </c>
      <c r="AL2" s="140">
        <f>'Key financial and ops fig.s LCY'!H87</f>
        <v>14.75</v>
      </c>
      <c r="AM2" s="140">
        <f>'Key financial and ops fig.s LCY'!M87</f>
        <v>36.25</v>
      </c>
      <c r="AN2" s="140">
        <f>'Key financial and ops fig.s LCY'!R87</f>
        <v>57.5</v>
      </c>
      <c r="AO2" s="140">
        <f>'Key financial and ops fig.s LCY'!W87</f>
        <v>76.5</v>
      </c>
      <c r="AP2" s="140">
        <f>'Key financial and ops fig.s LCY'!AB87</f>
        <v>95</v>
      </c>
      <c r="AQ2" s="140">
        <f>'Key financial and ops fig.s LCY'!AG87</f>
        <v>99.75</v>
      </c>
      <c r="AR2" s="140">
        <f>'Key financial and ops fig.s LCY'!AL87</f>
        <v>97</v>
      </c>
    </row>
    <row r="3" spans="1:101">
      <c r="A3" s="9" t="s">
        <v>585</v>
      </c>
      <c r="B3" t="s">
        <v>683</v>
      </c>
      <c r="C3">
        <v>3</v>
      </c>
      <c r="M3" t="str">
        <f>'Key financial and ops fig.s LCY'!C77</f>
        <v>Mortgages volume (cummulative)</v>
      </c>
      <c r="N3" s="1">
        <f>'Key financial and ops fig.s LCY'!H77</f>
        <v>4504500000</v>
      </c>
      <c r="O3" s="1">
        <f>'Key financial and ops fig.s LCY'!M77</f>
        <v>8778000000</v>
      </c>
      <c r="P3" s="1">
        <f>'Key financial and ops fig.s LCY'!R77</f>
        <v>12820500000</v>
      </c>
      <c r="Q3" s="1">
        <f>'Key financial and ops fig.s LCY'!W77</f>
        <v>16632000000</v>
      </c>
      <c r="R3" s="1">
        <f>'Key financial and ops fig.s LCY'!AB77</f>
        <v>20212500000</v>
      </c>
      <c r="S3" s="1">
        <f>'Key financial and ops fig.s LCY'!AG77</f>
        <v>19635000000</v>
      </c>
      <c r="T3" s="1">
        <f>'Key financial and ops fig.s LCY'!AL77</f>
        <v>19057500000</v>
      </c>
      <c r="U3" t="str">
        <f>'Key financial and ops fig.s LCY'!C65</f>
        <v>Share of small sector</v>
      </c>
      <c r="V3" s="134">
        <f>'Key financial and ops fig.s LCY'!H65</f>
        <v>2.3435208953774451E-2</v>
      </c>
      <c r="W3" s="134">
        <f>'Key financial and ops fig.s LCY'!M65</f>
        <v>4.5668612320175855E-2</v>
      </c>
      <c r="X3" s="134">
        <f>'Key financial and ops fig.s LCY'!R65</f>
        <v>6.670021009920421E-2</v>
      </c>
      <c r="Y3" s="134">
        <f>'Key financial and ops fig.s LCY'!W65</f>
        <v>8.6530002290859512E-2</v>
      </c>
      <c r="Z3" s="134">
        <f>'Key financial and ops fig.s LCY'!AB65</f>
        <v>0.10515798889514176</v>
      </c>
      <c r="AA3" s="134">
        <f>'Key financial and ops fig.s LCY'!AG65</f>
        <v>0.10215347492670915</v>
      </c>
      <c r="AB3" s="134">
        <f>'Key financial and ops fig.s LCY'!AL65</f>
        <v>9.9148960958276522E-2</v>
      </c>
      <c r="AC3" t="s">
        <v>684</v>
      </c>
      <c r="AD3" s="140">
        <f>'Key financial and ops fig.s LCY'!H85</f>
        <v>28.333593750000002</v>
      </c>
      <c r="AE3" s="140">
        <f>'Key financial and ops fig.s LCY'!M85</f>
        <v>71.934843749999999</v>
      </c>
      <c r="AF3" s="140">
        <f>'Key financial and ops fig.s LCY'!R85</f>
        <v>113.22609375000002</v>
      </c>
      <c r="AG3" s="140">
        <f>'Key financial and ops fig.s LCY'!W85</f>
        <v>152.20734375000001</v>
      </c>
      <c r="AH3" s="140">
        <f>'Key financial and ops fig.s LCY'!AB85</f>
        <v>188.87859374999999</v>
      </c>
      <c r="AI3" s="140">
        <f>'Key financial and ops fig.s LCY'!AG85</f>
        <v>198.51562500000003</v>
      </c>
      <c r="AJ3" s="140">
        <f>'Key financial and ops fig.s LCY'!AL85</f>
        <v>192.74062500000002</v>
      </c>
      <c r="AK3" t="str">
        <f>'Key financial and ops fig.s LCY'!C88</f>
        <v>no. of employed IT and support</v>
      </c>
      <c r="AL3" s="140">
        <f>'Key financial and ops fig.s LCY'!H88</f>
        <v>6.25</v>
      </c>
      <c r="AM3" s="140">
        <f>'Key financial and ops fig.s LCY'!M88</f>
        <v>15</v>
      </c>
      <c r="AN3" s="140">
        <f>'Key financial and ops fig.s LCY'!R88</f>
        <v>23</v>
      </c>
      <c r="AO3" s="140">
        <f>'Key financial and ops fig.s LCY'!W88</f>
        <v>31</v>
      </c>
      <c r="AP3" s="140">
        <f>'Key financial and ops fig.s LCY'!AB88</f>
        <v>38.25</v>
      </c>
      <c r="AQ3" s="140">
        <f>'Key financial and ops fig.s LCY'!AG88</f>
        <v>40.25</v>
      </c>
      <c r="AR3" s="140">
        <f>'Key financial and ops fig.s LCY'!AL88</f>
        <v>39</v>
      </c>
    </row>
    <row r="4" spans="1:101">
      <c r="A4" s="9" t="s">
        <v>408</v>
      </c>
      <c r="B4" t="s">
        <v>685</v>
      </c>
      <c r="C4">
        <v>4</v>
      </c>
      <c r="M4" t="str">
        <f>'Key financial and ops fig.s LCY'!C78</f>
        <v>Auto loans and leasing volume (cummulative)</v>
      </c>
      <c r="N4" s="1">
        <f>'Key financial and ops fig.s LCY'!H78</f>
        <v>450450000</v>
      </c>
      <c r="O4" s="1">
        <f>'Key financial and ops fig.s LCY'!M78</f>
        <v>877800000</v>
      </c>
      <c r="P4" s="1">
        <f>'Key financial and ops fig.s LCY'!R78</f>
        <v>1282050000</v>
      </c>
      <c r="Q4" s="1">
        <f>'Key financial and ops fig.s LCY'!W78</f>
        <v>1663200000</v>
      </c>
      <c r="R4" s="1">
        <f>'Key financial and ops fig.s LCY'!AB78</f>
        <v>2021250000</v>
      </c>
      <c r="S4" s="1">
        <f>'Key financial and ops fig.s LCY'!AG78</f>
        <v>1963500000</v>
      </c>
      <c r="T4" s="1">
        <f>'Key financial and ops fig.s LCY'!AL78</f>
        <v>1905750000</v>
      </c>
      <c r="U4" t="str">
        <f>'Key financial and ops fig.s LCY'!C70</f>
        <v>Very small market captured (cummulative)</v>
      </c>
      <c r="V4" s="134">
        <f>'Key financial and ops fig.s LCY'!H66</f>
        <v>3.8531419189523519E-2</v>
      </c>
      <c r="W4" s="134">
        <f>'Key financial and ops fig.s LCY'!M66</f>
        <v>7.5086868164199669E-2</v>
      </c>
      <c r="X4" s="134">
        <f>'Key financial and ops fig.s LCY'!R66</f>
        <v>0.10966634692402848</v>
      </c>
      <c r="Y4" s="134">
        <f>'Key financial and ops fig.s LCY'!W66</f>
        <v>0.14226985546900991</v>
      </c>
      <c r="Z4" s="134">
        <f>'Key financial and ops fig.s LCY'!AB66</f>
        <v>0.17289739379914398</v>
      </c>
      <c r="AA4" s="134">
        <f>'Key financial and ops fig.s LCY'!AG66</f>
        <v>0.16795746826202559</v>
      </c>
      <c r="AB4" s="134">
        <f>'Key financial and ops fig.s LCY'!AL66</f>
        <v>0.16301754272490718</v>
      </c>
      <c r="AK4" t="str">
        <f>'Key financial and ops fig.s LCY'!C89</f>
        <v>no. of employed loan officers</v>
      </c>
      <c r="AL4" s="140">
        <f>'Key financial and ops fig.s LCY'!H89</f>
        <v>3.5</v>
      </c>
      <c r="AM4" s="140">
        <f>'Key financial and ops fig.s LCY'!M89</f>
        <v>8.5</v>
      </c>
      <c r="AN4" s="140">
        <f>'Key financial and ops fig.s LCY'!R89</f>
        <v>13</v>
      </c>
      <c r="AO4" s="140">
        <f>'Key financial and ops fig.s LCY'!W89</f>
        <v>17.5</v>
      </c>
      <c r="AP4" s="140">
        <f>'Key financial and ops fig.s LCY'!AB89</f>
        <v>21.5</v>
      </c>
      <c r="AQ4" s="140">
        <f>'Key financial and ops fig.s LCY'!AG89</f>
        <v>22.25</v>
      </c>
      <c r="AR4" s="140">
        <f>'Key financial and ops fig.s LCY'!AL89</f>
        <v>21.75</v>
      </c>
    </row>
    <row r="5" spans="1:101">
      <c r="A5" s="9" t="s">
        <v>412</v>
      </c>
      <c r="B5" t="s">
        <v>686</v>
      </c>
      <c r="C5">
        <v>5</v>
      </c>
      <c r="U5" t="str">
        <f>'Key financial and ops fig.s LCY'!C71</f>
        <v>Micro and self-employed market captured (cummulative)</v>
      </c>
      <c r="V5" s="134">
        <f>'Key financial and ops fig.s LCY'!H67</f>
        <v>3.7054662613721145E-2</v>
      </c>
      <c r="W5" s="134">
        <f>'Key financial and ops fig.s LCY'!M67</f>
        <v>7.2209086119046334E-2</v>
      </c>
      <c r="X5" s="134">
        <f>'Key financial and ops fig.s LCY'!R67</f>
        <v>0.10546327051597557</v>
      </c>
      <c r="Y5" s="134">
        <f>'Key financial and ops fig.s LCY'!W67</f>
        <v>0.13681721580450884</v>
      </c>
      <c r="Z5" s="134">
        <f>'Key financial and ops fig.s LCY'!AB67</f>
        <v>0.16627092198464616</v>
      </c>
      <c r="AA5" s="134">
        <f>'Key financial and ops fig.s LCY'!AG67</f>
        <v>0.16152032421365628</v>
      </c>
      <c r="AB5" s="134">
        <f>'Key financial and ops fig.s LCY'!AL67</f>
        <v>0.1567697264426664</v>
      </c>
      <c r="AK5" t="str">
        <f>'Key financial and ops fig.s LCY'!C90</f>
        <v>no. of employed managers</v>
      </c>
      <c r="AL5" s="140">
        <f>'Key financial and ops fig.s LCY'!H90</f>
        <v>6.25</v>
      </c>
      <c r="AM5" s="140">
        <f>'Key financial and ops fig.s LCY'!M90</f>
        <v>15</v>
      </c>
      <c r="AN5" s="140">
        <f>'Key financial and ops fig.s LCY'!R90</f>
        <v>23</v>
      </c>
      <c r="AO5" s="140">
        <f>'Key financial and ops fig.s LCY'!W90</f>
        <v>31</v>
      </c>
      <c r="AP5" s="140">
        <f>'Key financial and ops fig.s LCY'!AB90</f>
        <v>38.25</v>
      </c>
      <c r="AQ5" s="140">
        <f>'Key financial and ops fig.s LCY'!AG90</f>
        <v>40.25</v>
      </c>
      <c r="AR5" s="140">
        <f>'Key financial and ops fig.s LCY'!AL90</f>
        <v>39</v>
      </c>
    </row>
    <row r="6" spans="1:101">
      <c r="A6" s="9" t="s">
        <v>414</v>
      </c>
    </row>
    <row r="7" spans="1:101">
      <c r="A7" s="9" t="s">
        <v>416</v>
      </c>
      <c r="B7" t="s">
        <v>55</v>
      </c>
      <c r="C7">
        <v>1</v>
      </c>
      <c r="F7" t="s">
        <v>218</v>
      </c>
      <c r="G7" t="s">
        <v>223</v>
      </c>
      <c r="H7" t="s">
        <v>228</v>
      </c>
      <c r="I7" t="s">
        <v>233</v>
      </c>
      <c r="J7" t="s">
        <v>238</v>
      </c>
      <c r="K7" t="s">
        <v>243</v>
      </c>
      <c r="L7" t="s">
        <v>248</v>
      </c>
      <c r="V7" t="s">
        <v>218</v>
      </c>
      <c r="W7" t="s">
        <v>223</v>
      </c>
      <c r="X7" t="s">
        <v>228</v>
      </c>
      <c r="Y7" t="s">
        <v>233</v>
      </c>
      <c r="Z7" t="s">
        <v>238</v>
      </c>
      <c r="AA7" t="s">
        <v>243</v>
      </c>
      <c r="AB7" t="s">
        <v>248</v>
      </c>
      <c r="AT7" s="266" t="s">
        <v>209</v>
      </c>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t="s">
        <v>210</v>
      </c>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row>
    <row r="8" spans="1:101">
      <c r="A8" s="9" t="s">
        <v>418</v>
      </c>
      <c r="B8" t="s">
        <v>683</v>
      </c>
      <c r="C8">
        <v>1000</v>
      </c>
      <c r="E8" t="s">
        <v>687</v>
      </c>
      <c r="F8" s="1">
        <f>F2</f>
        <v>-73958698.660714269</v>
      </c>
      <c r="G8" s="1">
        <f>G2</f>
        <v>517746810.13392866</v>
      </c>
      <c r="H8" s="1">
        <f t="shared" ref="H8:L8" si="0">H2</f>
        <v>929733101.91964269</v>
      </c>
      <c r="I8" s="1">
        <f t="shared" si="0"/>
        <v>1257186546.5625</v>
      </c>
      <c r="J8" s="1">
        <f t="shared" si="0"/>
        <v>1564556465.4910712</v>
      </c>
      <c r="K8" s="1">
        <f t="shared" si="0"/>
        <v>1589243665.1785712</v>
      </c>
      <c r="L8" s="1">
        <f t="shared" si="0"/>
        <v>1537884136.6071429</v>
      </c>
      <c r="U8" t="s">
        <v>688</v>
      </c>
      <c r="V8" s="175">
        <f>V2</f>
        <v>1.3707481961263179E-2</v>
      </c>
      <c r="W8" s="175">
        <f t="shared" ref="W8:AB8" si="1">W2</f>
        <v>2.6712016129641067E-2</v>
      </c>
      <c r="X8" s="175">
        <f t="shared" si="1"/>
        <v>3.9013602505133665E-2</v>
      </c>
      <c r="Y8" s="175">
        <f t="shared" si="1"/>
        <v>5.061224108774097E-2</v>
      </c>
      <c r="Z8" s="175">
        <f t="shared" si="1"/>
        <v>6.1507931877462986E-2</v>
      </c>
      <c r="AA8" s="175">
        <f t="shared" si="1"/>
        <v>5.9750562395249757E-2</v>
      </c>
      <c r="AB8" s="175">
        <f t="shared" si="1"/>
        <v>5.7993192913036527E-2</v>
      </c>
      <c r="AT8" t="s">
        <v>214</v>
      </c>
      <c r="AU8" t="s">
        <v>215</v>
      </c>
      <c r="AV8" t="s">
        <v>216</v>
      </c>
      <c r="AW8" t="s">
        <v>217</v>
      </c>
      <c r="AX8" t="s">
        <v>219</v>
      </c>
      <c r="AY8" t="s">
        <v>220</v>
      </c>
      <c r="AZ8" t="s">
        <v>221</v>
      </c>
      <c r="BA8" t="s">
        <v>222</v>
      </c>
      <c r="BB8" t="s">
        <v>224</v>
      </c>
      <c r="BC8" t="s">
        <v>225</v>
      </c>
      <c r="BD8" t="s">
        <v>226</v>
      </c>
      <c r="BE8" t="s">
        <v>227</v>
      </c>
      <c r="BF8" t="s">
        <v>229</v>
      </c>
      <c r="BG8" t="s">
        <v>230</v>
      </c>
      <c r="BH8" t="s">
        <v>231</v>
      </c>
      <c r="BI8" t="s">
        <v>232</v>
      </c>
      <c r="BJ8" t="s">
        <v>234</v>
      </c>
      <c r="BK8" t="s">
        <v>235</v>
      </c>
      <c r="BL8" t="s">
        <v>236</v>
      </c>
      <c r="BM8" t="s">
        <v>237</v>
      </c>
      <c r="BN8" t="s">
        <v>239</v>
      </c>
      <c r="BO8" t="s">
        <v>240</v>
      </c>
      <c r="BP8" t="s">
        <v>241</v>
      </c>
      <c r="BQ8" t="s">
        <v>242</v>
      </c>
      <c r="BR8" t="s">
        <v>244</v>
      </c>
      <c r="BS8" t="s">
        <v>245</v>
      </c>
      <c r="BT8" t="s">
        <v>246</v>
      </c>
      <c r="BU8" t="s">
        <v>247</v>
      </c>
      <c r="BV8" t="s">
        <v>214</v>
      </c>
      <c r="BW8" t="s">
        <v>215</v>
      </c>
      <c r="BX8" t="s">
        <v>216</v>
      </c>
      <c r="BY8" t="s">
        <v>217</v>
      </c>
      <c r="BZ8" t="s">
        <v>219</v>
      </c>
      <c r="CA8" t="s">
        <v>220</v>
      </c>
      <c r="CB8" t="s">
        <v>221</v>
      </c>
      <c r="CC8" t="s">
        <v>222</v>
      </c>
      <c r="CD8" t="s">
        <v>224</v>
      </c>
      <c r="CE8" t="s">
        <v>225</v>
      </c>
      <c r="CF8" t="s">
        <v>226</v>
      </c>
      <c r="CG8" t="s">
        <v>227</v>
      </c>
      <c r="CH8" t="s">
        <v>229</v>
      </c>
      <c r="CI8" t="s">
        <v>230</v>
      </c>
      <c r="CJ8" t="s">
        <v>231</v>
      </c>
      <c r="CK8" t="s">
        <v>232</v>
      </c>
      <c r="CL8" t="s">
        <v>234</v>
      </c>
      <c r="CM8" t="s">
        <v>235</v>
      </c>
      <c r="CN8" t="s">
        <v>236</v>
      </c>
      <c r="CO8" t="s">
        <v>237</v>
      </c>
      <c r="CP8" t="s">
        <v>239</v>
      </c>
      <c r="CQ8" t="s">
        <v>240</v>
      </c>
      <c r="CR8" t="s">
        <v>241</v>
      </c>
      <c r="CS8" t="s">
        <v>242</v>
      </c>
      <c r="CT8" t="s">
        <v>244</v>
      </c>
      <c r="CU8" t="s">
        <v>245</v>
      </c>
      <c r="CV8" t="s">
        <v>246</v>
      </c>
      <c r="CW8" t="s">
        <v>247</v>
      </c>
    </row>
    <row r="9" spans="1:101">
      <c r="A9" s="9" t="s">
        <v>548</v>
      </c>
      <c r="B9" t="s">
        <v>685</v>
      </c>
      <c r="C9">
        <v>1000000</v>
      </c>
      <c r="E9" t="s">
        <v>689</v>
      </c>
      <c r="F9" s="1">
        <f>'Alt. scenario LCY'!H48</f>
        <v>-73958698.660714269</v>
      </c>
      <c r="G9" s="1">
        <f>'Alt. scenario LCY'!M48</f>
        <v>517746810.13392866</v>
      </c>
      <c r="H9" s="1">
        <f>'Alt. scenario LCY'!R48</f>
        <v>929733101.91964269</v>
      </c>
      <c r="I9" s="1">
        <f>'Alt. scenario LCY'!W48</f>
        <v>1257186546.5625</v>
      </c>
      <c r="J9" s="1">
        <f>'Alt. scenario LCY'!AB48</f>
        <v>1564556465.4910712</v>
      </c>
      <c r="K9" s="1">
        <f>'Alt. scenario LCY'!AG48</f>
        <v>1589243665.1785712</v>
      </c>
      <c r="L9" s="1">
        <f>'Alt. scenario LCY'!AL48</f>
        <v>1537884136.6071429</v>
      </c>
      <c r="U9" t="s">
        <v>690</v>
      </c>
      <c r="V9" s="175">
        <f>'Alt. scenario LCY'!H64</f>
        <v>1.3707481961263179E-2</v>
      </c>
      <c r="W9" s="175">
        <f>'Alt. scenario LCY'!M64</f>
        <v>2.6712016129641067E-2</v>
      </c>
      <c r="X9" s="175">
        <f>'Alt. scenario LCY'!R64</f>
        <v>3.9013602505133665E-2</v>
      </c>
      <c r="Y9" s="175">
        <f>'Alt. scenario LCY'!W64</f>
        <v>5.061224108774097E-2</v>
      </c>
      <c r="Z9" s="175">
        <f>'Alt. scenario LCY'!AB64</f>
        <v>6.1507931877462986E-2</v>
      </c>
      <c r="AA9" s="175">
        <f>'Alt. scenario LCY'!AG64</f>
        <v>5.9750562395249757E-2</v>
      </c>
      <c r="AB9" s="175">
        <f>'Alt. scenario LCY'!AL64</f>
        <v>5.7993192913036527E-2</v>
      </c>
      <c r="AS9" t="s">
        <v>691</v>
      </c>
      <c r="AT9" s="1">
        <f>'Key financial and ops fig.s LCY'!D72</f>
        <v>9.9375</v>
      </c>
      <c r="AU9" s="1">
        <f>'Key financial and ops fig.s LCY'!E72</f>
        <v>19.75</v>
      </c>
      <c r="AV9" s="1">
        <f>'Key financial and ops fig.s LCY'!F72</f>
        <v>29.4375</v>
      </c>
      <c r="AW9" s="1">
        <f>'Key financial and ops fig.s LCY'!G72</f>
        <v>39</v>
      </c>
      <c r="AX9" s="1">
        <f>'Key financial and ops fig.s LCY'!I72</f>
        <v>48.4375</v>
      </c>
      <c r="AY9" s="1">
        <f>'Key financial and ops fig.s LCY'!J72</f>
        <v>57.75</v>
      </c>
      <c r="AZ9" s="1">
        <f>'Key financial and ops fig.s LCY'!K72</f>
        <v>66.9375</v>
      </c>
      <c r="BA9" s="1">
        <f>'Key financial and ops fig.s LCY'!L72</f>
        <v>76</v>
      </c>
      <c r="BB9" s="1">
        <f>'Key financial and ops fig.s LCY'!N72</f>
        <v>84.9375</v>
      </c>
      <c r="BC9" s="1">
        <f>'Key financial and ops fig.s LCY'!O72</f>
        <v>93.75</v>
      </c>
      <c r="BD9" s="1">
        <f>'Key financial and ops fig.s LCY'!P72</f>
        <v>102.4375</v>
      </c>
      <c r="BE9" s="1">
        <f>'Key financial and ops fig.s LCY'!Q72</f>
        <v>111</v>
      </c>
      <c r="BF9" s="1">
        <f>'Key financial and ops fig.s LCY'!S72</f>
        <v>119.4375</v>
      </c>
      <c r="BG9" s="1">
        <f>'Key financial and ops fig.s LCY'!T72</f>
        <v>127.75</v>
      </c>
      <c r="BH9" s="1">
        <f>'Key financial and ops fig.s LCY'!U72</f>
        <v>135.9375</v>
      </c>
      <c r="BI9" s="1">
        <f>'Key financial and ops fig.s LCY'!V72</f>
        <v>144</v>
      </c>
      <c r="BJ9" s="1">
        <f>'Key financial and ops fig.s LCY'!X72</f>
        <v>151.9375</v>
      </c>
      <c r="BK9" s="1">
        <f>'Key financial and ops fig.s LCY'!Y72</f>
        <v>159.75</v>
      </c>
      <c r="BL9" s="1">
        <f>'Key financial and ops fig.s LCY'!Z72</f>
        <v>167.4375</v>
      </c>
      <c r="BM9" s="1">
        <f>'Key financial and ops fig.s LCY'!AA72</f>
        <v>175</v>
      </c>
      <c r="BN9" s="1">
        <f>'Key financial and ops fig.s LCY'!AC72</f>
        <v>173.75</v>
      </c>
      <c r="BO9" s="1">
        <f>'Key financial and ops fig.s LCY'!AD72</f>
        <v>172.5</v>
      </c>
      <c r="BP9" s="1">
        <f>'Key financial and ops fig.s LCY'!AE72</f>
        <v>171.25</v>
      </c>
      <c r="BQ9" s="1">
        <f>'Key financial and ops fig.s LCY'!AF72</f>
        <v>170</v>
      </c>
      <c r="BR9" s="1">
        <f>'Key financial and ops fig.s LCY'!AH72</f>
        <v>168.75</v>
      </c>
      <c r="BS9" s="1">
        <f>'Key financial and ops fig.s LCY'!AI72</f>
        <v>167.5</v>
      </c>
      <c r="BT9" s="1">
        <f>'Key financial and ops fig.s LCY'!AJ72</f>
        <v>166.25</v>
      </c>
      <c r="BU9" s="1">
        <f>'Key financial and ops fig.s LCY'!AK72</f>
        <v>165</v>
      </c>
      <c r="BV9" s="1">
        <f>'Alt. scenario LCY'!D72</f>
        <v>9.9375</v>
      </c>
      <c r="BW9" s="1">
        <f>'Alt. scenario LCY'!E72</f>
        <v>19.75</v>
      </c>
      <c r="BX9" s="1">
        <f>'Alt. scenario LCY'!F72</f>
        <v>29.4375</v>
      </c>
      <c r="BY9" s="1">
        <f>'Alt. scenario LCY'!G72</f>
        <v>39</v>
      </c>
      <c r="BZ9" s="1">
        <f>'Alt. scenario LCY'!I72</f>
        <v>48.4375</v>
      </c>
      <c r="CA9" s="1">
        <f>'Alt. scenario LCY'!J72</f>
        <v>57.75</v>
      </c>
      <c r="CB9" s="1">
        <f>'Alt. scenario LCY'!K72</f>
        <v>66.9375</v>
      </c>
      <c r="CC9" s="1">
        <f>'Alt. scenario LCY'!L72</f>
        <v>76</v>
      </c>
      <c r="CD9" s="1">
        <f>'Alt. scenario LCY'!N72</f>
        <v>84.9375</v>
      </c>
      <c r="CE9" s="1">
        <f>'Alt. scenario LCY'!O72</f>
        <v>93.75</v>
      </c>
      <c r="CF9" s="1">
        <f>'Alt. scenario LCY'!P72</f>
        <v>102.4375</v>
      </c>
      <c r="CG9" s="1">
        <f>'Alt. scenario LCY'!Q72</f>
        <v>111</v>
      </c>
      <c r="CH9" s="1">
        <f>'Alt. scenario LCY'!S72</f>
        <v>119.4375</v>
      </c>
      <c r="CI9" s="1">
        <f>'Alt. scenario LCY'!T72</f>
        <v>127.75</v>
      </c>
      <c r="CJ9" s="1">
        <f>'Alt. scenario LCY'!U72</f>
        <v>135.9375</v>
      </c>
      <c r="CK9" s="1">
        <f>'Alt. scenario LCY'!V72</f>
        <v>144</v>
      </c>
      <c r="CL9" s="1">
        <f>'Alt. scenario LCY'!X72</f>
        <v>151.9375</v>
      </c>
      <c r="CM9" s="1">
        <f>'Alt. scenario LCY'!Y72</f>
        <v>159.75</v>
      </c>
      <c r="CN9" s="1">
        <f>'Alt. scenario LCY'!Z72</f>
        <v>167.4375</v>
      </c>
      <c r="CO9" s="1">
        <f>'Alt. scenario LCY'!AA72</f>
        <v>175</v>
      </c>
      <c r="CP9" s="1">
        <f>'Alt. scenario LCY'!AC72</f>
        <v>173.75</v>
      </c>
      <c r="CQ9" s="1">
        <f>'Alt. scenario LCY'!AD72</f>
        <v>172.5</v>
      </c>
      <c r="CR9" s="1">
        <f>'Alt. scenario LCY'!AE72</f>
        <v>171.25</v>
      </c>
      <c r="CS9" s="1">
        <f>'Alt. scenario LCY'!AF72</f>
        <v>170</v>
      </c>
      <c r="CT9" s="1">
        <f>'Alt. scenario LCY'!AH72</f>
        <v>168.75</v>
      </c>
      <c r="CU9" s="1">
        <f>'Alt. scenario LCY'!AI72</f>
        <v>167.5</v>
      </c>
      <c r="CV9" s="1">
        <f>'Alt. scenario LCY'!AJ72</f>
        <v>166.25</v>
      </c>
      <c r="CW9" s="1">
        <f>'Alt. scenario LCY'!AK72</f>
        <v>165</v>
      </c>
    </row>
    <row r="10" spans="1:101">
      <c r="A10" s="9" t="s">
        <v>559</v>
      </c>
      <c r="B10" t="s">
        <v>686</v>
      </c>
      <c r="C10">
        <v>1000000000</v>
      </c>
      <c r="U10" t="s">
        <v>692</v>
      </c>
      <c r="V10" s="175">
        <f t="shared" ref="V10:AB10" si="2">V3</f>
        <v>2.3435208953774451E-2</v>
      </c>
      <c r="W10" s="175">
        <f t="shared" si="2"/>
        <v>4.5668612320175855E-2</v>
      </c>
      <c r="X10" s="175">
        <f t="shared" si="2"/>
        <v>6.670021009920421E-2</v>
      </c>
      <c r="Y10" s="175">
        <f t="shared" si="2"/>
        <v>8.6530002290859512E-2</v>
      </c>
      <c r="Z10" s="175">
        <f t="shared" si="2"/>
        <v>0.10515798889514176</v>
      </c>
      <c r="AA10" s="175">
        <f t="shared" si="2"/>
        <v>0.10215347492670915</v>
      </c>
      <c r="AB10" s="175">
        <f t="shared" si="2"/>
        <v>9.9148960958276522E-2</v>
      </c>
      <c r="AS10" t="s">
        <v>693</v>
      </c>
      <c r="AT10" s="1">
        <f>'Key financial and ops fig.s LCY'!D73</f>
        <v>49.6875</v>
      </c>
      <c r="AU10" s="1">
        <f>'Key financial and ops fig.s LCY'!E73</f>
        <v>98.75</v>
      </c>
      <c r="AV10" s="1">
        <f>'Key financial and ops fig.s LCY'!F73</f>
        <v>147.1875</v>
      </c>
      <c r="AW10" s="1">
        <f>'Key financial and ops fig.s LCY'!G73</f>
        <v>195</v>
      </c>
      <c r="AX10" s="1">
        <f>'Key financial and ops fig.s LCY'!I73</f>
        <v>242.1875</v>
      </c>
      <c r="AY10" s="1">
        <f>'Key financial and ops fig.s LCY'!J73</f>
        <v>288.75</v>
      </c>
      <c r="AZ10" s="1">
        <f>'Key financial and ops fig.s LCY'!K73</f>
        <v>334.6875</v>
      </c>
      <c r="BA10" s="1">
        <f>'Key financial and ops fig.s LCY'!L73</f>
        <v>380</v>
      </c>
      <c r="BB10" s="1">
        <f>'Key financial and ops fig.s LCY'!N73</f>
        <v>424.6875</v>
      </c>
      <c r="BC10" s="1">
        <f>'Key financial and ops fig.s LCY'!O73</f>
        <v>468.75</v>
      </c>
      <c r="BD10" s="1">
        <f>'Key financial and ops fig.s LCY'!P73</f>
        <v>512.1875</v>
      </c>
      <c r="BE10" s="1">
        <f>'Key financial and ops fig.s LCY'!Q73</f>
        <v>555</v>
      </c>
      <c r="BF10" s="1">
        <f>'Key financial and ops fig.s LCY'!S73</f>
        <v>597.1875</v>
      </c>
      <c r="BG10" s="1">
        <f>'Key financial and ops fig.s LCY'!T73</f>
        <v>638.75</v>
      </c>
      <c r="BH10" s="1">
        <f>'Key financial and ops fig.s LCY'!U73</f>
        <v>679.6875</v>
      </c>
      <c r="BI10" s="1">
        <f>'Key financial and ops fig.s LCY'!V73</f>
        <v>720</v>
      </c>
      <c r="BJ10" s="1">
        <f>'Key financial and ops fig.s LCY'!X73</f>
        <v>759.6875</v>
      </c>
      <c r="BK10" s="1">
        <f>'Key financial and ops fig.s LCY'!Y73</f>
        <v>798.75</v>
      </c>
      <c r="BL10" s="1">
        <f>'Key financial and ops fig.s LCY'!Z73</f>
        <v>837.1875</v>
      </c>
      <c r="BM10" s="1">
        <f>'Key financial and ops fig.s LCY'!AA73</f>
        <v>875</v>
      </c>
      <c r="BN10" s="1">
        <f>'Key financial and ops fig.s LCY'!AC73</f>
        <v>868.75</v>
      </c>
      <c r="BO10" s="1">
        <f>'Key financial and ops fig.s LCY'!AD73</f>
        <v>862.5</v>
      </c>
      <c r="BP10" s="1">
        <f>'Key financial and ops fig.s LCY'!AE73</f>
        <v>856.25</v>
      </c>
      <c r="BQ10" s="1">
        <f>'Key financial and ops fig.s LCY'!AF73</f>
        <v>850</v>
      </c>
      <c r="BR10" s="1">
        <f>'Key financial and ops fig.s LCY'!AH73</f>
        <v>843.75</v>
      </c>
      <c r="BS10" s="1">
        <f>'Key financial and ops fig.s LCY'!AI73</f>
        <v>837.5</v>
      </c>
      <c r="BT10" s="1">
        <f>'Key financial and ops fig.s LCY'!AJ73</f>
        <v>831.25</v>
      </c>
      <c r="BU10" s="1">
        <f>'Key financial and ops fig.s LCY'!AK73</f>
        <v>825</v>
      </c>
      <c r="BV10" s="1">
        <f>'Alt. scenario LCY'!D73</f>
        <v>49.6875</v>
      </c>
      <c r="BW10" s="1">
        <f>'Alt. scenario LCY'!E73</f>
        <v>98.75</v>
      </c>
      <c r="BX10" s="1">
        <f>'Alt. scenario LCY'!F73</f>
        <v>147.1875</v>
      </c>
      <c r="BY10" s="1">
        <f>'Alt. scenario LCY'!G73</f>
        <v>195</v>
      </c>
      <c r="BZ10" s="1">
        <f>'Alt. scenario LCY'!I73</f>
        <v>242.1875</v>
      </c>
      <c r="CA10" s="1">
        <f>'Alt. scenario LCY'!J73</f>
        <v>288.75</v>
      </c>
      <c r="CB10" s="1">
        <f>'Alt. scenario LCY'!K73</f>
        <v>334.6875</v>
      </c>
      <c r="CC10" s="1">
        <f>'Alt. scenario LCY'!L73</f>
        <v>380</v>
      </c>
      <c r="CD10" s="1">
        <f>'Alt. scenario LCY'!N73</f>
        <v>424.6875</v>
      </c>
      <c r="CE10" s="1">
        <f>'Alt. scenario LCY'!O73</f>
        <v>468.75</v>
      </c>
      <c r="CF10" s="1">
        <f>'Alt. scenario LCY'!P73</f>
        <v>512.1875</v>
      </c>
      <c r="CG10" s="1">
        <f>'Alt. scenario LCY'!Q73</f>
        <v>555</v>
      </c>
      <c r="CH10" s="1">
        <f>'Alt. scenario LCY'!S73</f>
        <v>597.1875</v>
      </c>
      <c r="CI10" s="1">
        <f>'Alt. scenario LCY'!T73</f>
        <v>638.75</v>
      </c>
      <c r="CJ10" s="1">
        <f>'Alt. scenario LCY'!U73</f>
        <v>679.6875</v>
      </c>
      <c r="CK10" s="1">
        <f>'Alt. scenario LCY'!V73</f>
        <v>720</v>
      </c>
      <c r="CL10" s="1">
        <f>'Alt. scenario LCY'!X73</f>
        <v>759.6875</v>
      </c>
      <c r="CM10" s="1">
        <f>'Alt. scenario LCY'!Y73</f>
        <v>798.75</v>
      </c>
      <c r="CN10" s="1">
        <f>'Alt. scenario LCY'!Z73</f>
        <v>837.1875</v>
      </c>
      <c r="CO10" s="1">
        <f>'Alt. scenario LCY'!AA73</f>
        <v>875</v>
      </c>
      <c r="CP10" s="1">
        <f>'Alt. scenario LCY'!AC73</f>
        <v>868.75</v>
      </c>
      <c r="CQ10" s="1">
        <f>'Alt. scenario LCY'!AD73</f>
        <v>862.5</v>
      </c>
      <c r="CR10" s="1">
        <f>'Alt. scenario LCY'!AE73</f>
        <v>856.25</v>
      </c>
      <c r="CS10" s="1">
        <f>'Alt. scenario LCY'!AF73</f>
        <v>850</v>
      </c>
      <c r="CT10" s="1">
        <f>'Alt. scenario LCY'!AH73</f>
        <v>843.75</v>
      </c>
      <c r="CU10" s="1">
        <f>'Alt. scenario LCY'!AI73</f>
        <v>837.5</v>
      </c>
      <c r="CV10" s="1">
        <f>'Alt. scenario LCY'!AJ73</f>
        <v>831.25</v>
      </c>
      <c r="CW10" s="1">
        <f>'Alt. scenario LCY'!AK73</f>
        <v>825</v>
      </c>
    </row>
    <row r="11" spans="1:101">
      <c r="A11" s="9" t="s">
        <v>557</v>
      </c>
      <c r="U11" t="s">
        <v>694</v>
      </c>
      <c r="V11" s="175">
        <f>'Alt. scenario LCY'!H65</f>
        <v>2.3435208953774451E-2</v>
      </c>
      <c r="W11" s="175">
        <f>'Alt. scenario LCY'!M65</f>
        <v>4.5668612320175855E-2</v>
      </c>
      <c r="X11" s="175">
        <f>'Alt. scenario LCY'!R65</f>
        <v>6.670021009920421E-2</v>
      </c>
      <c r="Y11" s="175">
        <f>'Alt. scenario LCY'!W65</f>
        <v>8.6530002290859512E-2</v>
      </c>
      <c r="Z11" s="175">
        <f>'Alt. scenario LCY'!AB65</f>
        <v>0.10515798889514176</v>
      </c>
      <c r="AA11" s="175">
        <f>'Alt. scenario LCY'!AG65</f>
        <v>0.10215347492670915</v>
      </c>
      <c r="AB11" s="175">
        <f>'Alt. scenario LCY'!AL65</f>
        <v>9.9148960958276522E-2</v>
      </c>
      <c r="AS11" t="s">
        <v>310</v>
      </c>
      <c r="AT11" s="1">
        <f>'Key financial and ops fig.s LCY'!D74</f>
        <v>248.4375</v>
      </c>
      <c r="AU11" s="1">
        <f>'Key financial and ops fig.s LCY'!E74</f>
        <v>493.75</v>
      </c>
      <c r="AV11" s="1">
        <f>'Key financial and ops fig.s LCY'!F74</f>
        <v>735.9375</v>
      </c>
      <c r="AW11" s="1">
        <f>'Key financial and ops fig.s LCY'!G74</f>
        <v>975</v>
      </c>
      <c r="AX11" s="1">
        <f>'Key financial and ops fig.s LCY'!I74</f>
        <v>1210.9375</v>
      </c>
      <c r="AY11" s="1">
        <f>'Key financial and ops fig.s LCY'!J74</f>
        <v>1443.75</v>
      </c>
      <c r="AZ11" s="1">
        <f>'Key financial and ops fig.s LCY'!K74</f>
        <v>1673.4375</v>
      </c>
      <c r="BA11" s="1">
        <f>'Key financial and ops fig.s LCY'!L74</f>
        <v>1900</v>
      </c>
      <c r="BB11" s="1">
        <f>'Key financial and ops fig.s LCY'!N74</f>
        <v>2123.4375</v>
      </c>
      <c r="BC11" s="1">
        <f>'Key financial and ops fig.s LCY'!O74</f>
        <v>2343.75</v>
      </c>
      <c r="BD11" s="1">
        <f>'Key financial and ops fig.s LCY'!P74</f>
        <v>2560.9375</v>
      </c>
      <c r="BE11" s="1">
        <f>'Key financial and ops fig.s LCY'!Q74</f>
        <v>2775</v>
      </c>
      <c r="BF11" s="1">
        <f>'Key financial and ops fig.s LCY'!S74</f>
        <v>2985.9375</v>
      </c>
      <c r="BG11" s="1">
        <f>'Key financial and ops fig.s LCY'!T74</f>
        <v>3193.75</v>
      </c>
      <c r="BH11" s="1">
        <f>'Key financial and ops fig.s LCY'!U74</f>
        <v>3398.4375</v>
      </c>
      <c r="BI11" s="1">
        <f>'Key financial and ops fig.s LCY'!V74</f>
        <v>3600</v>
      </c>
      <c r="BJ11" s="1">
        <f>'Key financial and ops fig.s LCY'!X74</f>
        <v>3798.4375</v>
      </c>
      <c r="BK11" s="1">
        <f>'Key financial and ops fig.s LCY'!Y74</f>
        <v>3993.75</v>
      </c>
      <c r="BL11" s="1">
        <f>'Key financial and ops fig.s LCY'!Z74</f>
        <v>4185.9375</v>
      </c>
      <c r="BM11" s="1">
        <f>'Key financial and ops fig.s LCY'!AA74</f>
        <v>4375</v>
      </c>
      <c r="BN11" s="1">
        <f>'Key financial and ops fig.s LCY'!AC74</f>
        <v>4343.75</v>
      </c>
      <c r="BO11" s="1">
        <f>'Key financial and ops fig.s LCY'!AD74</f>
        <v>4312.5</v>
      </c>
      <c r="BP11" s="1">
        <f>'Key financial and ops fig.s LCY'!AE74</f>
        <v>4281.25</v>
      </c>
      <c r="BQ11" s="1">
        <f>'Key financial and ops fig.s LCY'!AF74</f>
        <v>4250</v>
      </c>
      <c r="BR11" s="1">
        <f>'Key financial and ops fig.s LCY'!AH74</f>
        <v>4218.75</v>
      </c>
      <c r="BS11" s="1">
        <f>'Key financial and ops fig.s LCY'!AI74</f>
        <v>4187.5</v>
      </c>
      <c r="BT11" s="1">
        <f>'Key financial and ops fig.s LCY'!AJ74</f>
        <v>4156.25</v>
      </c>
      <c r="BU11" s="1">
        <f>'Key financial and ops fig.s LCY'!AK74</f>
        <v>4125</v>
      </c>
      <c r="BV11" s="1">
        <f>'Alt. scenario LCY'!D74</f>
        <v>248.4375</v>
      </c>
      <c r="BW11" s="1">
        <f>'Alt. scenario LCY'!E74</f>
        <v>493.75</v>
      </c>
      <c r="BX11" s="1">
        <f>'Alt. scenario LCY'!F74</f>
        <v>735.9375</v>
      </c>
      <c r="BY11" s="1">
        <f>'Alt. scenario LCY'!G74</f>
        <v>975</v>
      </c>
      <c r="BZ11" s="1">
        <f>'Alt. scenario LCY'!I74</f>
        <v>1210.9375</v>
      </c>
      <c r="CA11" s="1">
        <f>'Alt. scenario LCY'!J74</f>
        <v>1443.75</v>
      </c>
      <c r="CB11" s="1">
        <f>'Alt. scenario LCY'!K74</f>
        <v>1673.4375</v>
      </c>
      <c r="CC11" s="1">
        <f>'Alt. scenario LCY'!L74</f>
        <v>1900</v>
      </c>
      <c r="CD11" s="1">
        <f>'Alt. scenario LCY'!N74</f>
        <v>2123.4375</v>
      </c>
      <c r="CE11" s="1">
        <f>'Alt. scenario LCY'!O74</f>
        <v>2343.75</v>
      </c>
      <c r="CF11" s="1">
        <f>'Alt. scenario LCY'!P74</f>
        <v>2560.9375</v>
      </c>
      <c r="CG11" s="1">
        <f>'Alt. scenario LCY'!Q74</f>
        <v>2775</v>
      </c>
      <c r="CH11" s="1">
        <f>'Alt. scenario LCY'!S74</f>
        <v>2985.9375</v>
      </c>
      <c r="CI11" s="1">
        <f>'Alt. scenario LCY'!T74</f>
        <v>3193.75</v>
      </c>
      <c r="CJ11" s="1">
        <f>'Alt. scenario LCY'!U74</f>
        <v>3398.4375</v>
      </c>
      <c r="CK11" s="1">
        <f>'Alt. scenario LCY'!V74</f>
        <v>3600</v>
      </c>
      <c r="CL11" s="1">
        <f>'Alt. scenario LCY'!X74</f>
        <v>3798.4375</v>
      </c>
      <c r="CM11" s="1">
        <f>'Alt. scenario LCY'!Y74</f>
        <v>3993.75</v>
      </c>
      <c r="CN11" s="1">
        <f>'Alt. scenario LCY'!Z74</f>
        <v>4185.9375</v>
      </c>
      <c r="CO11" s="1">
        <f>'Alt. scenario LCY'!AA74</f>
        <v>4375</v>
      </c>
      <c r="CP11" s="1">
        <f>'Alt. scenario LCY'!AC74</f>
        <v>4343.75</v>
      </c>
      <c r="CQ11" s="1">
        <f>'Alt. scenario LCY'!AD74</f>
        <v>4312.5</v>
      </c>
      <c r="CR11" s="1">
        <f>'Alt. scenario LCY'!AE74</f>
        <v>4281.25</v>
      </c>
      <c r="CS11" s="1">
        <f>'Alt. scenario LCY'!AF74</f>
        <v>4250</v>
      </c>
      <c r="CT11" s="1">
        <f>'Alt. scenario LCY'!AH74</f>
        <v>4218.75</v>
      </c>
      <c r="CU11" s="1">
        <f>'Alt. scenario LCY'!AI74</f>
        <v>4187.5</v>
      </c>
      <c r="CV11" s="1">
        <f>'Alt. scenario LCY'!AJ74</f>
        <v>4156.25</v>
      </c>
      <c r="CW11" s="1">
        <f>'Alt. scenario LCY'!AK74</f>
        <v>4125</v>
      </c>
    </row>
    <row r="12" spans="1:101">
      <c r="A12" s="9" t="s">
        <v>555</v>
      </c>
      <c r="U12" t="s">
        <v>695</v>
      </c>
      <c r="V12" s="175">
        <f t="shared" ref="V12:AB12" si="3">V4</f>
        <v>3.8531419189523519E-2</v>
      </c>
      <c r="W12" s="175">
        <f t="shared" si="3"/>
        <v>7.5086868164199669E-2</v>
      </c>
      <c r="X12" s="175">
        <f t="shared" si="3"/>
        <v>0.10966634692402848</v>
      </c>
      <c r="Y12" s="175">
        <f t="shared" si="3"/>
        <v>0.14226985546900991</v>
      </c>
      <c r="Z12" s="175">
        <f t="shared" si="3"/>
        <v>0.17289739379914398</v>
      </c>
      <c r="AA12" s="175">
        <f t="shared" si="3"/>
        <v>0.16795746826202559</v>
      </c>
      <c r="AB12" s="175">
        <f t="shared" si="3"/>
        <v>0.16301754272490718</v>
      </c>
      <c r="AS12" t="s">
        <v>696</v>
      </c>
      <c r="AT12" s="1">
        <f>'Key financial and ops fig.s LCY'!D75</f>
        <v>1987.5</v>
      </c>
      <c r="AU12" s="1">
        <f>'Key financial and ops fig.s LCY'!E75</f>
        <v>3950</v>
      </c>
      <c r="AV12" s="1">
        <f>'Key financial and ops fig.s LCY'!F75</f>
        <v>5887.5</v>
      </c>
      <c r="AW12" s="1">
        <f>'Key financial and ops fig.s LCY'!G75</f>
        <v>7800</v>
      </c>
      <c r="AX12" s="1">
        <f>'Key financial and ops fig.s LCY'!I75</f>
        <v>9687.5</v>
      </c>
      <c r="AY12" s="1">
        <f>'Key financial and ops fig.s LCY'!J75</f>
        <v>11550</v>
      </c>
      <c r="AZ12" s="1">
        <f>'Key financial and ops fig.s LCY'!K75</f>
        <v>13387.5</v>
      </c>
      <c r="BA12" s="1">
        <f>'Key financial and ops fig.s LCY'!L75</f>
        <v>15200</v>
      </c>
      <c r="BB12" s="1">
        <f>'Key financial and ops fig.s LCY'!N75</f>
        <v>16987.5</v>
      </c>
      <c r="BC12" s="1">
        <f>'Key financial and ops fig.s LCY'!O75</f>
        <v>18750</v>
      </c>
      <c r="BD12" s="1">
        <f>'Key financial and ops fig.s LCY'!P75</f>
        <v>20487.5</v>
      </c>
      <c r="BE12" s="1">
        <f>'Key financial and ops fig.s LCY'!Q75</f>
        <v>22200</v>
      </c>
      <c r="BF12" s="1">
        <f>'Key financial and ops fig.s LCY'!S75</f>
        <v>23887.5</v>
      </c>
      <c r="BG12" s="1">
        <f>'Key financial and ops fig.s LCY'!T75</f>
        <v>25550</v>
      </c>
      <c r="BH12" s="1">
        <f>'Key financial and ops fig.s LCY'!U75</f>
        <v>27187.5</v>
      </c>
      <c r="BI12" s="1">
        <f>'Key financial and ops fig.s LCY'!V75</f>
        <v>28800</v>
      </c>
      <c r="BJ12" s="1">
        <f>'Key financial and ops fig.s LCY'!X75</f>
        <v>30387.5</v>
      </c>
      <c r="BK12" s="1">
        <f>'Key financial and ops fig.s LCY'!Y75</f>
        <v>31950</v>
      </c>
      <c r="BL12" s="1">
        <f>'Key financial and ops fig.s LCY'!Z75</f>
        <v>33487.5</v>
      </c>
      <c r="BM12" s="1">
        <f>'Key financial and ops fig.s LCY'!AA75</f>
        <v>35000</v>
      </c>
      <c r="BN12" s="1">
        <f>'Key financial and ops fig.s LCY'!AC75</f>
        <v>34750</v>
      </c>
      <c r="BO12" s="1">
        <f>'Key financial and ops fig.s LCY'!AD75</f>
        <v>34500</v>
      </c>
      <c r="BP12" s="1">
        <f>'Key financial and ops fig.s LCY'!AE75</f>
        <v>34250</v>
      </c>
      <c r="BQ12" s="1">
        <f>'Key financial and ops fig.s LCY'!AF75</f>
        <v>34000</v>
      </c>
      <c r="BR12" s="1">
        <f>'Key financial and ops fig.s LCY'!AH75</f>
        <v>33750</v>
      </c>
      <c r="BS12" s="1">
        <f>'Key financial and ops fig.s LCY'!AI75</f>
        <v>33500</v>
      </c>
      <c r="BT12" s="1">
        <f>'Key financial and ops fig.s LCY'!AJ75</f>
        <v>33250</v>
      </c>
      <c r="BU12" s="1">
        <f>'Key financial and ops fig.s LCY'!AK75</f>
        <v>33000</v>
      </c>
      <c r="BV12" s="1">
        <f>'Alt. scenario LCY'!D75</f>
        <v>1987.5</v>
      </c>
      <c r="BW12" s="1">
        <f>'Alt. scenario LCY'!E75</f>
        <v>3950</v>
      </c>
      <c r="BX12" s="1">
        <f>'Alt. scenario LCY'!F75</f>
        <v>5887.5</v>
      </c>
      <c r="BY12" s="1">
        <f>'Alt. scenario LCY'!G75</f>
        <v>7800</v>
      </c>
      <c r="BZ12" s="1">
        <f>'Alt. scenario LCY'!I75</f>
        <v>9687.5</v>
      </c>
      <c r="CA12" s="1">
        <f>'Alt. scenario LCY'!J75</f>
        <v>11550</v>
      </c>
      <c r="CB12" s="1">
        <f>'Alt. scenario LCY'!K75</f>
        <v>13387.5</v>
      </c>
      <c r="CC12" s="1">
        <f>'Alt. scenario LCY'!L75</f>
        <v>15200</v>
      </c>
      <c r="CD12" s="1">
        <f>'Alt. scenario LCY'!N75</f>
        <v>16987.5</v>
      </c>
      <c r="CE12" s="1">
        <f>'Alt. scenario LCY'!O75</f>
        <v>18750</v>
      </c>
      <c r="CF12" s="1">
        <f>'Alt. scenario LCY'!P75</f>
        <v>20487.5</v>
      </c>
      <c r="CG12" s="1">
        <f>'Alt. scenario LCY'!Q75</f>
        <v>22200</v>
      </c>
      <c r="CH12" s="1">
        <f>'Alt. scenario LCY'!S75</f>
        <v>23887.5</v>
      </c>
      <c r="CI12" s="1">
        <f>'Alt. scenario LCY'!T75</f>
        <v>25550</v>
      </c>
      <c r="CJ12" s="1">
        <f>'Alt. scenario LCY'!U75</f>
        <v>27187.5</v>
      </c>
      <c r="CK12" s="1">
        <f>'Alt. scenario LCY'!V75</f>
        <v>28800</v>
      </c>
      <c r="CL12" s="1">
        <f>'Alt. scenario LCY'!X75</f>
        <v>30387.5</v>
      </c>
      <c r="CM12" s="1">
        <f>'Alt. scenario LCY'!Y75</f>
        <v>31950</v>
      </c>
      <c r="CN12" s="1">
        <f>'Alt. scenario LCY'!Z75</f>
        <v>33487.5</v>
      </c>
      <c r="CO12" s="1">
        <f>'Alt. scenario LCY'!AA75</f>
        <v>35000</v>
      </c>
      <c r="CP12" s="1">
        <f>'Alt. scenario LCY'!AC75</f>
        <v>34750</v>
      </c>
      <c r="CQ12" s="1">
        <f>'Alt. scenario LCY'!AD75</f>
        <v>34500</v>
      </c>
      <c r="CR12" s="1">
        <f>'Alt. scenario LCY'!AE75</f>
        <v>34250</v>
      </c>
      <c r="CS12" s="1">
        <f>'Alt. scenario LCY'!AF75</f>
        <v>34000</v>
      </c>
      <c r="CT12" s="1">
        <f>'Alt. scenario LCY'!AH75</f>
        <v>33750</v>
      </c>
      <c r="CU12" s="1">
        <f>'Alt. scenario LCY'!AI75</f>
        <v>33500</v>
      </c>
      <c r="CV12" s="1">
        <f>'Alt. scenario LCY'!AJ75</f>
        <v>33250</v>
      </c>
      <c r="CW12" s="1">
        <f>'Alt. scenario LCY'!AK75</f>
        <v>33000</v>
      </c>
    </row>
    <row r="13" spans="1:101">
      <c r="A13" s="9" t="s">
        <v>432</v>
      </c>
      <c r="U13" t="s">
        <v>697</v>
      </c>
      <c r="V13" s="175">
        <f>'Alt. scenario LCY'!H66</f>
        <v>3.8531419189523519E-2</v>
      </c>
      <c r="W13" s="175">
        <f>'Alt. scenario LCY'!M66</f>
        <v>7.5086868164199669E-2</v>
      </c>
      <c r="X13" s="175">
        <f>'Alt. scenario LCY'!R66</f>
        <v>0.10966634692402848</v>
      </c>
      <c r="Y13" s="175">
        <f>'Alt. scenario LCY'!W66</f>
        <v>0.14226985546900991</v>
      </c>
      <c r="Z13" s="175">
        <f>'Alt. scenario LCY'!AB66</f>
        <v>0.17289739379914398</v>
      </c>
      <c r="AA13" s="175">
        <f>'Alt. scenario LCY'!AG66</f>
        <v>0.16795746826202559</v>
      </c>
      <c r="AB13" s="175">
        <f>'Alt. scenario LCY'!AL66</f>
        <v>0.16301754272490718</v>
      </c>
    </row>
    <row r="14" spans="1:101">
      <c r="A14" s="9" t="s">
        <v>426</v>
      </c>
      <c r="U14" t="s">
        <v>698</v>
      </c>
      <c r="V14" s="175">
        <f t="shared" ref="V14:AB14" si="4">V5</f>
        <v>3.7054662613721145E-2</v>
      </c>
      <c r="W14" s="175">
        <f t="shared" si="4"/>
        <v>7.2209086119046334E-2</v>
      </c>
      <c r="X14" s="175">
        <f t="shared" si="4"/>
        <v>0.10546327051597557</v>
      </c>
      <c r="Y14" s="175">
        <f t="shared" si="4"/>
        <v>0.13681721580450884</v>
      </c>
      <c r="Z14" s="175">
        <f t="shared" si="4"/>
        <v>0.16627092198464616</v>
      </c>
      <c r="AA14" s="175">
        <f t="shared" si="4"/>
        <v>0.16152032421365628</v>
      </c>
      <c r="AB14" s="175">
        <f t="shared" si="4"/>
        <v>0.1567697264426664</v>
      </c>
    </row>
    <row r="15" spans="1:101">
      <c r="A15" s="9" t="s">
        <v>420</v>
      </c>
      <c r="U15" t="s">
        <v>699</v>
      </c>
      <c r="V15" s="175">
        <f>'Alt. scenario LCY'!H67</f>
        <v>3.7054662613721145E-2</v>
      </c>
      <c r="W15" s="175">
        <f>'Alt. scenario LCY'!M67</f>
        <v>7.2209086119046334E-2</v>
      </c>
      <c r="X15" s="175">
        <f>'Alt. scenario LCY'!R67</f>
        <v>0.10546327051597557</v>
      </c>
      <c r="Y15" s="175">
        <f>'Alt. scenario LCY'!W67</f>
        <v>0.13681721580450884</v>
      </c>
      <c r="Z15" s="175">
        <f>'Alt. scenario LCY'!AB67</f>
        <v>0.16627092198464616</v>
      </c>
      <c r="AA15" s="175">
        <f>'Alt. scenario LCY'!AG67</f>
        <v>0.16152032421365628</v>
      </c>
      <c r="AB15" s="175">
        <f>'Alt. scenario LCY'!AL67</f>
        <v>0.1567697264426664</v>
      </c>
    </row>
    <row r="16" spans="1:101">
      <c r="A16" s="9" t="s">
        <v>428</v>
      </c>
    </row>
    <row r="17" spans="1:51">
      <c r="A17" s="9" t="s">
        <v>553</v>
      </c>
    </row>
    <row r="18" spans="1:51">
      <c r="A18" s="9" t="s">
        <v>565</v>
      </c>
    </row>
    <row r="19" spans="1:51">
      <c r="A19" s="9" t="s">
        <v>561</v>
      </c>
    </row>
    <row r="20" spans="1:51">
      <c r="A20" s="9" t="s">
        <v>350</v>
      </c>
      <c r="N20" s="266" t="s">
        <v>209</v>
      </c>
      <c r="O20" s="266"/>
      <c r="P20" s="266"/>
      <c r="Q20" s="266"/>
      <c r="R20" s="266"/>
      <c r="S20" s="266"/>
      <c r="T20" s="266"/>
      <c r="U20" s="266" t="s">
        <v>210</v>
      </c>
      <c r="V20" s="266"/>
      <c r="W20" s="266"/>
      <c r="X20" s="266"/>
      <c r="Y20" s="266"/>
      <c r="Z20" s="266"/>
      <c r="AA20" s="266"/>
      <c r="AD20" s="266" t="s">
        <v>218</v>
      </c>
      <c r="AE20" s="266"/>
      <c r="AF20" s="266" t="s">
        <v>223</v>
      </c>
      <c r="AG20" s="266"/>
      <c r="AH20" s="266" t="s">
        <v>228</v>
      </c>
      <c r="AI20" s="266"/>
      <c r="AJ20" s="266" t="s">
        <v>233</v>
      </c>
      <c r="AK20" s="266"/>
      <c r="AL20" s="266" t="s">
        <v>238</v>
      </c>
      <c r="AM20" s="266"/>
      <c r="AN20" s="266" t="s">
        <v>243</v>
      </c>
      <c r="AO20" s="266"/>
      <c r="AP20" s="266" t="s">
        <v>248</v>
      </c>
      <c r="AQ20" s="266"/>
    </row>
    <row r="21" spans="1:51">
      <c r="A21" s="9" t="s">
        <v>434</v>
      </c>
      <c r="N21" t="s">
        <v>218</v>
      </c>
      <c r="O21" t="s">
        <v>223</v>
      </c>
      <c r="P21" t="s">
        <v>228</v>
      </c>
      <c r="Q21" t="s">
        <v>233</v>
      </c>
      <c r="R21" t="s">
        <v>238</v>
      </c>
      <c r="S21" t="s">
        <v>243</v>
      </c>
      <c r="T21" t="s">
        <v>248</v>
      </c>
      <c r="U21" t="s">
        <v>218</v>
      </c>
      <c r="V21" t="s">
        <v>223</v>
      </c>
      <c r="W21" t="s">
        <v>228</v>
      </c>
      <c r="X21" t="s">
        <v>233</v>
      </c>
      <c r="Y21" t="s">
        <v>238</v>
      </c>
      <c r="Z21" t="s">
        <v>243</v>
      </c>
      <c r="AA21" t="s">
        <v>248</v>
      </c>
      <c r="AD21" t="s">
        <v>209</v>
      </c>
      <c r="AE21" t="s">
        <v>210</v>
      </c>
      <c r="AF21" t="s">
        <v>209</v>
      </c>
      <c r="AG21" t="s">
        <v>210</v>
      </c>
      <c r="AH21" t="s">
        <v>209</v>
      </c>
      <c r="AI21" t="s">
        <v>210</v>
      </c>
      <c r="AJ21" t="s">
        <v>209</v>
      </c>
      <c r="AK21" t="s">
        <v>210</v>
      </c>
      <c r="AL21" t="s">
        <v>209</v>
      </c>
      <c r="AM21" t="s">
        <v>210</v>
      </c>
      <c r="AN21" t="s">
        <v>209</v>
      </c>
      <c r="AO21" t="s">
        <v>210</v>
      </c>
      <c r="AP21" t="s">
        <v>209</v>
      </c>
      <c r="AQ21" t="s">
        <v>210</v>
      </c>
    </row>
    <row r="22" spans="1:51">
      <c r="A22" s="9" t="s">
        <v>430</v>
      </c>
      <c r="M22" t="s">
        <v>312</v>
      </c>
      <c r="N22" s="1">
        <f t="shared" ref="N22:T24" si="5">N2</f>
        <v>4875000000</v>
      </c>
      <c r="O22" s="1">
        <f t="shared" si="5"/>
        <v>9500000000</v>
      </c>
      <c r="P22" s="1">
        <f t="shared" si="5"/>
        <v>13875000000</v>
      </c>
      <c r="Q22" s="1">
        <f t="shared" si="5"/>
        <v>18000000000</v>
      </c>
      <c r="R22" s="1">
        <f t="shared" si="5"/>
        <v>21875000000</v>
      </c>
      <c r="S22" s="1">
        <f t="shared" si="5"/>
        <v>21250000000</v>
      </c>
      <c r="T22" s="1">
        <f t="shared" si="5"/>
        <v>20625000000</v>
      </c>
      <c r="U22" s="1">
        <f>'Alt. scenario LCY'!H76</f>
        <v>4875000000</v>
      </c>
      <c r="V22" s="1">
        <f>'Alt. scenario LCY'!M76</f>
        <v>9500000000</v>
      </c>
      <c r="W22" s="1">
        <f>'Alt. scenario LCY'!R76</f>
        <v>13875000000</v>
      </c>
      <c r="X22" s="1">
        <f>'Alt. scenario LCY'!W76</f>
        <v>18000000000</v>
      </c>
      <c r="Y22" s="1">
        <f>'Alt. scenario LCY'!AB76</f>
        <v>21875000000</v>
      </c>
      <c r="Z22" s="1">
        <f>'Alt. scenario LCY'!AG76</f>
        <v>21250000000</v>
      </c>
      <c r="AA22" s="1">
        <f>'Alt. scenario LCY'!AL76</f>
        <v>20625000000</v>
      </c>
      <c r="AC22" t="s">
        <v>682</v>
      </c>
      <c r="AD22" s="140">
        <f>AD2</f>
        <v>3.5</v>
      </c>
      <c r="AE22" s="1">
        <f>'Alt. scenario LCY'!H86</f>
        <v>3.5</v>
      </c>
      <c r="AF22" s="140">
        <f>AE2</f>
        <v>7.5</v>
      </c>
      <c r="AG22" s="1">
        <f>'Alt. scenario LCY'!M86</f>
        <v>7.5</v>
      </c>
      <c r="AH22" s="140">
        <f>AF2</f>
        <v>11.5</v>
      </c>
      <c r="AI22" s="1">
        <f>'Alt. scenario LCY'!R86</f>
        <v>11.5</v>
      </c>
      <c r="AJ22" s="140">
        <f>AG2</f>
        <v>15.5</v>
      </c>
      <c r="AK22" s="1">
        <f>'Alt. scenario LCY'!W86</f>
        <v>15.5</v>
      </c>
      <c r="AL22" s="140">
        <f>AH2</f>
        <v>19.5</v>
      </c>
      <c r="AM22" s="1">
        <f>'Alt. scenario LCY'!AB86</f>
        <v>19.5</v>
      </c>
      <c r="AN22" s="140">
        <f>AI2</f>
        <v>20.25</v>
      </c>
      <c r="AO22" s="1">
        <f>'Alt. scenario LCY'!AG86</f>
        <v>20.25</v>
      </c>
      <c r="AP22" s="140">
        <f>AJ2</f>
        <v>20</v>
      </c>
      <c r="AQ22" s="1">
        <f>'Alt. scenario LCY'!AL86</f>
        <v>20</v>
      </c>
    </row>
    <row r="23" spans="1:51">
      <c r="A23" s="9" t="s">
        <v>563</v>
      </c>
      <c r="M23" t="s">
        <v>313</v>
      </c>
      <c r="N23" s="1">
        <f t="shared" si="5"/>
        <v>4504500000</v>
      </c>
      <c r="O23" s="1">
        <f t="shared" si="5"/>
        <v>8778000000</v>
      </c>
      <c r="P23" s="1">
        <f t="shared" si="5"/>
        <v>12820500000</v>
      </c>
      <c r="Q23" s="1">
        <f t="shared" si="5"/>
        <v>16632000000</v>
      </c>
      <c r="R23" s="1">
        <f t="shared" si="5"/>
        <v>20212500000</v>
      </c>
      <c r="S23" s="1">
        <f t="shared" si="5"/>
        <v>19635000000</v>
      </c>
      <c r="T23" s="1">
        <f t="shared" si="5"/>
        <v>19057500000</v>
      </c>
      <c r="U23" s="1">
        <f>'Alt. scenario LCY'!H77</f>
        <v>4504500000</v>
      </c>
      <c r="V23" s="1">
        <f>'Alt. scenario LCY'!M77</f>
        <v>8778000000</v>
      </c>
      <c r="W23" s="1">
        <f>'Alt. scenario LCY'!R77</f>
        <v>12820500000</v>
      </c>
      <c r="X23" s="1">
        <f>'Alt. scenario LCY'!W77</f>
        <v>16632000000</v>
      </c>
      <c r="Y23" s="1">
        <f>'Alt. scenario LCY'!AB77</f>
        <v>20212500000</v>
      </c>
      <c r="Z23" s="1">
        <f>'Alt. scenario LCY'!AG77</f>
        <v>19635000000</v>
      </c>
      <c r="AA23" s="1">
        <f>'Alt. scenario LCY'!AL77</f>
        <v>19057500000</v>
      </c>
      <c r="AC23" t="s">
        <v>700</v>
      </c>
      <c r="AD23" s="140">
        <f>AD3</f>
        <v>28.333593750000002</v>
      </c>
      <c r="AE23" s="1">
        <f>'Alt. scenario LCY'!H85</f>
        <v>28.333593750000002</v>
      </c>
      <c r="AF23" s="140">
        <f>AE3</f>
        <v>71.934843749999999</v>
      </c>
      <c r="AG23" s="1">
        <f>'Alt. scenario LCY'!M85</f>
        <v>71.934843749999999</v>
      </c>
      <c r="AH23" s="140">
        <f>AF3</f>
        <v>113.22609375000002</v>
      </c>
      <c r="AI23" s="1">
        <f>'Alt. scenario LCY'!R85</f>
        <v>113.22609375000002</v>
      </c>
      <c r="AJ23" s="140">
        <f>AG3</f>
        <v>152.20734375000001</v>
      </c>
      <c r="AK23" s="1">
        <f>'Alt. scenario LCY'!W85</f>
        <v>152.20734375000001</v>
      </c>
      <c r="AL23" s="140">
        <f>AH3</f>
        <v>188.87859374999999</v>
      </c>
      <c r="AM23" s="1">
        <f>'Alt. scenario LCY'!AB85</f>
        <v>188.87859374999999</v>
      </c>
      <c r="AN23" s="140">
        <f>AI3</f>
        <v>198.51562500000003</v>
      </c>
      <c r="AO23" s="1">
        <f>'Alt. scenario LCY'!AG85</f>
        <v>198.51562500000003</v>
      </c>
      <c r="AP23" s="140">
        <f>AJ3</f>
        <v>192.74062500000002</v>
      </c>
      <c r="AQ23" s="1">
        <f>'Alt. scenario LCY'!AL85</f>
        <v>192.74062500000002</v>
      </c>
    </row>
    <row r="24" spans="1:51">
      <c r="A24" s="9" t="s">
        <v>424</v>
      </c>
      <c r="M24" t="s">
        <v>314</v>
      </c>
      <c r="N24" s="1">
        <f t="shared" si="5"/>
        <v>450450000</v>
      </c>
      <c r="O24" s="1">
        <f t="shared" si="5"/>
        <v>877800000</v>
      </c>
      <c r="P24" s="1">
        <f t="shared" si="5"/>
        <v>1282050000</v>
      </c>
      <c r="Q24" s="1">
        <f t="shared" si="5"/>
        <v>1663200000</v>
      </c>
      <c r="R24" s="1">
        <f t="shared" si="5"/>
        <v>2021250000</v>
      </c>
      <c r="S24" s="1">
        <f t="shared" si="5"/>
        <v>1963500000</v>
      </c>
      <c r="T24" s="1">
        <f t="shared" si="5"/>
        <v>1905750000</v>
      </c>
      <c r="U24" s="1">
        <f>'Alt. scenario LCY'!H78</f>
        <v>450450000</v>
      </c>
      <c r="V24" s="1">
        <f>'Alt. scenario LCY'!M78</f>
        <v>877800000</v>
      </c>
      <c r="W24" s="1">
        <f>'Alt. scenario LCY'!R78</f>
        <v>1282050000</v>
      </c>
      <c r="X24" s="1">
        <f>'Alt. scenario LCY'!W78</f>
        <v>1663200000</v>
      </c>
      <c r="Y24" s="1">
        <f>'Alt. scenario LCY'!AB78</f>
        <v>2021250000</v>
      </c>
      <c r="Z24" s="1">
        <f>'Alt. scenario LCY'!AG78</f>
        <v>1963500000</v>
      </c>
      <c r="AA24" s="1">
        <f>'Alt. scenario LCY'!AL78</f>
        <v>1905750000</v>
      </c>
    </row>
    <row r="25" spans="1:51">
      <c r="A25" s="9" t="s">
        <v>422</v>
      </c>
      <c r="AL25" s="266" t="s">
        <v>218</v>
      </c>
      <c r="AM25" s="266"/>
      <c r="AN25" s="266" t="s">
        <v>223</v>
      </c>
      <c r="AO25" s="266"/>
      <c r="AP25" s="266" t="s">
        <v>228</v>
      </c>
      <c r="AQ25" s="266"/>
      <c r="AR25" s="266" t="s">
        <v>233</v>
      </c>
      <c r="AS25" s="266"/>
      <c r="AT25" s="266" t="s">
        <v>238</v>
      </c>
      <c r="AU25" s="266"/>
      <c r="AV25" s="266" t="s">
        <v>243</v>
      </c>
      <c r="AW25" s="266"/>
      <c r="AX25" s="266" t="s">
        <v>248</v>
      </c>
      <c r="AY25" s="266"/>
    </row>
    <row r="26" spans="1:51">
      <c r="A26" s="9" t="s">
        <v>551</v>
      </c>
      <c r="AL26" t="s">
        <v>209</v>
      </c>
      <c r="AM26" t="s">
        <v>210</v>
      </c>
      <c r="AN26" t="s">
        <v>209</v>
      </c>
      <c r="AO26" t="s">
        <v>210</v>
      </c>
      <c r="AP26" t="s">
        <v>209</v>
      </c>
      <c r="AQ26" t="s">
        <v>210</v>
      </c>
      <c r="AR26" t="s">
        <v>209</v>
      </c>
      <c r="AS26" t="s">
        <v>210</v>
      </c>
      <c r="AT26" t="s">
        <v>209</v>
      </c>
      <c r="AU26" t="s">
        <v>210</v>
      </c>
      <c r="AV26" t="s">
        <v>209</v>
      </c>
      <c r="AW26" t="s">
        <v>210</v>
      </c>
      <c r="AX26" t="s">
        <v>209</v>
      </c>
      <c r="AY26" t="s">
        <v>210</v>
      </c>
    </row>
    <row r="27" spans="1:51">
      <c r="A27" s="9" t="s">
        <v>573</v>
      </c>
      <c r="AK27" t="s">
        <v>701</v>
      </c>
      <c r="AL27" s="140">
        <f>AL2</f>
        <v>14.75</v>
      </c>
      <c r="AM27" s="1">
        <f>'Alt. scenario LCY'!H87</f>
        <v>14.75</v>
      </c>
      <c r="AN27" s="140">
        <f>AM2</f>
        <v>36.25</v>
      </c>
      <c r="AO27" s="1">
        <f>'Alt. scenario LCY'!M87</f>
        <v>36.25</v>
      </c>
      <c r="AP27" s="140">
        <f>AN2</f>
        <v>57.5</v>
      </c>
      <c r="AQ27" s="1">
        <f>'Alt. scenario LCY'!R87</f>
        <v>57.5</v>
      </c>
      <c r="AR27" s="140">
        <f>AO2</f>
        <v>76.5</v>
      </c>
      <c r="AS27" s="1">
        <f>'Alt. scenario LCY'!W87</f>
        <v>76.5</v>
      </c>
      <c r="AT27" s="140">
        <f>AP2</f>
        <v>95</v>
      </c>
      <c r="AU27" s="1">
        <f>'Alt. scenario LCY'!AB87</f>
        <v>95</v>
      </c>
      <c r="AV27" s="140">
        <f>AQ2</f>
        <v>99.75</v>
      </c>
      <c r="AW27" s="1">
        <f>'Alt. scenario LCY'!AG87</f>
        <v>99.75</v>
      </c>
      <c r="AX27" s="140">
        <f>AR2</f>
        <v>97</v>
      </c>
      <c r="AY27" s="1">
        <f>'Alt. scenario LCY'!AL87</f>
        <v>97</v>
      </c>
    </row>
    <row r="28" spans="1:51">
      <c r="A28" s="9" t="s">
        <v>617</v>
      </c>
      <c r="AK28" t="s">
        <v>702</v>
      </c>
      <c r="AL28" s="140">
        <f>AL3</f>
        <v>6.25</v>
      </c>
      <c r="AM28" s="1">
        <f>'Alt. scenario LCY'!H88</f>
        <v>6.25</v>
      </c>
      <c r="AN28" s="140">
        <f>AM3</f>
        <v>15</v>
      </c>
      <c r="AO28" s="1">
        <f>'Alt. scenario LCY'!M88</f>
        <v>15</v>
      </c>
      <c r="AP28" s="140">
        <f>AN3</f>
        <v>23</v>
      </c>
      <c r="AQ28" s="1">
        <f>'Alt. scenario LCY'!R88</f>
        <v>23</v>
      </c>
      <c r="AR28" s="140">
        <f>AO3</f>
        <v>31</v>
      </c>
      <c r="AS28" s="1">
        <f>'Alt. scenario LCY'!W88</f>
        <v>31</v>
      </c>
      <c r="AT28" s="140">
        <f>AP3</f>
        <v>38.25</v>
      </c>
      <c r="AU28" s="1">
        <f>'Alt. scenario LCY'!AB88</f>
        <v>38.25</v>
      </c>
      <c r="AV28" s="140">
        <f>AQ3</f>
        <v>40.25</v>
      </c>
      <c r="AW28" s="1">
        <f>'Alt. scenario LCY'!AG88</f>
        <v>40.25</v>
      </c>
      <c r="AX28" s="140">
        <f>AR3</f>
        <v>39</v>
      </c>
      <c r="AY28" s="1">
        <f>'Alt. scenario LCY'!AL88</f>
        <v>39</v>
      </c>
    </row>
    <row r="29" spans="1:51">
      <c r="A29" s="9" t="s">
        <v>444</v>
      </c>
      <c r="AK29" t="s">
        <v>703</v>
      </c>
      <c r="AL29" s="140">
        <f>AL4</f>
        <v>3.5</v>
      </c>
      <c r="AM29" s="1">
        <f>'Alt. scenario LCY'!H89</f>
        <v>3.5</v>
      </c>
      <c r="AN29" s="140">
        <f>AM4</f>
        <v>8.5</v>
      </c>
      <c r="AO29" s="1">
        <f>'Alt. scenario LCY'!M89</f>
        <v>8.5</v>
      </c>
      <c r="AP29" s="140">
        <f>AN4</f>
        <v>13</v>
      </c>
      <c r="AQ29" s="1">
        <f>'Alt. scenario LCY'!R89</f>
        <v>13</v>
      </c>
      <c r="AR29" s="140">
        <f>AO4</f>
        <v>17.5</v>
      </c>
      <c r="AS29" s="1">
        <f>'Alt. scenario LCY'!W89</f>
        <v>17.5</v>
      </c>
      <c r="AT29" s="140">
        <f>AP4</f>
        <v>21.5</v>
      </c>
      <c r="AU29" s="1">
        <f>'Alt. scenario LCY'!AB89</f>
        <v>21.5</v>
      </c>
      <c r="AV29" s="140">
        <f>AQ4</f>
        <v>22.25</v>
      </c>
      <c r="AW29" s="1">
        <f>'Alt. scenario LCY'!AG89</f>
        <v>22.25</v>
      </c>
      <c r="AX29" s="140">
        <f>AR4</f>
        <v>21.75</v>
      </c>
      <c r="AY29" s="1">
        <f>'Alt. scenario LCY'!AL89</f>
        <v>21.75</v>
      </c>
    </row>
    <row r="30" spans="1:51">
      <c r="A30" s="9" t="s">
        <v>436</v>
      </c>
      <c r="AK30" t="s">
        <v>704</v>
      </c>
      <c r="AL30" s="140">
        <f>AL5</f>
        <v>6.25</v>
      </c>
      <c r="AM30" s="1">
        <f>'Alt. scenario LCY'!H90</f>
        <v>6.25</v>
      </c>
      <c r="AN30" s="140">
        <f>AM5</f>
        <v>15</v>
      </c>
      <c r="AO30" s="1">
        <f>'Alt. scenario LCY'!M90</f>
        <v>15</v>
      </c>
      <c r="AP30" s="140">
        <f>AN5</f>
        <v>23</v>
      </c>
      <c r="AQ30" s="1">
        <f>'Alt. scenario LCY'!R90</f>
        <v>23</v>
      </c>
      <c r="AR30" s="140">
        <f>AO5</f>
        <v>31</v>
      </c>
      <c r="AS30" s="1">
        <f>'Alt. scenario LCY'!W90</f>
        <v>31</v>
      </c>
      <c r="AT30" s="140">
        <f>AP5</f>
        <v>38.25</v>
      </c>
      <c r="AU30" s="1">
        <f>'Alt. scenario LCY'!AB90</f>
        <v>38.25</v>
      </c>
      <c r="AV30" s="140">
        <f>AQ5</f>
        <v>40.25</v>
      </c>
      <c r="AW30" s="1">
        <f>'Alt. scenario LCY'!AG90</f>
        <v>40.25</v>
      </c>
      <c r="AX30" s="140">
        <f>AR5</f>
        <v>39</v>
      </c>
      <c r="AY30" s="1">
        <f>'Alt. scenario LCY'!AL90</f>
        <v>39</v>
      </c>
    </row>
    <row r="31" spans="1:51">
      <c r="A31" s="9" t="s">
        <v>567</v>
      </c>
    </row>
    <row r="32" spans="1:51">
      <c r="A32" s="9" t="s">
        <v>670</v>
      </c>
    </row>
    <row r="33" spans="1:1">
      <c r="A33" s="9" t="s">
        <v>440</v>
      </c>
    </row>
    <row r="34" spans="1:1">
      <c r="A34" s="9" t="s">
        <v>442</v>
      </c>
    </row>
    <row r="35" spans="1:1">
      <c r="A35" s="9" t="s">
        <v>446</v>
      </c>
    </row>
    <row r="36" spans="1:1">
      <c r="A36" s="9" t="s">
        <v>571</v>
      </c>
    </row>
    <row r="37" spans="1:1">
      <c r="A37" s="9" t="s">
        <v>569</v>
      </c>
    </row>
    <row r="38" spans="1:1">
      <c r="A38" s="9" t="s">
        <v>575</v>
      </c>
    </row>
    <row r="39" spans="1:1">
      <c r="A39" s="9" t="s">
        <v>352</v>
      </c>
    </row>
    <row r="40" spans="1:1">
      <c r="A40" s="9" t="s">
        <v>468</v>
      </c>
    </row>
    <row r="41" spans="1:1">
      <c r="A41" s="9" t="s">
        <v>577</v>
      </c>
    </row>
    <row r="42" spans="1:1">
      <c r="A42" s="9" t="s">
        <v>579</v>
      </c>
    </row>
    <row r="43" spans="1:1">
      <c r="A43" s="9" t="s">
        <v>583</v>
      </c>
    </row>
    <row r="44" spans="1:1">
      <c r="A44" s="9" t="s">
        <v>581</v>
      </c>
    </row>
    <row r="45" spans="1:1">
      <c r="A45" s="9" t="s">
        <v>354</v>
      </c>
    </row>
    <row r="46" spans="1:1">
      <c r="A46" s="9" t="s">
        <v>450</v>
      </c>
    </row>
    <row r="47" spans="1:1">
      <c r="A47" s="9" t="s">
        <v>356</v>
      </c>
    </row>
    <row r="48" spans="1:1">
      <c r="A48" s="9" t="s">
        <v>524</v>
      </c>
    </row>
    <row r="49" spans="1:1">
      <c r="A49" s="9" t="s">
        <v>601</v>
      </c>
    </row>
    <row r="50" spans="1:1">
      <c r="A50" s="9" t="s">
        <v>587</v>
      </c>
    </row>
    <row r="51" spans="1:1">
      <c r="A51" s="9" t="s">
        <v>454</v>
      </c>
    </row>
    <row r="52" spans="1:1">
      <c r="A52" s="9" t="s">
        <v>666</v>
      </c>
    </row>
    <row r="53" spans="1:1">
      <c r="A53" s="9" t="s">
        <v>589</v>
      </c>
    </row>
    <row r="54" spans="1:1">
      <c r="A54" s="9" t="s">
        <v>358</v>
      </c>
    </row>
    <row r="55" spans="1:1">
      <c r="A55" s="9" t="s">
        <v>456</v>
      </c>
    </row>
    <row r="56" spans="1:1">
      <c r="A56" s="9" t="s">
        <v>458</v>
      </c>
    </row>
    <row r="57" spans="1:1">
      <c r="A57" s="9" t="s">
        <v>593</v>
      </c>
    </row>
    <row r="58" spans="1:1">
      <c r="A58" s="9" t="s">
        <v>597</v>
      </c>
    </row>
    <row r="59" spans="1:1">
      <c r="A59" s="9" t="s">
        <v>360</v>
      </c>
    </row>
    <row r="60" spans="1:1">
      <c r="A60" s="9" t="s">
        <v>448</v>
      </c>
    </row>
    <row r="61" spans="1:1">
      <c r="A61" s="9" t="s">
        <v>362</v>
      </c>
    </row>
    <row r="62" spans="1:1">
      <c r="A62" s="9" t="s">
        <v>462</v>
      </c>
    </row>
    <row r="63" spans="1:1">
      <c r="A63" s="9" t="s">
        <v>603</v>
      </c>
    </row>
    <row r="64" spans="1:1">
      <c r="A64" s="9" t="s">
        <v>464</v>
      </c>
    </row>
    <row r="65" spans="1:1">
      <c r="A65" s="9" t="s">
        <v>595</v>
      </c>
    </row>
    <row r="66" spans="1:1">
      <c r="A66" s="9" t="s">
        <v>599</v>
      </c>
    </row>
    <row r="67" spans="1:1">
      <c r="A67" s="9" t="s">
        <v>605</v>
      </c>
    </row>
    <row r="68" spans="1:1">
      <c r="A68" s="9" t="s">
        <v>609</v>
      </c>
    </row>
    <row r="69" spans="1:1">
      <c r="A69" s="9" t="s">
        <v>607</v>
      </c>
    </row>
    <row r="70" spans="1:1">
      <c r="A70" s="9" t="s">
        <v>466</v>
      </c>
    </row>
    <row r="71" spans="1:1">
      <c r="A71" s="9" t="s">
        <v>470</v>
      </c>
    </row>
    <row r="72" spans="1:1">
      <c r="A72" s="9" t="s">
        <v>613</v>
      </c>
    </row>
    <row r="73" spans="1:1">
      <c r="A73" s="9" t="s">
        <v>472</v>
      </c>
    </row>
    <row r="74" spans="1:1">
      <c r="A74" s="9" t="s">
        <v>364</v>
      </c>
    </row>
    <row r="75" spans="1:1">
      <c r="A75" s="9" t="s">
        <v>476</v>
      </c>
    </row>
    <row r="76" spans="1:1">
      <c r="A76" s="9" t="s">
        <v>611</v>
      </c>
    </row>
    <row r="77" spans="1:1">
      <c r="A77" s="9" t="s">
        <v>474</v>
      </c>
    </row>
    <row r="78" spans="1:1">
      <c r="A78" s="9" t="s">
        <v>478</v>
      </c>
    </row>
    <row r="79" spans="1:1">
      <c r="A79" s="9" t="s">
        <v>480</v>
      </c>
    </row>
    <row r="80" spans="1:1">
      <c r="A80" s="9" t="s">
        <v>482</v>
      </c>
    </row>
    <row r="81" spans="1:1">
      <c r="A81" s="9" t="s">
        <v>366</v>
      </c>
    </row>
    <row r="82" spans="1:1">
      <c r="A82" s="9" t="s">
        <v>368</v>
      </c>
    </row>
    <row r="83" spans="1:1">
      <c r="A83" s="9" t="s">
        <v>615</v>
      </c>
    </row>
    <row r="84" spans="1:1">
      <c r="A84" s="9" t="s">
        <v>484</v>
      </c>
    </row>
    <row r="85" spans="1:1">
      <c r="A85" s="9" t="s">
        <v>370</v>
      </c>
    </row>
    <row r="86" spans="1:1">
      <c r="A86" s="9" t="s">
        <v>486</v>
      </c>
    </row>
    <row r="87" spans="1:1">
      <c r="A87" s="9" t="s">
        <v>372</v>
      </c>
    </row>
    <row r="88" spans="1:1">
      <c r="A88" s="9" t="s">
        <v>619</v>
      </c>
    </row>
    <row r="89" spans="1:1">
      <c r="A89" s="9" t="s">
        <v>492</v>
      </c>
    </row>
    <row r="90" spans="1:1">
      <c r="A90" s="9" t="s">
        <v>488</v>
      </c>
    </row>
    <row r="91" spans="1:1">
      <c r="A91" s="9" t="s">
        <v>625</v>
      </c>
    </row>
    <row r="92" spans="1:1">
      <c r="A92" s="9" t="s">
        <v>621</v>
      </c>
    </row>
    <row r="93" spans="1:1">
      <c r="A93" s="9" t="s">
        <v>627</v>
      </c>
    </row>
    <row r="94" spans="1:1">
      <c r="A94" s="9" t="s">
        <v>490</v>
      </c>
    </row>
    <row r="95" spans="1:1">
      <c r="A95" s="9" t="s">
        <v>374</v>
      </c>
    </row>
    <row r="96" spans="1:1">
      <c r="A96" s="9" t="s">
        <v>641</v>
      </c>
    </row>
    <row r="97" spans="1:1">
      <c r="A97" s="9" t="s">
        <v>496</v>
      </c>
    </row>
    <row r="98" spans="1:1">
      <c r="A98" s="9" t="s">
        <v>631</v>
      </c>
    </row>
    <row r="99" spans="1:1">
      <c r="A99" s="9" t="s">
        <v>633</v>
      </c>
    </row>
    <row r="100" spans="1:1">
      <c r="A100" s="9" t="s">
        <v>637</v>
      </c>
    </row>
    <row r="101" spans="1:1">
      <c r="A101" s="9" t="s">
        <v>639</v>
      </c>
    </row>
    <row r="102" spans="1:1">
      <c r="A102" s="9" t="s">
        <v>494</v>
      </c>
    </row>
    <row r="103" spans="1:1">
      <c r="A103" s="9" t="s">
        <v>591</v>
      </c>
    </row>
    <row r="104" spans="1:1">
      <c r="A104" s="9" t="s">
        <v>629</v>
      </c>
    </row>
    <row r="105" spans="1:1">
      <c r="A105" s="9" t="s">
        <v>376</v>
      </c>
    </row>
    <row r="106" spans="1:1">
      <c r="A106" s="9" t="s">
        <v>378</v>
      </c>
    </row>
    <row r="107" spans="1:1">
      <c r="A107" s="9" t="s">
        <v>380</v>
      </c>
    </row>
    <row r="108" spans="1:1">
      <c r="A108" s="9" t="s">
        <v>382</v>
      </c>
    </row>
    <row r="109" spans="1:1">
      <c r="A109" s="9" t="s">
        <v>635</v>
      </c>
    </row>
    <row r="110" spans="1:1">
      <c r="A110" s="9" t="s">
        <v>643</v>
      </c>
    </row>
    <row r="111" spans="1:1">
      <c r="A111" s="9" t="s">
        <v>648</v>
      </c>
    </row>
    <row r="112" spans="1:1">
      <c r="A112" s="9" t="s">
        <v>498</v>
      </c>
    </row>
    <row r="113" spans="1:1">
      <c r="A113" s="9" t="s">
        <v>650</v>
      </c>
    </row>
    <row r="114" spans="1:1">
      <c r="A114" s="9" t="s">
        <v>647</v>
      </c>
    </row>
    <row r="115" spans="1:1">
      <c r="A115" s="9" t="s">
        <v>645</v>
      </c>
    </row>
    <row r="116" spans="1:1">
      <c r="A116" s="9" t="s">
        <v>384</v>
      </c>
    </row>
    <row r="117" spans="1:1">
      <c r="A117" s="9" t="s">
        <v>386</v>
      </c>
    </row>
    <row r="118" spans="1:1">
      <c r="A118" s="9" t="s">
        <v>500</v>
      </c>
    </row>
    <row r="119" spans="1:1">
      <c r="A119" s="9" t="s">
        <v>502</v>
      </c>
    </row>
    <row r="120" spans="1:1">
      <c r="A120" s="9" t="s">
        <v>388</v>
      </c>
    </row>
    <row r="121" spans="1:1">
      <c r="A121" s="9" t="s">
        <v>656</v>
      </c>
    </row>
    <row r="122" spans="1:1">
      <c r="A122" s="9" t="s">
        <v>504</v>
      </c>
    </row>
    <row r="123" spans="1:1">
      <c r="A123" s="9" t="s">
        <v>652</v>
      </c>
    </row>
    <row r="124" spans="1:1">
      <c r="A124" s="9" t="s">
        <v>654</v>
      </c>
    </row>
    <row r="125" spans="1:1">
      <c r="A125" s="9" t="s">
        <v>506</v>
      </c>
    </row>
    <row r="126" spans="1:1">
      <c r="A126" s="9" t="s">
        <v>508</v>
      </c>
    </row>
    <row r="127" spans="1:1">
      <c r="A127" s="9" t="s">
        <v>510</v>
      </c>
    </row>
    <row r="128" spans="1:1">
      <c r="A128" s="9" t="s">
        <v>512</v>
      </c>
    </row>
    <row r="129" spans="1:1">
      <c r="A129" s="9" t="s">
        <v>514</v>
      </c>
    </row>
    <row r="130" spans="1:1">
      <c r="A130" s="9" t="s">
        <v>516</v>
      </c>
    </row>
    <row r="131" spans="1:1">
      <c r="A131" s="9" t="s">
        <v>518</v>
      </c>
    </row>
    <row r="132" spans="1:1">
      <c r="A132" s="9" t="s">
        <v>390</v>
      </c>
    </row>
    <row r="133" spans="1:1">
      <c r="A133" s="9" t="s">
        <v>623</v>
      </c>
    </row>
    <row r="134" spans="1:1">
      <c r="A134" s="9" t="s">
        <v>678</v>
      </c>
    </row>
    <row r="135" spans="1:1">
      <c r="A135" s="9" t="s">
        <v>680</v>
      </c>
    </row>
    <row r="136" spans="1:1">
      <c r="A136" s="9" t="s">
        <v>662</v>
      </c>
    </row>
    <row r="137" spans="1:1">
      <c r="A137" s="9" t="s">
        <v>520</v>
      </c>
    </row>
    <row r="138" spans="1:1">
      <c r="A138" s="9" t="s">
        <v>392</v>
      </c>
    </row>
    <row r="139" spans="1:1">
      <c r="A139" s="9" t="s">
        <v>394</v>
      </c>
    </row>
    <row r="140" spans="1:1">
      <c r="A140" s="9" t="s">
        <v>658</v>
      </c>
    </row>
    <row r="141" spans="1:1">
      <c r="A141" s="9" t="s">
        <v>526</v>
      </c>
    </row>
    <row r="142" spans="1:1">
      <c r="A142" s="9" t="s">
        <v>528</v>
      </c>
    </row>
    <row r="143" spans="1:1">
      <c r="A143" s="9" t="s">
        <v>660</v>
      </c>
    </row>
    <row r="144" spans="1:1">
      <c r="A144" s="9" t="s">
        <v>396</v>
      </c>
    </row>
    <row r="145" spans="1:1">
      <c r="A145" s="9" t="s">
        <v>546</v>
      </c>
    </row>
    <row r="146" spans="1:1">
      <c r="A146" s="9" t="s">
        <v>452</v>
      </c>
    </row>
    <row r="147" spans="1:1">
      <c r="A147" s="9" t="s">
        <v>398</v>
      </c>
    </row>
    <row r="148" spans="1:1">
      <c r="A148" s="9" t="s">
        <v>522</v>
      </c>
    </row>
    <row r="149" spans="1:1">
      <c r="A149" s="9" t="s">
        <v>664</v>
      </c>
    </row>
    <row r="150" spans="1:1">
      <c r="A150" s="9" t="s">
        <v>530</v>
      </c>
    </row>
    <row r="151" spans="1:1">
      <c r="A151" s="9" t="s">
        <v>438</v>
      </c>
    </row>
    <row r="152" spans="1:1">
      <c r="A152" s="9" t="s">
        <v>668</v>
      </c>
    </row>
    <row r="153" spans="1:1">
      <c r="A153" s="9" t="s">
        <v>400</v>
      </c>
    </row>
    <row r="154" spans="1:1">
      <c r="A154" s="9" t="s">
        <v>402</v>
      </c>
    </row>
    <row r="155" spans="1:1">
      <c r="A155" s="9" t="s">
        <v>534</v>
      </c>
    </row>
    <row r="156" spans="1:1">
      <c r="A156" s="9" t="s">
        <v>672</v>
      </c>
    </row>
    <row r="157" spans="1:1">
      <c r="A157" s="9" t="s">
        <v>532</v>
      </c>
    </row>
    <row r="158" spans="1:1">
      <c r="A158" s="9" t="s">
        <v>674</v>
      </c>
    </row>
    <row r="159" spans="1:1">
      <c r="A159" s="9" t="s">
        <v>676</v>
      </c>
    </row>
    <row r="160" spans="1:1">
      <c r="A160" s="9" t="s">
        <v>536</v>
      </c>
    </row>
    <row r="161" spans="1:1">
      <c r="A161" s="9" t="s">
        <v>538</v>
      </c>
    </row>
    <row r="162" spans="1:1">
      <c r="A162" s="9" t="s">
        <v>410</v>
      </c>
    </row>
    <row r="163" spans="1:1">
      <c r="A163" s="9" t="s">
        <v>460</v>
      </c>
    </row>
    <row r="164" spans="1:1">
      <c r="A164" s="9" t="s">
        <v>542</v>
      </c>
    </row>
    <row r="165" spans="1:1">
      <c r="A165" s="9" t="s">
        <v>540</v>
      </c>
    </row>
    <row r="166" spans="1:1">
      <c r="A166" s="9" t="s">
        <v>404</v>
      </c>
    </row>
    <row r="167" spans="1:1">
      <c r="A167" s="9" t="s">
        <v>544</v>
      </c>
    </row>
    <row r="168" spans="1:1">
      <c r="A168" s="9" t="s">
        <v>406</v>
      </c>
    </row>
  </sheetData>
  <mergeCells count="18">
    <mergeCell ref="BV7:CW7"/>
    <mergeCell ref="AT7:BU7"/>
    <mergeCell ref="N20:T20"/>
    <mergeCell ref="U20:AA20"/>
    <mergeCell ref="AD20:AE20"/>
    <mergeCell ref="AF20:AG20"/>
    <mergeCell ref="AH20:AI20"/>
    <mergeCell ref="AJ20:AK20"/>
    <mergeCell ref="AL20:AM20"/>
    <mergeCell ref="AN20:AO20"/>
    <mergeCell ref="AV25:AW25"/>
    <mergeCell ref="AX25:AY25"/>
    <mergeCell ref="AP20:AQ20"/>
    <mergeCell ref="AL25:AM25"/>
    <mergeCell ref="AN25:AO25"/>
    <mergeCell ref="AP25:AQ25"/>
    <mergeCell ref="AR25:AS25"/>
    <mergeCell ref="AT25:AU25"/>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B5E7CE8DF8D6498BF35C4EAD143D8B" ma:contentTypeVersion="12" ma:contentTypeDescription="Create a new document." ma:contentTypeScope="" ma:versionID="c8759ede8b85fe4bcbdf64b15543bd62">
  <xsd:schema xmlns:xsd="http://www.w3.org/2001/XMLSchema" xmlns:xs="http://www.w3.org/2001/XMLSchema" xmlns:p="http://schemas.microsoft.com/office/2006/metadata/properties" xmlns:ns2="ed51dbfb-d87c-48b6-9092-5f1b78b704b7" xmlns:ns3="6750af72-06f1-4846-b5f3-74b908c15deb" targetNamespace="http://schemas.microsoft.com/office/2006/metadata/properties" ma:root="true" ma:fieldsID="45494a7a661e2c8c0c522ed14e58a64e" ns2:_="" ns3:_="">
    <xsd:import namespace="ed51dbfb-d87c-48b6-9092-5f1b78b704b7"/>
    <xsd:import namespace="6750af72-06f1-4846-b5f3-74b908c15d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51dbfb-d87c-48b6-9092-5f1b78b704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1dbbeb-a8e1-4d40-9789-dc87f3da3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50af72-06f1-4846-b5f3-74b908c15d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65d4fc5-66bb-404d-ae4b-b5617703a446}" ma:internalName="TaxCatchAll" ma:showField="CatchAllData" ma:web="6750af72-06f1-4846-b5f3-74b908c15d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750af72-06f1-4846-b5f3-74b908c15deb" xsi:nil="true"/>
    <lcf76f155ced4ddcb4097134ff3c332f xmlns="ed51dbfb-d87c-48b6-9092-5f1b78b704b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9220A2-83FC-45D4-ADD7-B1C9593F7BE7}"/>
</file>

<file path=customXml/itemProps2.xml><?xml version="1.0" encoding="utf-8"?>
<ds:datastoreItem xmlns:ds="http://schemas.openxmlformats.org/officeDocument/2006/customXml" ds:itemID="{1C7396FF-BF73-49E1-A2E7-A4B129027C97}"/>
</file>

<file path=customXml/itemProps3.xml><?xml version="1.0" encoding="utf-8"?>
<ds:datastoreItem xmlns:ds="http://schemas.openxmlformats.org/officeDocument/2006/customXml" ds:itemID="{90C29E57-080D-4AAE-AB9E-2EC7DB1B6E99}"/>
</file>

<file path=docMetadata/LabelInfo.xml><?xml version="1.0" encoding="utf-8"?>
<clbl:labelList xmlns:clbl="http://schemas.microsoft.com/office/2020/mipLabelMetadata">
  <clbl:label id="{b4db6a6d-cf3b-450d-9483-e5c853d931d2}" enabled="1" method="Standard" siteId="{ecabf4f5-0dbc-4f2c-b80e-99d3aa5f44b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Jovan Ognjanovic</dc:creator>
  <cp:keywords/>
  <dc:description/>
  <cp:lastModifiedBy>Diego Herrera</cp:lastModifiedBy>
  <cp:revision/>
  <dcterms:created xsi:type="dcterms:W3CDTF">2015-06-05T18:17:20Z</dcterms:created>
  <dcterms:modified xsi:type="dcterms:W3CDTF">2025-11-11T17:29:11Z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0x01010048B5E7CE8DF8D6498BF35C4EAD143D8B</vt:lpwstr>
  </property>
  <property fmtid="{D5CDD505-2E9C-101B-9397-08002B2CF9AE}" pid="3" name="MediaServiceImageTags">
    <vt:lpwstr/>
  </property>
</Properties>
</file>