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alberg1-my.sharepoint.com/personal/mariana_noguera_dalberg_com/Documents/[Shared Folder] Argidius Foundation-SME Banking Toolkit/Editable Versions/Tool Final Drafts/5. Bank Diagnostic Tool/"/>
    </mc:Choice>
  </mc:AlternateContent>
  <xr:revisionPtr revIDLastSave="136" documentId="8_{054F1918-EF02-48E0-929F-A1791585441D}" xr6:coauthVersionLast="47" xr6:coauthVersionMax="47" xr10:uidLastSave="{3A574EEA-DB1C-4A37-8C0A-33982A710C12}"/>
  <bookViews>
    <workbookView xWindow="-110" yWindow="-110" windowWidth="19420" windowHeight="10300" firstSheet="3" activeTab="7" xr2:uid="{C623E457-04A4-4DF6-B581-967D40F2C773}"/>
  </bookViews>
  <sheets>
    <sheet name="Instructions &amp; overview" sheetId="21" r:id="rId1"/>
    <sheet name="Financial performance" sheetId="17" r:id="rId2"/>
    <sheet name="Bank diagnostic" sheetId="20" r:id="rId3"/>
    <sheet name="Example 1" sheetId="23" r:id="rId4"/>
    <sheet name="Example 2" sheetId="24" r:id="rId5"/>
    <sheet name="Methodology" sheetId="16" r:id="rId6"/>
    <sheet name="Results" sheetId="4" r:id="rId7"/>
    <sheet name="Peer benchmark" sheetId="26" r:id="rId8"/>
    <sheet name="References" sheetId="6"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6" l="1"/>
  <c r="B13" i="26"/>
  <c r="B12" i="26"/>
  <c r="B11" i="26"/>
  <c r="B10" i="26"/>
  <c r="B9" i="26"/>
  <c r="E3" i="26"/>
  <c r="D3" i="26"/>
  <c r="C3" i="26"/>
  <c r="G11" i="24" l="1" a="1"/>
  <c r="G11" i="24" s="1"/>
  <c r="G11" i="23" a="1"/>
  <c r="G11" i="23" s="1"/>
  <c r="H60" i="16" a="1"/>
  <c r="H60" i="16" s="1"/>
  <c r="D69" i="16"/>
  <c r="H69" i="16" s="1" a="1"/>
  <c r="H69" i="16" s="1"/>
  <c r="D60" i="16"/>
  <c r="E60" i="16" s="1" a="1"/>
  <c r="E60" i="16" s="1"/>
  <c r="E74" i="16"/>
  <c r="E67" i="16"/>
  <c r="E66" i="16"/>
  <c r="D71" i="16"/>
  <c r="H71" i="16" s="1" a="1"/>
  <c r="H71" i="16" s="1"/>
  <c r="Q20" i="4"/>
  <c r="P20" i="4"/>
  <c r="Q25" i="4"/>
  <c r="P25" i="4"/>
  <c r="Q24" i="4" a="1"/>
  <c r="Q24" i="4" s="1"/>
  <c r="P24" i="4" a="1"/>
  <c r="P24" i="4" s="1"/>
  <c r="Q23" i="4" a="1"/>
  <c r="Q23" i="4" s="1"/>
  <c r="P23" i="4" a="1"/>
  <c r="P23" i="4" s="1"/>
  <c r="Q22" i="4" a="1"/>
  <c r="Q22" i="4" s="1"/>
  <c r="P22" i="4" a="1"/>
  <c r="P22" i="4" s="1"/>
  <c r="Q21" i="4" a="1"/>
  <c r="Q21" i="4" s="1"/>
  <c r="P21" i="4" a="1"/>
  <c r="P21" i="4" s="1"/>
  <c r="E69" i="16" l="1" a="1"/>
  <c r="E69" i="16" s="1"/>
  <c r="E71" i="16" a="1"/>
  <c r="E71" i="16" s="1"/>
  <c r="E56" i="16"/>
  <c r="E51" i="16"/>
  <c r="E47" i="16"/>
  <c r="E37" i="16"/>
  <c r="N24" i="4"/>
  <c r="N23" i="4"/>
  <c r="N22" i="4"/>
  <c r="N21" i="4"/>
  <c r="N20" i="4"/>
  <c r="F20" i="4"/>
  <c r="G25" i="4" a="1"/>
  <c r="G25" i="4" s="1"/>
  <c r="F25" i="16"/>
  <c r="H11" i="20" a="1"/>
  <c r="H11" i="20" s="1"/>
  <c r="F24" i="4"/>
  <c r="G24" i="4" s="1" a="1"/>
  <c r="G24" i="4" s="1"/>
  <c r="F23" i="4"/>
  <c r="F22" i="4"/>
  <c r="G22" i="4" s="1" a="1"/>
  <c r="G22" i="4" s="1"/>
  <c r="F21" i="4"/>
  <c r="E24" i="16"/>
  <c r="F24" i="16" s="1" a="1"/>
  <c r="F24" i="16" s="1"/>
  <c r="H24" i="16" s="1"/>
  <c r="E23" i="16"/>
  <c r="E22" i="16"/>
  <c r="E21" i="16"/>
  <c r="E20" i="16"/>
  <c r="D11" i="4"/>
  <c r="D76" i="16"/>
  <c r="H76" i="16" s="1" a="1"/>
  <c r="H76" i="16" s="1"/>
  <c r="D77" i="16"/>
  <c r="H77" i="16" s="1" a="1"/>
  <c r="H77" i="16" s="1"/>
  <c r="D78" i="16"/>
  <c r="H78" i="16" s="1" a="1"/>
  <c r="H78" i="16" s="1"/>
  <c r="D75" i="16"/>
  <c r="H75" i="16" s="1" a="1"/>
  <c r="H75" i="16" s="1"/>
  <c r="D70" i="16"/>
  <c r="H70" i="16" s="1" a="1"/>
  <c r="H70" i="16" s="1"/>
  <c r="D72" i="16"/>
  <c r="H72" i="16" s="1" a="1"/>
  <c r="H72" i="16" s="1"/>
  <c r="D73" i="16"/>
  <c r="H73" i="16" s="1" a="1"/>
  <c r="H73" i="16" s="1"/>
  <c r="D68" i="16"/>
  <c r="E68" i="16" s="1" a="1"/>
  <c r="E68" i="16" s="1"/>
  <c r="D65" i="16"/>
  <c r="E65" i="16" s="1" a="1"/>
  <c r="E65" i="16" s="1"/>
  <c r="D55" i="16"/>
  <c r="D62" i="16"/>
  <c r="E62" i="16" s="1" a="1"/>
  <c r="E62" i="16" s="1"/>
  <c r="D63" i="16"/>
  <c r="E63" i="16" s="1" a="1"/>
  <c r="E63" i="16" s="1"/>
  <c r="D64" i="16"/>
  <c r="E64" i="16" s="1" a="1"/>
  <c r="E64" i="16" s="1"/>
  <c r="D58" i="16"/>
  <c r="E58" i="16" s="1" a="1"/>
  <c r="E58" i="16" s="1"/>
  <c r="D59" i="16"/>
  <c r="E59" i="16" s="1" a="1"/>
  <c r="E59" i="16" s="1"/>
  <c r="D61" i="16"/>
  <c r="E61" i="16" s="1" a="1"/>
  <c r="E61" i="16" s="1"/>
  <c r="D57" i="16"/>
  <c r="E57" i="16" s="1" a="1"/>
  <c r="E57" i="16" s="1"/>
  <c r="D53" i="16"/>
  <c r="E53" i="16" s="1" a="1"/>
  <c r="E53" i="16" s="1"/>
  <c r="D54" i="16"/>
  <c r="E54" i="16" s="1" a="1"/>
  <c r="E54" i="16" s="1"/>
  <c r="D52" i="16"/>
  <c r="E52" i="16" s="1" a="1"/>
  <c r="E52" i="16" s="1"/>
  <c r="D49" i="16"/>
  <c r="H49" i="16" s="1" a="1"/>
  <c r="H49" i="16" s="1"/>
  <c r="D50" i="16"/>
  <c r="E50" i="16" s="1" a="1"/>
  <c r="E50" i="16" s="1"/>
  <c r="D48" i="16"/>
  <c r="E48" i="16" s="1" a="1"/>
  <c r="E48" i="16" s="1"/>
  <c r="D42" i="16"/>
  <c r="H42" i="16" s="1" a="1"/>
  <c r="H42" i="16" s="1"/>
  <c r="D43" i="16"/>
  <c r="H43" i="16" s="1" a="1"/>
  <c r="H43" i="16" s="1"/>
  <c r="D44" i="16"/>
  <c r="H44" i="16" s="1" a="1"/>
  <c r="H44" i="16" s="1"/>
  <c r="D45" i="16"/>
  <c r="H45" i="16" s="1" a="1"/>
  <c r="H45" i="16" s="1"/>
  <c r="D46" i="16"/>
  <c r="H46" i="16" s="1" a="1"/>
  <c r="H46" i="16" s="1"/>
  <c r="D41" i="16"/>
  <c r="H41" i="16" s="1" a="1"/>
  <c r="H41" i="16" s="1"/>
  <c r="D39" i="16"/>
  <c r="H39" i="16" s="1" a="1"/>
  <c r="H39" i="16" s="1"/>
  <c r="D38" i="16"/>
  <c r="H25" i="16" l="1"/>
  <c r="I25" i="16"/>
  <c r="J25" i="4" s="1" a="1"/>
  <c r="J25" i="4" s="1"/>
  <c r="C14" i="26" s="1"/>
  <c r="G20" i="4" a="1"/>
  <c r="G20" i="4" s="1"/>
  <c r="G23" i="4" a="1"/>
  <c r="G23" i="4" s="1"/>
  <c r="E70" i="16" a="1"/>
  <c r="E70" i="16" s="1"/>
  <c r="G21" i="4" a="1"/>
  <c r="G21" i="4" s="1"/>
  <c r="F20" i="16" a="1"/>
  <c r="F20" i="16" s="1"/>
  <c r="I20" i="16" s="1"/>
  <c r="F21" i="16" a="1"/>
  <c r="F21" i="16" s="1"/>
  <c r="F23" i="16" a="1"/>
  <c r="F23" i="16" s="1"/>
  <c r="E38" i="16" a="1"/>
  <c r="E38" i="16" s="1"/>
  <c r="E55" i="16" a="1"/>
  <c r="E55" i="16" s="1"/>
  <c r="H55" i="16" a="1"/>
  <c r="H55" i="16" s="1"/>
  <c r="O25" i="4" s="1"/>
  <c r="F22" i="16" a="1"/>
  <c r="F22" i="16" s="1"/>
  <c r="H25" i="4"/>
  <c r="G25" i="16"/>
  <c r="E78" i="16" a="1"/>
  <c r="E78" i="16" s="1"/>
  <c r="E77" i="16" a="1"/>
  <c r="E77" i="16" s="1"/>
  <c r="E76" i="16" a="1"/>
  <c r="E76" i="16" s="1"/>
  <c r="H58" i="16" a="1"/>
  <c r="H58" i="16" s="1"/>
  <c r="H59" i="16" a="1"/>
  <c r="H59" i="16" s="1"/>
  <c r="H64" i="16" a="1"/>
  <c r="H64" i="16" s="1"/>
  <c r="H63" i="16" a="1"/>
  <c r="H63" i="16" s="1"/>
  <c r="E73" i="16" a="1"/>
  <c r="E73" i="16" s="1"/>
  <c r="H61" i="16" a="1"/>
  <c r="H61" i="16" s="1"/>
  <c r="E72" i="16" a="1"/>
  <c r="E72" i="16" s="1"/>
  <c r="E75" i="16" a="1"/>
  <c r="E75" i="16" s="1"/>
  <c r="H68" i="16" a="1"/>
  <c r="H68" i="16" s="1"/>
  <c r="H52" i="16" a="1"/>
  <c r="H52" i="16" s="1"/>
  <c r="H57" i="16" a="1"/>
  <c r="H57" i="16" s="1"/>
  <c r="H54" i="16" a="1"/>
  <c r="H54" i="16" s="1"/>
  <c r="H53" i="16" a="1"/>
  <c r="H53" i="16" s="1"/>
  <c r="H62" i="16" a="1"/>
  <c r="H62" i="16" s="1"/>
  <c r="E49" i="16" a="1"/>
  <c r="E49" i="16" s="1"/>
  <c r="H48" i="16" a="1"/>
  <c r="H48" i="16" s="1"/>
  <c r="H50" i="16" a="1"/>
  <c r="H50" i="16" s="1"/>
  <c r="E43" i="16" a="1"/>
  <c r="E43" i="16" s="1"/>
  <c r="E45" i="16" a="1"/>
  <c r="E45" i="16" s="1"/>
  <c r="E46" i="16" a="1"/>
  <c r="E46" i="16" s="1"/>
  <c r="E44" i="16" a="1"/>
  <c r="E44" i="16" s="1"/>
  <c r="E42" i="16" a="1"/>
  <c r="E42" i="16" s="1"/>
  <c r="E41" i="16" a="1"/>
  <c r="E41" i="16" s="1"/>
  <c r="H38" i="16" a="1"/>
  <c r="H38" i="16" s="1"/>
  <c r="E39" i="16" a="1"/>
  <c r="E39" i="16" s="1"/>
  <c r="J20" i="4" l="1" a="1"/>
  <c r="J20" i="4" s="1"/>
  <c r="C9" i="26" s="1"/>
  <c r="H20" i="4"/>
  <c r="O23" i="4" a="1"/>
  <c r="O23" i="4" s="1"/>
  <c r="O20" i="4"/>
  <c r="O24" i="4" a="1"/>
  <c r="O24" i="4" s="1"/>
  <c r="O21" i="4" a="1"/>
  <c r="O21" i="4" s="1"/>
  <c r="O22" i="4" a="1"/>
  <c r="O22" i="4" s="1"/>
  <c r="F26" i="16"/>
  <c r="G24" i="16"/>
  <c r="G23" i="16"/>
  <c r="G22" i="16"/>
  <c r="G21" i="16"/>
  <c r="I22" i="16" l="1"/>
  <c r="G20" i="16"/>
  <c r="G26" i="16" s="1"/>
  <c r="H22" i="4" l="1"/>
  <c r="J22" i="4" a="1"/>
  <c r="J22" i="4" s="1"/>
  <c r="C11" i="26" s="1"/>
  <c r="I24" i="16"/>
  <c r="L24" i="17"/>
  <c r="K24" i="17"/>
  <c r="I21" i="16"/>
  <c r="I23" i="16"/>
  <c r="H23" i="4" l="1"/>
  <c r="J23" i="4" a="1"/>
  <c r="J23" i="4" s="1"/>
  <c r="C12" i="26" s="1"/>
  <c r="H24" i="4"/>
  <c r="J24" i="4" a="1"/>
  <c r="J24" i="4" s="1"/>
  <c r="C13" i="26" s="1"/>
  <c r="H21" i="4"/>
  <c r="J21" i="4" a="1"/>
  <c r="J21" i="4" s="1"/>
  <c r="I26" i="16"/>
  <c r="D12" i="4"/>
  <c r="C4" i="26" s="1"/>
  <c r="D14" i="4" l="1"/>
  <c r="C6" i="26" s="1"/>
  <c r="C10" i="26"/>
  <c r="H21" i="16"/>
  <c r="H22" i="16"/>
  <c r="H23" i="16"/>
  <c r="H20" i="16"/>
  <c r="H26" i="16" l="1"/>
  <c r="H29" i="16"/>
  <c r="G30" i="16" l="1"/>
  <c r="G29" i="16"/>
  <c r="H30" i="16" s="1"/>
  <c r="G31" i="16"/>
  <c r="G10" i="23" l="1" a="1"/>
  <c r="G10" i="23" s="1"/>
  <c r="D5" i="26" s="1"/>
  <c r="G10" i="24" a="1"/>
  <c r="G10" i="24" s="1"/>
  <c r="E5" i="26" s="1"/>
  <c r="H10" i="20" a="1"/>
  <c r="H10" i="20" s="1"/>
  <c r="D13" i="4" s="1"/>
  <c r="C5" i="26" s="1"/>
  <c r="H31"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<sst xmlns="http://schemas.openxmlformats.org/spreadsheetml/2006/main" count="1304" uniqueCount="718">
  <si>
    <t>Bank Diagnostic</t>
  </si>
  <si>
    <t>INVEST: The Process &amp; Toolkit for Unleashing SME Banking</t>
  </si>
  <si>
    <r>
      <rPr>
        <b/>
        <sz val="12"/>
        <color theme="1"/>
        <rFont val="Lato"/>
        <family val="2"/>
        <scheme val="minor"/>
      </rPr>
      <t>Last modified:</t>
    </r>
    <r>
      <rPr>
        <sz val="12"/>
        <color theme="1"/>
        <rFont val="Lato"/>
        <family val="2"/>
        <scheme val="minor"/>
      </rPr>
      <t xml:space="preserve"> Septmber 23rd, 2025</t>
    </r>
  </si>
  <si>
    <t>Contact details for further inquiries:</t>
  </si>
  <si>
    <t>karen.rodriguez@dalberg.com</t>
  </si>
  <si>
    <t>kusi.hornberger@dalberg.com</t>
  </si>
  <si>
    <t>OVERVIEW</t>
  </si>
  <si>
    <r>
      <rPr>
        <b/>
        <sz val="12"/>
        <rFont val="Lato"/>
        <family val="2"/>
        <scheme val="minor"/>
      </rPr>
      <t xml:space="preserve">The Bank Diagnostic </t>
    </r>
    <r>
      <rPr>
        <sz val="12"/>
        <rFont val="Lato"/>
        <family val="2"/>
        <scheme val="minor"/>
      </rPr>
      <t>is an Excel-based template to help funders and banks identify capability gaps to be filled to effectively deliver SME banking. It offers a menu of options to inform technical assistance efforts or internal initiatives aimed at strengthening a bank’s SME banking capabilities.</t>
    </r>
  </si>
  <si>
    <t>Focus audience:</t>
  </si>
  <si>
    <t xml:space="preserve">USE CASE </t>
  </si>
  <si>
    <r>
      <rPr>
        <b/>
        <sz val="12"/>
        <rFont val="Lato"/>
        <family val="2"/>
        <scheme val="minor"/>
      </rPr>
      <t xml:space="preserve">The tool allows banks to self-assess and allows TA funders to identify their partner bank's existing capabilities and gaps in terms of SME banking across six assessment areas: 1) strategy, 2) talent and organizational structure, 3) competitive positioning, 4) operational processes, 5) products and value proposition, and 6) digital readiness. </t>
    </r>
    <r>
      <rPr>
        <sz val="12"/>
        <rFont val="Lato"/>
        <family val="2"/>
        <scheme val="minor"/>
      </rPr>
      <t>It helps inform strategic pathways and prioritize relevant TA opportunities to strengthen SME finance delivery. The Bank Diagnostic serves as a practical starting point for banks to understand their current capabilities relative to the best-in-class models for SME banking in order to enter the market or scale their existing business.</t>
    </r>
  </si>
  <si>
    <t>OBJECTIVES</t>
  </si>
  <si>
    <t>1. Assess banks'city and internal readiness to deliver SME banking using 30+ indicators focused on core institutional capabilities, including digital readiness.
2. Identify capacity-building opportunities to strengthen SME finance and accelerate digital transformation.</t>
  </si>
  <si>
    <t>GUIDANCE</t>
  </si>
  <si>
    <t>This file consists of seven tabs, including this one. Below is a high-level description of each tab, along with specific instructions on how users can interact with them to complete the bank diagnostic successfully.</t>
  </si>
  <si>
    <t>Tab Name</t>
  </si>
  <si>
    <t>Description</t>
  </si>
  <si>
    <t>Instructions</t>
  </si>
  <si>
    <t>Financial performance</t>
  </si>
  <si>
    <t>This tab presents a dashboard of key financial performance indicators that can be filled out for banks with an existing SME banking business. It offers a visual overview of performance in the SME segment. Filling out this tab is optional, as it depends on the availability of information.</t>
  </si>
  <si>
    <r>
      <t xml:space="preserve">Complete the financial performance dashboard by collecting or requesting the necessary data to populate each indicator, including metrics related to portfolio size and growth, portfolio health, customer loyalty, SME revenue contribution, profitability, and productivity. The dashboard is designed to be flexible; users are encouraged to edit or add indicators as needed to suit the specific context or analytical goals.
</t>
    </r>
    <r>
      <rPr>
        <b/>
        <sz val="12"/>
        <color theme="1"/>
        <rFont val="Lato"/>
        <family val="2"/>
        <scheme val="minor"/>
      </rPr>
      <t>Please note that this dashboard should be adjusted to reflect relevant indicators based on banks availability of data and / or priorities of user</t>
    </r>
  </si>
  <si>
    <t>Bank diagnostic</t>
  </si>
  <si>
    <t xml:space="preserve">This tab presents the Bank Diagnostic Framework, outlining key assessment areas and indicators, along with space for stakeholders to assign scores and provide rationale for each. It also includes guidance on how to automate and customize the tool to reflect users' varying priorities (e.g., by adding or removing indicators). Specific questions on digital readiness are included in a distinct format. </t>
  </si>
  <si>
    <r>
      <t xml:space="preserve">Edit the following two cells across assessment areas and indicators:
</t>
    </r>
    <r>
      <rPr>
        <b/>
        <sz val="12"/>
        <color theme="1"/>
        <rFont val="Lato"/>
        <family val="2"/>
        <scheme val="minor"/>
      </rPr>
      <t xml:space="preserve">'1. Score: </t>
    </r>
    <r>
      <rPr>
        <sz val="12"/>
        <color theme="1"/>
        <rFont val="Lato"/>
        <family val="2"/>
        <scheme val="minor"/>
      </rPr>
      <t xml:space="preserve">To input scores per category on a High/Medium/Low or Yes/No scale
</t>
    </r>
    <r>
      <rPr>
        <b/>
        <sz val="12"/>
        <color theme="1"/>
        <rFont val="Lato"/>
        <family val="2"/>
        <scheme val="minor"/>
      </rPr>
      <t xml:space="preserve">2. Rationale: </t>
    </r>
    <r>
      <rPr>
        <sz val="12"/>
        <color theme="1"/>
        <rFont val="Lato"/>
        <family val="2"/>
        <scheme val="minor"/>
      </rPr>
      <t>To provide a justification or explanation for the selected score</t>
    </r>
  </si>
  <si>
    <t>Examples</t>
  </si>
  <si>
    <t>These tabs include examples of how to score banks across assessment areas and indicators. They provide illustrative scores and rationales based solely on secondary data. As such, the examples are for demonstration purposes only and are intended to support stakeholders in conducting their own bank diagnostics. The information presented is not fully accurate and should not be used as a definitive reference.</t>
  </si>
  <si>
    <t>Use these examples as guidance for scoring and what type of rationale to include across assessment areas.</t>
  </si>
  <si>
    <t>Methodology</t>
  </si>
  <si>
    <t>This tab provides an overview of the methodology used to obtain the bank diagnostic results, including the scoring logic and the roadmaps for mitigating the identified gaps.</t>
  </si>
  <si>
    <t>Review the scoring guidance and focus area considerations. Add or remove categories as needed to align with your organization’s priorities.</t>
  </si>
  <si>
    <t>Results</t>
  </si>
  <si>
    <t>This tab provides an overview of the bank diagnostic results, highlighting the maturity level of each assessment area, including digital readiness. It also outlines suggested pathways to address the identified gaps.</t>
  </si>
  <si>
    <t>Consider the most pressing gaps and review the suggested strategies for strengthening SME banking. Engage relevant decision-making teams to help guide future analysis and interventions.</t>
  </si>
  <si>
    <t>USING THIS TOOL EFFECTIVELY</t>
  </si>
  <si>
    <t>SMEs are defined here as firms with 10–250 employees and revenues of USD 100K–15M. While definitions vary by market, this standard is used for consistency, while most tools also apply to informal or smaller enterprises.</t>
  </si>
  <si>
    <r>
      <t xml:space="preserve">This tool is designed to be geography-agnostic and applicable across all banks and TA funders. </t>
    </r>
    <r>
      <rPr>
        <sz val="12"/>
        <color theme="1"/>
        <rFont val="Lato"/>
        <family val="2"/>
        <scheme val="minor"/>
      </rPr>
      <t>It is intended as a flexible resource that can be adapted and customized to fit each organization's specific needs, goals, and contextual realities. The tool serves as a starting point that can be built upon and tailored as needed. Users are encouraged to treat this as a living tool, one that can be updated over time to reflect emerging learnings and strategic shifts.</t>
    </r>
    <r>
      <rPr>
        <b/>
        <sz val="12"/>
        <color theme="1"/>
        <rFont val="Lato"/>
        <family val="2"/>
        <scheme val="minor"/>
      </rPr>
      <t xml:space="preserve"> For more information, reference the tool's user guide.</t>
    </r>
  </si>
  <si>
    <r>
      <rPr>
        <b/>
        <sz val="12"/>
        <color rgb="FF000000"/>
        <rFont val="Lato"/>
        <family val="2"/>
        <scheme val="minor"/>
      </rPr>
      <t>The Bank Diagnostic is a core component of INVEST: The Process &amp; Toolkit for Unleashing SME Banking, a public resource that helps banks and TA funders strengthen SME banking operations. It was developed through a highly consultative process and draws on learnings from experienced ecosystem experts.</t>
    </r>
    <r>
      <rPr>
        <sz val="12"/>
        <color rgb="FF000000"/>
        <rFont val="Lato"/>
        <family val="2"/>
        <scheme val="minor"/>
      </rPr>
      <t xml:space="preserve"> The Bank Diagnostic is closely linked to other tools from the toolkit, especially in terms of strategic and TA recommendations across focus areas to address identified capability gaps.</t>
    </r>
  </si>
  <si>
    <t xml:space="preserve">Move to the next sheet to begin assessing the SME readiness of your organization or partner bank!
</t>
  </si>
  <si>
    <t xml:space="preserve">Bank's Overall SME Financial Performance </t>
  </si>
  <si>
    <t>•Before initiating the bank diagnostic, please gather or request the necessary data to populate the following key indicators. These will provide a comprehensive overview of the bank’s financial performance. If this information is not available, leave the tab empty. 
•In addition to the metrics listed, please include any other relevant indicators that may enhance the analysis, such as operational efficiency, net interest margins, profit per SME officer, or others that reflect segment-level financial performance.</t>
  </si>
  <si>
    <t>Year</t>
  </si>
  <si>
    <t>SME portfolio size (USD million)</t>
  </si>
  <si>
    <t>SME share</t>
  </si>
  <si>
    <t xml:space="preserve">SME revenue (USD million) </t>
  </si>
  <si>
    <t>Overall revenue (USD million)</t>
  </si>
  <si>
    <t>SME CIR</t>
  </si>
  <si>
    <t>Overall CIR</t>
  </si>
  <si>
    <t>Average</t>
  </si>
  <si>
    <t>SME NPS</t>
  </si>
  <si>
    <t>Overall NPS</t>
  </si>
  <si>
    <t>SMEs NPL</t>
  </si>
  <si>
    <t>Overall NPL</t>
  </si>
  <si>
    <t>Loans per officer SME segment</t>
  </si>
  <si>
    <t>Overall loans per officer</t>
  </si>
  <si>
    <t>Let</t>
  </si>
  <si>
    <t>• In this tab, you can complete the Bank diagnostic for your bank or a partner bank. 
• Start by entering information about the specific bank you are assessing, including its name, country of operation, and type. For "Bank type," tiers are typically defined by the size of the bank’s assets: Tier 1 banks usually hold assets of around $100 billion or more, Tier 2 banks hold between $1 billion and $100 billion, and Tier 3 banks have assets of $1 billion or less. These ranges may vary by country and should be adjusted to local market conditions where appropriate.
• Please enter scores for each of the five assessment areas in column E, and provide a brief justification for each score in column F. 
• The questions specifically focused on digital capabilities can be found within the different assessment areas with the following format: 
• Completing the assessment effectively requires access to primary information. To this end, it is recommended to conduct interviews with multiple bank staff, as indicated in column I. Suggested interview questions are listed in column D to support this process and are also compiled in a standalone Interview Guide that accompanies this tool.
• Automation and customization guidelines can be found in columns K and L.</t>
  </si>
  <si>
    <t>Bank profile</t>
  </si>
  <si>
    <t>Overall standing</t>
  </si>
  <si>
    <t>Name:</t>
  </si>
  <si>
    <t>Bank X</t>
  </si>
  <si>
    <t>Country of operation:</t>
  </si>
  <si>
    <t>Bank type:</t>
  </si>
  <si>
    <t>Criteria</t>
  </si>
  <si>
    <t>Interview questions and guide</t>
  </si>
  <si>
    <t>Score</t>
  </si>
  <si>
    <t>Rationale</t>
  </si>
  <si>
    <t>Scoring guidance</t>
  </si>
  <si>
    <t>Direction</t>
  </si>
  <si>
    <t>Assessment tips</t>
  </si>
  <si>
    <t>Type of source</t>
  </si>
  <si>
    <t>Notes on customization</t>
  </si>
  <si>
    <t>Automation guidelines</t>
  </si>
  <si>
    <t>1. Strategy</t>
  </si>
  <si>
    <t>#</t>
  </si>
  <si>
    <t>Overall strategy</t>
  </si>
  <si>
    <t>1.1 SME banking is a top priority for the bank</t>
  </si>
  <si>
    <t>Is SME banking among the bank's top strategic priorities for the next 2–3 years? How would it rank compared to other key priorities?</t>
  </si>
  <si>
    <t>Medium</t>
  </si>
  <si>
    <r>
      <t>High:</t>
    </r>
    <r>
      <rPr>
        <sz val="9"/>
        <color theme="1"/>
        <rFont val="Lato"/>
        <family val="2"/>
        <scheme val="minor"/>
      </rPr>
      <t xml:space="preserve"> SME banking is explicitly named as one of the bank’s top 3 short-term strategic priorities 
</t>
    </r>
    <r>
      <rPr>
        <b/>
        <sz val="9"/>
        <color theme="1"/>
        <rFont val="Lato"/>
        <family val="2"/>
        <scheme val="minor"/>
      </rPr>
      <t xml:space="preserve">Medium: </t>
    </r>
    <r>
      <rPr>
        <sz val="9"/>
        <color theme="1"/>
        <rFont val="Lato"/>
        <family val="2"/>
        <scheme val="minor"/>
      </rPr>
      <t xml:space="preserve">SME banking is listed among the top 4–10 strategic priorities
</t>
    </r>
    <r>
      <rPr>
        <b/>
        <sz val="9"/>
        <color theme="1"/>
        <rFont val="Lato"/>
        <family val="2"/>
        <scheme val="minor"/>
      </rPr>
      <t>Low</t>
    </r>
    <r>
      <rPr>
        <sz val="9"/>
        <color theme="1"/>
        <rFont val="Lato"/>
        <family val="2"/>
        <scheme val="minor"/>
      </rPr>
      <t>:</t>
    </r>
    <r>
      <rPr>
        <b/>
        <sz val="9"/>
        <color theme="1"/>
        <rFont val="Lato"/>
        <family val="2"/>
        <scheme val="minor"/>
      </rPr>
      <t xml:space="preserve"> </t>
    </r>
    <r>
      <rPr>
        <sz val="9"/>
        <color theme="1"/>
        <rFont val="Lato"/>
        <family val="2"/>
        <scheme val="minor"/>
      </rPr>
      <t>SME banking is not clearly reflected among the bank's top strategic priorities or is absent from current strategy documentation</t>
    </r>
  </si>
  <si>
    <r>
      <t xml:space="preserve">Positive, </t>
    </r>
    <r>
      <rPr>
        <sz val="9"/>
        <color theme="1"/>
        <rFont val="Lato"/>
        <family val="2"/>
        <scheme val="minor"/>
      </rPr>
      <t>given banks that consider SME programs a high priority are likely committed to their execution</t>
    </r>
  </si>
  <si>
    <t>Interview at least two bank staff, including a senior leader (e.g., COO, CEO, or CSO), to ensure a well-rounded perspective</t>
  </si>
  <si>
    <t>Primary</t>
  </si>
  <si>
    <r>
      <rPr>
        <b/>
        <sz val="9"/>
        <color theme="1"/>
        <rFont val="Lato"/>
        <family val="2"/>
        <scheme val="minor"/>
      </rPr>
      <t>If recording is allowed, use ChatGPT or a similar AI tool to analyze the transcripts of interviews and identify key takeaways</t>
    </r>
    <r>
      <rPr>
        <sz val="9"/>
        <color theme="1"/>
        <rFont val="Lato"/>
        <family val="2"/>
        <scheme val="minor"/>
      </rPr>
      <t xml:space="preserve"> related to the bank's SME strategy.
</t>
    </r>
    <r>
      <rPr>
        <b/>
        <sz val="9"/>
        <color theme="1"/>
        <rFont val="Lato"/>
        <family val="2"/>
        <scheme val="minor"/>
      </rPr>
      <t>Prompt example:</t>
    </r>
    <r>
      <rPr>
        <sz val="9"/>
        <color theme="1"/>
        <rFont val="Lato"/>
        <family val="2"/>
        <scheme val="minor"/>
      </rPr>
      <t xml:space="preserve"> “Analyze these transcripts to extract insights to answer the following questions related to the bank’s SME strategy. If information is missing or unclear in the transcripts, search external public sources (e.g., annual reports, investor presentations, strategy briefs) to complement your responses. For each question: i) Summarize the relevant insight based on the transcript, ii) Complement information from public documents if helpful, iii) Include one short quote (from either the transcript or a public source) as supporting evidence
</t>
    </r>
    <r>
      <rPr>
        <b/>
        <sz val="9"/>
        <color theme="1"/>
        <rFont val="Lato"/>
        <family val="2"/>
        <scheme val="minor"/>
      </rPr>
      <t>Questions to answer:</t>
    </r>
    <r>
      <rPr>
        <sz val="9"/>
        <color theme="1"/>
        <rFont val="Lato"/>
        <family val="2"/>
        <scheme val="minor"/>
      </rPr>
      <t xml:space="preserve">
1.1 Is SME banking a top strategic priority for the bank?
1.2 Does the SME portfolio represent a significant share of the bank’s overall business?
1.3 Are SME goals clearly defined, time-bound, and reflected across departments?
1.4 Are SME strategies and outcomes reviewed regularly by senior leadership?
1.5 Are SME strategies supported by structured, multi-year investment plans?
1.6 Is the SME strategy embedded across departments and delivery channels (e.g., credit, ops, digital)?
1.7 Are SME impact goals (e.g., inclusion, gender, climate) defined, tracked, and reviewed?
1.8 Has the bank successfully delivered SME-related change initiatives in the past 3–5 years (e.g., product rollout, migration, segment launches)?"
</t>
    </r>
    <r>
      <rPr>
        <b/>
        <sz val="9"/>
        <color theme="1"/>
        <rFont val="Lato"/>
        <family val="2"/>
        <scheme val="minor"/>
      </rPr>
      <t>Note: Any AI-generated findings should be reviewed and validated by the user to ensure accuracy and contextual relevance.</t>
    </r>
  </si>
  <si>
    <t>1.2 The targeted or current SME portfolio represents a significant share of the bank’s overall business</t>
  </si>
  <si>
    <t>What is the current share of SME lending in the bank's total business? What share is the bank targeting over the next few years?</t>
  </si>
  <si>
    <t>High</t>
  </si>
  <si>
    <r>
      <t>High:</t>
    </r>
    <r>
      <rPr>
        <sz val="9"/>
        <color theme="1"/>
        <rFont val="Lato"/>
        <family val="2"/>
        <scheme val="minor"/>
      </rPr>
      <t xml:space="preserve"> SMEs make up ≥20% of the bank’s current or targeted lending 
</t>
    </r>
    <r>
      <rPr>
        <b/>
        <sz val="9"/>
        <color theme="1"/>
        <rFont val="Lato"/>
        <family val="2"/>
        <scheme val="minor"/>
      </rPr>
      <t xml:space="preserve">Medium: </t>
    </r>
    <r>
      <rPr>
        <sz val="9"/>
        <color theme="1"/>
        <rFont val="Lato"/>
        <family val="2"/>
        <scheme val="minor"/>
      </rPr>
      <t xml:space="preserve">SMEs represent 10–19% of the bank’s lending
</t>
    </r>
    <r>
      <rPr>
        <b/>
        <sz val="9"/>
        <color theme="1"/>
        <rFont val="Lato"/>
        <family val="2"/>
        <scheme val="minor"/>
      </rPr>
      <t>Low</t>
    </r>
    <r>
      <rPr>
        <sz val="9"/>
        <color theme="1"/>
        <rFont val="Lato"/>
        <family val="2"/>
        <scheme val="minor"/>
      </rPr>
      <t>:</t>
    </r>
    <r>
      <rPr>
        <b/>
        <sz val="9"/>
        <color theme="1"/>
        <rFont val="Lato"/>
        <family val="2"/>
        <scheme val="minor"/>
      </rPr>
      <t xml:space="preserve"> </t>
    </r>
    <r>
      <rPr>
        <sz val="9"/>
        <color theme="1"/>
        <rFont val="Lato"/>
        <family val="2"/>
        <scheme val="minor"/>
      </rPr>
      <t>SMEs represent less than 10% of the bank’s lending</t>
    </r>
  </si>
  <si>
    <r>
      <t xml:space="preserve">Positive, </t>
    </r>
    <r>
      <rPr>
        <sz val="9"/>
        <color theme="1"/>
        <rFont val="Lato"/>
        <family val="2"/>
        <scheme val="minor"/>
      </rPr>
      <t>as a high SME share of the loan book signals that SMEs are a core commercial focus, likely supported by resource allocation</t>
    </r>
  </si>
  <si>
    <t>SME strategy</t>
  </si>
  <si>
    <t>1.3 SME goals are clearly defined and time-bound</t>
  </si>
  <si>
    <t>Has the bank defined an SME segment with specific goals? If so, what are their time horizons, and how frequently are they tracked?</t>
  </si>
  <si>
    <r>
      <rPr>
        <b/>
        <sz val="9"/>
        <color theme="1"/>
        <rFont val="Lato"/>
        <family val="2"/>
        <scheme val="minor"/>
      </rPr>
      <t>High:</t>
    </r>
    <r>
      <rPr>
        <sz val="9"/>
        <color theme="1"/>
        <rFont val="Lato"/>
        <family val="2"/>
        <scheme val="minor"/>
      </rPr>
      <t xml:space="preserve"> The bank has defined SME as a distinct segment with specific and measurable goals with 3–5 year timelines, tied to planning cycles
</t>
    </r>
    <r>
      <rPr>
        <b/>
        <sz val="9"/>
        <color theme="1"/>
        <rFont val="Lato"/>
        <family val="2"/>
        <scheme val="minor"/>
      </rPr>
      <t xml:space="preserve">Medium: </t>
    </r>
    <r>
      <rPr>
        <sz val="9"/>
        <color theme="1"/>
        <rFont val="Lato"/>
        <family val="2"/>
        <scheme val="minor"/>
      </rPr>
      <t xml:space="preserve">SME goals exist but are not concrete, time-bound, or lack consistent tracking and updating 
</t>
    </r>
    <r>
      <rPr>
        <b/>
        <sz val="9"/>
        <color theme="1"/>
        <rFont val="Lato"/>
        <family val="2"/>
        <scheme val="minor"/>
      </rPr>
      <t>Low:</t>
    </r>
    <r>
      <rPr>
        <sz val="9"/>
        <color theme="1"/>
        <rFont val="Lato"/>
        <family val="2"/>
        <scheme val="minor"/>
      </rPr>
      <t xml:space="preserve"> SME-related goals are vague or aspirational, with no actionable framework</t>
    </r>
  </si>
  <si>
    <r>
      <rPr>
        <b/>
        <sz val="9"/>
        <color theme="1"/>
        <rFont val="Lato"/>
        <family val="2"/>
        <scheme val="minor"/>
      </rPr>
      <t>Positive</t>
    </r>
    <r>
      <rPr>
        <sz val="9"/>
        <color theme="1"/>
        <rFont val="Lato"/>
        <family val="2"/>
        <scheme val="minor"/>
      </rPr>
      <t>, as clear, time-bound SME goals that are shared across teams suggest strategic cohesion and prioritization</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</si>
  <si>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 or a senior leader (e.g., CSO) to validate
Complement with secondary information, such as annual reports and investor relations presentations</t>
    </r>
  </si>
  <si>
    <t>Both</t>
  </si>
  <si>
    <t>1.4 SME strategy and outcomes are periodically reviewed by senior leadership</t>
  </si>
  <si>
    <t xml:space="preserve">Do leadership members oversee SME banking operations? If so, who? How frequently does this person review progress on the SME strategy? </t>
  </si>
  <si>
    <t>Low</t>
  </si>
  <si>
    <r>
      <rPr>
        <b/>
        <sz val="9"/>
        <color theme="1"/>
        <rFont val="Lato"/>
        <family val="2"/>
        <scheme val="minor"/>
      </rPr>
      <t>High:</t>
    </r>
    <r>
      <rPr>
        <sz val="9"/>
        <color theme="1"/>
        <rFont val="Lato"/>
        <family val="2"/>
        <scheme val="minor"/>
      </rPr>
      <t xml:space="preserve"> SME operations and outcomes are closely monitored by at least one senior executive who is accountable for executing and reviewing the overall strategy on a quarterly basis
</t>
    </r>
    <r>
      <rPr>
        <b/>
        <sz val="9"/>
        <color theme="1"/>
        <rFont val="Lato"/>
        <family val="2"/>
        <scheme val="minor"/>
      </rPr>
      <t>Medium:</t>
    </r>
    <r>
      <rPr>
        <sz val="9"/>
        <color theme="1"/>
        <rFont val="Lato"/>
        <family val="2"/>
        <scheme val="minor"/>
      </rPr>
      <t xml:space="preserve"> SME operations are monitored but not reviewed as frequently by senior leadership (e.g., only annually)
</t>
    </r>
    <r>
      <rPr>
        <b/>
        <sz val="9"/>
        <color theme="1"/>
        <rFont val="Lato"/>
        <family val="2"/>
        <scheme val="minor"/>
      </rPr>
      <t>Low:</t>
    </r>
    <r>
      <rPr>
        <sz val="9"/>
        <color theme="1"/>
        <rFont val="Lato"/>
        <family val="2"/>
        <scheme val="minor"/>
      </rPr>
      <t xml:space="preserve"> No structured oversight or accountability is limited to middle management staff</t>
    </r>
  </si>
  <si>
    <r>
      <rPr>
        <b/>
        <sz val="9"/>
        <color theme="1"/>
        <rFont val="Lato"/>
        <family val="2"/>
        <scheme val="minor"/>
      </rPr>
      <t>Positive</t>
    </r>
    <r>
      <rPr>
        <sz val="9"/>
        <color theme="1"/>
        <rFont val="Lato"/>
        <family val="2"/>
        <scheme val="minor"/>
      </rPr>
      <t>, as periodic strategy reviews by senior leadership ensure accountability and course correction aligned with executive decision cycles</t>
    </r>
  </si>
  <si>
    <t>Interview a senior leader (e.g., CSO or CEO) to validate</t>
  </si>
  <si>
    <t>Adjust to reflect the organization’s governance structure and team composition, while ensuring appropriate leadership oversight</t>
  </si>
  <si>
    <t>1.5 SME strategy is supported by structured, multi-year investment plans</t>
  </si>
  <si>
    <t>Does the bank have defined investment plans to deliver on its SME strategy? If so, what are the execution timelines, and what resources have been allocated to support it?</t>
  </si>
  <si>
    <r>
      <rPr>
        <b/>
        <sz val="9"/>
        <color theme="1"/>
        <rFont val="Lato"/>
        <family val="2"/>
        <scheme val="minor"/>
      </rPr>
      <t xml:space="preserve">High: </t>
    </r>
    <r>
      <rPr>
        <sz val="9"/>
        <color theme="1"/>
        <rFont val="Lato"/>
        <family val="2"/>
        <scheme val="minor"/>
      </rPr>
      <t xml:space="preserve">The bank has defined both medium-term (1-3 year horizon) and long-term (4-6 year horizon) investment plans and allocated sufficient resources in alignment with SME goals 
</t>
    </r>
    <r>
      <rPr>
        <b/>
        <sz val="9"/>
        <color theme="1"/>
        <rFont val="Lato"/>
        <family val="2"/>
        <scheme val="minor"/>
      </rPr>
      <t>Medium</t>
    </r>
    <r>
      <rPr>
        <sz val="9"/>
        <color theme="1"/>
        <rFont val="Lato"/>
        <family val="2"/>
        <scheme val="minor"/>
      </rPr>
      <t xml:space="preserve">: There is an investment plan, but resource allocation or execution timelines are not as clearly defined (e.g., very long term)
</t>
    </r>
    <r>
      <rPr>
        <b/>
        <sz val="9"/>
        <color theme="1"/>
        <rFont val="Lato"/>
        <family val="2"/>
        <scheme val="minor"/>
      </rPr>
      <t xml:space="preserve">Low: </t>
    </r>
    <r>
      <rPr>
        <sz val="9"/>
        <color theme="1"/>
        <rFont val="Lato"/>
        <family val="2"/>
        <scheme val="minor"/>
      </rPr>
      <t>There are no investment plans or if present these lack clear resource allocation and timelines for execution</t>
    </r>
  </si>
  <si>
    <r>
      <rPr>
        <b/>
        <sz val="9"/>
        <color theme="1"/>
        <rFont val="Lato"/>
        <family val="2"/>
        <scheme val="minor"/>
      </rPr>
      <t>Positive</t>
    </r>
    <r>
      <rPr>
        <sz val="9"/>
        <color theme="1"/>
        <rFont val="Lato"/>
        <family val="2"/>
        <scheme val="minor"/>
      </rPr>
      <t xml:space="preserve">, since the presence of both medium- and long-term investment plans reflects a credible roadmap and strong institutional commitment </t>
    </r>
  </si>
  <si>
    <t>Interview a senior leader (e.g., CSO or CEO) and the SME Business Lead (or related positions) to validate
Complement with internal budget documents or similar resources</t>
  </si>
  <si>
    <t>It's common for small banks to receive a medium or low score, as they may not have the resources to develop multi-year investment plans</t>
  </si>
  <si>
    <t>1.6 SME strategy is embedded across departments and delivery channels</t>
  </si>
  <si>
    <t>Is the SME strategy reflected in the work of core teams (e.g., credit, risk, operations)? Are these teams held accountable for delivering on SME-related priorities?</t>
  </si>
  <si>
    <r>
      <t>High:</t>
    </r>
    <r>
      <rPr>
        <sz val="9"/>
        <color theme="1"/>
        <rFont val="Lato"/>
        <family val="2"/>
        <scheme val="minor"/>
      </rPr>
      <t xml:space="preserve"> The bank has a SME strategy that is known and reflected across core departments (e.g., credit, ops, risk, digital) and delivery teams (e.g., branches, agents, RMs). SME objectives and priorities are understood at the field level and included in branch plans
</t>
    </r>
    <r>
      <rPr>
        <b/>
        <sz val="9"/>
        <color theme="1"/>
        <rFont val="Lato"/>
        <family val="2"/>
        <scheme val="minor"/>
      </rPr>
      <t xml:space="preserve">Medium: </t>
    </r>
    <r>
      <rPr>
        <sz val="9"/>
        <color theme="1"/>
        <rFont val="Lato"/>
        <family val="2"/>
        <scheme val="minor"/>
      </rPr>
      <t xml:space="preserve">SME priorities are partially reflected in support departments but weakly cascaded to delivery channels; some staff are aware, but ownership is uneven
</t>
    </r>
    <r>
      <rPr>
        <b/>
        <sz val="9"/>
        <color theme="1"/>
        <rFont val="Lato"/>
        <family val="2"/>
        <scheme val="minor"/>
      </rPr>
      <t>Low</t>
    </r>
    <r>
      <rPr>
        <sz val="9"/>
        <color theme="1"/>
        <rFont val="Lato"/>
        <family val="2"/>
        <scheme val="minor"/>
      </rPr>
      <t>:</t>
    </r>
    <r>
      <rPr>
        <b/>
        <sz val="9"/>
        <color theme="1"/>
        <rFont val="Lato"/>
        <family val="2"/>
        <scheme val="minor"/>
      </rPr>
      <t xml:space="preserve"> </t>
    </r>
    <r>
      <rPr>
        <sz val="9"/>
        <color theme="1"/>
        <rFont val="Lato"/>
        <family val="2"/>
        <scheme val="minor"/>
      </rPr>
      <t xml:space="preserve">There is not an SME strategy in place or there is little awareness or alignment on the SME strategy </t>
    </r>
  </si>
  <si>
    <r>
      <t xml:space="preserve">Positive, </t>
    </r>
    <r>
      <rPr>
        <sz val="9"/>
        <color theme="1"/>
        <rFont val="Lato"/>
        <family val="2"/>
        <scheme val="minor"/>
      </rPr>
      <t>as a broad-based understanding of SME priorities across functions improves consistency in service delivery</t>
    </r>
  </si>
  <si>
    <t>Interview the SME Business Lead (or related positions) to validate</t>
  </si>
  <si>
    <t>Include specific core departments or teams</t>
  </si>
  <si>
    <t xml:space="preserve">1.7 SME impact goals have defined metrics and are consistently tracked </t>
  </si>
  <si>
    <t>Are there defined inclusion or impact goals for SME banking? If so, how frequently are these monitored?</t>
  </si>
  <si>
    <r>
      <rPr>
        <b/>
        <sz val="9"/>
        <color theme="1"/>
        <rFont val="Lato"/>
        <family val="2"/>
        <scheme val="minor"/>
      </rPr>
      <t>High:</t>
    </r>
    <r>
      <rPr>
        <sz val="9"/>
        <color theme="1"/>
        <rFont val="Lato"/>
        <family val="2"/>
        <scheme val="minor"/>
      </rPr>
      <t xml:space="preserve"> Inclusion KPIs (e.g., % loans to women-led or climate-aligned SMEs) are defined, tracked, and reviewed at least annually
</t>
    </r>
    <r>
      <rPr>
        <b/>
        <sz val="9"/>
        <color theme="1"/>
        <rFont val="Lato"/>
        <family val="2"/>
        <scheme val="minor"/>
      </rPr>
      <t>Medium</t>
    </r>
    <r>
      <rPr>
        <sz val="9"/>
        <color theme="1"/>
        <rFont val="Lato"/>
        <family val="2"/>
        <scheme val="minor"/>
      </rPr>
      <t xml:space="preserve">: Inclusion KPIs are defined but not tracked periodically or at the SME level
</t>
    </r>
    <r>
      <rPr>
        <b/>
        <sz val="9"/>
        <color theme="1"/>
        <rFont val="Lato"/>
        <family val="2"/>
        <scheme val="minor"/>
      </rPr>
      <t>Low:</t>
    </r>
    <r>
      <rPr>
        <sz val="9"/>
        <color theme="1"/>
        <rFont val="Lato"/>
        <family val="2"/>
        <scheme val="minor"/>
      </rPr>
      <t xml:space="preserve"> Inclusion KPIs are not defined or tracked throughout the organization</t>
    </r>
  </si>
  <si>
    <r>
      <rPr>
        <b/>
        <sz val="9"/>
        <color theme="1"/>
        <rFont val="Lato"/>
        <family val="2"/>
        <scheme val="minor"/>
      </rPr>
      <t>Positive,</t>
    </r>
    <r>
      <rPr>
        <sz val="9"/>
        <color theme="1"/>
        <rFont val="Lato"/>
        <family val="2"/>
        <scheme val="minor"/>
      </rPr>
      <t xml:space="preserve"> as the regular tracking of SME impact metrics demonstrates a commitment to measuring outcomes beyond disbursements and aligned with financial inclusion</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</si>
  <si>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 to validate
Complement with secondary information, such as annual reports and investor relations presentations</t>
    </r>
  </si>
  <si>
    <t>Tailor to align with specific impact goals of interest (e.g., rural development, gender inclusion, job creation)</t>
  </si>
  <si>
    <t xml:space="preserve">1.8 Proven track record delivering strategic change initiatives (e.g., product rollout, digital migration, segment launch)	</t>
  </si>
  <si>
    <t>Has the bank implemented any major strategic or operational initiatives in the past 3–5 years (e.g., new business segment, digital transformation, or product launch)? If so, what were the outcomes and how effectively were these initiatives delivered?</t>
  </si>
  <si>
    <r>
      <rPr>
        <b/>
        <sz val="9"/>
        <color theme="1"/>
        <rFont val="Lato"/>
        <family val="2"/>
        <scheme val="minor"/>
      </rPr>
      <t xml:space="preserve">High: </t>
    </r>
    <r>
      <rPr>
        <sz val="9"/>
        <color theme="1"/>
        <rFont val="Lato"/>
        <family val="2"/>
        <scheme val="minor"/>
      </rPr>
      <t xml:space="preserve">The bank has successfully implemented at least two strategic or operational initiatives in the past 3–5 years, with clear delivery outcomes and cross-functional coordination
</t>
    </r>
    <r>
      <rPr>
        <b/>
        <sz val="9"/>
        <color theme="1"/>
        <rFont val="Lato"/>
        <family val="2"/>
        <scheme val="minor"/>
      </rPr>
      <t>Medium:</t>
    </r>
    <r>
      <rPr>
        <sz val="9"/>
        <color theme="1"/>
        <rFont val="Lato"/>
        <family val="2"/>
        <scheme val="minor"/>
      </rPr>
      <t xml:space="preserve"> Some change initiatives were implemented but with delays, limited scale, or unclear outcomes
</t>
    </r>
    <r>
      <rPr>
        <b/>
        <sz val="9"/>
        <color theme="1"/>
        <rFont val="Lato"/>
        <family val="2"/>
        <scheme val="minor"/>
      </rPr>
      <t xml:space="preserve">Low: </t>
    </r>
    <r>
      <rPr>
        <sz val="9"/>
        <color theme="1"/>
        <rFont val="Lato"/>
        <family val="2"/>
        <scheme val="minor"/>
      </rPr>
      <t>Limited or no record of executing structured change beyond business-as-usual operations</t>
    </r>
  </si>
  <si>
    <r>
      <rPr>
        <b/>
        <sz val="9"/>
        <color theme="1"/>
        <rFont val="Lato"/>
        <family val="2"/>
        <scheme val="minor"/>
      </rPr>
      <t xml:space="preserve">Positive, </t>
    </r>
    <r>
      <rPr>
        <sz val="9"/>
        <color theme="1"/>
        <rFont val="Lato"/>
        <family val="2"/>
        <scheme val="minor"/>
      </rPr>
      <t>since the successful delivery of change initiatives reflects strong execution, learning, and adaptation capacity, which can be leveraged to drive future SME initiatives</t>
    </r>
  </si>
  <si>
    <t>Interview a senior leader (e.g., CSO, COO, or CEO) to validate</t>
  </si>
  <si>
    <t>Include mainly if the bank has limited SME experience to validate its change management capacity</t>
  </si>
  <si>
    <t>2. Talent and organizational structure</t>
  </si>
  <si>
    <t>2.1 Dedicated SME unit with defined roles and execution responsibility</t>
  </si>
  <si>
    <t>Does the bank have a dedicated SME unit with defined roles and responsibilities? If so, how many staff members are exclusively focused on SME-related activities?</t>
  </si>
  <si>
    <r>
      <rPr>
        <b/>
        <sz val="9"/>
        <color theme="1"/>
        <rFont val="Lato"/>
        <family val="2"/>
        <scheme val="minor"/>
      </rPr>
      <t xml:space="preserve">High: </t>
    </r>
    <r>
      <rPr>
        <sz val="9"/>
        <color theme="1"/>
        <rFont val="Lato"/>
        <family val="2"/>
        <scheme val="minor"/>
      </rPr>
      <t xml:space="preserve">The bank has a full-time SME unit of at least 3–5 staff with defined roles and responsibilities across core departments (e.g., sales, credit, and product). The team has decision-making authority
</t>
    </r>
    <r>
      <rPr>
        <b/>
        <sz val="9"/>
        <color theme="1"/>
        <rFont val="Lato"/>
        <family val="2"/>
        <scheme val="minor"/>
      </rPr>
      <t>Medium:</t>
    </r>
    <r>
      <rPr>
        <sz val="9"/>
        <color theme="1"/>
        <rFont val="Lato"/>
        <family val="2"/>
        <scheme val="minor"/>
      </rPr>
      <t xml:space="preserve"> The bank has 1-2 designated staff members, but SME is one of many responsibilities or roles that they hold in the bank
</t>
    </r>
    <r>
      <rPr>
        <b/>
        <sz val="9"/>
        <color theme="1"/>
        <rFont val="Lato"/>
        <family val="2"/>
        <scheme val="minor"/>
      </rPr>
      <t>Low:</t>
    </r>
    <r>
      <rPr>
        <sz val="9"/>
        <color theme="1"/>
        <rFont val="Lato"/>
        <family val="2"/>
        <scheme val="minor"/>
      </rPr>
      <t xml:space="preserve"> No SME-specific staff or execution roles exist</t>
    </r>
  </si>
  <si>
    <r>
      <rPr>
        <b/>
        <sz val="9"/>
        <color theme="1"/>
        <rFont val="Lato"/>
        <family val="2"/>
        <scheme val="minor"/>
      </rPr>
      <t xml:space="preserve">Positive, </t>
    </r>
    <r>
      <rPr>
        <sz val="9"/>
        <color theme="1"/>
        <rFont val="Lato"/>
        <family val="2"/>
        <scheme val="minor"/>
      </rPr>
      <t>as the presence of a full-time, multi-functional SME team with clear responsibilities and decision-making authority indicates strong internal ownership and coordination capacity</t>
    </r>
  </si>
  <si>
    <t>Interview a senior leader (e.g., CSO or CEO) or the SME Business Lead (or related positions) to validate
Complement with secondary information, such as LinkedIn profiles and team composition on the bank's website</t>
  </si>
  <si>
    <t>Adjust the size of the SME team based on the overall staff capacity and scale of the organization</t>
  </si>
  <si>
    <r>
      <t xml:space="preserve">If recording is allowed, use ChatGPT or a similar AI tool to analyze the transcripts of interviews and identify key takeaways related to the bank's SME talent and organizational structure.
Prompt example: </t>
    </r>
    <r>
      <rPr>
        <sz val="9"/>
        <color theme="1"/>
        <rFont val="Lato"/>
        <family val="2"/>
        <scheme val="minor"/>
      </rPr>
      <t>“Analyze these transcripts to extract insights to answer the following questions related to the bank’s SME team structure and collaboration. If information is missing or unclear in the transcripts, search external public sources (e.g., annual reports, org charts, bank websites) to complement your responses. For each question: i) Summarize the relevant insight based on the transcript; ii) Complement with public information if helpful, and iii) Include one short quote (from either the transcript or a public source) as supporting evidence.</t>
    </r>
    <r>
      <rPr>
        <b/>
        <sz val="9"/>
        <color theme="1"/>
        <rFont val="Lato"/>
        <family val="2"/>
        <scheme val="minor"/>
      </rPr>
      <t xml:space="preserve">
Questions to answer:
</t>
    </r>
    <r>
      <rPr>
        <sz val="9"/>
        <color theme="1"/>
        <rFont val="Lato"/>
        <family val="2"/>
        <scheme val="minor"/>
      </rPr>
      <t xml:space="preserve">2.1 Does the bank have a dedicated SME unit with clear roles and execution responsibility?
2.2 Are SME performance targets and incentives defined across departments?
2.3 Are relevant trainings for SME banking provided to relevant staff?"
</t>
    </r>
    <r>
      <rPr>
        <b/>
        <sz val="9"/>
        <color theme="1"/>
        <rFont val="Lato"/>
        <family val="2"/>
        <scheme val="minor"/>
      </rPr>
      <t xml:space="preserve">
Note: Any AI-generated findings should be reviewed and validated by the user to ensure accuracy and contextual relevance.</t>
    </r>
  </si>
  <si>
    <t>2.2  SME staff have performance targets and incentives</t>
  </si>
  <si>
    <t>Do staff involved in SME banking have performance targets or incentives specifically tied to SME results? If so, which roles have KPIs? How are these encouraging performance?</t>
  </si>
  <si>
    <r>
      <rPr>
        <b/>
        <sz val="9"/>
        <color theme="1"/>
        <rFont val="Lato"/>
        <family val="2"/>
        <scheme val="minor"/>
      </rPr>
      <t xml:space="preserve">High: </t>
    </r>
    <r>
      <rPr>
        <sz val="9"/>
        <color theme="1"/>
        <rFont val="Lato"/>
        <family val="2"/>
        <scheme val="minor"/>
      </rPr>
      <t xml:space="preserve">SME KPIs (e.g., loan disbursement, NPLs, turnaround time, cross-sell) are embedded in the SME unit's performance evaluations, and incentives reward SME results
</t>
    </r>
    <r>
      <rPr>
        <b/>
        <sz val="9"/>
        <color theme="1"/>
        <rFont val="Lato"/>
        <family val="2"/>
        <scheme val="minor"/>
      </rPr>
      <t xml:space="preserve">Medium: </t>
    </r>
    <r>
      <rPr>
        <sz val="9"/>
        <color theme="1"/>
        <rFont val="Lato"/>
        <family val="2"/>
        <scheme val="minor"/>
      </rPr>
      <t xml:space="preserve">SME KPIs exist but only for front-line or business development staff, or incentives are not sufficiently encouraging performance
</t>
    </r>
    <r>
      <rPr>
        <b/>
        <sz val="9"/>
        <color theme="1"/>
        <rFont val="Lato"/>
        <family val="2"/>
        <scheme val="minor"/>
      </rPr>
      <t xml:space="preserve">Low: </t>
    </r>
    <r>
      <rPr>
        <sz val="9"/>
        <color theme="1"/>
        <rFont val="Lato"/>
        <family val="2"/>
        <scheme val="minor"/>
      </rPr>
      <t>There are no clearly defined SME KPIs or incentives</t>
    </r>
  </si>
  <si>
    <r>
      <rPr>
        <b/>
        <sz val="9"/>
        <color theme="1"/>
        <rFont val="Lato"/>
        <family val="2"/>
        <scheme val="minor"/>
      </rPr>
      <t xml:space="preserve">Positive, </t>
    </r>
    <r>
      <rPr>
        <sz val="9"/>
        <color theme="1"/>
        <rFont val="Lato"/>
        <family val="2"/>
        <scheme val="minor"/>
      </rPr>
      <t>as embedding SME performance metrics in team performance can reinforces strategic prioritization</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</si>
  <si>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 to validate</t>
    </r>
  </si>
  <si>
    <t>2.3 Relevant trainings for SME banking are provided for relevant staff</t>
  </si>
  <si>
    <t>Does the bank offer SME-specific training for staff? If so, which staff members receive this training, and how frequently is it delivered?</t>
  </si>
  <si>
    <r>
      <rPr>
        <b/>
        <sz val="9"/>
        <color theme="1"/>
        <rFont val="Lato"/>
        <family val="2"/>
        <scheme val="minor"/>
      </rPr>
      <t>High:</t>
    </r>
    <r>
      <rPr>
        <sz val="9"/>
        <color theme="1"/>
        <rFont val="Lato"/>
        <family val="2"/>
        <scheme val="minor"/>
      </rPr>
      <t xml:space="preserve"> Staff related to SME operations or strategy receive the pertinent training and have ongoing upskilling opportunities to properly execute their roles in the SME context
</t>
    </r>
    <r>
      <rPr>
        <b/>
        <sz val="9"/>
        <color theme="1"/>
        <rFont val="Lato"/>
        <family val="2"/>
        <scheme val="minor"/>
      </rPr>
      <t xml:space="preserve">Medium: </t>
    </r>
    <r>
      <rPr>
        <sz val="9"/>
        <color theme="1"/>
        <rFont val="Lato"/>
        <family val="2"/>
        <scheme val="minor"/>
      </rPr>
      <t xml:space="preserve">SME specific training is not sufficiently provided, or is only provided to some staff 
</t>
    </r>
    <r>
      <rPr>
        <b/>
        <sz val="9"/>
        <color theme="1"/>
        <rFont val="Lato"/>
        <family val="2"/>
        <scheme val="minor"/>
      </rPr>
      <t>Low:</t>
    </r>
    <r>
      <rPr>
        <sz val="9"/>
        <color theme="1"/>
        <rFont val="Lato"/>
        <family val="2"/>
        <scheme val="minor"/>
      </rPr>
      <t xml:space="preserve"> No SME-specific training or technical capacity-building is available</t>
    </r>
  </si>
  <si>
    <r>
      <rPr>
        <b/>
        <sz val="9"/>
        <color theme="1"/>
        <rFont val="Lato"/>
        <family val="2"/>
        <scheme val="minor"/>
      </rPr>
      <t>Positive,</t>
    </r>
    <r>
      <rPr>
        <sz val="9"/>
        <color theme="1"/>
        <rFont val="Lato"/>
        <family val="2"/>
        <scheme val="minor"/>
      </rPr>
      <t xml:space="preserve"> since widespread SME-specific training ensures that staff are equipped with the knowledge and tools needed to serve the SME segment effectively</t>
    </r>
  </si>
  <si>
    <t>3. Competitive positioning</t>
  </si>
  <si>
    <t>3.1 SME strategy is informed by market research and benchmarking</t>
  </si>
  <si>
    <t>Has the bank conducted any market research or competitive benchmarking focused on SME segments? If so, when was it done? How has it influenced SME strategy or product development?</t>
  </si>
  <si>
    <r>
      <rPr>
        <b/>
        <sz val="9"/>
        <color theme="1"/>
        <rFont val="Lato"/>
        <family val="2"/>
        <scheme val="minor"/>
      </rPr>
      <t xml:space="preserve">High: </t>
    </r>
    <r>
      <rPr>
        <sz val="9"/>
        <color theme="1"/>
        <rFont val="Lato"/>
        <family val="2"/>
        <scheme val="minor"/>
      </rPr>
      <t xml:space="preserve">The bank conducts market or client research (e.g., SME segmentation studies, behavioral data, competitor market share analysis) on at least a yearly basis, and findings have influenced strategy, product design, or delivery priorities
</t>
    </r>
    <r>
      <rPr>
        <b/>
        <sz val="9"/>
        <color theme="1"/>
        <rFont val="Lato"/>
        <family val="2"/>
        <scheme val="minor"/>
      </rPr>
      <t xml:space="preserve">Medium: </t>
    </r>
    <r>
      <rPr>
        <sz val="9"/>
        <color theme="1"/>
        <rFont val="Lato"/>
        <family val="2"/>
        <scheme val="minor"/>
      </rPr>
      <t xml:space="preserve">Some SME-related research exists (e.g., old market studies or internal data analysis), but is not consistently updated or has limited influence on decision-making
</t>
    </r>
    <r>
      <rPr>
        <b/>
        <sz val="9"/>
        <color theme="1"/>
        <rFont val="Lato"/>
        <family val="2"/>
        <scheme val="minor"/>
      </rPr>
      <t xml:space="preserve">Low: </t>
    </r>
    <r>
      <rPr>
        <sz val="9"/>
        <color theme="1"/>
        <rFont val="Lato"/>
        <family val="2"/>
        <scheme val="minor"/>
      </rPr>
      <t>No SME-specific research has been conducted, or insights are not used to shape strategy or service design</t>
    </r>
  </si>
  <si>
    <r>
      <rPr>
        <b/>
        <sz val="9"/>
        <color theme="1"/>
        <rFont val="Lato"/>
        <family val="2"/>
        <scheme val="minor"/>
      </rPr>
      <t xml:space="preserve">Positive, </t>
    </r>
    <r>
      <rPr>
        <sz val="9"/>
        <color theme="1"/>
        <rFont val="Lato"/>
        <family val="2"/>
        <scheme val="minor"/>
      </rPr>
      <t>as the use of structured SME research and competitor analysis ensures better-tailored products and services and overall positioning</t>
    </r>
  </si>
  <si>
    <r>
      <rPr>
        <b/>
        <sz val="9"/>
        <color theme="1"/>
        <rFont val="Lato"/>
        <family val="2"/>
        <scheme val="minor"/>
      </rPr>
      <t>If recording is allowed, use ChatGPT or a similar AI tool to analyze the transcripts of interviews and identify key takeaways related to the bank’s competitive SME positioning.</t>
    </r>
    <r>
      <rPr>
        <sz val="9"/>
        <color theme="1"/>
        <rFont val="Lato"/>
        <family val="2"/>
        <scheme val="minor"/>
      </rPr>
      <t xml:space="preserve">
</t>
    </r>
    <r>
      <rPr>
        <b/>
        <sz val="9"/>
        <color theme="1"/>
        <rFont val="Lato"/>
        <family val="2"/>
        <scheme val="minor"/>
      </rPr>
      <t>Prompt example:</t>
    </r>
    <r>
      <rPr>
        <sz val="9"/>
        <color theme="1"/>
        <rFont val="Lato"/>
        <family val="2"/>
        <scheme val="minor"/>
      </rPr>
      <t xml:space="preserve"> “Analyze these transcripts to extract insights to answer the following questions related to SME market strategy and differentiation. If transcript information is missing or unclear, search public sources (e.g., bank websites, strategy decks, press releases) to strengthen responses. For each question: i) Summarize relevant insight from the transcript; ii) Complement with public material if available, and iii) Include a short quote from the transcript or source.
</t>
    </r>
    <r>
      <rPr>
        <b/>
        <sz val="9"/>
        <color theme="1"/>
        <rFont val="Lato"/>
        <family val="2"/>
        <scheme val="minor"/>
      </rPr>
      <t>Questions to answer:</t>
    </r>
    <r>
      <rPr>
        <sz val="9"/>
        <color theme="1"/>
        <rFont val="Lato"/>
        <family val="2"/>
        <scheme val="minor"/>
      </rPr>
      <t xml:space="preserve">
3.1 Is SME strategy informed by market research and benchmarking?
3.2 Does the bank actively target SME segments with untapped market opportunity?
3.3 Is the SME value proposition well-recognized across the market?
3.4 Does the bank use data analytics to shape SME product delivery and innovation?"
</t>
    </r>
    <r>
      <rPr>
        <b/>
        <sz val="9"/>
        <color theme="1"/>
        <rFont val="Lato"/>
        <family val="2"/>
        <scheme val="minor"/>
      </rPr>
      <t>Note: Any AI-generated findings should be reviewed and validated by the user to ensure accuracy and contextual relevance.</t>
    </r>
  </si>
  <si>
    <t>3.2 The bank actively identifies and targets SME segments with an uncaptured market potential</t>
  </si>
  <si>
    <t>Does the bank target specific SME segments? If so, how were these segments selected? Was the untapped market potential a factor in their selection?</t>
  </si>
  <si>
    <r>
      <rPr>
        <b/>
        <sz val="9"/>
        <color theme="1"/>
        <rFont val="Lato"/>
        <family val="2"/>
        <scheme val="minor"/>
      </rPr>
      <t xml:space="preserve">High: </t>
    </r>
    <r>
      <rPr>
        <sz val="9"/>
        <color theme="1"/>
        <rFont val="Lato"/>
        <family val="2"/>
        <scheme val="minor"/>
      </rPr>
      <t xml:space="preserve">The bank deliberately targets SME segments that are underserved and show clear market potential, meaning limited competition from other banks and unmet demand
</t>
    </r>
    <r>
      <rPr>
        <b/>
        <sz val="9"/>
        <color theme="1"/>
        <rFont val="Lato"/>
        <family val="2"/>
        <scheme val="minor"/>
      </rPr>
      <t xml:space="preserve">Medium: </t>
    </r>
    <r>
      <rPr>
        <sz val="9"/>
        <color theme="1"/>
        <rFont val="Lato"/>
        <family val="2"/>
        <scheme val="minor"/>
      </rPr>
      <t xml:space="preserve">The bank segments and targets SMEs, but selection is not clearly based on an untapped opportunity
</t>
    </r>
    <r>
      <rPr>
        <b/>
        <sz val="9"/>
        <color theme="1"/>
        <rFont val="Lato"/>
        <family val="2"/>
        <scheme val="minor"/>
      </rPr>
      <t>Low:</t>
    </r>
    <r>
      <rPr>
        <sz val="9"/>
        <color theme="1"/>
        <rFont val="Lato"/>
        <family val="2"/>
        <scheme val="minor"/>
      </rPr>
      <t xml:space="preserve"> The bank serves SMEs broadly without segment-specific targeting or consideration of competitive saturation</t>
    </r>
  </si>
  <si>
    <r>
      <rPr>
        <b/>
        <sz val="9"/>
        <color theme="1"/>
        <rFont val="Lato"/>
        <family val="2"/>
        <scheme val="minor"/>
      </rPr>
      <t xml:space="preserve">Positive, </t>
    </r>
    <r>
      <rPr>
        <sz val="9"/>
        <color theme="1"/>
        <rFont val="Lato"/>
        <family val="2"/>
        <scheme val="minor"/>
      </rPr>
      <t>because proactive targeting of high-potential SME segments improves the bank’s ability to differentiate in competitive markets</t>
    </r>
  </si>
  <si>
    <t>3.3 SME competitive positioning is well-recognized across the market</t>
  </si>
  <si>
    <t>Does the bank have a defined SME brand or value proposition? If so, how is it marketed and communicated to the public?</t>
  </si>
  <si>
    <r>
      <rPr>
        <b/>
        <sz val="9"/>
        <color theme="1"/>
        <rFont val="Lato"/>
        <family val="2"/>
        <scheme val="minor"/>
      </rPr>
      <t>High:</t>
    </r>
    <r>
      <rPr>
        <sz val="9"/>
        <color theme="1"/>
        <rFont val="Lato"/>
        <family val="2"/>
        <scheme val="minor"/>
      </rPr>
      <t xml:space="preserve"> The bank has a distinct SME brand or value proposition that is consistently communicated across channels (e.g., website, marketing, physical branches) and recognized by clients or stakeholders
</t>
    </r>
    <r>
      <rPr>
        <b/>
        <sz val="9"/>
        <color theme="1"/>
        <rFont val="Lato"/>
        <family val="2"/>
        <scheme val="minor"/>
      </rPr>
      <t xml:space="preserve">Medium: </t>
    </r>
    <r>
      <rPr>
        <sz val="9"/>
        <color theme="1"/>
        <rFont val="Lato"/>
        <family val="2"/>
        <scheme val="minor"/>
      </rPr>
      <t xml:space="preserve">The bank offers SME services and may reference SMEs in its materials, but lacks a clear value proposition or consistent branding that differentiates it from competitors
</t>
    </r>
    <r>
      <rPr>
        <b/>
        <sz val="9"/>
        <color theme="1"/>
        <rFont val="Lato"/>
        <family val="2"/>
        <scheme val="minor"/>
      </rPr>
      <t xml:space="preserve">Low: </t>
    </r>
    <r>
      <rPr>
        <sz val="9"/>
        <color theme="1"/>
        <rFont val="Lato"/>
        <family val="2"/>
        <scheme val="minor"/>
      </rPr>
      <t xml:space="preserve">SME offerings are not visibly positioned or promoted. There is no SME-specific branding, value proposition, or messaging </t>
    </r>
  </si>
  <si>
    <r>
      <rPr>
        <b/>
        <sz val="9"/>
        <color theme="1"/>
        <rFont val="Lato"/>
        <family val="2"/>
        <scheme val="minor"/>
      </rPr>
      <t>Positive,</t>
    </r>
    <r>
      <rPr>
        <sz val="9"/>
        <color theme="1"/>
        <rFont val="Lato"/>
        <family val="2"/>
        <scheme val="minor"/>
      </rPr>
      <t xml:space="preserve"> as a distinct and consistently communicated SME brand or value proposition enhances market visibility and reinforces the bank’s reputation as a serious SME player</t>
    </r>
  </si>
  <si>
    <r>
      <rPr>
        <sz val="9"/>
        <color theme="1"/>
        <rFont val="Lato"/>
        <family val="2"/>
        <scheme val="minor"/>
      </rPr>
      <t>Interview a senior leader (e.g., CSO or CEO) or the SME Business Lead (or related positions) to validate</t>
    </r>
    <r>
      <rPr>
        <b/>
        <sz val="9"/>
        <color theme="1"/>
        <rFont val="Lato"/>
        <family val="2"/>
        <scheme val="minor"/>
      </rPr>
      <t xml:space="preserve">
</t>
    </r>
    <r>
      <rPr>
        <sz val="9"/>
        <color theme="1"/>
        <rFont val="Lato"/>
        <family val="2"/>
        <scheme val="minor"/>
      </rPr>
      <t>Complement with secondary information, such as press coverage, award recognitions, and social media campaigns</t>
    </r>
  </si>
  <si>
    <t>Secondary</t>
  </si>
  <si>
    <r>
      <t xml:space="preserve">3.4 </t>
    </r>
    <r>
      <rPr>
        <b/>
        <i/>
        <sz val="11"/>
        <color theme="1"/>
        <rFont val="Lato"/>
        <family val="2"/>
        <scheme val="minor"/>
      </rPr>
      <t>[Digital]</t>
    </r>
    <r>
      <rPr>
        <b/>
        <sz val="11"/>
        <color theme="1"/>
        <rFont val="Lato"/>
        <family val="2"/>
        <scheme val="minor"/>
      </rPr>
      <t xml:space="preserve"> The value proposition of SME banking is enhanced by data analytics and digital innovation </t>
    </r>
  </si>
  <si>
    <t>Does the bank use market research or customer insights to guide SME banking priorities? How often is this done, and how consistently is it applied?</t>
  </si>
  <si>
    <r>
      <rPr>
        <b/>
        <sz val="9"/>
        <color theme="1"/>
        <rFont val="Lato"/>
        <family val="2"/>
        <scheme val="minor"/>
      </rPr>
      <t>High:</t>
    </r>
    <r>
      <rPr>
        <sz val="9"/>
        <color theme="1"/>
        <rFont val="Lato"/>
        <family val="2"/>
        <scheme val="minor"/>
      </rPr>
      <t xml:space="preserve"> The SME value proposition is regularly enhanced through the use of data analytics or digital innovation (e.g., automated onboarding, digital credit scoring). These tools are actively used to shape SME product development or service delivery
</t>
    </r>
    <r>
      <rPr>
        <b/>
        <sz val="9"/>
        <color theme="1"/>
        <rFont val="Lato"/>
        <family val="2"/>
        <scheme val="minor"/>
      </rPr>
      <t>Medium:</t>
    </r>
    <r>
      <rPr>
        <sz val="9"/>
        <color theme="1"/>
        <rFont val="Lato"/>
        <family val="2"/>
        <scheme val="minor"/>
      </rPr>
      <t xml:space="preserve"> Some SME initiatives are informed by data or enhanced through digital strategies, but this is applied inconsistently or on a limited basis
</t>
    </r>
    <r>
      <rPr>
        <b/>
        <sz val="9"/>
        <color theme="1"/>
        <rFont val="Lato"/>
        <family val="2"/>
        <scheme val="minor"/>
      </rPr>
      <t xml:space="preserve">Low: </t>
    </r>
    <r>
      <rPr>
        <sz val="9"/>
        <color theme="1"/>
        <rFont val="Lato"/>
        <family val="2"/>
        <scheme val="minor"/>
      </rPr>
      <t>SME offerings are rarely or never shaped by data analytics or digital tools</t>
    </r>
  </si>
  <si>
    <r>
      <rPr>
        <b/>
        <sz val="9"/>
        <color theme="1"/>
        <rFont val="Lato"/>
        <family val="2"/>
        <scheme val="minor"/>
      </rPr>
      <t xml:space="preserve">Positive, </t>
    </r>
    <r>
      <rPr>
        <sz val="9"/>
        <color theme="1"/>
        <rFont val="Lato"/>
        <family val="2"/>
        <scheme val="minor"/>
      </rPr>
      <t>as basing initiatives on market analyses ensures relevance, enhances SME uptake, and supports value-driven innovation</t>
    </r>
  </si>
  <si>
    <t>Interview a senior leader (e.g., CIO or CTO) as well as key staff responsible for SME digital banking (e.g., Head of SME Banking or similar roles)</t>
  </si>
  <si>
    <t>4. Operational processes</t>
  </si>
  <si>
    <t>4.1 SME credit processes are flexible and adapted to typical access-to-finance constraints and priorities of SMEs</t>
  </si>
  <si>
    <t>Does the bank use credit processes specifically tailored to SME clients? If so, what are those processes? How institutionalized are these?</t>
  </si>
  <si>
    <r>
      <rPr>
        <b/>
        <sz val="9"/>
        <color theme="1"/>
        <rFont val="Lato"/>
        <family val="2"/>
        <scheme val="minor"/>
      </rPr>
      <t>High</t>
    </r>
    <r>
      <rPr>
        <sz val="9"/>
        <color theme="1"/>
        <rFont val="Lato"/>
        <family val="2"/>
        <scheme val="minor"/>
      </rPr>
      <t xml:space="preserve">: Credit assessment processes are meaningfully adapted to SME realities (e.g., cash-flow-based analysis, flexible collateral, data-driven models) and are consistently applied by staff handling SME lending
</t>
    </r>
    <r>
      <rPr>
        <b/>
        <sz val="9"/>
        <color theme="1"/>
        <rFont val="Lato"/>
        <family val="2"/>
        <scheme val="minor"/>
      </rPr>
      <t>Medium</t>
    </r>
    <r>
      <rPr>
        <sz val="9"/>
        <color theme="1"/>
        <rFont val="Lato"/>
        <family val="2"/>
        <scheme val="minor"/>
      </rPr>
      <t xml:space="preserve">: Some SME-appropriate credit practices exist but are applied inconsistently or are not institutionalized
</t>
    </r>
    <r>
      <rPr>
        <b/>
        <sz val="9"/>
        <color theme="1"/>
        <rFont val="Lato"/>
        <family val="2"/>
        <scheme val="minor"/>
      </rPr>
      <t>Low:</t>
    </r>
    <r>
      <rPr>
        <sz val="9"/>
        <color theme="1"/>
        <rFont val="Lato"/>
        <family val="2"/>
        <scheme val="minor"/>
      </rPr>
      <t xml:space="preserve"> SME credit follows standard corporate models with no tailored features</t>
    </r>
  </si>
  <si>
    <r>
      <rPr>
        <b/>
        <sz val="9"/>
        <color theme="1"/>
        <rFont val="Lato"/>
        <family val="2"/>
        <scheme val="minor"/>
      </rPr>
      <t xml:space="preserve">Positive, </t>
    </r>
    <r>
      <rPr>
        <sz val="9"/>
        <color theme="1"/>
        <rFont val="Lato"/>
        <family val="2"/>
        <scheme val="minor"/>
      </rPr>
      <t>because when the bank’s credit processes are meaningfully tailored to SME realities, financial products can be offered more safely and inclusively to a broader SME customer base</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</si>
  <si>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 or other internal experts (e.g., Head of Credit or Head of Risk) to validate</t>
    </r>
  </si>
  <si>
    <r>
      <rPr>
        <b/>
        <sz val="9"/>
        <color theme="1"/>
        <rFont val="Lato"/>
        <family val="2"/>
        <scheme val="minor"/>
      </rPr>
      <t>If recording is allowed, use ChatGPT or a similar AI tool to analyze the transcripts of interviews and identify key takeaways related to SME operational processes.</t>
    </r>
    <r>
      <rPr>
        <sz val="9"/>
        <color theme="1"/>
        <rFont val="Lato"/>
        <family val="2"/>
        <scheme val="minor"/>
      </rPr>
      <t xml:space="preserve">
</t>
    </r>
    <r>
      <rPr>
        <b/>
        <sz val="9"/>
        <color theme="1"/>
        <rFont val="Lato"/>
        <family val="2"/>
        <scheme val="minor"/>
      </rPr>
      <t xml:space="preserve">Prompt example: </t>
    </r>
    <r>
      <rPr>
        <sz val="9"/>
        <color theme="1"/>
        <rFont val="Lato"/>
        <family val="2"/>
        <scheme val="minor"/>
      </rPr>
      <t xml:space="preserve">“Analyze these transcripts to extract insights to answer the following questions about SME process design and execution. Where transcripts are incomplete, search public materials (e.g., product brochures, operations manuals, public client journeys) to fill gaps. For each question: i) Summarize the key insight from the transcript; ii) Complement with public information as needed, and iii) Include a short quote (from either source) to support your answer.
</t>
    </r>
    <r>
      <rPr>
        <b/>
        <sz val="9"/>
        <color theme="1"/>
        <rFont val="Lato"/>
        <family val="2"/>
        <scheme val="minor"/>
      </rPr>
      <t>Questions to answer:</t>
    </r>
    <r>
      <rPr>
        <sz val="9"/>
        <color theme="1"/>
        <rFont val="Lato"/>
        <family val="2"/>
        <scheme val="minor"/>
      </rPr>
      <t xml:space="preserve">
4.1 Are SME credit processes flexible and adapted to client realities?
4.2 Does segmentation drive product and service tailoring for SMEs?
4.3 Do relationship managers deliver tailored engagement to SMEs?
4.4 Is broader client data analyzed to identify unserved SME clients and cross-sell opportunities and support credit assessments?
4.5 Is SME performance tracked through internal systems and routine reporting?
4.6 Are the key bank systems integrated and work smoothly to support SME operations?
4.7 Does the bank have a clear change management framework to ensure reliable SME operations?
4.8 How long does the bank usually take to launch a new SME digital feature?
4.9 Are SME digital services compliant with data privacy regulations?"
</t>
    </r>
    <r>
      <rPr>
        <b/>
        <sz val="9"/>
        <color theme="1"/>
        <rFont val="Lato"/>
        <family val="2"/>
        <scheme val="minor"/>
      </rPr>
      <t>Note: Any AI-generated findings should be reviewed and validated by the user to ensure accuracy and contextual relevance.</t>
    </r>
  </si>
  <si>
    <t>4.2 Segmentation drives the design and tailoring of products and services</t>
  </si>
  <si>
    <t>Has the bank defined SME segments (e.g., by size, sector, lifecycle)? If so, how are those used to tailor products and services?</t>
  </si>
  <si>
    <r>
      <rPr>
        <b/>
        <sz val="9"/>
        <color theme="1"/>
        <rFont val="Lato"/>
        <family val="2"/>
        <scheme val="minor"/>
      </rPr>
      <t xml:space="preserve">High: </t>
    </r>
    <r>
      <rPr>
        <sz val="9"/>
        <color theme="1"/>
        <rFont val="Lato"/>
        <family val="2"/>
        <scheme val="minor"/>
      </rPr>
      <t xml:space="preserve">SME segments are well-defined (e.g., by size, lifecycle, sector) and actively shape product or service design (e.g., pricing, bundling, distribution). Segmentation is regularly reviewed and updated
</t>
    </r>
    <r>
      <rPr>
        <b/>
        <sz val="9"/>
        <color theme="1"/>
        <rFont val="Lato"/>
        <family val="2"/>
        <scheme val="minor"/>
      </rPr>
      <t xml:space="preserve">Medium: </t>
    </r>
    <r>
      <rPr>
        <sz val="9"/>
        <color theme="1"/>
        <rFont val="Lato"/>
        <family val="2"/>
        <scheme val="minor"/>
      </rPr>
      <t xml:space="preserve">Key SME segments are identified but used only superficially in some aspects of product and service design
</t>
    </r>
    <r>
      <rPr>
        <b/>
        <sz val="9"/>
        <color theme="1"/>
        <rFont val="Lato"/>
        <family val="2"/>
        <scheme val="minor"/>
      </rPr>
      <t>Low:</t>
    </r>
    <r>
      <rPr>
        <sz val="9"/>
        <color theme="1"/>
        <rFont val="Lato"/>
        <family val="2"/>
        <scheme val="minor"/>
      </rPr>
      <t xml:space="preserve"> There is no clear SME segmentation, or segmentation exists but has no influence on product or service decisions</t>
    </r>
  </si>
  <si>
    <r>
      <rPr>
        <b/>
        <sz val="9"/>
        <color theme="1"/>
        <rFont val="Lato"/>
        <family val="2"/>
        <scheme val="minor"/>
      </rPr>
      <t xml:space="preserve">Positive, </t>
    </r>
    <r>
      <rPr>
        <sz val="9"/>
        <color theme="1"/>
        <rFont val="Lato"/>
        <family val="2"/>
        <scheme val="minor"/>
      </rPr>
      <t>as the use of clearly defined SME segments to shape product, pricing, and delivery strategies enables more relevant and effective offerings across client types</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</si>
  <si>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t>
    </r>
    <r>
      <rPr>
        <b/>
        <sz val="9"/>
        <color theme="1"/>
        <rFont val="Lato"/>
        <family val="2"/>
        <scheme val="minor"/>
      </rPr>
      <t xml:space="preserve"> </t>
    </r>
    <r>
      <rPr>
        <sz val="9"/>
        <color theme="1"/>
        <rFont val="Lato"/>
        <family val="2"/>
        <scheme val="minor"/>
      </rPr>
      <t>or other internal experts (e.g., Product Manager)</t>
    </r>
    <r>
      <rPr>
        <b/>
        <sz val="9"/>
        <color theme="1"/>
        <rFont val="Lato"/>
        <family val="2"/>
        <scheme val="minor"/>
      </rPr>
      <t xml:space="preserve"> </t>
    </r>
    <r>
      <rPr>
        <sz val="9"/>
        <color theme="1"/>
        <rFont val="Lato"/>
        <family val="2"/>
        <scheme val="minor"/>
      </rPr>
      <t>to validate</t>
    </r>
  </si>
  <si>
    <t>4.3 Relationship managers deliver tailored engagement to SMEs</t>
  </si>
  <si>
    <t xml:space="preserve">Does the bank assign relationship managers or officers to SME clients? What does their engagement consist of? </t>
  </si>
  <si>
    <r>
      <rPr>
        <b/>
        <sz val="9"/>
        <color theme="1"/>
        <rFont val="Lato"/>
        <family val="2"/>
        <scheme val="minor"/>
      </rPr>
      <t xml:space="preserve">High: </t>
    </r>
    <r>
      <rPr>
        <sz val="9"/>
        <color theme="1"/>
        <rFont val="Lato"/>
        <family val="2"/>
        <scheme val="minor"/>
      </rPr>
      <t xml:space="preserve">Relationship managers or account officers are assigned to SME clients with defined portfolios and use structured engagement tools (e.g., CRM systems)
</t>
    </r>
    <r>
      <rPr>
        <b/>
        <sz val="9"/>
        <color theme="1"/>
        <rFont val="Lato"/>
        <family val="2"/>
        <scheme val="minor"/>
      </rPr>
      <t xml:space="preserve">Medium: </t>
    </r>
    <r>
      <rPr>
        <sz val="9"/>
        <color theme="1"/>
        <rFont val="Lato"/>
        <family val="2"/>
        <scheme val="minor"/>
      </rPr>
      <t xml:space="preserve">There are SME focused staff who engage clients, but there are no consistent or standardized engagement practices
</t>
    </r>
    <r>
      <rPr>
        <b/>
        <sz val="9"/>
        <color theme="1"/>
        <rFont val="Lato"/>
        <family val="2"/>
        <scheme val="minor"/>
      </rPr>
      <t>Low:</t>
    </r>
    <r>
      <rPr>
        <sz val="9"/>
        <color theme="1"/>
        <rFont val="Lato"/>
        <family val="2"/>
        <scheme val="minor"/>
      </rPr>
      <t xml:space="preserve"> There is no relationship management model for SMEs, or interactions are reactive or handled by generalist staff</t>
    </r>
  </si>
  <si>
    <r>
      <rPr>
        <b/>
        <sz val="9"/>
        <color theme="1"/>
        <rFont val="Lato"/>
        <family val="2"/>
        <scheme val="minor"/>
      </rPr>
      <t xml:space="preserve">Positive, </t>
    </r>
    <r>
      <rPr>
        <sz val="9"/>
        <color theme="1"/>
        <rFont val="Lato"/>
        <family val="2"/>
        <scheme val="minor"/>
      </rPr>
      <t>since assigning relationship managers with dedicated SME portfolios ensures more consistent and targeted support that helps deepen long-term client relationships</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</si>
  <si>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t>
    </r>
    <r>
      <rPr>
        <b/>
        <sz val="9"/>
        <color theme="1"/>
        <rFont val="Lato"/>
        <family val="2"/>
        <scheme val="minor"/>
      </rPr>
      <t xml:space="preserve"> </t>
    </r>
    <r>
      <rPr>
        <sz val="9"/>
        <color theme="1"/>
        <rFont val="Lato"/>
        <family val="2"/>
        <scheme val="minor"/>
      </rPr>
      <t>or other internal experts (e.g., Lead Engagement Manager)</t>
    </r>
    <r>
      <rPr>
        <b/>
        <sz val="9"/>
        <color theme="1"/>
        <rFont val="Lato"/>
        <family val="2"/>
        <scheme val="minor"/>
      </rPr>
      <t xml:space="preserve"> </t>
    </r>
    <r>
      <rPr>
        <sz val="9"/>
        <color theme="1"/>
        <rFont val="Lato"/>
        <family val="2"/>
        <scheme val="minor"/>
      </rPr>
      <t>to validate</t>
    </r>
  </si>
  <si>
    <t>4.4 The bank analyzes broad client data to identify SME owners within other customer segments for cross-selling SME products and assessing creditworthiness</t>
  </si>
  <si>
    <t>Does the bank analyze broader customer data to identify existing clients from other segments (e.g., retail, corporate) who are SME owners or managers? If so, how is this data used to cross-sell SME banking products and assess creditworthiness?</t>
  </si>
  <si>
    <r>
      <rPr>
        <b/>
        <sz val="9"/>
        <color theme="1"/>
        <rFont val="Lato"/>
        <family val="2"/>
        <scheme val="minor"/>
      </rPr>
      <t xml:space="preserve">High: </t>
    </r>
    <r>
      <rPr>
        <sz val="9"/>
        <color theme="1"/>
        <rFont val="Lato"/>
        <family val="2"/>
        <scheme val="minor"/>
      </rPr>
      <t xml:space="preserve">The bank systematically analyzes broad client data (e.g., transaction history, product usage, private financial profiles) to proactively identify SME owners or managers among clients in other segments (e.g., retail, corporate) and consistently uses these insights to cross-sell SME banking products and support credit assessments
</t>
    </r>
    <r>
      <rPr>
        <b/>
        <sz val="9"/>
        <color theme="1"/>
        <rFont val="Lato"/>
        <family val="2"/>
        <scheme val="minor"/>
      </rPr>
      <t xml:space="preserve">Medium: </t>
    </r>
    <r>
      <rPr>
        <sz val="9"/>
        <color theme="1"/>
        <rFont val="Lato"/>
        <family val="2"/>
        <scheme val="minor"/>
      </rPr>
      <t xml:space="preserve">The bank occasionally or partially uses broad client data to identify SME owners in other segments, but this is not systematic, and the insights not commonly used to support cross-selling or credit evaluation
</t>
    </r>
    <r>
      <rPr>
        <b/>
        <sz val="9"/>
        <color theme="1"/>
        <rFont val="Lato"/>
        <family val="2"/>
        <scheme val="minor"/>
      </rPr>
      <t>Low:</t>
    </r>
    <r>
      <rPr>
        <sz val="9"/>
        <color theme="1"/>
        <rFont val="Lato"/>
        <family val="2"/>
        <scheme val="minor"/>
      </rPr>
      <t xml:space="preserve"> The bank does not analyze or use client data to expand its SME portfolio</t>
    </r>
  </si>
  <si>
    <r>
      <rPr>
        <b/>
        <sz val="9"/>
        <color theme="1"/>
        <rFont val="Lato"/>
        <family val="2"/>
        <scheme val="minor"/>
      </rPr>
      <t xml:space="preserve">Positive, </t>
    </r>
    <r>
      <rPr>
        <sz val="9"/>
        <color theme="1"/>
        <rFont val="Lato"/>
        <family val="2"/>
        <scheme val="minor"/>
      </rPr>
      <t xml:space="preserve">since proactively analyzing broad client data enables banks to identify untapped SME opportunities within their existing customer base, improve cross-selling of SME products, and strengthen credit risk assessments 
</t>
    </r>
  </si>
  <si>
    <t>4.5 SME banking is integrated into internal systems and performance tracked through routine reporting</t>
  </si>
  <si>
    <t>Is SME performance tracked in the bank's reporting systems? How frequently is it reviewed?</t>
  </si>
  <si>
    <r>
      <rPr>
        <b/>
        <sz val="9"/>
        <color theme="1"/>
        <rFont val="Lato"/>
        <family val="2"/>
        <scheme val="minor"/>
      </rPr>
      <t>High</t>
    </r>
    <r>
      <rPr>
        <sz val="9"/>
        <color theme="1"/>
        <rFont val="Lato"/>
        <family val="2"/>
        <scheme val="minor"/>
      </rPr>
      <t xml:space="preserve">: SME portfolio performance (e.g., loan volume, NPLs, product use, client growth, default risk, officer productivity) is integrated into the bank’s reporting systems and reviewed at least quarterly
</t>
    </r>
    <r>
      <rPr>
        <b/>
        <sz val="9"/>
        <color theme="1"/>
        <rFont val="Lato"/>
        <family val="2"/>
        <scheme val="minor"/>
      </rPr>
      <t xml:space="preserve">Medium: </t>
    </r>
    <r>
      <rPr>
        <sz val="9"/>
        <color theme="1"/>
        <rFont val="Lato"/>
        <family val="2"/>
        <scheme val="minor"/>
      </rPr>
      <t xml:space="preserve">SME data is tracked in core reporting systems but not disaggregated, periodically updated, or reviewed
</t>
    </r>
    <r>
      <rPr>
        <b/>
        <sz val="9"/>
        <color theme="1"/>
        <rFont val="Lato"/>
        <family val="2"/>
        <scheme val="minor"/>
      </rPr>
      <t xml:space="preserve">Low: </t>
    </r>
    <r>
      <rPr>
        <sz val="9"/>
        <color theme="1"/>
        <rFont val="Lato"/>
        <family val="2"/>
        <scheme val="minor"/>
      </rPr>
      <t>SME is not embedded into reporting systems, or there is no regular SME performance tracking</t>
    </r>
  </si>
  <si>
    <r>
      <rPr>
        <b/>
        <sz val="9"/>
        <color theme="1"/>
        <rFont val="Lato"/>
        <family val="2"/>
        <scheme val="minor"/>
      </rPr>
      <t xml:space="preserve">Positive, </t>
    </r>
    <r>
      <rPr>
        <sz val="9"/>
        <color theme="1"/>
        <rFont val="Lato"/>
        <family val="2"/>
        <scheme val="minor"/>
      </rPr>
      <t>because integrating SME performance metrics into core systems and reviewing them regularly enables continuous improvement and supports more responsive management of the segment</t>
    </r>
  </si>
  <si>
    <t>Interview a senior leader (e.g., COO) or the SME Business Lead (or related positions) to validate</t>
  </si>
  <si>
    <r>
      <t xml:space="preserve">4.6 </t>
    </r>
    <r>
      <rPr>
        <b/>
        <i/>
        <sz val="11"/>
        <color theme="1"/>
        <rFont val="Lato"/>
        <family val="2"/>
        <scheme val="minor"/>
      </rPr>
      <t xml:space="preserve">[Digital] </t>
    </r>
    <r>
      <rPr>
        <b/>
        <sz val="11"/>
        <color theme="1"/>
        <rFont val="Lato"/>
        <family val="2"/>
        <scheme val="minor"/>
      </rPr>
      <t>Key data systems (CRM, loan origination system, API) are fully integrated to enable seamless information flow across departments and branches</t>
    </r>
  </si>
  <si>
    <t>Are the bank’s key systems integrated and function smoothly to support SME digital operations? If so, are any manual steps or interventions still required?</t>
  </si>
  <si>
    <r>
      <rPr>
        <b/>
        <sz val="9"/>
        <color theme="1"/>
        <rFont val="Lato"/>
        <family val="2"/>
        <scheme val="minor"/>
      </rPr>
      <t xml:space="preserve">High: </t>
    </r>
    <r>
      <rPr>
        <sz val="9"/>
        <color theme="1"/>
        <rFont val="Lato"/>
        <family val="2"/>
        <scheme val="minor"/>
      </rPr>
      <t xml:space="preserve">All critical systems that support SME banking, like customer records, loan approvals, and payments, are fully integrated and work smoothly together across departments and branches
</t>
    </r>
    <r>
      <rPr>
        <b/>
        <sz val="9"/>
        <color theme="1"/>
        <rFont val="Lato"/>
        <family val="2"/>
        <scheme val="minor"/>
      </rPr>
      <t>Medium:</t>
    </r>
    <r>
      <rPr>
        <sz val="9"/>
        <color theme="1"/>
        <rFont val="Lato"/>
        <family val="2"/>
        <scheme val="minor"/>
      </rPr>
      <t xml:space="preserve"> Some systems are connected, but others (like credit or customer information) still require manual steps or data transfers
</t>
    </r>
    <r>
      <rPr>
        <b/>
        <sz val="9"/>
        <color theme="1"/>
        <rFont val="Lato"/>
        <family val="2"/>
        <scheme val="minor"/>
      </rPr>
      <t xml:space="preserve">Low: </t>
    </r>
    <r>
      <rPr>
        <sz val="9"/>
        <color theme="1"/>
        <rFont val="Lato"/>
        <family val="2"/>
        <scheme val="minor"/>
      </rPr>
      <t>Most systems are separate, requiring staff to manually move information between them, which slows down processes and increases the risk of errors</t>
    </r>
  </si>
  <si>
    <r>
      <rPr>
        <b/>
        <sz val="9"/>
        <color theme="1"/>
        <rFont val="Lato"/>
        <family val="2"/>
        <scheme val="minor"/>
      </rPr>
      <t>Positive,</t>
    </r>
    <r>
      <rPr>
        <sz val="9"/>
        <color theme="1"/>
        <rFont val="Lato"/>
        <family val="2"/>
        <scheme val="minor"/>
      </rPr>
      <t xml:space="preserve"> since integrated systems streamline workflows, reduce duplication, and improve the delivery of SME digital services.</t>
    </r>
  </si>
  <si>
    <r>
      <t xml:space="preserve">4.7 </t>
    </r>
    <r>
      <rPr>
        <b/>
        <i/>
        <sz val="11"/>
        <color theme="1"/>
        <rFont val="Lato"/>
        <family val="2"/>
        <scheme val="minor"/>
      </rPr>
      <t>[Digital]</t>
    </r>
    <r>
      <rPr>
        <b/>
        <sz val="11"/>
        <color theme="1"/>
        <rFont val="Lato"/>
        <family val="2"/>
        <scheme val="minor"/>
      </rPr>
      <t xml:space="preserve"> The SME banking unit has a change management framework in place that enables rapid implementation of digital, data, and AI solutions internally and for clients</t>
    </r>
  </si>
  <si>
    <t>Does the bank have a clear change management framework or approach to ensure reliable SME digital operations? If so, what procedures are in place for implementing updates or upgrades?</t>
  </si>
  <si>
    <r>
      <rPr>
        <b/>
        <sz val="9"/>
        <color theme="1"/>
        <rFont val="Lato"/>
        <family val="2"/>
        <scheme val="minor"/>
      </rPr>
      <t xml:space="preserve">High: </t>
    </r>
    <r>
      <rPr>
        <sz val="9"/>
        <color theme="1"/>
        <rFont val="Lato"/>
        <family val="2"/>
        <scheme val="minor"/>
      </rPr>
      <t xml:space="preserve">The bank follows clear procedures for keeping SME digital services running, including service-level commitments, tools for tracking and fixing issues, and structured rollout plans for changes and updates
</t>
    </r>
    <r>
      <rPr>
        <b/>
        <sz val="9"/>
        <color theme="1"/>
        <rFont val="Lato"/>
        <family val="2"/>
        <scheme val="minor"/>
      </rPr>
      <t>Medium:</t>
    </r>
    <r>
      <rPr>
        <sz val="9"/>
        <color theme="1"/>
        <rFont val="Lato"/>
        <family val="2"/>
        <scheme val="minor"/>
      </rPr>
      <t xml:space="preserve"> Some practices are in place (like issue tracking or support teams), but there's no single, consistent approach
</t>
    </r>
    <r>
      <rPr>
        <b/>
        <sz val="9"/>
        <color theme="1"/>
        <rFont val="Lato"/>
        <family val="2"/>
        <scheme val="minor"/>
      </rPr>
      <t>Low:</t>
    </r>
    <r>
      <rPr>
        <sz val="9"/>
        <color theme="1"/>
        <rFont val="Lato"/>
        <family val="2"/>
        <scheme val="minor"/>
      </rPr>
      <t xml:space="preserve"> Support for SME digital services is mostly informal. Issues are handled on an ad hoc basis</t>
    </r>
  </si>
  <si>
    <r>
      <rPr>
        <b/>
        <sz val="9"/>
        <color theme="1"/>
        <rFont val="Lato"/>
        <family val="2"/>
        <scheme val="minor"/>
      </rPr>
      <t xml:space="preserve">Positive, </t>
    </r>
    <r>
      <rPr>
        <sz val="9"/>
        <color theme="1"/>
        <rFont val="Lato"/>
        <family val="2"/>
        <scheme val="minor"/>
      </rPr>
      <t>because structured change management frameworks minimize service downtime and maintain trust during system upgrades.</t>
    </r>
  </si>
  <si>
    <r>
      <t xml:space="preserve">4.8 </t>
    </r>
    <r>
      <rPr>
        <b/>
        <i/>
        <sz val="11"/>
        <color theme="1"/>
        <rFont val="Lato"/>
        <family val="2"/>
        <scheme val="minor"/>
      </rPr>
      <t>[Digital]</t>
    </r>
    <r>
      <rPr>
        <b/>
        <sz val="11"/>
        <color theme="1"/>
        <rFont val="Lato"/>
        <family val="2"/>
        <scheme val="minor"/>
      </rPr>
      <t xml:space="preserve"> New SME digital features are typically launched quickly</t>
    </r>
  </si>
  <si>
    <t>How long does it typically take to launch a new SME digital feature from ideation to release?</t>
  </si>
  <si>
    <r>
      <rPr>
        <b/>
        <sz val="9"/>
        <color theme="1"/>
        <rFont val="Lato"/>
        <family val="2"/>
        <scheme val="minor"/>
      </rPr>
      <t>High:</t>
    </r>
    <r>
      <rPr>
        <sz val="9"/>
        <color theme="1"/>
        <rFont val="Lato"/>
        <family val="2"/>
        <scheme val="minor"/>
      </rPr>
      <t xml:space="preserve"> Most SME digital features go from concept to release in under 12 weeks, supported by short development cycles and fast approvals
</t>
    </r>
    <r>
      <rPr>
        <b/>
        <sz val="9"/>
        <color theme="1"/>
        <rFont val="Lato"/>
        <family val="2"/>
        <scheme val="minor"/>
      </rPr>
      <t>Medium: The t</t>
    </r>
    <r>
      <rPr>
        <sz val="9"/>
        <color theme="1"/>
        <rFont val="Lato"/>
        <family val="2"/>
        <scheme val="minor"/>
      </rPr>
      <t xml:space="preserve">ypical time to launch is 3–6 months, with some internal delays or dependencies
</t>
    </r>
    <r>
      <rPr>
        <b/>
        <sz val="9"/>
        <color theme="1"/>
        <rFont val="Lato"/>
        <family val="2"/>
        <scheme val="minor"/>
      </rPr>
      <t>Low:</t>
    </r>
    <r>
      <rPr>
        <sz val="9"/>
        <color theme="1"/>
        <rFont val="Lato"/>
        <family val="2"/>
        <scheme val="minor"/>
      </rPr>
      <t xml:space="preserve"> Launching a new SME digital feature takes 6+ months, or timelines are unpredictable</t>
    </r>
  </si>
  <si>
    <r>
      <rPr>
        <b/>
        <sz val="9"/>
        <color theme="1"/>
        <rFont val="Lato"/>
        <family val="2"/>
        <scheme val="minor"/>
      </rPr>
      <t>Positive,</t>
    </r>
    <r>
      <rPr>
        <sz val="9"/>
        <color theme="1"/>
        <rFont val="Lato"/>
        <family val="2"/>
        <scheme val="minor"/>
      </rPr>
      <t xml:space="preserve"> because frequent release of new digital features reflects a responsive, customer-centric innovation cycle.</t>
    </r>
  </si>
  <si>
    <r>
      <t xml:space="preserve">4.9 </t>
    </r>
    <r>
      <rPr>
        <b/>
        <i/>
        <sz val="11"/>
        <color theme="1"/>
        <rFont val="Lato"/>
        <family val="2"/>
        <scheme val="minor"/>
      </rPr>
      <t>[Digital]</t>
    </r>
    <r>
      <rPr>
        <b/>
        <sz val="11"/>
        <color theme="1"/>
        <rFont val="Lato"/>
        <family val="2"/>
        <scheme val="minor"/>
      </rPr>
      <t xml:space="preserve"> SME digital services are compliant with data privacy regulations (e.g., consent capture, data usage visibility, storage security)</t>
    </r>
  </si>
  <si>
    <t>Are SME digital services compliant with data privacy regulations (e.g., consent capture, data usage visibility, storage security)?</t>
  </si>
  <si>
    <t>Yes</t>
  </si>
  <si>
    <r>
      <rPr>
        <b/>
        <sz val="9"/>
        <color theme="1"/>
        <rFont val="Lato"/>
        <family val="2"/>
        <scheme val="minor"/>
      </rPr>
      <t>Yes</t>
    </r>
    <r>
      <rPr>
        <sz val="9"/>
        <color theme="1"/>
        <rFont val="Lato"/>
        <family val="2"/>
        <scheme val="minor"/>
      </rPr>
      <t xml:space="preserve">: SME digital services have consent flows, visible data use terms, and storage aligned to national/global privacy standards
</t>
    </r>
    <r>
      <rPr>
        <b/>
        <sz val="9"/>
        <color theme="1"/>
        <rFont val="Lato"/>
        <family val="2"/>
        <scheme val="minor"/>
      </rPr>
      <t xml:space="preserve">No: </t>
    </r>
    <r>
      <rPr>
        <sz val="9"/>
        <color theme="1"/>
        <rFont val="Lato"/>
        <family val="2"/>
        <scheme val="minor"/>
      </rPr>
      <t>No evidence of privacy protections or regulatory alignment</t>
    </r>
  </si>
  <si>
    <r>
      <rPr>
        <b/>
        <sz val="9"/>
        <color theme="1"/>
        <rFont val="Lato"/>
        <family val="2"/>
        <scheme val="minor"/>
      </rPr>
      <t xml:space="preserve">Positive, </t>
    </r>
    <r>
      <rPr>
        <sz val="9"/>
        <color theme="1"/>
        <rFont val="Lato"/>
        <family val="2"/>
        <scheme val="minor"/>
      </rPr>
      <t>because compliance with privacy and security regulations is essential to maintain trust and meet legal standards.</t>
    </r>
  </si>
  <si>
    <t>5. Products and value proposition</t>
  </si>
  <si>
    <t>SME offerings</t>
  </si>
  <si>
    <t>5.1 Financial product offering is aligned and responsive to SME lifecycle stages</t>
  </si>
  <si>
    <t>Does the bank offer financial products specifically designed for SMEs? If so, how are they tailored to different SME lifecycle stages? What SME needs do these products address for each stage?</t>
  </si>
  <si>
    <r>
      <rPr>
        <b/>
        <sz val="9"/>
        <color theme="1"/>
        <rFont val="Lato"/>
        <family val="2"/>
        <scheme val="minor"/>
      </rPr>
      <t>High:</t>
    </r>
    <r>
      <rPr>
        <sz val="9"/>
        <color theme="1"/>
        <rFont val="Lato"/>
        <family val="2"/>
        <scheme val="minor"/>
      </rPr>
      <t xml:space="preserve">  The bank has identified key SME financial needs (e.g., working capital, equipment purchase, trade liquidity) and offers dedicated products that directly address these needs across all major SME lifecycle stages (e.g., startup, growth, maturity)
</t>
    </r>
    <r>
      <rPr>
        <b/>
        <sz val="9"/>
        <color theme="1"/>
        <rFont val="Lato"/>
        <family val="2"/>
        <scheme val="minor"/>
      </rPr>
      <t xml:space="preserve">Medium: </t>
    </r>
    <r>
      <rPr>
        <sz val="9"/>
        <color theme="1"/>
        <rFont val="Lato"/>
        <family val="2"/>
        <scheme val="minor"/>
      </rPr>
      <t xml:space="preserve">The bank offers a broad range of standard SME products (e.g., overdrafts, term loans) and partially addresses some lifecycle needs, but products are not explicitly differentiated across lifecycle stages
</t>
    </r>
    <r>
      <rPr>
        <b/>
        <sz val="9"/>
        <color theme="1"/>
        <rFont val="Lato"/>
        <family val="2"/>
        <scheme val="minor"/>
      </rPr>
      <t xml:space="preserve">Low: </t>
    </r>
    <r>
      <rPr>
        <sz val="9"/>
        <color theme="1"/>
        <rFont val="Lato"/>
        <family val="2"/>
        <scheme val="minor"/>
      </rPr>
      <t>The SME product offering is standardized and mostly limited to basic loan structures</t>
    </r>
  </si>
  <si>
    <r>
      <rPr>
        <b/>
        <sz val="9"/>
        <color theme="1"/>
        <rFont val="Lato"/>
        <family val="2"/>
        <scheme val="minor"/>
      </rPr>
      <t xml:space="preserve">Positive, </t>
    </r>
    <r>
      <rPr>
        <sz val="9"/>
        <color theme="1"/>
        <rFont val="Lato"/>
        <family val="2"/>
        <scheme val="minor"/>
      </rPr>
      <t>as offering SME-specific financial products tailored to lifecycle needs can help meet evolving SME demands, increase product uptake, and deepen client relationships over time</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</si>
  <si>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 to validate</t>
    </r>
    <r>
      <rPr>
        <b/>
        <sz val="9"/>
        <color theme="1"/>
        <rFont val="Lato"/>
        <family val="2"/>
        <scheme val="minor"/>
      </rPr>
      <t xml:space="preserve">
</t>
    </r>
    <r>
      <rPr>
        <sz val="9"/>
        <color theme="1"/>
        <rFont val="Lato"/>
        <family val="2"/>
        <scheme val="minor"/>
      </rPr>
      <t>Complement with secondary information, such as public product offerings</t>
    </r>
  </si>
  <si>
    <r>
      <rPr>
        <b/>
        <sz val="9"/>
        <color theme="1"/>
        <rFont val="Lato"/>
        <family val="2"/>
        <scheme val="minor"/>
      </rPr>
      <t>If recording is allowed, use ChatGPT or a similar AI tool to analyze the transcripts of interviews and identify key takeaways related to SME product design and financial outcomes.</t>
    </r>
    <r>
      <rPr>
        <sz val="9"/>
        <color theme="1"/>
        <rFont val="Lato"/>
        <family val="2"/>
        <scheme val="minor"/>
      </rPr>
      <t xml:space="preserve">
</t>
    </r>
    <r>
      <rPr>
        <b/>
        <sz val="9"/>
        <color theme="1"/>
        <rFont val="Lato"/>
        <family val="2"/>
        <scheme val="minor"/>
      </rPr>
      <t xml:space="preserve">Prompt example: </t>
    </r>
    <r>
      <rPr>
        <sz val="9"/>
        <color theme="1"/>
        <rFont val="Lato"/>
        <family val="2"/>
        <scheme val="minor"/>
      </rPr>
      <t xml:space="preserve">“Analyze these transcripts to extract insights to answer the following questions about SME offerings and financial performance. If data is missing in the transcript, search public sources (e.g., product catalogs, annual reports, press releases) to complement your answers. For each question: i) Summarize the insight from the transcript; ii) Use public information to fill gaps if needed; and iii) Include a short quote from the transcript or source.
</t>
    </r>
    <r>
      <rPr>
        <b/>
        <sz val="9"/>
        <color theme="1"/>
        <rFont val="Lato"/>
        <family val="2"/>
        <scheme val="minor"/>
      </rPr>
      <t>Questions to answer:</t>
    </r>
    <r>
      <rPr>
        <sz val="9"/>
        <color theme="1"/>
        <rFont val="Lato"/>
        <family val="2"/>
        <scheme val="minor"/>
      </rPr>
      <t xml:space="preserve">
5.1 Is the financial product offering responsive to the key SME lifecycle stages (e.g., startup, growth, maturity)?
5.2 Are there unique and differentiated products for key customer groups (e.g., women, agribusinesses, young entrepreneurs)?
5.3 Are non-financial services available and tailored to SME needs?
5.4 Does the bank offer multiple digital non-financial services for SMEs?
5.5 What feedback do SMEs provide on the SME-facing platform?
5.6 Can SMEs perform core banking tasks easily through the bank's digital channels?
5.7 Has the SME loan portfolio shown consistent growth?
5.8 Is the SME NPL rate within acceptable thresholds?
5.9 Are SME portfolios financially sustainable or profitable?
5.10 Do SME clients use multiple financial products?"
</t>
    </r>
    <r>
      <rPr>
        <b/>
        <sz val="9"/>
        <color theme="1"/>
        <rFont val="Lato"/>
        <family val="2"/>
        <scheme val="minor"/>
      </rPr>
      <t>Note: Any AI-generated findings should be reviewed and validated by the user to ensure accuracy and contextual relevance.</t>
    </r>
  </si>
  <si>
    <t>5.2 SME offerings include dedicated products for specific segments or client groups</t>
  </si>
  <si>
    <t>Does the bank offer SME products tailored to specific sub-segments or sectors (e.g., women-led businesses, agribusinesses, exporters, family-owned SMEs)? How do these differentiate from SME standardized products?</t>
  </si>
  <si>
    <r>
      <rPr>
        <b/>
        <sz val="9"/>
        <color theme="1"/>
        <rFont val="Lato"/>
        <family val="2"/>
        <scheme val="minor"/>
      </rPr>
      <t>High:</t>
    </r>
    <r>
      <rPr>
        <sz val="9"/>
        <color theme="1"/>
        <rFont val="Lato"/>
        <family val="2"/>
        <scheme val="minor"/>
      </rPr>
      <t xml:space="preserve"> The bank offers fully developed product offerings targeting relevant SME sub-segments (e.g., women entrepreneurs, agribusinesses, exporters, family businesses)
</t>
    </r>
    <r>
      <rPr>
        <b/>
        <sz val="9"/>
        <color theme="1"/>
        <rFont val="Lato"/>
        <family val="2"/>
        <scheme val="minor"/>
      </rPr>
      <t xml:space="preserve">Medium: </t>
    </r>
    <r>
      <rPr>
        <sz val="9"/>
        <color theme="1"/>
        <rFont val="Lato"/>
        <family val="2"/>
        <scheme val="minor"/>
      </rPr>
      <t xml:space="preserve">The bank has some products tailored to SME segments, but mostly offers standardized products with slight adjustments
</t>
    </r>
    <r>
      <rPr>
        <b/>
        <sz val="9"/>
        <color theme="1"/>
        <rFont val="Lato"/>
        <family val="2"/>
        <scheme val="minor"/>
      </rPr>
      <t xml:space="preserve">Low: </t>
    </r>
    <r>
      <rPr>
        <sz val="9"/>
        <color theme="1"/>
        <rFont val="Lato"/>
        <family val="2"/>
        <scheme val="minor"/>
      </rPr>
      <t>The bank treats SMEs as a uniform group with no differentiation or sector-specific offerings</t>
    </r>
  </si>
  <si>
    <r>
      <rPr>
        <b/>
        <sz val="9"/>
        <color theme="1"/>
        <rFont val="Lato"/>
        <family val="2"/>
        <scheme val="minor"/>
      </rPr>
      <t>Positive,</t>
    </r>
    <r>
      <rPr>
        <sz val="9"/>
        <color theme="1"/>
        <rFont val="Lato"/>
        <family val="2"/>
        <scheme val="minor"/>
      </rPr>
      <t xml:space="preserve"> as offering SME products tailored to specific sub-segments or sectors enhances competitive differentiation and can improve customer acquisition and loyalty</t>
    </r>
  </si>
  <si>
    <t>5.3 Non-financial services are available and tailored to SME needs</t>
  </si>
  <si>
    <t>Does the bank offer non-financial services for SMEs? If so, what types of services are provided (e.g., training, advisory, networking opportunities) and what needs are they responding to?</t>
  </si>
  <si>
    <r>
      <rPr>
        <b/>
        <sz val="9"/>
        <color theme="1"/>
        <rFont val="Lato"/>
        <family val="2"/>
        <scheme val="minor"/>
      </rPr>
      <t>High</t>
    </r>
    <r>
      <rPr>
        <sz val="9"/>
        <color theme="1"/>
        <rFont val="Lato"/>
        <family val="2"/>
        <scheme val="minor"/>
      </rPr>
      <t xml:space="preserve">: The bank offers structured, SME-tailored non-financial services (e.g., training, mentorship, business advisory), targeted by segment or business need, and often bundled with financial products
</t>
    </r>
    <r>
      <rPr>
        <b/>
        <sz val="9"/>
        <color theme="1"/>
        <rFont val="Lato"/>
        <family val="2"/>
        <scheme val="minor"/>
      </rPr>
      <t>Medium:</t>
    </r>
    <r>
      <rPr>
        <sz val="9"/>
        <color theme="1"/>
        <rFont val="Lato"/>
        <family val="2"/>
        <scheme val="minor"/>
      </rPr>
      <t xml:space="preserve"> Some non-financial services are offered (e.g., financial literacy), but they are generic, lightly delivered, or not tailored to SME segments
</t>
    </r>
    <r>
      <rPr>
        <b/>
        <sz val="9"/>
        <color theme="1"/>
        <rFont val="Lato"/>
        <family val="2"/>
        <scheme val="minor"/>
      </rPr>
      <t xml:space="preserve">Low: </t>
    </r>
    <r>
      <rPr>
        <sz val="9"/>
        <color theme="1"/>
        <rFont val="Lato"/>
        <family val="2"/>
        <scheme val="minor"/>
      </rPr>
      <t>There are no structured non-financial services offered to SMEs</t>
    </r>
  </si>
  <si>
    <r>
      <rPr>
        <b/>
        <sz val="9"/>
        <color theme="1"/>
        <rFont val="Lato"/>
        <family val="2"/>
        <scheme val="minor"/>
      </rPr>
      <t>Positive,</t>
    </r>
    <r>
      <rPr>
        <sz val="9"/>
        <color theme="1"/>
        <rFont val="Lato"/>
        <family val="2"/>
        <scheme val="minor"/>
      </rPr>
      <t xml:space="preserve"> because structured, segment-tailored non-financial services (e.g., training, mentorship, advisory) enhance SME financial performance and reinforce the bank’s role as a trusted partner</t>
    </r>
  </si>
  <si>
    <r>
      <t xml:space="preserve">5.4 </t>
    </r>
    <r>
      <rPr>
        <b/>
        <i/>
        <sz val="11"/>
        <color theme="1"/>
        <rFont val="Lato"/>
        <family val="2"/>
        <scheme val="minor"/>
      </rPr>
      <t>[Digital]</t>
    </r>
    <r>
      <rPr>
        <b/>
        <sz val="11"/>
        <color theme="1"/>
        <rFont val="Lato"/>
        <family val="2"/>
        <scheme val="minor"/>
      </rPr>
      <t xml:space="preserve"> SME customers can perform core banking tasks (e.g., payments, balance checks, transfers) through the bank’s digital channels</t>
    </r>
  </si>
  <si>
    <t>Can SME customers perform core banking tasks (e.g., payments, checking balances, transfers) through the bank’s digital channels? If so, are these services available on both mobile and web platforms?</t>
  </si>
  <si>
    <r>
      <rPr>
        <b/>
        <sz val="9"/>
        <color theme="1"/>
        <rFont val="Lato"/>
        <family val="2"/>
        <scheme val="minor"/>
      </rPr>
      <t>High:</t>
    </r>
    <r>
      <rPr>
        <sz val="9"/>
        <color theme="1"/>
        <rFont val="Lato"/>
        <family val="2"/>
        <scheme val="minor"/>
      </rPr>
      <t xml:space="preserve"> A full range of SME financial services, including payments, transfers, account management, and business-specific tools, are accessible and fully functional through mobile and web platforms
</t>
    </r>
    <r>
      <rPr>
        <b/>
        <sz val="9"/>
        <color theme="1"/>
        <rFont val="Lato"/>
        <family val="2"/>
        <scheme val="minor"/>
      </rPr>
      <t>Medium</t>
    </r>
    <r>
      <rPr>
        <sz val="9"/>
        <color theme="1"/>
        <rFont val="Lato"/>
        <family val="2"/>
        <scheme val="minor"/>
      </rPr>
      <t xml:space="preserve">: Some services are digitally available, but others are incomplete or require offline support
</t>
    </r>
    <r>
      <rPr>
        <b/>
        <sz val="9"/>
        <color theme="1"/>
        <rFont val="Lato"/>
        <family val="2"/>
        <scheme val="minor"/>
      </rPr>
      <t xml:space="preserve">Low: </t>
    </r>
    <r>
      <rPr>
        <sz val="9"/>
        <color theme="1"/>
        <rFont val="Lato"/>
        <family val="2"/>
        <scheme val="minor"/>
      </rPr>
      <t>Key services are unavailable digitally or frequently fail</t>
    </r>
  </si>
  <si>
    <r>
      <rPr>
        <b/>
        <sz val="9"/>
        <color theme="1"/>
        <rFont val="Lato"/>
        <family val="2"/>
        <scheme val="minor"/>
      </rPr>
      <t xml:space="preserve">Positive, </t>
    </r>
    <r>
      <rPr>
        <sz val="9"/>
        <color theme="1"/>
        <rFont val="Lato"/>
        <family val="2"/>
        <scheme val="minor"/>
      </rPr>
      <t>since digital enablement of core tasks supports SME autonomy, improves efficiency, and promotes customer loyalty.</t>
    </r>
  </si>
  <si>
    <r>
      <t xml:space="preserve">5.5 </t>
    </r>
    <r>
      <rPr>
        <b/>
        <i/>
        <sz val="11"/>
        <color theme="1"/>
        <rFont val="Lato"/>
        <family val="2"/>
        <scheme val="minor"/>
      </rPr>
      <t>[Digital]</t>
    </r>
    <r>
      <rPr>
        <b/>
        <sz val="11"/>
        <color theme="1"/>
        <rFont val="Lato"/>
        <family val="2"/>
        <scheme val="minor"/>
      </rPr>
      <t xml:space="preserve"> Multiple digital non-financial services  (e.g., cashflow management tools, invoicing, financial planning dashboards) are offered to SMEs</t>
    </r>
  </si>
  <si>
    <t>Does the bank offer digital non-financial services (e.g., cashflow management tools, invoicing tools, financial planning tools) to SMEs? If so, which non-financial services are available?</t>
  </si>
  <si>
    <r>
      <rPr>
        <b/>
        <sz val="9"/>
        <color theme="1"/>
        <rFont val="Lato"/>
        <family val="2"/>
        <scheme val="minor"/>
      </rPr>
      <t xml:space="preserve">High: </t>
    </r>
    <r>
      <rPr>
        <sz val="9"/>
        <color theme="1"/>
        <rFont val="Lato"/>
        <family val="2"/>
        <scheme val="minor"/>
      </rPr>
      <t xml:space="preserve">The bank offers multiple integrated non-financial tools via its SME platform or client interface (e.g., invoice generation, expense tracking, cash flow dashboards, and business analytics)
</t>
    </r>
    <r>
      <rPr>
        <b/>
        <sz val="9"/>
        <color theme="1"/>
        <rFont val="Lato"/>
        <family val="2"/>
        <scheme val="minor"/>
      </rPr>
      <t xml:space="preserve">Medium: </t>
    </r>
    <r>
      <rPr>
        <sz val="9"/>
        <color theme="1"/>
        <rFont val="Lato"/>
        <family val="2"/>
        <scheme val="minor"/>
      </rPr>
      <t xml:space="preserve">Some basic, digital non-financial services are offered (e.g., invoice templates or simple calculators)
</t>
    </r>
    <r>
      <rPr>
        <b/>
        <sz val="9"/>
        <color theme="1"/>
        <rFont val="Lato"/>
        <family val="2"/>
        <scheme val="minor"/>
      </rPr>
      <t>Low:</t>
    </r>
    <r>
      <rPr>
        <sz val="9"/>
        <color theme="1"/>
        <rFont val="Lato"/>
        <family val="2"/>
        <scheme val="minor"/>
      </rPr>
      <t xml:space="preserve"> No digital  non-financial services are available</t>
    </r>
  </si>
  <si>
    <r>
      <rPr>
        <b/>
        <sz val="9"/>
        <color theme="1"/>
        <rFont val="Lato"/>
        <family val="2"/>
        <scheme val="minor"/>
      </rPr>
      <t>Positive</t>
    </r>
    <r>
      <rPr>
        <sz val="9"/>
        <color theme="1"/>
        <rFont val="Lato"/>
        <family val="2"/>
        <scheme val="minor"/>
      </rPr>
      <t>, because offering digital non-financial tools supports broader SME needs and boosts their performance, enhancing loyalty and value delivery.</t>
    </r>
  </si>
  <si>
    <r>
      <t xml:space="preserve">5.6 </t>
    </r>
    <r>
      <rPr>
        <b/>
        <i/>
        <sz val="11"/>
        <color theme="1"/>
        <rFont val="Lato"/>
        <family val="2"/>
        <scheme val="minor"/>
      </rPr>
      <t>[Digital]</t>
    </r>
    <r>
      <rPr>
        <b/>
        <sz val="11"/>
        <color theme="1"/>
        <rFont val="Lato"/>
        <family val="2"/>
        <scheme val="minor"/>
      </rPr>
      <t xml:space="preserve"> SME-facing digital channels are easy to use, accessible, and reliable across web and mobile</t>
    </r>
  </si>
  <si>
    <t>What feedback do SMEs provide on digital channels' speed, ease of use, and accessibility across web and mobile? How frequently do they submit complaints?</t>
  </si>
  <si>
    <r>
      <rPr>
        <b/>
        <sz val="9"/>
        <color theme="1"/>
        <rFont val="Lato"/>
        <family val="2"/>
        <scheme val="minor"/>
      </rPr>
      <t xml:space="preserve">High: </t>
    </r>
    <r>
      <rPr>
        <sz val="9"/>
        <color theme="1"/>
        <rFont val="Lato"/>
        <family val="2"/>
        <scheme val="minor"/>
      </rPr>
      <t xml:space="preserve">SME customers consistently report high satisfaction with the usability, speed, and accessibility of the bank's digital channels. These are intuitive, mobile-friendly, and usable by customers with varying levels of digital fluency
</t>
    </r>
    <r>
      <rPr>
        <b/>
        <sz val="9"/>
        <color theme="1"/>
        <rFont val="Lato"/>
        <family val="2"/>
        <scheme val="minor"/>
      </rPr>
      <t xml:space="preserve">Medium: </t>
    </r>
    <r>
      <rPr>
        <sz val="9"/>
        <color theme="1"/>
        <rFont val="Lato"/>
        <family val="2"/>
        <scheme val="minor"/>
      </rPr>
      <t xml:space="preserve">SME users report a generally functional experience, but with occasional complaints about usability, navigation, or mobile optimization
</t>
    </r>
    <r>
      <rPr>
        <b/>
        <sz val="9"/>
        <color theme="1"/>
        <rFont val="Lato"/>
        <family val="2"/>
        <scheme val="minor"/>
      </rPr>
      <t xml:space="preserve">Low: </t>
    </r>
    <r>
      <rPr>
        <sz val="9"/>
        <color theme="1"/>
        <rFont val="Lato"/>
        <family val="2"/>
        <scheme val="minor"/>
      </rPr>
      <t>SME feedback highlights frequent frustration with the digital channels' interface, speed, or mobile performance</t>
    </r>
  </si>
  <si>
    <r>
      <rPr>
        <b/>
        <sz val="9"/>
        <color theme="1"/>
        <rFont val="Lato"/>
        <family val="2"/>
        <scheme val="minor"/>
      </rPr>
      <t>Positive,</t>
    </r>
    <r>
      <rPr>
        <sz val="9"/>
        <color theme="1"/>
        <rFont val="Lato"/>
        <family val="2"/>
        <scheme val="minor"/>
      </rPr>
      <t xml:space="preserve"> since an intuitive and reliable digital interface enhances customer satisfaction and encourages consistent usage.</t>
    </r>
  </si>
  <si>
    <t>5.7 SME loan portfolio shows consistent growth</t>
  </si>
  <si>
    <t>Does the bank track SME loan portfolio data? If so, how has the portfolio performed over the past three years in terms of volume and number of clients?</t>
  </si>
  <si>
    <r>
      <rPr>
        <b/>
        <sz val="9"/>
        <color theme="1"/>
        <rFont val="Lato"/>
        <family val="2"/>
        <scheme val="minor"/>
      </rPr>
      <t>High:</t>
    </r>
    <r>
      <rPr>
        <sz val="9"/>
        <color theme="1"/>
        <rFont val="Lato"/>
        <family val="2"/>
        <scheme val="minor"/>
      </rPr>
      <t xml:space="preserve"> SME loan portfolio has grown annually over the past three years
</t>
    </r>
    <r>
      <rPr>
        <b/>
        <sz val="9"/>
        <color theme="1"/>
        <rFont val="Lato"/>
        <family val="2"/>
        <scheme val="minor"/>
      </rPr>
      <t xml:space="preserve">Medium: </t>
    </r>
    <r>
      <rPr>
        <sz val="9"/>
        <color theme="1"/>
        <rFont val="Lato"/>
        <family val="2"/>
        <scheme val="minor"/>
      </rPr>
      <t xml:space="preserve">Portfolio has grown, but inconsistently, over the past 3 years (ups and downs but net positive)
</t>
    </r>
    <r>
      <rPr>
        <b/>
        <sz val="9"/>
        <color theme="1"/>
        <rFont val="Lato"/>
        <family val="2"/>
        <scheme val="minor"/>
      </rPr>
      <t>Low</t>
    </r>
    <r>
      <rPr>
        <sz val="9"/>
        <color theme="1"/>
        <rFont val="Lato"/>
        <family val="2"/>
        <scheme val="minor"/>
      </rPr>
      <t>: Flat or declining SME portfolio over the past three years</t>
    </r>
  </si>
  <si>
    <r>
      <rPr>
        <b/>
        <sz val="9"/>
        <color theme="1"/>
        <rFont val="Lato"/>
        <family val="2"/>
        <scheme val="minor"/>
      </rPr>
      <t>Positive,</t>
    </r>
    <r>
      <rPr>
        <sz val="9"/>
        <color theme="1"/>
        <rFont val="Lato"/>
        <family val="2"/>
        <scheme val="minor"/>
      </rPr>
      <t xml:space="preserve"> as sustained SME portfolio growth over multiple years indicates strong market demand, effective outreach, and a likely alignment between product design and SME needs</t>
    </r>
  </si>
  <si>
    <r>
      <rPr>
        <sz val="9"/>
        <color theme="1"/>
        <rFont val="Lato"/>
        <family val="2"/>
        <scheme val="minor"/>
      </rPr>
      <t>Interview</t>
    </r>
    <r>
      <rPr>
        <b/>
        <sz val="9"/>
        <color theme="1"/>
        <rFont val="Lato"/>
        <family val="2"/>
        <scheme val="minor"/>
      </rPr>
      <t xml:space="preserve"> </t>
    </r>
    <r>
      <rPr>
        <sz val="9"/>
        <color theme="1"/>
        <rFont val="Lato"/>
        <family val="2"/>
        <scheme val="minor"/>
      </rPr>
      <t>the SME Business Lead (or related positions)</t>
    </r>
    <r>
      <rPr>
        <b/>
        <sz val="9"/>
        <color theme="1"/>
        <rFont val="Lato"/>
        <family val="2"/>
        <scheme val="minor"/>
      </rPr>
      <t xml:space="preserve"> </t>
    </r>
    <r>
      <rPr>
        <sz val="9"/>
        <color theme="1"/>
        <rFont val="Lato"/>
        <family val="2"/>
        <scheme val="minor"/>
      </rPr>
      <t>or other internal experts (e.g., Head of Credit)</t>
    </r>
    <r>
      <rPr>
        <b/>
        <sz val="9"/>
        <color theme="1"/>
        <rFont val="Lato"/>
        <family val="2"/>
        <scheme val="minor"/>
      </rPr>
      <t xml:space="preserve"> </t>
    </r>
    <r>
      <rPr>
        <sz val="9"/>
        <color theme="1"/>
        <rFont val="Lato"/>
        <family val="2"/>
        <scheme val="minor"/>
      </rPr>
      <t>to validate</t>
    </r>
  </si>
  <si>
    <t>Adjust time frames to match preferences or definitions of portfolio performance</t>
  </si>
  <si>
    <t>5.8 SME NPL rate is within acceptable thresholds</t>
  </si>
  <si>
    <t>What is the non-performing loan rate for the SME portfolio? How does it compare to the NPL of the overall loan book?</t>
  </si>
  <si>
    <r>
      <rPr>
        <b/>
        <sz val="9"/>
        <color theme="1"/>
        <rFont val="Lato"/>
        <family val="2"/>
        <scheme val="minor"/>
      </rPr>
      <t>High:</t>
    </r>
    <r>
      <rPr>
        <sz val="9"/>
        <color theme="1"/>
        <rFont val="Lato"/>
        <family val="2"/>
        <scheme val="minor"/>
      </rPr>
      <t xml:space="preserve"> SME NPLs are &lt;5% and stable or improving
</t>
    </r>
    <r>
      <rPr>
        <b/>
        <sz val="9"/>
        <color theme="1"/>
        <rFont val="Lato"/>
        <family val="2"/>
        <scheme val="minor"/>
      </rPr>
      <t>Medium:</t>
    </r>
    <r>
      <rPr>
        <sz val="9"/>
        <color theme="1"/>
        <rFont val="Lato"/>
        <family val="2"/>
        <scheme val="minor"/>
      </rPr>
      <t xml:space="preserve"> SME NPLs are 5–12% 
</t>
    </r>
    <r>
      <rPr>
        <b/>
        <sz val="9"/>
        <color theme="1"/>
        <rFont val="Lato"/>
        <family val="2"/>
        <scheme val="minor"/>
      </rPr>
      <t xml:space="preserve">Low: </t>
    </r>
    <r>
      <rPr>
        <sz val="9"/>
        <color theme="1"/>
        <rFont val="Lato"/>
        <family val="2"/>
        <scheme val="minor"/>
      </rPr>
      <t>SME NPLs are &gt;12% or worsening over time</t>
    </r>
  </si>
  <si>
    <r>
      <rPr>
        <b/>
        <sz val="9"/>
        <color theme="1"/>
        <rFont val="Lato"/>
        <family val="2"/>
        <scheme val="minor"/>
      </rPr>
      <t xml:space="preserve">Positive, </t>
    </r>
    <r>
      <rPr>
        <sz val="9"/>
        <color theme="1"/>
        <rFont val="Lato"/>
        <family val="2"/>
        <scheme val="minor"/>
      </rPr>
      <t>because maintaining low and stable SME NPLs suggests strong risk management practices and signals that credit offerings are well-calibrated to borrower capacity</t>
    </r>
  </si>
  <si>
    <t>Adjust the NPL ranges to match the averages of the region of interest</t>
  </si>
  <si>
    <t>5.9 SME clients use multiple financial products, reflecting strong uptake</t>
  </si>
  <si>
    <t>Does the bank track the average number of financial products acquired by SME clients? If so, what is the current average? What types of non-credit products are commonly used by SMEs (e.g., payments, savings, insurance, FX)?</t>
  </si>
  <si>
    <r>
      <rPr>
        <b/>
        <sz val="9"/>
        <color theme="1"/>
        <rFont val="Lato"/>
        <family val="2"/>
        <scheme val="minor"/>
      </rPr>
      <t xml:space="preserve">High: </t>
    </r>
    <r>
      <rPr>
        <sz val="9"/>
        <color theme="1"/>
        <rFont val="Lato"/>
        <family val="2"/>
        <scheme val="minor"/>
      </rPr>
      <t xml:space="preserve">A majority of SME clients use multiple products beyond credit (e.g., deposits, payments, insurance), with strong uptake of complementary services and clear efforts to deepen client relationships
</t>
    </r>
    <r>
      <rPr>
        <b/>
        <sz val="9"/>
        <color theme="1"/>
        <rFont val="Lato"/>
        <family val="2"/>
        <scheme val="minor"/>
      </rPr>
      <t>Medium:</t>
    </r>
    <r>
      <rPr>
        <sz val="9"/>
        <color theme="1"/>
        <rFont val="Lato"/>
        <family val="2"/>
        <scheme val="minor"/>
      </rPr>
      <t xml:space="preserve"> Most SME clients use more than one product (typically credit plus one), but product bundling is not proactively offered or acquired 
</t>
    </r>
    <r>
      <rPr>
        <b/>
        <sz val="9"/>
        <color theme="1"/>
        <rFont val="Lato"/>
        <family val="2"/>
        <scheme val="minor"/>
      </rPr>
      <t>Low:</t>
    </r>
    <r>
      <rPr>
        <sz val="9"/>
        <color theme="1"/>
        <rFont val="Lato"/>
        <family val="2"/>
        <scheme val="minor"/>
      </rPr>
      <t xml:space="preserve"> Most SME clients rely on a single product (typically credit), with minimal use of additional services</t>
    </r>
  </si>
  <si>
    <r>
      <rPr>
        <b/>
        <sz val="9"/>
        <color theme="1"/>
        <rFont val="Lato"/>
        <family val="2"/>
        <scheme val="minor"/>
      </rPr>
      <t>Positive,</t>
    </r>
    <r>
      <rPr>
        <sz val="9"/>
        <color theme="1"/>
        <rFont val="Lato"/>
        <family val="2"/>
        <scheme val="minor"/>
      </rPr>
      <t xml:space="preserve"> as high product uptake across SME clients reflects deeper relationships, improved client retention, and more diversified revenue streams for the bank</t>
    </r>
  </si>
  <si>
    <t>5.10 SME portfolios are financially sustainable or profitable</t>
  </si>
  <si>
    <t>Does the bank track the profitability or sustainability of its SME portfolio? What do those indicators show?</t>
  </si>
  <si>
    <r>
      <rPr>
        <b/>
        <sz val="9"/>
        <color theme="1"/>
        <rFont val="Lato"/>
        <family val="2"/>
        <scheme val="minor"/>
      </rPr>
      <t xml:space="preserve">High: </t>
    </r>
    <r>
      <rPr>
        <sz val="9"/>
        <color theme="1"/>
        <rFont val="Lato"/>
        <family val="2"/>
        <scheme val="minor"/>
      </rPr>
      <t xml:space="preserve">The SME portfolio is profitable or contributes positively to the bank’s bottom line, based on internal costing or segment financials
</t>
    </r>
    <r>
      <rPr>
        <b/>
        <sz val="9"/>
        <color theme="1"/>
        <rFont val="Lato"/>
        <family val="2"/>
        <scheme val="minor"/>
      </rPr>
      <t xml:space="preserve">Medium: </t>
    </r>
    <r>
      <rPr>
        <sz val="9"/>
        <color theme="1"/>
        <rFont val="Lato"/>
        <family val="2"/>
        <scheme val="minor"/>
      </rPr>
      <t xml:space="preserve">Portfolio is near breakeven or shows improving contribution over time
</t>
    </r>
    <r>
      <rPr>
        <b/>
        <sz val="9"/>
        <color theme="1"/>
        <rFont val="Lato"/>
        <family val="2"/>
        <scheme val="minor"/>
      </rPr>
      <t>Low:</t>
    </r>
    <r>
      <rPr>
        <sz val="9"/>
        <color theme="1"/>
        <rFont val="Lato"/>
        <family val="2"/>
        <scheme val="minor"/>
      </rPr>
      <t xml:space="preserve"> The SME portfolio is consistently generating losses, with negative contribution to profitability or requiring significant subsidy</t>
    </r>
  </si>
  <si>
    <r>
      <rPr>
        <b/>
        <sz val="9"/>
        <color theme="1"/>
        <rFont val="Lato"/>
        <family val="2"/>
        <scheme val="minor"/>
      </rPr>
      <t xml:space="preserve">Positive, </t>
    </r>
    <r>
      <rPr>
        <sz val="9"/>
        <color theme="1"/>
        <rFont val="Lato"/>
        <family val="2"/>
        <scheme val="minor"/>
      </rPr>
      <t xml:space="preserve">since SME portfolio profitability shows that the segment contributes to the bank’s financial performance and supports long-term viability </t>
    </r>
  </si>
  <si>
    <t>Interview a senior leader (e.g., CFO or COO) and the SME Business Lead (or related positions) to validate</t>
  </si>
  <si>
    <t>•This sheet showcases a real-world example of the bank diagnostic in practice and provides guidance on scoring the various assessment areas and indicators. 
•Please note that this example is for illustrative purposes only. The scoring and rationale are based on secondary data and would likely differ significantly if complemented with primary data.</t>
  </si>
  <si>
    <t>Family Bank</t>
  </si>
  <si>
    <t>Kenya</t>
  </si>
  <si>
    <t>Tier 2</t>
  </si>
  <si>
    <t>No data</t>
  </si>
  <si>
    <t>This information needs to be validated with the bank's senior leadership.</t>
  </si>
  <si>
    <t>Family Bank has defined SME goals (e.g., portfolio growth, gender inclusion, and agribusiness results), but these do not have publicly available explicit KPIs and are not time-bound.</t>
  </si>
  <si>
    <t>SME banking is overseen directly by the Board, and I assume leadership members are in charge of supervision and execution of SME strategy (this is not publicly available).</t>
  </si>
  <si>
    <t>The growth of Family Bank's SME segment is presented as a key priority by Family Bank's leadership. Additionally, the bank has raised significant resources from corporate bonds and DFIs (ADB) to boost SME lending. However, there are no publicly available investment plans for the medium and long term.</t>
  </si>
  <si>
    <t xml:space="preserve">SME banking is proven to be a key pillar in Family Bank's overall operations and focus, as showcased in its annual integrated reports. This cascades into its core departments, including risk, compliance, information, and finance. </t>
  </si>
  <si>
    <t>Family Bank focuses on women and climate-centered metrics and tracks and reports on them annually. These are overseen directly by the Board and are reviewed annually.</t>
  </si>
  <si>
    <t>Family Bank has a proven track record of delivering strategic change initiatives, including the digital transformation of the bank with solutions such as PesaPap mobile app.</t>
  </si>
  <si>
    <t>There are multiple staff members focused solely on SME across departments, including retail banking, credit &amp; risk management, trade finance, and others.</t>
  </si>
  <si>
    <t>Primary information is needed to answer this question.</t>
  </si>
  <si>
    <r>
      <rPr>
        <b/>
        <sz val="9"/>
        <color theme="1"/>
        <rFont val="Lato"/>
        <family val="2"/>
        <scheme val="minor"/>
      </rPr>
      <t xml:space="preserve">Positive, </t>
    </r>
    <r>
      <rPr>
        <sz val="9"/>
        <color theme="1"/>
        <rFont val="Lato"/>
        <family val="2"/>
        <scheme val="minor"/>
      </rPr>
      <t>as embedding SME performance metrics in team performance can reinforce strategic prioritization</t>
    </r>
  </si>
  <si>
    <t>Family Bank has invested in SME-related capacity building for its staff across core departments (including credit, business development, and relationship management). However, it has done this through standalone efforts instead of ongoing opportunities.</t>
  </si>
  <si>
    <t>While specific market research initiatives are not detailed, the bank's targeted programs for women and youth entrepreneurs suggest a data-driven approach to identifying and serving SME segments. These are presented on annual reports.</t>
  </si>
  <si>
    <t>SMEs form 80% of Family Bank's customer base. It targets Agribusinesses, women-owned enterprises, and youth businesses by recognizing their unique needs in its product and service offerings. It tracks segment-specific data in its annual reports.</t>
  </si>
  <si>
    <t>Family Bank positions itself as an SME-focused institution across its public communications and strategy documents. It has been awarded Best SME Bank in Kenya and has extensive reach to SMEs through its multiple branches (95) and rural presence.</t>
  </si>
  <si>
    <r>
      <rPr>
        <b/>
        <sz val="9"/>
        <color theme="1"/>
        <rFont val="Lato"/>
        <family val="2"/>
        <scheme val="minor"/>
      </rPr>
      <t xml:space="preserve">Positive, </t>
    </r>
    <r>
      <rPr>
        <sz val="9"/>
        <color theme="1"/>
        <rFont val="Lato"/>
        <family val="2"/>
        <scheme val="minor"/>
      </rPr>
      <t>as basing initiatives on market analyses ensures relevance, enhances SME uptake, and supports value-driven innovation.</t>
    </r>
  </si>
  <si>
    <t>Family Bank has tailored processes that recognize SME possibilities. For example, it uses cash-flow-based credit assessment models backed with insurance to lend to smallholder farmers. It also offers flexible collateral requirements to accommodate SME needs.</t>
  </si>
  <si>
    <t>Family Bank focuses on specific SME segments, including agribusiness, women, and even Chinese-owned SMEs. Limited information on how frequently these segments are updated.</t>
  </si>
  <si>
    <t>Family Bank uses a relationship management model that offers end-to-end support. Relationship managers are usually assigned to specific SME segments or sectors. The bank implements CRM practices to enhance service quality and customer relations.</t>
  </si>
  <si>
    <t xml:space="preserve">No information has been publicly disclosed, but from the Bank's reporting and tracking, SME portfolio performance seems to be monitored regularly and used to inform decision-making. </t>
  </si>
  <si>
    <t>Family Bank offers products that are responsive to key SME lifecycle stages, including solutions tailored for businesses in nascent stages (e.g., Boost Loans) as well as those in more mature stages (e.g., Structured Trade Finance).</t>
  </si>
  <si>
    <t>Family Bank has a range of financial offerings that reflect and respond to MSME needs, including Agri-Business Loans, Trade Finance, and micro-loans, among others. The Bank has innovative products adapted to business needs, such as sector-specific loans.</t>
  </si>
  <si>
    <t xml:space="preserve">Family Bank offers multiple non-financial services, including education, networking, and mobile banking support. However, these services are mainly directed to women, which limit their scope and reach among SME costumbers. </t>
  </si>
  <si>
    <t>Family Bank's SME portfolio has grown steadily in the last three years, reporting a 7% growth in the last year.</t>
  </si>
  <si>
    <t>No information publicly available-</t>
  </si>
  <si>
    <t>Limited information on client cross-sell (no public data or indicators).</t>
  </si>
  <si>
    <t>Family Bank's SME portfolio seems profitable as evidenced by rising interest income in 2023 and awards in SME excellence.</t>
  </si>
  <si>
    <t>Banco Finandina</t>
  </si>
  <si>
    <t>Colombia</t>
  </si>
  <si>
    <t>Fincandina has no published specific SME targets or segment-specific indicators. Its published reports do not prioritize SME portfolios or targets.</t>
  </si>
  <si>
    <t>There is no public evidence that Finandina’s leadership formally reviews SME strategy or performance; reports focus on financial and digital outcomes without SME-specific discussion.</t>
  </si>
  <si>
    <t>Finandina has invested over USD 10 million in digital transformation, indirectly benefiting SMEs, but it has not allocated funding to a dedicated, multi-year SME strategy.</t>
  </si>
  <si>
    <t>Banco Finandina appears to have an implicit SME banking strategy, offering products and services under its "Business" portfolio and assigning oversight to cross-functional committees. However, SME banking does not appear to be strategic priority across the organization.</t>
  </si>
  <si>
    <t>Finandina has set measurable impact goals for relevant development areas, such as green transportation. However, green projects are not tailored to SME needs and don't have time-bound KPIs, but more generalized goals.</t>
  </si>
  <si>
    <t>Finandina has effectively executed strategic initiatives, including the launch of Colombia’s first fully digital credit card, digital savings accounts, and a broader transformation into a 100% digital bank.</t>
  </si>
  <si>
    <t xml:space="preserve">Finandina appears to have a dedicated focus on business clients within its organization but not an explicit SME banking segment. It has limited staff with core SME responsibilities. </t>
  </si>
  <si>
    <t>Finandina emphasizes staff training and development in general – for instance, in 2021 it provided over 2,600 hours of training and numerous educational scholarships to employees. However, there are no mentions of trainings tailored to the SME context.</t>
  </si>
  <si>
    <t>Finandina’s SME offerings respond to specific segment needs, using market insights to design offerings like factoring and targeting underserved groups through its sustainable bond. However, there is no evidence of benchmarking or market positioning.</t>
  </si>
  <si>
    <t>The bank explicitly targets underserved SMEs, channeling credit to women-led and vulnerable-region businesses, and supporting informal entrepreneurs through digital access and microloans.</t>
  </si>
  <si>
    <t>Finandina is not publicly recognized as a leading SME bank in Colombia. Its reputation has been built more on digital banking innovation.</t>
  </si>
  <si>
    <t>Little public information exists about Finandina’s specific credit model for SMEs. The bank’s risk management statements acknowledge SMEs as part of a diversified portfolio, but they do not describe using specialized credit methodologies.</t>
  </si>
  <si>
    <t>Finandina broadly identifies SME segments, such as women-led enterprises and SMEs located in vulnerable locations. The bank also recognizes the key segments in which SMEs operate (E.g., services, commerce, and retail). However, there is no evidence that products and services are tailored according to these segments.</t>
  </si>
  <si>
    <t>Finandina’s predominantly digital banking model means traditional relationship manager practices are less emphasized. In fact, the bank highlights a self-service digital model.</t>
  </si>
  <si>
    <t>Finandina undoubtedly monitors its loan portfolio through internal systems, but it does not publicly share specific data for SME segments. The bank’s reporting to regulators and investors segments loans broadly.</t>
  </si>
  <si>
    <t>Finandina’s business product suite responds to SME needs, offering tools like the Cuenta de Ahorro Empresarial for liquidity management and factoring to address working capital gaps. However, the number of products directed or tailored to SMEs specifically is limited.</t>
  </si>
  <si>
    <t>Finandina does not publicly offer SME products for specific segments or client groups.</t>
  </si>
  <si>
    <t>Finandina offers minimal non-financial SME support beyond blog content and educational articles; no structured advisory or training programs are publicly available.</t>
  </si>
  <si>
    <r>
      <rPr>
        <b/>
        <sz val="12"/>
        <color theme="1"/>
        <rFont val="Lato"/>
        <family val="2"/>
        <scheme val="minor"/>
      </rPr>
      <t>•This sheet outlines the scoring logic and key inputs that underpin the results of the SME bank diagnostic tool.</t>
    </r>
    <r>
      <rPr>
        <sz val="12"/>
        <color theme="1"/>
        <rFont val="Lato"/>
        <family val="2"/>
        <scheme val="minor"/>
      </rPr>
      <t xml:space="preserve"> </t>
    </r>
    <r>
      <rPr>
        <b/>
        <sz val="12"/>
        <color theme="1"/>
        <rFont val="Lato"/>
        <family val="2"/>
        <scheme val="minor"/>
      </rPr>
      <t xml:space="preserve">
•</t>
    </r>
    <r>
      <rPr>
        <sz val="12"/>
        <color theme="1"/>
        <rFont val="Lato"/>
        <family val="2"/>
        <scheme val="minor"/>
      </rPr>
      <t xml:space="preserve">It defines scoring ratings, how overall scores are calculated, and the input for the gap analysis and strategic recommendations. </t>
    </r>
    <r>
      <rPr>
        <b/>
        <sz val="12"/>
        <color theme="1"/>
        <rFont val="Lato"/>
        <family val="2"/>
        <scheme val="minor"/>
      </rPr>
      <t>The suggested paths to level up and focus areas are intended to be initial guidance to be taken for discussion; they are not prescriptive or seek to represent final solutions.
•</t>
    </r>
    <r>
      <rPr>
        <sz val="12"/>
        <color theme="1"/>
        <rFont val="Lato"/>
        <family val="2"/>
        <scheme val="minor"/>
      </rPr>
      <t xml:space="preserve">The framework is designed to be adaptable: you are encouraged to tailor scoring or recommendations to align with your organization's priorities and context. </t>
    </r>
  </si>
  <si>
    <t>Overall bank diagnostic</t>
  </si>
  <si>
    <t>1. Scoring guidance</t>
  </si>
  <si>
    <t>Label</t>
  </si>
  <si>
    <t>Numeric Score</t>
  </si>
  <si>
    <t>No</t>
  </si>
  <si>
    <t>Category</t>
  </si>
  <si>
    <t>Number of questions</t>
  </si>
  <si>
    <t>6. Digital</t>
  </si>
  <si>
    <t>Total</t>
  </si>
  <si>
    <t>SME banking maturity</t>
  </si>
  <si>
    <t>% of total (max)</t>
  </si>
  <si>
    <t>Min</t>
  </si>
  <si>
    <t>Max</t>
  </si>
  <si>
    <t>High maturity</t>
  </si>
  <si>
    <t>Mid maturity</t>
  </si>
  <si>
    <t>Low maturity</t>
  </si>
  <si>
    <t>&gt;60%</t>
  </si>
  <si>
    <t>2. Input for gap analysis and strategic recommendations</t>
  </si>
  <si>
    <t>Gap (low)</t>
  </si>
  <si>
    <t>Path to level-up</t>
  </si>
  <si>
    <t>Propsoed focus areas</t>
  </si>
  <si>
    <t>Gap (medium)</t>
  </si>
  <si>
    <t>Proposed focus areas</t>
  </si>
  <si>
    <t>Engage senior-leadership to clarify the relevance of SME banking as a strategic priority</t>
  </si>
  <si>
    <r>
      <t xml:space="preserve">Provide a clear business case for the specific opportunity and an overview of the market enablers and market opportunity. </t>
    </r>
    <r>
      <rPr>
        <b/>
        <sz val="8"/>
        <color theme="1"/>
        <rFont val="Lato"/>
        <family val="2"/>
        <scheme val="minor"/>
      </rPr>
      <t>Use the Business Case Tool to help build internal alignment and quantify the opportunity</t>
    </r>
  </si>
  <si>
    <t>Provide a clear business case for the specific opportunity and an overview of the market enablers and market opportunity</t>
  </si>
  <si>
    <t>Further understand constraints to increase lending which could be driven by lack of SME reach, lack or inadequate product offering (financial and non-financial), unqualified staff,or unclear value proposition, among others</t>
  </si>
  <si>
    <t>Carry out an in depth assessment of the SME banking business performance to identify constraints and refine the strategy</t>
  </si>
  <si>
    <t>Actively identify growth opportunities by conducting market assessments, market sizing, competitive analysis, and enterprise needs assessments</t>
  </si>
  <si>
    <t>Inform a growth strategy and roadmap to target increased penetration of the SME market</t>
  </si>
  <si>
    <t xml:space="preserve">Develop SME goals that are SMART (specific, measurable, achievable, relevant, and time-bound), and link them to the bank’s strategic plans	</t>
  </si>
  <si>
    <t xml:space="preserve">Run goal-setting workshops with department heads to define 3–5 year SME targets and roadmaps with clear timelines, budget, and reporting frequency	</t>
  </si>
  <si>
    <t>Revisit SME goals and identify if they need adjustment to align with SMART criteria and if a performance management system is required</t>
  </si>
  <si>
    <r>
      <t xml:space="preserve">Build SME KPI dashboards and set quarterly review checkpoints with senior leadership. </t>
    </r>
    <r>
      <rPr>
        <b/>
        <sz val="8"/>
        <color theme="1"/>
        <rFont val="Lato"/>
        <family val="2"/>
        <scheme val="minor"/>
      </rPr>
      <t>Use the Bank Dashboard Tool as a starting point</t>
    </r>
  </si>
  <si>
    <r>
      <rPr>
        <b/>
        <sz val="9"/>
        <color theme="1"/>
        <rFont val="Lato"/>
        <family val="2"/>
        <scheme val="minor"/>
      </rPr>
      <t>High:</t>
    </r>
    <r>
      <rPr>
        <sz val="9"/>
        <color theme="1"/>
        <rFont val="Lato"/>
        <family val="2"/>
        <scheme val="minor"/>
      </rPr>
      <t xml:space="preserve"> The bank has defined, specific, and measurable SME goals with 3–5 year timelines, tied to planning cycles</t>
    </r>
  </si>
  <si>
    <t xml:space="preserve">Appoint senior leaders to oversee SME strategy execution and integrate accountability into management routines	</t>
  </si>
  <si>
    <t xml:space="preserve">Designate at least one senior staff member with formal oversight of SME strategy and performance; define a simple accountability mechanism with quarterly reporting or dashboard updates	</t>
  </si>
  <si>
    <t>Increase the frequency and depth of SME performance oversight by senior leadership</t>
  </si>
  <si>
    <t>Add SME progress as a standing agenda item in management committee meetings and rotate SME department updates quarterly</t>
  </si>
  <si>
    <r>
      <rPr>
        <b/>
        <sz val="9"/>
        <color theme="1"/>
        <rFont val="Lato"/>
        <family val="2"/>
        <scheme val="minor"/>
      </rPr>
      <t>High:</t>
    </r>
    <r>
      <rPr>
        <sz val="9"/>
        <color theme="1"/>
        <rFont val="Lato"/>
        <family val="2"/>
        <scheme val="minor"/>
      </rPr>
      <t xml:space="preserve"> SME operations and outcomes are closely monitored by at least one senior executive who is accountable for executing and reviewing the overall strategy on a quarterly basis</t>
    </r>
  </si>
  <si>
    <t xml:space="preserve">Define SME investment needs and prioritize initiatives with structured budget planning and ownership	</t>
  </si>
  <si>
    <t xml:space="preserve">Draft an SME investment roadmap with short- and medium-term priorities, budget lines, and department leads	</t>
  </si>
  <si>
    <t xml:space="preserve">Strengthen investment plans with specific timelines and SME-aligned resourcing	</t>
  </si>
  <si>
    <t>Revise existing plans to include 1–3 and 4–6 year SME milestones tied to tracked spending commitments</t>
  </si>
  <si>
    <r>
      <rPr>
        <b/>
        <sz val="9"/>
        <color theme="1"/>
        <rFont val="Lato"/>
        <family val="2"/>
        <scheme val="minor"/>
      </rPr>
      <t xml:space="preserve">High: </t>
    </r>
    <r>
      <rPr>
        <sz val="9"/>
        <color theme="1"/>
        <rFont val="Lato"/>
        <family val="2"/>
        <scheme val="minor"/>
      </rPr>
      <t xml:space="preserve">The bank has defined both medium-term (1-3 year horizon) and long-term (4-6 year horizon) investment plans and allocated sufficient resources in alignment with SME goals </t>
    </r>
  </si>
  <si>
    <t>Develop a clear SME strategy aligned with the bank’s capacities, mission, and competitive positioning</t>
  </si>
  <si>
    <t>Launch a rapid strategy design sprint with leadership and department heads to co-create SME priorities, and formalize them in an internal strategy brief</t>
  </si>
  <si>
    <t xml:space="preserve">Align SME priorities with core departmental functions, responsibilities, and accountability structures	</t>
  </si>
  <si>
    <t>Revisit the SME strategy to ensure it is specific, actionable, and aligned with frontline realities; then cascade it through departmental working sessions and internal presentations to position its value-add</t>
  </si>
  <si>
    <t xml:space="preserve">Define SME inclusion priorities (e.g., women-led, youth, rural) and introduce basic KPIs	</t>
  </si>
  <si>
    <t xml:space="preserve">Hold workshops on KPI definition for inclusion priorities and integrate tracking through dashboards or monitoring tools	</t>
  </si>
  <si>
    <t xml:space="preserve">Institutionalize regular reviews of inclusion KPIs and link them with SME performance reviews	</t>
  </si>
  <si>
    <t>Embed inclusion KPI tracking in annual SME strategy reviews and require departments to report on target achievement</t>
  </si>
  <si>
    <r>
      <rPr>
        <b/>
        <sz val="9"/>
        <color theme="1"/>
        <rFont val="Lato"/>
        <family val="2"/>
        <scheme val="minor"/>
      </rPr>
      <t>High:</t>
    </r>
    <r>
      <rPr>
        <sz val="9"/>
        <color theme="1"/>
        <rFont val="Lato"/>
        <family val="2"/>
        <scheme val="minor"/>
      </rPr>
      <t xml:space="preserve"> Inclusion KPIs (e.g., % loans to women-led or climate-aligned SMEs) are defined, tracked, and reviewed at least annually</t>
    </r>
  </si>
  <si>
    <t>Start tracking key change initiatives (e.g., digital transformation, new products, segment pivots) and capture institutional learnings through structured reviews</t>
  </si>
  <si>
    <t>Establish basic change management capabilities related to MEL, knowledge management, and ongoing training or upskilling opportunities in areas where transformation is desired</t>
  </si>
  <si>
    <t>Consistently track and reflect on change initiatives to identify capacity gaps and improve implementation</t>
  </si>
  <si>
    <t>Introduce a standard post-initiative review tool or structured reflection workshop to extract lessons and define next steps for effective change management</t>
  </si>
  <si>
    <r>
      <rPr>
        <b/>
        <sz val="9"/>
        <color theme="1"/>
        <rFont val="Lato"/>
        <family val="2"/>
        <scheme val="minor"/>
      </rPr>
      <t xml:space="preserve">High: </t>
    </r>
    <r>
      <rPr>
        <sz val="9"/>
        <color theme="1"/>
        <rFont val="Lato"/>
        <family val="2"/>
        <scheme val="minor"/>
      </rPr>
      <t>The bank has successfully implemented at least two strategic or operational initiatives in the past 3–5 years, with clear delivery outcomes and cross-functional coordination</t>
    </r>
  </si>
  <si>
    <t>Assign formal SME responsibilities to teams and specific individuals aligned with SME strategy and delivery needs</t>
  </si>
  <si>
    <t>Designate SME focal points in core departments (e.g., credit, product, ops), with SME duties reflected in job descriptions and performance expectations</t>
  </si>
  <si>
    <t>Define a focused SME unit with dedicated SME roles and ensure senior-level buy-in</t>
  </si>
  <si>
    <t>Allocate SME delivery time explicitly in job responsibilities and assign SME-linked performance objectives where relevant</t>
  </si>
  <si>
    <r>
      <rPr>
        <b/>
        <sz val="9"/>
        <color theme="1"/>
        <rFont val="Lato"/>
        <family val="2"/>
        <scheme val="minor"/>
      </rPr>
      <t xml:space="preserve">High: </t>
    </r>
    <r>
      <rPr>
        <sz val="9"/>
        <color theme="1"/>
        <rFont val="Lato"/>
        <family val="2"/>
        <scheme val="minor"/>
      </rPr>
      <t>The bank has a full-time SME team of at least 3–5 staff with defined roles and responsibilities across core departments (e.g., sales, credit, and product). The team has decision-making authority</t>
    </r>
  </si>
  <si>
    <t>Define SME performance metrics and link them to internal review cycles</t>
  </si>
  <si>
    <r>
      <t xml:space="preserve">Hold cross-functional design sessions to define SME KPIs and embed them into performance tracking systems. </t>
    </r>
    <r>
      <rPr>
        <b/>
        <sz val="8"/>
        <color theme="1"/>
        <rFont val="Lato"/>
        <family val="2"/>
        <scheme val="minor"/>
      </rPr>
      <t>Use the e Bank Dashboard Tool as a starting point</t>
    </r>
  </si>
  <si>
    <t xml:space="preserve">Link SME KPIs to team-level performance and track them consistently	</t>
  </si>
  <si>
    <r>
      <t xml:space="preserve">Integrate SME KPIs into dashboards and automate performance tracking. Include them in quarterly department reviews tied to incentive mechanisms. </t>
    </r>
    <r>
      <rPr>
        <b/>
        <sz val="8"/>
        <color theme="1"/>
        <rFont val="Lato"/>
        <family val="2"/>
        <scheme val="minor"/>
      </rPr>
      <t>Use the Bank Dashboard Tool as a starting point</t>
    </r>
  </si>
  <si>
    <r>
      <rPr>
        <b/>
        <sz val="9"/>
        <color theme="1"/>
        <rFont val="Lato"/>
        <family val="2"/>
        <scheme val="minor"/>
      </rPr>
      <t>High:</t>
    </r>
    <r>
      <rPr>
        <sz val="9"/>
        <color theme="1"/>
        <rFont val="Lato"/>
        <family val="2"/>
        <scheme val="minor"/>
      </rPr>
      <t xml:space="preserve"> All core departments (e.g., credit, risk, operations, digital) have defined SME tasks and collaborate effectively </t>
    </r>
  </si>
  <si>
    <t xml:space="preserve">Introduce foundational training to build SME knowledge and awareness among relevant teams	</t>
  </si>
  <si>
    <t>Roll out a mandatory SME fundamentals module for new and existing staff, co-developed with SME business leads</t>
  </si>
  <si>
    <t>Standardize SME training and integrate it into formal staff development plans</t>
  </si>
  <si>
    <t>Integrate SME training into role-based learning pathways and track participation via internal learning platforms. Reinforce content through refresher sessions</t>
  </si>
  <si>
    <r>
      <rPr>
        <b/>
        <sz val="9"/>
        <color theme="1"/>
        <rFont val="Lato"/>
        <family val="2"/>
        <scheme val="minor"/>
      </rPr>
      <t>High:</t>
    </r>
    <r>
      <rPr>
        <sz val="9"/>
        <color theme="1"/>
        <rFont val="Lato"/>
        <family val="2"/>
        <scheme val="minor"/>
      </rPr>
      <t xml:space="preserve"> Staff across departments receive the pertinent training and have ongoing upskilling opportunities to properly execute their roles in the SME context</t>
    </r>
  </si>
  <si>
    <t xml:space="preserve">Conduct SME-specific client research and apply findings to strategy or product design	</t>
  </si>
  <si>
    <r>
      <t xml:space="preserve">Run a rapid SME client survey and present findings in a management learning session to inform strategy or product priorities. </t>
    </r>
    <r>
      <rPr>
        <b/>
        <sz val="8"/>
        <color theme="1"/>
        <rFont val="Lato"/>
        <family val="2"/>
        <scheme val="minor"/>
      </rPr>
      <t>Use the Market Assessment and Market Sizing Tools as a starting point</t>
    </r>
  </si>
  <si>
    <t>Institutionalize research processes and ensure insights inform decision making processes</t>
  </si>
  <si>
    <r>
      <t xml:space="preserve">Develop a rolling SME insights calendar (e.g., annual segmentation refresh, feedback loops) and link insights to product design, marketing, and strategy reviews. </t>
    </r>
    <r>
      <rPr>
        <b/>
        <sz val="8"/>
        <color theme="1"/>
        <rFont val="Lato"/>
        <family val="2"/>
        <scheme val="minor"/>
      </rPr>
      <t>Use the market Market Assessment and Market Sizing Tools as a starting point</t>
    </r>
  </si>
  <si>
    <r>
      <rPr>
        <b/>
        <sz val="9"/>
        <color theme="1"/>
        <rFont val="Lato"/>
        <family val="2"/>
        <scheme val="minor"/>
      </rPr>
      <t xml:space="preserve">High: </t>
    </r>
    <r>
      <rPr>
        <sz val="9"/>
        <color theme="1"/>
        <rFont val="Lato"/>
        <family val="2"/>
        <scheme val="minor"/>
      </rPr>
      <t>The bank conducts market or client research (e.g., SME segmentation studies, behavioral data, competitor benchmarking) on at least a yearly basis, and findings have influenced strategy, product design, or delivery priorities</t>
    </r>
  </si>
  <si>
    <t xml:space="preserve">Launch targeted outreach and begin collecting demographic and segment data	</t>
  </si>
  <si>
    <t>Launch targeted outreach campaigns for underserved SME segments (e.g., women-led, rural SMEs) and add demographic fields to client onboarding forms or CRM</t>
  </si>
  <si>
    <t>Embed systematic tracking of segment-specific client data to identify scale opportunities and improvement opportunities</t>
  </si>
  <si>
    <t>Integrate segment-disaggregated SME data (e.g., gender, location, business size) into CRM and monitor engagement by segment for targeted follow-up</t>
  </si>
  <si>
    <r>
      <rPr>
        <b/>
        <sz val="9"/>
        <color theme="1"/>
        <rFont val="Lato"/>
        <family val="2"/>
        <scheme val="minor"/>
      </rPr>
      <t xml:space="preserve">High: </t>
    </r>
    <r>
      <rPr>
        <sz val="9"/>
        <color theme="1"/>
        <rFont val="Lato"/>
        <family val="2"/>
        <scheme val="minor"/>
      </rPr>
      <t>The bank has an active outreach to underserved segments and uses a systematic approach to client engagement, including tracking segment specific data</t>
    </r>
  </si>
  <si>
    <t xml:space="preserve">Develop and communicate a basic SME value proposition across key channels	</t>
  </si>
  <si>
    <r>
      <t xml:space="preserve">Draft a distinct SME value proposition and update website, brochures, and in-branch materials to consistently highlight SME relevance. </t>
    </r>
    <r>
      <rPr>
        <b/>
        <sz val="8"/>
        <color theme="1"/>
        <rFont val="Lato"/>
        <family val="2"/>
        <scheme val="minor"/>
      </rPr>
      <t>Use the Impact Case as a starting point</t>
    </r>
  </si>
  <si>
    <t xml:space="preserve">Strengthen SME branding and align messaging across all customer touchpoints	</t>
  </si>
  <si>
    <r>
      <t xml:space="preserve">Create SME branding guidelines and align messaging across physical branches, digital channels, and sales scripts. </t>
    </r>
    <r>
      <rPr>
        <b/>
        <sz val="8"/>
        <color theme="1"/>
        <rFont val="Lato"/>
        <family val="2"/>
        <scheme val="minor"/>
      </rPr>
      <t>Use the Impact Case as a starting point</t>
    </r>
  </si>
  <si>
    <r>
      <rPr>
        <b/>
        <sz val="9"/>
        <color theme="1"/>
        <rFont val="Lato"/>
        <family val="2"/>
        <scheme val="minor"/>
      </rPr>
      <t>High:</t>
    </r>
    <r>
      <rPr>
        <sz val="9"/>
        <color theme="1"/>
        <rFont val="Lato"/>
        <family val="2"/>
        <scheme val="minor"/>
      </rPr>
      <t xml:space="preserve"> The bank has a distinct SME brand or value proposition that is consistently communicated across channels (e.g., website, marketing, physical branches) and recognized by clients or stakeholders</t>
    </r>
  </si>
  <si>
    <t>Launch basic user research (e.g., SME interviews, field visits) to uncover SME needs, pain points, and innovation opportunities</t>
  </si>
  <si>
    <t>Pair internal data (e.g., channel usage, declined loan applications) with 5–10 client interviews to quickly surface frictions that can be addressed through innovations or enhancements</t>
  </si>
  <si>
    <t>Institutionalize data analytics as a core component of product planning and use insights to guide feature development</t>
  </si>
  <si>
    <t>Build a recurring SME insights cycle by combining annual data analytics insights with quarterly product pulse checks, and integrate findings into product roadmap reviews and decision-making</t>
  </si>
  <si>
    <t>Introduce basic adaptations to credit processes that reflect SME-specific needs</t>
  </si>
  <si>
    <t>Develop SME-specific credit guidelines (e.g., flexible collateral, cashflow-based assessment) and train credit officers on when/how to apply them</t>
  </si>
  <si>
    <t xml:space="preserve">Standardize and embed SME-appropriate credit practices into core lending policies	</t>
  </si>
  <si>
    <t>Update credit policy manuals to reflect SME-specific practices and train credit staff to apply them consistently</t>
  </si>
  <si>
    <r>
      <rPr>
        <b/>
        <sz val="9"/>
        <color theme="1"/>
        <rFont val="Lato"/>
        <family val="2"/>
        <scheme val="minor"/>
      </rPr>
      <t>High</t>
    </r>
    <r>
      <rPr>
        <sz val="9"/>
        <color theme="1"/>
        <rFont val="Lato"/>
        <family val="2"/>
        <scheme val="minor"/>
      </rPr>
      <t>: Credit assessment processes are meaningfully adapted to SME realities (e.g., cash-flow-based analysis, flexible collateral, short documentation paths) and are consistently applied by staff handling SME lending</t>
    </r>
  </si>
  <si>
    <t xml:space="preserve">Define core SME segments and use them to shape product development	</t>
  </si>
  <si>
    <r>
      <t xml:space="preserve">Segment SMEs using simple dimensions (e.g., size, age, sector) and map needs per segment to inform product and pricing design. </t>
    </r>
    <r>
      <rPr>
        <b/>
        <sz val="8"/>
        <color theme="1"/>
        <rFont val="Lato"/>
        <family val="2"/>
        <scheme val="minor"/>
      </rPr>
      <t>Use the Segmentation Tool as a starting point</t>
    </r>
  </si>
  <si>
    <t xml:space="preserve">Operationalize segmentation to guide differentiated offerings and delivery models	</t>
  </si>
  <si>
    <r>
      <t xml:space="preserve">Use SME segment data to redesign key offerings and adjust distribution or communication strategies accordingly. </t>
    </r>
    <r>
      <rPr>
        <b/>
        <sz val="8"/>
        <color theme="1"/>
        <rFont val="Lato"/>
        <family val="2"/>
        <scheme val="minor"/>
      </rPr>
      <t>Use the Segmentation Tool as a starting point</t>
    </r>
  </si>
  <si>
    <r>
      <rPr>
        <b/>
        <sz val="9"/>
        <color theme="1"/>
        <rFont val="Lato"/>
        <family val="2"/>
        <scheme val="minor"/>
      </rPr>
      <t xml:space="preserve">High: </t>
    </r>
    <r>
      <rPr>
        <sz val="9"/>
        <color theme="1"/>
        <rFont val="Lato"/>
        <family val="2"/>
        <scheme val="minor"/>
      </rPr>
      <t>SME segments are well-defined (e.g., by size, lifecycle, sector) and actively shape product or service design (e.g., pricing, bundling, distribution). Segmentation is regularly reviewed and updated</t>
    </r>
  </si>
  <si>
    <t xml:space="preserve">Assign SME relationship ownership and introduce structured engagement	</t>
  </si>
  <si>
    <t xml:space="preserve">Assign relationship managers to SME portfolios and introduce engagement tools like client plans, visit trackers, or basic CRM usage </t>
  </si>
  <si>
    <t>Standardize SME relationship management processes</t>
  </si>
  <si>
    <t>Develop an SME client management playbook with engagement cadence, documentation templates, and feedback loops</t>
  </si>
  <si>
    <r>
      <rPr>
        <b/>
        <sz val="9"/>
        <color theme="1"/>
        <rFont val="Lato"/>
        <family val="2"/>
        <scheme val="minor"/>
      </rPr>
      <t xml:space="preserve">High: </t>
    </r>
    <r>
      <rPr>
        <sz val="9"/>
        <color theme="1"/>
        <rFont val="Lato"/>
        <family val="2"/>
        <scheme val="minor"/>
      </rPr>
      <t>Relationship managers or account officers are assigned to SME clients with defined portfolios and use structured engagement tools (e.g., CRM systems)</t>
    </r>
  </si>
  <si>
    <t>Coordinate with other key bank departments (e.g., retail, corporate) to access relevant client data that can help identify potential SME owners</t>
  </si>
  <si>
    <t>Incorporate broad client data into SME data practices and systems to analyze cross-sell opportunities and support credit assessment processes</t>
  </si>
  <si>
    <t>Institutionalize client data analysis as a key process within the SME unit to support the expansion of the SME portfolio</t>
  </si>
  <si>
    <t xml:space="preserve">Systematize the analysis of broad client data for SME cross-sell by deploying automated algorithms to detect SME ownership across all client segments and embedding formal internal process guidelines </t>
  </si>
  <si>
    <t>Start tracking SME portfolio performance using basic indicators</t>
  </si>
  <si>
    <r>
      <t xml:space="preserve">Add SME-specific filters (e.g., loan volume, client count) into existing dashboards and assign ownership for quarterly reporting. </t>
    </r>
    <r>
      <rPr>
        <b/>
        <sz val="8"/>
        <color theme="1"/>
        <rFont val="Lato"/>
        <family val="2"/>
        <scheme val="minor"/>
      </rPr>
      <t>Use the Bank Dashboards Tool as a starting point</t>
    </r>
  </si>
  <si>
    <t xml:space="preserve">Improve granularity and cadence of SME performance tracking	</t>
  </si>
  <si>
    <t>Set up automated reports with disaggregated SME indicators and integrate insights into quarterly organizational reviews</t>
  </si>
  <si>
    <r>
      <rPr>
        <b/>
        <sz val="9"/>
        <color theme="1"/>
        <rFont val="Lato"/>
        <family val="2"/>
        <scheme val="minor"/>
      </rPr>
      <t>High</t>
    </r>
    <r>
      <rPr>
        <sz val="9"/>
        <color theme="1"/>
        <rFont val="Lato"/>
        <family val="2"/>
        <scheme val="minor"/>
      </rPr>
      <t>: SME portfolio performance (e.g., loan volume, NPLs, product use, client growth) is integrated into the bank’s reporting systems and reviewed at least quarterly</t>
    </r>
  </si>
  <si>
    <t>Map core SME-related systems and pinpoint where manual steps or weak connections slow down digital workflows</t>
  </si>
  <si>
    <t>Facilitate an IT-SME business workshop to identify system handoffs that cause the most friction (e.g., onboarding, loan origination), and prioritize them for early-stage integration pilots</t>
  </si>
  <si>
    <t>Develop a phased integration roadmap to connect remaining fragmented systems, starting with those most critical to SME banking</t>
  </si>
  <si>
    <t>Use APIs or middleware to connect high-priority systems and align this workstream with broader IT architecture upgrades</t>
  </si>
  <si>
    <t>Surface common service breakdowns affecting SME users and designate initial owners responsible for resolving them</t>
  </si>
  <si>
    <t>Launch a shared SME issue log, assign interim coordinators, and review trends monthly to track resolution speed</t>
  </si>
  <si>
    <t>Establish a structured digital support model with defined roles, escalation paths, and performance targets</t>
  </si>
  <si>
    <t>Codify service processes in a playbook, set service-level objectives, and digitize support flows</t>
  </si>
  <si>
    <t>Analyze past SME digital initiatives to uncover process delays (e.g., internal reviews, testing) and define what “fast-track” could look like</t>
  </si>
  <si>
    <t>Map and streamline the delivery workflow by identifying handoff delays (e.g., approvals, vendor onboarding) and introducing simplified fast tracks</t>
  </si>
  <si>
    <t>Align SME digital stakeholders around a shared delivery cadence by connecting sprint planning, testing, and approvals</t>
  </si>
  <si>
    <t>Create a shared release calendar and automate testing and deployment stages to shorten cycle times and improve coordination</t>
  </si>
  <si>
    <t>Benchmark existing SME data practices against local data protection laws and baseline requirements</t>
  </si>
  <si>
    <t>Implement SME-specific consent management tools and provide clear digital privacy settings in self-service interfaces</t>
  </si>
  <si>
    <t xml:space="preserve">Expand the SME product suite to include non-credit financial services	</t>
  </si>
  <si>
    <t>Map common SME financial needs (e.g., payments, savings, insurance) across lifecycle stages, then introduce at least one new non-loan product</t>
  </si>
  <si>
    <t xml:space="preserve">Use client feedback and usage data to refine and tailor offerings according to key lifecycle stages (e.g., startup, growth, maturity)	</t>
  </si>
  <si>
    <t>Collect maturity-level SME usage data and validate product design through client workshops to refine features, pricing, and bundling</t>
  </si>
  <si>
    <r>
      <rPr>
        <b/>
        <sz val="9"/>
        <color theme="1"/>
        <rFont val="Lato"/>
        <family val="2"/>
        <scheme val="minor"/>
      </rPr>
      <t>High:</t>
    </r>
    <r>
      <rPr>
        <sz val="9"/>
        <color theme="1"/>
        <rFont val="Lato"/>
        <family val="2"/>
        <scheme val="minor"/>
      </rPr>
      <t xml:space="preserve"> The bank has identified the most pressing SME financing needs (e.g., working capital gaps, equipment purchase, trade liquidity) and offers dedicated products that directly address these. It has products targeting specific SME segments (e.g., women, agribusinesses, green finance, etc.).</t>
    </r>
  </si>
  <si>
    <t xml:space="preserve">Identify the most relevant client groups and product needs to start tailoring SME offering accordingly </t>
  </si>
  <si>
    <t>Collect data to identify relevant SME client groups (e.g., women, agribusinesses, young entrepreneurs) and pilot low-risk tailored products for at least one of these</t>
  </si>
  <si>
    <t>Systematically track portfolio performance, product uptake, and repayment behaviors by sub-segment (e.g., women-led SMEs, agribusinesses)</t>
  </si>
  <si>
    <t>Use data analytics to proactively offer tailored product and services based on transaction patterns, industry cycles, or client behavior within sub-segments</t>
  </si>
  <si>
    <t xml:space="preserve">Launch foundational non-financial services to build SME capacity	</t>
  </si>
  <si>
    <t>Start with a low-cost, high-impact support offer, such as monthly group webinars, to introduce value-added engagement to SME clients</t>
  </si>
  <si>
    <t>Make non-financial services more targeted and integrated into client engagement</t>
  </si>
  <si>
    <t>Develop tiered non-financial offerings (e.g., growth clinics, peer networking events, sector-specific toolkits) and promote them actively for higher engagement</t>
  </si>
  <si>
    <r>
      <rPr>
        <b/>
        <sz val="9"/>
        <color theme="1"/>
        <rFont val="Lato"/>
        <family val="2"/>
        <scheme val="minor"/>
      </rPr>
      <t>High</t>
    </r>
    <r>
      <rPr>
        <sz val="9"/>
        <color theme="1"/>
        <rFont val="Lato"/>
        <family val="2"/>
        <scheme val="minor"/>
      </rPr>
      <t>: The bank offers structured, SME-tailored non-financial services (e.g., training, mentorship, business advisory), targeted by segment or business need, and often bundled with financial products</t>
    </r>
  </si>
  <si>
    <t>Inventory SME-relevant digital services (e.g., payments, transfers, account management) and identify where service delivery is incomplete, inconsistent, or fails</t>
  </si>
  <si>
    <t>Prioritize fixes for high-impact gaps (e.g., failed transfers, blocked transactions), and ensure core services meet uptime thresholds</t>
  </si>
  <si>
    <t>Compare functionality and reliability of SME services across digital channels to ensure consistency and eliminate dependency on in-person channels</t>
  </si>
  <si>
    <t>Upgrade underperforming SME services (e.g., transfers, payments) to match performance of core retail features, ensuring 24/7 availability across mobile and web</t>
  </si>
  <si>
    <t xml:space="preserve">Identify the non-financial services that can be offered digitally to respond to SME pain points or challenges </t>
  </si>
  <si>
    <t>Introduce SME-facing tools such as digital recordkeeping templates, business advisory, or tax calculators through the mobile app or web portal</t>
  </si>
  <si>
    <t>Create a digital plan for the bank's non-financial offering to respond to all of the most pressing SME needs (e.g., business growth, compliance) and focus on increasing digital engagement.</t>
  </si>
  <si>
    <t>Offer access to SME-relevant tools like business health dashboards, e-commerce onboarding kits, or connections to accounting services</t>
  </si>
  <si>
    <t>Collect and categorize user complaints related to digital experience (e.g., navigation, load times) and use frontline staff and usage data as inputs</t>
  </si>
  <si>
    <t>Run a usability audit on mobile and web platforms, and prioritize quick wins (e.g., loading speed, menu clarity) for iterative rollout</t>
  </si>
  <si>
    <t>Use structured user testing with SME clients to validate interface improvements and ensure platforms meet diverse usability needs</t>
  </si>
  <si>
    <t>Integrate usability testing into the design cycle and link findings to the digital product backlog</t>
  </si>
  <si>
    <t xml:space="preserve">Stabilize and restart portfolio growth through targeted strategies	</t>
  </si>
  <si>
    <t>Analyze SME drop-off trends and adjust product, marketing, or risk approaches to unlock growth</t>
  </si>
  <si>
    <t xml:space="preserve">Sustain growth through targeted acquisition and channel discipline	</t>
  </si>
  <si>
    <t>Set quarterly SME growth targets by segment and run targeted campaigns linked to those segments’ preferred products or channels</t>
  </si>
  <si>
    <r>
      <rPr>
        <b/>
        <sz val="9"/>
        <color theme="1"/>
        <rFont val="Lato"/>
        <family val="2"/>
        <scheme val="minor"/>
      </rPr>
      <t>High:</t>
    </r>
    <r>
      <rPr>
        <sz val="9"/>
        <color theme="1"/>
        <rFont val="Lato"/>
        <family val="2"/>
        <scheme val="minor"/>
      </rPr>
      <t xml:space="preserve"> SME loan portfolio has grown annually over the past three years</t>
    </r>
  </si>
  <si>
    <t>Reduce risk exposure and improve early warning capability</t>
  </si>
  <si>
    <r>
      <t xml:space="preserve">Launch a risk deep-dive to diagnose drivers and develop early warning signals for high-risk clients. </t>
    </r>
    <r>
      <rPr>
        <b/>
        <sz val="8"/>
        <color theme="1"/>
        <rFont val="Lato"/>
        <family val="2"/>
        <scheme val="minor"/>
      </rPr>
      <t>Start with the Credit Riks Management Tool</t>
    </r>
  </si>
  <si>
    <t xml:space="preserve">Improve loan performance through portfolio segmentation and pre-default action	</t>
  </si>
  <si>
    <r>
      <t xml:space="preserve">Segment SME NPLs by cause (e.g., documentation gaps, repayment capacity) and design differentiated resolution strategies for each group. </t>
    </r>
    <r>
      <rPr>
        <b/>
        <sz val="8"/>
        <color theme="1"/>
        <rFont val="Lato"/>
        <family val="2"/>
        <scheme val="minor"/>
      </rPr>
      <t>Start with the Credit Riks Management Tool</t>
    </r>
  </si>
  <si>
    <r>
      <rPr>
        <b/>
        <sz val="9"/>
        <color theme="1"/>
        <rFont val="Lato"/>
        <family val="2"/>
        <scheme val="minor"/>
      </rPr>
      <t>High:</t>
    </r>
    <r>
      <rPr>
        <sz val="9"/>
        <color theme="1"/>
        <rFont val="Lato"/>
        <family val="2"/>
        <scheme val="minor"/>
      </rPr>
      <t xml:space="preserve"> SME NPLs are &lt;5% and stable or improving</t>
    </r>
  </si>
  <si>
    <t>Deepen SME client relationships by driving structured uptake of product bundles</t>
  </si>
  <si>
    <t xml:space="preserve">Conduct client-level wallet share analysis and launch targeted cross-sell campaigns for priority products </t>
  </si>
  <si>
    <t xml:space="preserve">Institutionalize product bundling and link it to the client lifecycle and segmentation strategy	</t>
  </si>
  <si>
    <t>Define relevant SME product bundles according to SME client behaviours and needs and train frontline staff to offer them as default options during sales and renewals</t>
  </si>
  <si>
    <r>
      <rPr>
        <b/>
        <sz val="9"/>
        <color theme="1"/>
        <rFont val="Lato"/>
        <family val="2"/>
        <scheme val="minor"/>
      </rPr>
      <t xml:space="preserve">High: </t>
    </r>
    <r>
      <rPr>
        <sz val="9"/>
        <color theme="1"/>
        <rFont val="Lato"/>
        <family val="2"/>
        <scheme val="minor"/>
      </rPr>
      <t>A majority of SME clients use multiple products beyond credit (e.g., deposits, payments, insurance), with strong uptake of complementary services and clear efforts to deepen client relationships</t>
    </r>
  </si>
  <si>
    <t>Understand and address the root causes of underperformance in the SME portfolio</t>
  </si>
  <si>
    <t>Conduct a profitability analysis at the product and segment level to identify causes and adjust pricing or delivery models based on results</t>
  </si>
  <si>
    <t xml:space="preserve">Improve SME contribution by optimizing revenue mix and cost structures	</t>
  </si>
  <si>
    <t>Use segment-level financial data to refine acquisition strategies and prioritize operational improvements in low-yield or high-cost areas of SME delivery</t>
  </si>
  <si>
    <r>
      <rPr>
        <b/>
        <sz val="9"/>
        <color theme="1"/>
        <rFont val="Lato"/>
        <family val="2"/>
        <scheme val="minor"/>
      </rPr>
      <t xml:space="preserve">High: </t>
    </r>
    <r>
      <rPr>
        <sz val="9"/>
        <color theme="1"/>
        <rFont val="Lato"/>
        <family val="2"/>
        <scheme val="minor"/>
      </rPr>
      <t>The SME portfolio is profitable or contributes positively to the bank’s bottom line, based on internal costing or segment financials</t>
    </r>
  </si>
  <si>
    <t xml:space="preserve"> </t>
  </si>
  <si>
    <t>Bank SME banking maturity</t>
  </si>
  <si>
    <t>Bank name:</t>
  </si>
  <si>
    <t>Overall score:</t>
  </si>
  <si>
    <t>Overall standing:</t>
  </si>
  <si>
    <t>High maturity areas (inc. digital)</t>
  </si>
  <si>
    <t>Refer to the methodology tab to understand the scoring criteria</t>
  </si>
  <si>
    <t>Overview of the bank diagnostic</t>
  </si>
  <si>
    <t>Gap analysis and recommended focus areas</t>
  </si>
  <si>
    <t>Assessment area</t>
  </si>
  <si>
    <t>Rating</t>
  </si>
  <si>
    <t>Area</t>
  </si>
  <si>
    <t>Key gaps</t>
  </si>
  <si>
    <t>Path to level up</t>
  </si>
  <si>
    <t>Criteria met</t>
  </si>
  <si>
    <t>Rating by area</t>
  </si>
  <si>
    <t>Countries</t>
  </si>
  <si>
    <t>Afghanistan</t>
  </si>
  <si>
    <t>Albania</t>
  </si>
  <si>
    <t>Algeria</t>
  </si>
  <si>
    <t>Andorra</t>
  </si>
  <si>
    <t>Angola</t>
  </si>
  <si>
    <t>Anguilla</t>
  </si>
  <si>
    <t>Antigua and Barbuda</t>
  </si>
  <si>
    <t>Argentina</t>
  </si>
  <si>
    <t>Armenia</t>
  </si>
  <si>
    <t>Aruba</t>
  </si>
  <si>
    <t>Ascension</t>
  </si>
  <si>
    <t>Australia</t>
  </si>
  <si>
    <t>Austria</t>
  </si>
  <si>
    <t>Azerbaijan</t>
  </si>
  <si>
    <t>Bahamas</t>
  </si>
  <si>
    <t>Bahrain</t>
  </si>
  <si>
    <t>Bangladesh</t>
  </si>
  <si>
    <t>Barbados</t>
  </si>
  <si>
    <t>Belarus</t>
  </si>
  <si>
    <t>Belgium</t>
  </si>
  <si>
    <t>Belize</t>
  </si>
  <si>
    <t>Benin</t>
  </si>
  <si>
    <t>Bermuda</t>
  </si>
  <si>
    <t>Bhutan</t>
  </si>
  <si>
    <t>Bolivia</t>
  </si>
  <si>
    <t>Bonaire, Sint Eustatius, and Saba</t>
  </si>
  <si>
    <t>Bosnia-Herzegovina</t>
  </si>
  <si>
    <t>Botswana</t>
  </si>
  <si>
    <t>Brazil</t>
  </si>
  <si>
    <t>British Virgin Islands</t>
  </si>
  <si>
    <t>Brunei Darussalam</t>
  </si>
  <si>
    <t>Bulgaria</t>
  </si>
  <si>
    <t>Burkina Faso</t>
  </si>
  <si>
    <t>Burma</t>
  </si>
  <si>
    <t>Burundi</t>
  </si>
  <si>
    <t>Cambodia</t>
  </si>
  <si>
    <t>Cameroon</t>
  </si>
  <si>
    <t>Canada</t>
  </si>
  <si>
    <t>Cape Verde</t>
  </si>
  <si>
    <t>Cayman Islands</t>
  </si>
  <si>
    <t>Central African Republic</t>
  </si>
  <si>
    <t>Chad</t>
  </si>
  <si>
    <t>Chile</t>
  </si>
  <si>
    <t>China</t>
  </si>
  <si>
    <t>Comoros</t>
  </si>
  <si>
    <t>Congo, Democratic Republic of the</t>
  </si>
  <si>
    <t>Congo, Republic of the</t>
  </si>
  <si>
    <t>Costa Rica</t>
  </si>
  <si>
    <t>Cote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</si>
  <si>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</si>
  <si>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</si>
  <si>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</si>
  <si>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</si>
  <si>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</si>
  <si>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</si>
  <si>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</si>
  <si>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</si>
  <si>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</si>
  <si>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</si>
  <si>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</si>
  <si>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</si>
  <si>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</si>
  <si>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</si>
  <si>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</si>
  <si>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</si>
  <si>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</si>
  <si>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</si>
  <si>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</si>
  <si>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</si>
  <si>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</si>
  <si>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</si>
  <si>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</si>
  <si>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t>
  </si>
  <si>
    <t>Gabon</t>
  </si>
  <si>
    <t>Gambia</t>
  </si>
  <si>
    <t>Georgia, Republic of</t>
  </si>
  <si>
    <t>Germany</t>
  </si>
  <si>
    <t>Ghana</t>
  </si>
  <si>
    <t>Gibraltar</t>
  </si>
  <si>
    <t>Greece</t>
  </si>
  <si>
    <t>Greenland</t>
  </si>
  <si>
    <t>Grenada</t>
  </si>
  <si>
    <t>Guadeloupe</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</si>
  <si>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</si>
  <si>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</si>
  <si>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</si>
  <si>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</si>
  <si>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</si>
  <si>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</si>
  <si>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</si>
  <si>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</si>
  <si>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</si>
  <si>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</si>
  <si>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</si>
  <si>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</si>
  <si>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</si>
  <si>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</si>
  <si>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</si>
  <si>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</si>
  <si>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</si>
  <si>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</si>
  <si>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</si>
  <si>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</si>
  <si>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Kiribati</t>
  </si>
  <si>
    <t>Korea, Democratic Peoples Republic of (North Korea)</t>
  </si>
  <si>
    <t>Korea, Republic of (South Korea)</t>
  </si>
  <si>
    <t>Kosovo, Republic of</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</si>
  <si>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</si>
  <si>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</si>
  <si>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</si>
  <si>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</si>
  <si>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</si>
  <si>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</si>
  <si>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</si>
  <si>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</si>
  <si>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</si>
  <si>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</si>
  <si>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</si>
  <si>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</si>
  <si>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</si>
  <si>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</si>
  <si>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</si>
  <si>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</si>
  <si>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</si>
  <si>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</si>
  <si>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Martinique</t>
  </si>
  <si>
    <t>Mauritania</t>
  </si>
  <si>
    <t>Mauritius</t>
  </si>
  <si>
    <t>Mexico</t>
  </si>
  <si>
    <t>Moldova</t>
  </si>
  <si>
    <t>Mongolia</t>
  </si>
  <si>
    <t>Montenegro</t>
  </si>
  <si>
    <t>Montserrat</t>
  </si>
  <si>
    <t>Morocco</t>
  </si>
  <si>
    <t>Mozambique</t>
  </si>
  <si>
    <t>Namibia</t>
  </si>
  <si>
    <t>Nauru</t>
  </si>
  <si>
    <t>Nepal</t>
  </si>
  <si>
    <t>Netherlands</t>
  </si>
  <si>
    <t>New Caledonia</t>
  </si>
  <si>
    <t>New Zealand</t>
  </si>
  <si>
    <t>Nicaragua</t>
  </si>
  <si>
    <t>Niger</t>
  </si>
  <si>
    <t>Nigeria</t>
  </si>
  <si>
    <t>North Macedonia, Republic of</t>
  </si>
  <si>
    <t>Norway</t>
  </si>
  <si>
    <t>Oman</t>
  </si>
  <si>
    <t>Pakistan</t>
  </si>
  <si>
    <t>Panama</t>
  </si>
  <si>
    <t>Papua New Guinea</t>
  </si>
  <si>
    <t>Paraguay</t>
  </si>
  <si>
    <t>Peru</t>
  </si>
  <si>
    <t>Philippines</t>
  </si>
  <si>
    <t>Pitcairn Island</t>
  </si>
  <si>
    <t>Poland</t>
  </si>
  <si>
    <t>Portugal</t>
  </si>
  <si>
    <t>Qatar</t>
  </si>
  <si>
    <t>Reunion</t>
  </si>
  <si>
    <t>Romania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</si>
  <si>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</si>
  <si>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</si>
  <si>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</si>
  <si>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</si>
  <si>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</si>
  <si>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</si>
  <si>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</si>
  <si>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</si>
  <si>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</si>
  <si>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</si>
  <si>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</si>
  <si>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</si>
  <si>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 Republic of</t>
  </si>
  <si>
    <t>Seychelles</t>
  </si>
  <si>
    <t>Sierra Leone</t>
  </si>
  <si>
    <t>Singapore</t>
  </si>
  <si>
    <t>Sint Maarten</t>
  </si>
  <si>
    <t>Slovak Republic (Slovakia)</t>
  </si>
  <si>
    <t>Slovenia</t>
  </si>
  <si>
    <t>Solomon Islands</t>
  </si>
  <si>
    <t>Somalia</t>
  </si>
  <si>
    <t>South Africa</t>
  </si>
  <si>
    <t>South Sudan, Republic of</t>
  </si>
  <si>
    <t>Spain</t>
  </si>
  <si>
    <t>Sri Lanka</t>
  </si>
  <si>
    <t>Sudan</t>
  </si>
  <si>
    <t>Suriname</t>
  </si>
  <si>
    <t>Sweden</t>
  </si>
  <si>
    <t>Switzerland</t>
  </si>
  <si>
    <t>Syrian Arab Republic (Syria)</t>
  </si>
  <si>
    <t>Taiwan</t>
  </si>
  <si>
    <t>Tajikistan</t>
  </si>
  <si>
    <t>Tanzania</t>
  </si>
  <si>
    <t>Thailand</t>
  </si>
  <si>
    <t>Timor-Leste, Democratic Republic of</t>
  </si>
  <si>
    <t>Togo</t>
  </si>
  <si>
    <t>Tonga</t>
  </si>
  <si>
    <t>Trinidad and Tobago</t>
  </si>
  <si>
    <t>Tristan da Cunha</t>
  </si>
  <si>
    <t>Tunisia</t>
  </si>
  <si>
    <t>Turkiye Republic of</t>
  </si>
  <si>
    <t>Turkmenistan</t>
  </si>
  <si>
    <t>Turks and Caicos Islands</t>
  </si>
  <si>
    <t>Tuvalu</t>
  </si>
  <si>
    <t>Uganda</t>
  </si>
  <si>
    <t>Ukraine</t>
  </si>
  <si>
    <t>United Arab Emirates</t>
  </si>
  <si>
    <t>United Kingdom of Great Britain and Northern Ireland</t>
  </si>
  <si>
    <t>Uruguay</t>
  </si>
  <si>
    <t>Uzbekistan</t>
  </si>
  <si>
    <t>Vanuatu</t>
  </si>
  <si>
    <t>Vatican City</t>
  </si>
  <si>
    <t>Venezuela</t>
  </si>
  <si>
    <t>Vietnam</t>
  </si>
  <si>
    <t>Wallis and Futuna Islands</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</si>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</sst>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x14ac:knownFonts="1">
    <font>
      <sz val="11"/>
      <color theme="1"/>
      <name val="Lato"/>
      <family val="2"/>
      <scheme val="minor"/>
    </font>
    <font>
      <b/>
      <sz val="11"/>
      <color theme="1"/>
      <name val="Lato"/>
      <family val="2"/>
      <scheme val="minor"/>
    </font>
    <font>
      <u/>
      <sz val="11"/>
      <color theme="10"/>
      <name val="Lato"/>
      <family val="2"/>
      <scheme val="minor"/>
    </font>
    <font>
      <b/>
      <sz val="12"/>
      <color theme="1"/>
      <name val="Lato"/>
      <family val="2"/>
      <scheme val="minor"/>
    </font>
    <font>
      <sz val="9"/>
      <color theme="1"/>
      <name val="Lato"/>
      <family val="2"/>
      <scheme val="minor"/>
    </font>
    <font>
      <b/>
      <sz val="9"/>
      <color theme="1"/>
      <name val="Lato"/>
      <family val="2"/>
      <scheme val="minor"/>
    </font>
    <font>
      <b/>
      <sz val="12"/>
      <color theme="0"/>
      <name val="Lato"/>
      <family val="2"/>
      <scheme val="minor"/>
    </font>
    <font>
      <b/>
      <sz val="18"/>
      <color theme="0"/>
      <name val="Lato"/>
      <family val="2"/>
      <scheme val="minor"/>
    </font>
    <font>
      <sz val="12"/>
      <color theme="1"/>
      <name val="Lato"/>
      <family val="2"/>
      <scheme val="minor"/>
    </font>
    <font>
      <b/>
      <sz val="18"/>
      <color theme="1"/>
      <name val="Lato"/>
      <family val="2"/>
      <scheme val="minor"/>
    </font>
    <font>
      <sz val="11"/>
      <color theme="1"/>
      <name val="Arial"/>
      <family val="2"/>
    </font>
    <font>
      <sz val="10"/>
      <color theme="1"/>
      <name val="Lato"/>
      <family val="2"/>
      <scheme val="minor"/>
    </font>
    <font>
      <sz val="11"/>
      <color theme="0"/>
      <name val="Lato"/>
      <family val="2"/>
      <scheme val="minor"/>
    </font>
    <font>
      <sz val="9"/>
      <name val="Lato"/>
      <family val="2"/>
      <scheme val="minor"/>
    </font>
    <font>
      <b/>
      <sz val="10"/>
      <color theme="1"/>
      <name val="Lato"/>
      <family val="2"/>
      <scheme val="minor"/>
    </font>
    <font>
      <b/>
      <i/>
      <sz val="10"/>
      <color theme="1"/>
      <name val="Lato"/>
      <family val="2"/>
      <scheme val="minor"/>
    </font>
    <font>
      <b/>
      <sz val="16"/>
      <color theme="1"/>
      <name val="Lato"/>
      <family val="2"/>
      <scheme val="minor"/>
    </font>
    <font>
      <sz val="8"/>
      <color theme="1"/>
      <name val="Lato"/>
      <family val="2"/>
      <scheme val="minor"/>
    </font>
    <font>
      <b/>
      <sz val="11"/>
      <color theme="3"/>
      <name val="Lato"/>
      <family val="2"/>
      <scheme val="minor"/>
    </font>
    <font>
      <i/>
      <sz val="12"/>
      <color theme="1"/>
      <name val="Lato"/>
      <family val="2"/>
      <scheme val="minor"/>
    </font>
    <font>
      <b/>
      <sz val="16"/>
      <color theme="3"/>
      <name val="Lato"/>
      <family val="2"/>
      <scheme val="minor"/>
    </font>
    <font>
      <b/>
      <sz val="14"/>
      <color theme="1"/>
      <name val="Lato"/>
      <family val="2"/>
      <scheme val="minor"/>
    </font>
    <font>
      <b/>
      <sz val="16"/>
      <color rgb="FF0070C0"/>
      <name val="Lato"/>
      <family val="2"/>
      <scheme val="minor"/>
    </font>
    <font>
      <b/>
      <sz val="20"/>
      <color theme="1"/>
      <name val="Lato"/>
      <family val="2"/>
      <scheme val="minor"/>
    </font>
    <font>
      <b/>
      <sz val="12"/>
      <name val="Lato"/>
      <family val="2"/>
      <scheme val="minor"/>
    </font>
    <font>
      <b/>
      <sz val="36"/>
      <color theme="1"/>
      <name val="Lato"/>
      <family val="2"/>
      <scheme val="minor"/>
    </font>
    <font>
      <b/>
      <i/>
      <sz val="12"/>
      <color theme="3"/>
      <name val="Lato"/>
      <family val="2"/>
      <scheme val="minor"/>
    </font>
    <font>
      <sz val="12"/>
      <color theme="0"/>
      <name val="Lato"/>
      <family val="2"/>
      <scheme val="minor"/>
    </font>
    <font>
      <b/>
      <sz val="16"/>
      <color theme="0"/>
      <name val="Lato"/>
      <family val="2"/>
      <scheme val="minor"/>
    </font>
    <font>
      <sz val="12"/>
      <name val="Lato"/>
      <family val="2"/>
      <scheme val="minor"/>
    </font>
    <font>
      <b/>
      <sz val="8"/>
      <color theme="1"/>
      <name val="Lato"/>
      <family val="2"/>
      <scheme val="minor"/>
    </font>
    <font>
      <i/>
      <sz val="8"/>
      <color theme="1"/>
      <name val="Lato"/>
      <family val="2"/>
      <scheme val="minor"/>
    </font>
    <font>
      <sz val="16"/>
      <color theme="1"/>
      <name val="Lato"/>
      <family val="2"/>
      <scheme val="minor"/>
    </font>
    <font>
      <b/>
      <sz val="16"/>
      <color theme="4"/>
      <name val="Lato"/>
      <family val="2"/>
      <scheme val="minor"/>
    </font>
    <font>
      <b/>
      <sz val="16"/>
      <color rgb="FFBE2381"/>
      <name val="Lato"/>
      <family val="2"/>
      <scheme val="minor"/>
    </font>
    <font>
      <b/>
      <sz val="12"/>
      <color rgb="FFBE2381"/>
      <name val="Lato"/>
      <family val="2"/>
      <scheme val="minor"/>
    </font>
    <font>
      <i/>
      <sz val="11"/>
      <color theme="1"/>
      <name val="Lato"/>
      <family val="2"/>
      <scheme val="minor"/>
    </font>
    <font>
      <b/>
      <sz val="18"/>
      <color theme="3"/>
      <name val="Lato"/>
      <family val="2"/>
      <scheme val="minor"/>
    </font>
    <font>
      <b/>
      <i/>
      <sz val="11"/>
      <color theme="1"/>
      <name val="Lato"/>
      <family val="2"/>
      <scheme val="minor"/>
    </font>
    <font>
      <i/>
      <sz val="12"/>
      <color theme="0"/>
      <name val="Lato"/>
      <family val="2"/>
      <scheme val="minor"/>
    </font>
    <font>
      <b/>
      <sz val="20"/>
      <color theme="0"/>
      <name val="Lato"/>
      <family val="2"/>
      <scheme val="minor"/>
    </font>
    <font>
      <u/>
      <sz val="11"/>
      <color theme="0"/>
      <name val="Lato"/>
      <family val="2"/>
      <scheme val="minor"/>
    </font>
    <font>
      <sz val="10"/>
      <name val="Lato"/>
      <family val="2"/>
      <scheme val="minor"/>
    </font>
    <font>
      <i/>
      <sz val="16"/>
      <color theme="1"/>
      <name val="Lato"/>
      <family val="2"/>
      <scheme val="minor"/>
    </font>
    <font>
      <b/>
      <u/>
      <sz val="11"/>
      <name val="Lato"/>
      <family val="2"/>
      <scheme val="minor"/>
    </font>
    <font>
      <b/>
      <sz val="12"/>
      <color rgb="FF000000"/>
      <name val="Lato"/>
      <family val="2"/>
      <scheme val="minor"/>
    </font>
    <font>
      <sz val="12"/>
      <color rgb="FF000000"/>
      <name val="Lato"/>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9" tint="0.79998168889431442"/>
        <bgColor indexed="64"/>
      </patternFill>
    </fill>
    <fill>
      <patternFill patternType="solid">
        <fgColor theme="3"/>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F0F8FA"/>
        <bgColor indexed="64"/>
      </patternFill>
    </fill>
    <fill>
      <patternFill patternType="solid">
        <fgColor theme="5" tint="0.79998168889431442"/>
        <bgColor indexed="64"/>
      </patternFill>
    </fill>
    <fill>
      <patternFill patternType="solid">
        <fgColor rgb="FFFFE1E1"/>
        <bgColor indexed="64"/>
      </patternFill>
    </fill>
    <fill>
      <patternFill patternType="solid">
        <fgColor theme="8" tint="0.79998168889431442"/>
        <bgColor indexed="64"/>
      </patternFill>
    </fill>
    <fill>
      <patternFill patternType="solid">
        <fgColor rgb="FFF3E3F5"/>
        <bgColor indexed="64"/>
      </patternFill>
    </fill>
    <fill>
      <patternFill patternType="solid">
        <fgColor theme="5" tint="0.39997558519241921"/>
        <bgColor indexed="64"/>
      </patternFill>
    </fill>
    <fill>
      <patternFill patternType="solid">
        <fgColor theme="2" tint="-9.9978637043366805E-2"/>
        <bgColor indexed="64"/>
      </patternFill>
    </fill>
  </fills>
  <borders count="86">
    <border>
      <left/>
      <right/>
      <top/>
      <bottom/>
      <diagonal/>
    </border>
    <border>
      <left/>
      <right/>
      <top/>
      <bottom style="thin">
        <color indexed="64"/>
      </bottom>
      <diagonal/>
    </border>
    <border>
      <left/>
      <right/>
      <top style="thick">
        <color indexed="64"/>
      </top>
      <bottom style="thick">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theme="4"/>
      </left>
      <right/>
      <top style="medium">
        <color theme="4"/>
      </top>
      <bottom/>
      <diagonal/>
    </border>
    <border>
      <left style="medium">
        <color indexed="64"/>
      </left>
      <right style="medium">
        <color theme="4"/>
      </right>
      <top style="medium">
        <color theme="4"/>
      </top>
      <bottom/>
      <diagonal/>
    </border>
    <border>
      <left style="medium">
        <color theme="4"/>
      </left>
      <right/>
      <top/>
      <bottom/>
      <diagonal/>
    </border>
    <border>
      <left style="medium">
        <color indexed="64"/>
      </left>
      <right style="medium">
        <color theme="4"/>
      </right>
      <top/>
      <bottom/>
      <diagonal/>
    </border>
    <border>
      <left style="medium">
        <color theme="4"/>
      </left>
      <right/>
      <top/>
      <bottom style="medium">
        <color theme="4"/>
      </bottom>
      <diagonal/>
    </border>
    <border>
      <left style="medium">
        <color indexed="64"/>
      </left>
      <right style="medium">
        <color theme="4"/>
      </right>
      <top/>
      <bottom style="medium">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top style="medium">
        <color indexed="64"/>
      </top>
      <bottom style="medium">
        <color indexed="64"/>
      </bottom>
      <diagonal/>
    </border>
    <border>
      <left/>
      <right/>
      <top style="medium">
        <color theme="4"/>
      </top>
      <bottom/>
      <diagonal/>
    </border>
    <border>
      <left/>
      <right/>
      <top/>
      <bottom style="medium">
        <color theme="4"/>
      </bottom>
      <diagonal/>
    </border>
    <border>
      <left style="thin">
        <color indexed="64"/>
      </left>
      <right/>
      <top style="thin">
        <color indexed="64"/>
      </top>
      <bottom/>
      <diagonal/>
    </border>
    <border>
      <left style="thin">
        <color indexed="64"/>
      </left>
      <right style="thin">
        <color indexed="64"/>
      </right>
      <top/>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style="thin">
        <color indexed="64"/>
      </left>
      <right/>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theme="4"/>
      </left>
      <right style="thin">
        <color indexed="64"/>
      </right>
      <top style="medium">
        <color theme="4"/>
      </top>
      <bottom style="medium">
        <color theme="4"/>
      </bottom>
      <diagonal/>
    </border>
    <border>
      <left style="thin">
        <color indexed="64"/>
      </left>
      <right style="thin">
        <color indexed="64"/>
      </right>
      <top style="medium">
        <color theme="4"/>
      </top>
      <bottom style="medium">
        <color theme="4"/>
      </bottom>
      <diagonal/>
    </border>
    <border>
      <left style="thin">
        <color indexed="64"/>
      </left>
      <right style="medium">
        <color theme="4"/>
      </right>
      <top style="medium">
        <color theme="4"/>
      </top>
      <bottom style="medium">
        <color theme="4"/>
      </bottom>
      <diagonal/>
    </border>
    <border>
      <left/>
      <right style="thin">
        <color indexed="64"/>
      </right>
      <top/>
      <bottom style="thin">
        <color indexed="64"/>
      </bottom>
      <diagonal/>
    </border>
    <border>
      <left/>
      <right style="thin">
        <color indexed="64"/>
      </right>
      <top style="medium">
        <color theme="4"/>
      </top>
      <bottom style="medium">
        <color theme="4"/>
      </bottom>
      <diagonal/>
    </border>
    <border>
      <left style="thin">
        <color theme="4"/>
      </left>
      <right style="thin">
        <color theme="4"/>
      </right>
      <top style="thin">
        <color theme="4"/>
      </top>
      <bottom style="thin">
        <color theme="4"/>
      </bottom>
      <diagonal/>
    </border>
    <border>
      <left style="medium">
        <color indexed="64"/>
      </left>
      <right/>
      <top/>
      <bottom style="thin">
        <color indexed="64"/>
      </bottom>
      <diagonal/>
    </border>
    <border>
      <left/>
      <right style="thin">
        <color indexed="64"/>
      </right>
      <top style="medium">
        <color theme="4"/>
      </top>
      <bottom/>
      <diagonal/>
    </border>
    <border>
      <left style="thin">
        <color indexed="64"/>
      </left>
      <right style="thin">
        <color indexed="64"/>
      </right>
      <top style="medium">
        <color theme="4"/>
      </top>
      <bottom/>
      <diagonal/>
    </border>
    <border>
      <left style="thin">
        <color indexed="64"/>
      </left>
      <right style="medium">
        <color theme="4"/>
      </right>
      <top style="medium">
        <color theme="4"/>
      </top>
      <bottom/>
      <diagonal/>
    </border>
    <border>
      <left style="medium">
        <color indexed="64"/>
      </left>
      <right style="medium">
        <color indexed="64"/>
      </right>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theme="4"/>
      </top>
      <bottom/>
      <diagonal/>
    </border>
    <border>
      <left style="thin">
        <color indexed="64"/>
      </left>
      <right style="medium">
        <color indexed="64"/>
      </right>
      <top style="medium">
        <color theme="4"/>
      </top>
      <bottom/>
      <diagonal/>
    </border>
    <border>
      <left style="medium">
        <color indexed="64"/>
      </left>
      <right style="thin">
        <color indexed="64"/>
      </right>
      <top style="medium">
        <color theme="4"/>
      </top>
      <bottom style="medium">
        <color theme="4"/>
      </bottom>
      <diagonal/>
    </border>
    <border>
      <left style="thin">
        <color indexed="64"/>
      </left>
      <right style="medium">
        <color indexed="64"/>
      </right>
      <top style="medium">
        <color theme="4"/>
      </top>
      <bottom style="medium">
        <color theme="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theme="4"/>
      </left>
      <right style="thin">
        <color theme="4"/>
      </right>
      <top style="thin">
        <color theme="4"/>
      </top>
      <bottom style="medium">
        <color indexed="64"/>
      </bottom>
      <diagonal/>
    </border>
  </borders>
  <cellStyleXfs count="3">
    <xf numFmtId="0" fontId="0" fillId="0" borderId="0"/>
    <xf numFmtId="0" fontId="2" fillId="0" borderId="0" applyNumberFormat="0" applyFill="0" applyBorder="0" applyAlignment="0" applyProtection="0"/>
    <xf numFmtId="0" fontId="10" fillId="0" borderId="0"/>
  </cellStyleXfs>
  <cellXfs count="327">
    <xf numFmtId="0" fontId="0" fillId="0" borderId="0" xfId="0"/>
    <xf numFmtId="0" fontId="0" fillId="2" borderId="0" xfId="0" applyFill="1"/>
    <xf numFmtId="0" fontId="0" fillId="3" borderId="0" xfId="0" applyFill="1"/>
    <xf numFmtId="0" fontId="4" fillId="3" borderId="4" xfId="0" applyFont="1" applyFill="1" applyBorder="1" applyAlignment="1">
      <alignment vertical="center" wrapText="1"/>
    </xf>
    <xf numFmtId="0" fontId="4" fillId="0" borderId="4" xfId="0" applyFont="1" applyBorder="1" applyAlignment="1">
      <alignment vertical="center" wrapText="1"/>
    </xf>
    <xf numFmtId="0" fontId="4" fillId="0" borderId="6" xfId="0" applyFont="1" applyBorder="1" applyAlignment="1">
      <alignment vertical="center" wrapText="1"/>
    </xf>
    <xf numFmtId="0" fontId="1" fillId="3" borderId="10" xfId="0" applyFont="1" applyFill="1" applyBorder="1"/>
    <xf numFmtId="0" fontId="1" fillId="3" borderId="11" xfId="0" applyFont="1" applyFill="1" applyBorder="1"/>
    <xf numFmtId="0" fontId="9" fillId="9" borderId="14" xfId="0" applyFont="1" applyFill="1" applyBorder="1" applyAlignment="1">
      <alignment vertical="center"/>
    </xf>
    <xf numFmtId="0" fontId="9" fillId="9" borderId="15" xfId="0" applyFont="1" applyFill="1" applyBorder="1" applyAlignment="1">
      <alignment vertical="center"/>
    </xf>
    <xf numFmtId="0" fontId="0" fillId="7" borderId="9" xfId="0" applyFill="1" applyBorder="1"/>
    <xf numFmtId="0" fontId="1" fillId="3" borderId="0" xfId="0" applyFont="1" applyFill="1"/>
    <xf numFmtId="0" fontId="1" fillId="3" borderId="13" xfId="0" applyFont="1" applyFill="1" applyBorder="1"/>
    <xf numFmtId="0" fontId="0" fillId="7" borderId="18" xfId="0" applyFill="1" applyBorder="1"/>
    <xf numFmtId="0" fontId="0" fillId="7" borderId="19" xfId="0" applyFill="1" applyBorder="1"/>
    <xf numFmtId="0" fontId="11" fillId="2" borderId="4" xfId="2" applyFont="1" applyFill="1" applyBorder="1" applyAlignment="1" applyProtection="1">
      <alignment vertical="center" wrapText="1"/>
      <protection locked="0"/>
    </xf>
    <xf numFmtId="0" fontId="11" fillId="2" borderId="4" xfId="2" applyFont="1" applyFill="1" applyBorder="1" applyAlignment="1" applyProtection="1">
      <alignment horizontal="left" vertical="center" wrapText="1"/>
      <protection locked="0"/>
    </xf>
    <xf numFmtId="0" fontId="1" fillId="0" borderId="0" xfId="0" applyFont="1" applyAlignment="1">
      <alignment vertical="center"/>
    </xf>
    <xf numFmtId="0" fontId="0" fillId="3" borderId="4" xfId="0" applyFill="1" applyBorder="1" applyAlignment="1">
      <alignment horizontal="center" vertical="center"/>
    </xf>
    <xf numFmtId="0" fontId="9" fillId="9" borderId="26" xfId="0" applyFont="1" applyFill="1" applyBorder="1" applyAlignment="1">
      <alignment vertical="center"/>
    </xf>
    <xf numFmtId="0" fontId="13" fillId="0" borderId="4" xfId="1" applyFont="1" applyBorder="1" applyAlignment="1">
      <alignment vertical="center" wrapText="1"/>
    </xf>
    <xf numFmtId="0" fontId="13" fillId="3" borderId="4" xfId="1" applyFont="1" applyFill="1" applyBorder="1" applyAlignment="1">
      <alignment vertical="center" wrapText="1"/>
    </xf>
    <xf numFmtId="0" fontId="14" fillId="5"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4" xfId="0" applyFont="1" applyFill="1" applyBorder="1" applyAlignment="1">
      <alignment horizontal="left" vertical="center" wrapText="1"/>
    </xf>
    <xf numFmtId="0" fontId="14" fillId="2" borderId="4" xfId="0" applyFont="1" applyFill="1" applyBorder="1" applyAlignment="1">
      <alignment horizontal="center" vertical="center" wrapText="1"/>
    </xf>
    <xf numFmtId="0" fontId="16" fillId="2" borderId="27" xfId="0" applyFont="1" applyFill="1" applyBorder="1" applyAlignment="1">
      <alignment horizontal="center" vertical="center"/>
    </xf>
    <xf numFmtId="0" fontId="12" fillId="3" borderId="0" xfId="0" applyFont="1" applyFill="1" applyAlignment="1">
      <alignment horizontal="center"/>
    </xf>
    <xf numFmtId="0" fontId="8" fillId="4" borderId="0" xfId="0" applyFont="1" applyFill="1"/>
    <xf numFmtId="0" fontId="0" fillId="4" borderId="0" xfId="0" applyFill="1"/>
    <xf numFmtId="0" fontId="8" fillId="3" borderId="0" xfId="0" applyFont="1" applyFill="1"/>
    <xf numFmtId="0" fontId="8" fillId="10" borderId="0" xfId="0" applyFont="1" applyFill="1"/>
    <xf numFmtId="0" fontId="19" fillId="3" borderId="0" xfId="0" applyFont="1" applyFill="1" applyAlignment="1">
      <alignment horizontal="left" wrapText="1"/>
    </xf>
    <xf numFmtId="0" fontId="20" fillId="3" borderId="0" xfId="0" applyFont="1" applyFill="1" applyAlignment="1">
      <alignment vertical="center"/>
    </xf>
    <xf numFmtId="0" fontId="22" fillId="3" borderId="0" xfId="0" applyFont="1" applyFill="1" applyAlignment="1">
      <alignment vertical="center"/>
    </xf>
    <xf numFmtId="0" fontId="19" fillId="3" borderId="0" xfId="0" applyFont="1" applyFill="1"/>
    <xf numFmtId="0" fontId="21" fillId="3" borderId="0" xfId="0" applyFont="1" applyFill="1" applyAlignment="1">
      <alignment vertical="center"/>
    </xf>
    <xf numFmtId="0" fontId="3" fillId="3" borderId="0" xfId="0" applyFont="1" applyFill="1"/>
    <xf numFmtId="0" fontId="21" fillId="3" borderId="0" xfId="0" applyFont="1" applyFill="1" applyAlignment="1">
      <alignment horizontal="left" vertical="center"/>
    </xf>
    <xf numFmtId="0" fontId="19" fillId="3" borderId="16" xfId="0" applyFont="1" applyFill="1" applyBorder="1" applyAlignment="1">
      <alignment horizontal="left" wrapText="1"/>
    </xf>
    <xf numFmtId="0" fontId="20" fillId="3" borderId="2" xfId="0" applyFont="1" applyFill="1" applyBorder="1" applyAlignment="1">
      <alignment vertical="center"/>
    </xf>
    <xf numFmtId="0" fontId="22" fillId="3" borderId="2" xfId="0" applyFont="1" applyFill="1" applyBorder="1" applyAlignment="1">
      <alignment vertical="center"/>
    </xf>
    <xf numFmtId="0" fontId="3" fillId="3" borderId="0" xfId="0" applyFont="1" applyFill="1" applyAlignment="1">
      <alignment horizontal="center" vertical="center"/>
    </xf>
    <xf numFmtId="0" fontId="8" fillId="3" borderId="0" xfId="0" applyFont="1" applyFill="1" applyAlignment="1">
      <alignment horizontal="center" vertical="center"/>
    </xf>
    <xf numFmtId="0" fontId="27" fillId="3" borderId="0" xfId="0" applyFont="1" applyFill="1"/>
    <xf numFmtId="0" fontId="25" fillId="3" borderId="0" xfId="0" applyFont="1" applyFill="1" applyAlignment="1">
      <alignment vertical="center"/>
    </xf>
    <xf numFmtId="0" fontId="6" fillId="3" borderId="0" xfId="0" applyFont="1" applyFill="1"/>
    <xf numFmtId="0" fontId="19" fillId="3" borderId="0" xfId="0" applyFont="1" applyFill="1" applyAlignment="1">
      <alignment horizontal="center" wrapText="1"/>
    </xf>
    <xf numFmtId="0" fontId="3" fillId="3" borderId="0" xfId="0" applyFont="1" applyFill="1" applyAlignment="1">
      <alignment horizontal="center"/>
    </xf>
    <xf numFmtId="0" fontId="27" fillId="10" borderId="0" xfId="0" applyFont="1" applyFill="1"/>
    <xf numFmtId="0" fontId="6" fillId="6" borderId="4" xfId="0" applyFont="1" applyFill="1" applyBorder="1" applyAlignment="1">
      <alignment horizontal="center" vertical="center"/>
    </xf>
    <xf numFmtId="0" fontId="11" fillId="3" borderId="0" xfId="0" applyFont="1" applyFill="1" applyAlignment="1">
      <alignment horizontal="center" vertical="center" wrapText="1"/>
    </xf>
    <xf numFmtId="0" fontId="11" fillId="3" borderId="29" xfId="0" applyFont="1" applyFill="1" applyBorder="1" applyAlignment="1">
      <alignment horizontal="center" vertical="center" wrapText="1"/>
    </xf>
    <xf numFmtId="0" fontId="11" fillId="3" borderId="4" xfId="0" applyFont="1" applyFill="1" applyBorder="1" applyAlignment="1">
      <alignment vertical="center" wrapText="1"/>
    </xf>
    <xf numFmtId="0" fontId="0" fillId="2" borderId="4" xfId="0" applyFill="1" applyBorder="1" applyAlignment="1">
      <alignment vertical="center" wrapText="1"/>
    </xf>
    <xf numFmtId="0" fontId="17" fillId="3" borderId="4" xfId="0" applyFont="1" applyFill="1" applyBorder="1" applyAlignment="1">
      <alignment vertical="center" wrapText="1"/>
    </xf>
    <xf numFmtId="0" fontId="17" fillId="3" borderId="0" xfId="0" applyFont="1" applyFill="1" applyAlignment="1">
      <alignment horizontal="center" vertical="center" wrapText="1"/>
    </xf>
    <xf numFmtId="0" fontId="11" fillId="3" borderId="17" xfId="0" applyFont="1" applyFill="1" applyBorder="1" applyAlignment="1">
      <alignment horizontal="left" vertical="center" wrapText="1"/>
    </xf>
    <xf numFmtId="0" fontId="14" fillId="5" borderId="28" xfId="0" applyFont="1" applyFill="1" applyBorder="1" applyAlignment="1">
      <alignment horizontal="center" vertical="center" wrapText="1"/>
    </xf>
    <xf numFmtId="0" fontId="11" fillId="3" borderId="6" xfId="0" applyFont="1" applyFill="1" applyBorder="1" applyAlignment="1">
      <alignment horizontal="center" vertical="center" wrapText="1"/>
    </xf>
    <xf numFmtId="9" fontId="11" fillId="7" borderId="30" xfId="0" applyNumberFormat="1" applyFont="1" applyFill="1" applyBorder="1" applyAlignment="1">
      <alignment horizontal="center" vertical="center" wrapText="1"/>
    </xf>
    <xf numFmtId="9" fontId="11" fillId="7" borderId="31" xfId="0" applyNumberFormat="1" applyFont="1" applyFill="1" applyBorder="1" applyAlignment="1">
      <alignment horizontal="center" vertical="center" wrapText="1"/>
    </xf>
    <xf numFmtId="0" fontId="11" fillId="3" borderId="0" xfId="0" applyFont="1" applyFill="1" applyAlignment="1">
      <alignment horizontal="left" vertical="center" wrapText="1"/>
    </xf>
    <xf numFmtId="0" fontId="11" fillId="2" borderId="0" xfId="0" applyFont="1" applyFill="1" applyAlignment="1">
      <alignment horizontal="center" vertical="center" wrapText="1"/>
    </xf>
    <xf numFmtId="0" fontId="4" fillId="2" borderId="4" xfId="0" applyFont="1" applyFill="1" applyBorder="1" applyAlignment="1">
      <alignment vertical="center" wrapText="1"/>
    </xf>
    <xf numFmtId="0" fontId="4" fillId="2" borderId="4" xfId="0" applyFont="1" applyFill="1" applyBorder="1" applyAlignment="1">
      <alignment wrapText="1"/>
    </xf>
    <xf numFmtId="0" fontId="3" fillId="2" borderId="4" xfId="0" applyFont="1" applyFill="1" applyBorder="1" applyAlignment="1">
      <alignment vertical="center"/>
    </xf>
    <xf numFmtId="0" fontId="4" fillId="2" borderId="6" xfId="0" applyFont="1" applyFill="1" applyBorder="1" applyAlignment="1">
      <alignment vertical="center" wrapText="1"/>
    </xf>
    <xf numFmtId="0" fontId="3" fillId="2" borderId="3" xfId="0" applyFont="1" applyFill="1" applyBorder="1" applyAlignment="1">
      <alignment vertical="center"/>
    </xf>
    <xf numFmtId="0" fontId="17" fillId="2" borderId="0" xfId="0" applyFont="1" applyFill="1" applyAlignment="1">
      <alignment horizontal="center" vertical="center" wrapText="1"/>
    </xf>
    <xf numFmtId="0" fontId="8" fillId="3" borderId="0" xfId="0" applyFont="1" applyFill="1" applyAlignment="1">
      <alignment horizontal="left" vertical="center" wrapText="1"/>
    </xf>
    <xf numFmtId="0" fontId="8" fillId="5" borderId="0" xfId="0" applyFont="1" applyFill="1"/>
    <xf numFmtId="0" fontId="31" fillId="5" borderId="0" xfId="0" applyFont="1" applyFill="1" applyAlignment="1">
      <alignment vertical="top"/>
    </xf>
    <xf numFmtId="0" fontId="8" fillId="5" borderId="1" xfId="0" applyFont="1" applyFill="1" applyBorder="1"/>
    <xf numFmtId="49" fontId="8" fillId="3" borderId="0" xfId="0" applyNumberFormat="1" applyFont="1" applyFill="1"/>
    <xf numFmtId="0" fontId="32" fillId="3" borderId="0" xfId="0" applyFont="1" applyFill="1" applyAlignment="1">
      <alignment vertical="center"/>
    </xf>
    <xf numFmtId="0" fontId="33" fillId="3" borderId="2" xfId="0" applyFont="1" applyFill="1" applyBorder="1" applyAlignment="1">
      <alignment vertical="center"/>
    </xf>
    <xf numFmtId="0" fontId="34" fillId="3" borderId="2" xfId="0" applyFont="1" applyFill="1" applyBorder="1" applyAlignment="1">
      <alignment vertical="center"/>
    </xf>
    <xf numFmtId="0" fontId="34" fillId="3" borderId="0" xfId="0" applyFont="1" applyFill="1" applyAlignment="1">
      <alignment vertical="center"/>
    </xf>
    <xf numFmtId="0" fontId="32" fillId="4" borderId="0" xfId="0" applyFont="1" applyFill="1" applyAlignment="1">
      <alignment vertical="center"/>
    </xf>
    <xf numFmtId="0" fontId="35" fillId="3" borderId="0" xfId="0" applyFont="1" applyFill="1"/>
    <xf numFmtId="0" fontId="8" fillId="3" borderId="0" xfId="0" applyFont="1" applyFill="1" applyAlignment="1">
      <alignment wrapText="1"/>
    </xf>
    <xf numFmtId="0" fontId="32" fillId="3" borderId="0" xfId="0" applyFont="1" applyFill="1" applyAlignment="1">
      <alignment vertical="center" wrapText="1"/>
    </xf>
    <xf numFmtId="0" fontId="8" fillId="3" borderId="0" xfId="0" applyFont="1" applyFill="1" applyAlignment="1">
      <alignment vertical="top" wrapText="1"/>
    </xf>
    <xf numFmtId="0" fontId="21" fillId="3" borderId="3" xfId="0" applyFont="1" applyFill="1" applyBorder="1" applyAlignment="1">
      <alignment horizontal="left"/>
    </xf>
    <xf numFmtId="0" fontId="8" fillId="3" borderId="0" xfId="0" applyFont="1" applyFill="1" applyAlignment="1">
      <alignment horizontal="left"/>
    </xf>
    <xf numFmtId="0" fontId="8" fillId="3" borderId="0" xfId="0" applyFont="1" applyFill="1" applyAlignment="1">
      <alignment vertical="center"/>
    </xf>
    <xf numFmtId="0" fontId="11" fillId="2" borderId="4" xfId="2" applyFont="1" applyFill="1" applyBorder="1" applyAlignment="1">
      <alignment vertical="center"/>
    </xf>
    <xf numFmtId="0" fontId="29" fillId="3" borderId="0" xfId="0" applyFont="1" applyFill="1" applyAlignment="1">
      <alignment vertical="top" wrapText="1"/>
    </xf>
    <xf numFmtId="0" fontId="9" fillId="9" borderId="34" xfId="0" applyFont="1" applyFill="1" applyBorder="1" applyAlignment="1">
      <alignment vertical="center"/>
    </xf>
    <xf numFmtId="0" fontId="1" fillId="3" borderId="33" xfId="0" applyFont="1" applyFill="1" applyBorder="1"/>
    <xf numFmtId="0" fontId="1" fillId="3" borderId="12" xfId="0" applyFont="1" applyFill="1" applyBorder="1"/>
    <xf numFmtId="0" fontId="0" fillId="3" borderId="37" xfId="0" applyFill="1" applyBorder="1" applyAlignment="1">
      <alignment horizontal="center" vertical="center"/>
    </xf>
    <xf numFmtId="0" fontId="4" fillId="3" borderId="37" xfId="0" applyFont="1" applyFill="1" applyBorder="1" applyAlignment="1">
      <alignment vertical="center" wrapText="1"/>
    </xf>
    <xf numFmtId="0" fontId="5" fillId="3" borderId="37" xfId="0" applyFont="1" applyFill="1" applyBorder="1" applyAlignment="1">
      <alignment horizontal="left" vertical="center" wrapText="1"/>
    </xf>
    <xf numFmtId="0" fontId="4" fillId="3" borderId="37" xfId="0" applyFont="1" applyFill="1" applyBorder="1" applyAlignment="1">
      <alignment horizontal="left" vertical="center" wrapText="1"/>
    </xf>
    <xf numFmtId="0" fontId="0" fillId="3" borderId="37" xfId="0" applyFill="1" applyBorder="1" applyAlignment="1">
      <alignment vertical="center"/>
    </xf>
    <xf numFmtId="0" fontId="4" fillId="0" borderId="37" xfId="0" applyFont="1" applyBorder="1" applyAlignment="1">
      <alignment vertical="center" wrapText="1"/>
    </xf>
    <xf numFmtId="0" fontId="4" fillId="3" borderId="37" xfId="0" applyFont="1" applyFill="1" applyBorder="1" applyAlignment="1">
      <alignment wrapText="1"/>
    </xf>
    <xf numFmtId="0" fontId="5" fillId="2" borderId="0" xfId="0" applyFont="1" applyFill="1" applyAlignment="1">
      <alignment horizontal="left" vertical="center" wrapText="1"/>
    </xf>
    <xf numFmtId="0" fontId="0" fillId="3" borderId="28" xfId="0" applyFill="1" applyBorder="1" applyAlignment="1">
      <alignment horizontal="center" vertical="center"/>
    </xf>
    <xf numFmtId="0" fontId="0" fillId="3" borderId="6" xfId="0" applyFill="1" applyBorder="1" applyAlignment="1">
      <alignment horizontal="center" vertical="center"/>
    </xf>
    <xf numFmtId="0" fontId="1" fillId="3" borderId="0" xfId="0" applyFont="1" applyFill="1" applyAlignment="1">
      <alignment horizontal="center"/>
    </xf>
    <xf numFmtId="9" fontId="17" fillId="3" borderId="0" xfId="0" applyNumberFormat="1" applyFont="1" applyFill="1" applyAlignment="1">
      <alignment horizontal="center" vertical="center" wrapText="1"/>
    </xf>
    <xf numFmtId="0" fontId="17" fillId="13" borderId="13" xfId="0" applyFont="1" applyFill="1" applyBorder="1" applyAlignment="1">
      <alignment horizontal="center" vertical="center" wrapText="1"/>
    </xf>
    <xf numFmtId="0" fontId="17" fillId="13" borderId="33" xfId="0" applyFont="1" applyFill="1" applyBorder="1" applyAlignment="1">
      <alignment horizontal="center" vertical="center" wrapText="1"/>
    </xf>
    <xf numFmtId="0" fontId="17" fillId="13" borderId="32" xfId="0" applyFont="1" applyFill="1" applyBorder="1" applyAlignment="1">
      <alignment horizontal="center" vertical="center" wrapText="1"/>
    </xf>
    <xf numFmtId="0" fontId="17" fillId="3" borderId="39" xfId="0" applyFont="1" applyFill="1" applyBorder="1" applyAlignment="1">
      <alignment horizontal="center" vertical="center" wrapText="1"/>
    </xf>
    <xf numFmtId="0" fontId="17" fillId="3" borderId="40" xfId="0" applyFont="1" applyFill="1" applyBorder="1" applyAlignment="1">
      <alignment horizontal="center" vertical="center" wrapText="1"/>
    </xf>
    <xf numFmtId="9" fontId="17" fillId="3" borderId="41" xfId="0" applyNumberFormat="1" applyFont="1" applyFill="1" applyBorder="1" applyAlignment="1">
      <alignment horizontal="center" vertical="center" wrapText="1"/>
    </xf>
    <xf numFmtId="0" fontId="17" fillId="3" borderId="42" xfId="0" applyFont="1" applyFill="1" applyBorder="1" applyAlignment="1">
      <alignment horizontal="center" vertical="center" wrapText="1"/>
    </xf>
    <xf numFmtId="9" fontId="17" fillId="3" borderId="43" xfId="0" applyNumberFormat="1" applyFont="1" applyFill="1" applyBorder="1" applyAlignment="1">
      <alignment horizontal="center" vertical="center" wrapText="1"/>
    </xf>
    <xf numFmtId="0" fontId="17" fillId="3" borderId="44" xfId="0" applyFont="1" applyFill="1" applyBorder="1" applyAlignment="1">
      <alignment horizontal="center" vertical="center" wrapText="1"/>
    </xf>
    <xf numFmtId="0" fontId="17" fillId="3" borderId="45" xfId="0" applyFont="1" applyFill="1" applyBorder="1" applyAlignment="1">
      <alignment horizontal="center" vertical="center" wrapText="1"/>
    </xf>
    <xf numFmtId="9" fontId="17" fillId="3" borderId="46" xfId="0" applyNumberFormat="1" applyFont="1" applyFill="1" applyBorder="1" applyAlignment="1">
      <alignment horizontal="center" vertical="center" wrapText="1"/>
    </xf>
    <xf numFmtId="9" fontId="17" fillId="3" borderId="40" xfId="0" applyNumberFormat="1" applyFont="1" applyFill="1" applyBorder="1" applyAlignment="1">
      <alignment horizontal="center" vertical="center" wrapText="1"/>
    </xf>
    <xf numFmtId="10" fontId="17" fillId="3" borderId="45" xfId="0" applyNumberFormat="1" applyFont="1" applyFill="1" applyBorder="1" applyAlignment="1">
      <alignment horizontal="center" vertical="center" wrapText="1"/>
    </xf>
    <xf numFmtId="0" fontId="17" fillId="3" borderId="41" xfId="0" applyFont="1" applyFill="1" applyBorder="1" applyAlignment="1">
      <alignment horizontal="center" vertical="center" wrapText="1"/>
    </xf>
    <xf numFmtId="0" fontId="17" fillId="3" borderId="43" xfId="0" applyFont="1" applyFill="1" applyBorder="1" applyAlignment="1">
      <alignment horizontal="center" vertical="center" wrapText="1"/>
    </xf>
    <xf numFmtId="0" fontId="17" fillId="3" borderId="46" xfId="0" applyFont="1" applyFill="1" applyBorder="1" applyAlignment="1">
      <alignment horizontal="center" vertical="center" wrapText="1"/>
    </xf>
    <xf numFmtId="0" fontId="11" fillId="3" borderId="0" xfId="0" applyFont="1" applyFill="1" applyAlignment="1">
      <alignment vertical="center"/>
    </xf>
    <xf numFmtId="0" fontId="17" fillId="3" borderId="47" xfId="0" applyFont="1" applyFill="1" applyBorder="1" applyAlignment="1">
      <alignment horizontal="center" vertical="center" wrapText="1"/>
    </xf>
    <xf numFmtId="0" fontId="17" fillId="3" borderId="48" xfId="0" applyFont="1" applyFill="1" applyBorder="1" applyAlignment="1">
      <alignment horizontal="center"/>
    </xf>
    <xf numFmtId="0" fontId="17" fillId="3" borderId="49" xfId="0" applyFont="1" applyFill="1" applyBorder="1" applyAlignment="1">
      <alignment horizontal="center"/>
    </xf>
    <xf numFmtId="0" fontId="16" fillId="3" borderId="0" xfId="0" applyFont="1" applyFill="1" applyAlignment="1">
      <alignment vertical="center"/>
    </xf>
    <xf numFmtId="0" fontId="9" fillId="7" borderId="0" xfId="0" applyFont="1" applyFill="1" applyAlignment="1">
      <alignment vertical="center" wrapText="1"/>
    </xf>
    <xf numFmtId="0" fontId="9" fillId="7" borderId="0" xfId="0" applyFont="1" applyFill="1" applyAlignment="1">
      <alignment vertical="center"/>
    </xf>
    <xf numFmtId="0" fontId="14" fillId="12" borderId="28" xfId="0" applyFont="1" applyFill="1" applyBorder="1" applyAlignment="1">
      <alignment horizontal="center" vertical="center" wrapText="1"/>
    </xf>
    <xf numFmtId="0" fontId="14" fillId="11" borderId="28" xfId="0" applyFont="1" applyFill="1" applyBorder="1" applyAlignment="1">
      <alignment horizontal="center" vertical="center" wrapText="1"/>
    </xf>
    <xf numFmtId="0" fontId="17" fillId="3" borderId="6" xfId="0" applyFont="1" applyFill="1" applyBorder="1" applyAlignment="1">
      <alignment horizontal="left" vertical="center" wrapText="1"/>
    </xf>
    <xf numFmtId="0" fontId="17" fillId="3" borderId="6" xfId="0" applyFont="1" applyFill="1" applyBorder="1" applyAlignment="1">
      <alignment vertical="center" wrapText="1"/>
    </xf>
    <xf numFmtId="0" fontId="30" fillId="2" borderId="17" xfId="0" applyFont="1" applyFill="1" applyBorder="1" applyAlignment="1">
      <alignment horizontal="left" vertical="center" wrapText="1"/>
    </xf>
    <xf numFmtId="0" fontId="11" fillId="2" borderId="3"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7" fillId="3" borderId="6" xfId="0" applyFont="1" applyFill="1" applyBorder="1" applyAlignment="1">
      <alignment horizontal="left" wrapText="1"/>
    </xf>
    <xf numFmtId="0" fontId="11" fillId="3" borderId="0" xfId="0" applyFont="1" applyFill="1" applyAlignment="1">
      <alignment horizontal="center" wrapText="1"/>
    </xf>
    <xf numFmtId="0" fontId="11" fillId="2" borderId="0" xfId="0" applyFont="1" applyFill="1" applyAlignment="1">
      <alignment horizontal="center" wrapText="1"/>
    </xf>
    <xf numFmtId="0" fontId="4" fillId="2" borderId="17"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28" xfId="0" applyFont="1" applyFill="1" applyBorder="1" applyAlignment="1">
      <alignment vertical="center" wrapText="1"/>
    </xf>
    <xf numFmtId="0" fontId="17" fillId="2" borderId="0" xfId="0" applyFont="1" applyFill="1" applyAlignment="1">
      <alignment horizontal="left" vertical="center" wrapText="1"/>
    </xf>
    <xf numFmtId="0" fontId="30" fillId="2" borderId="3" xfId="0" applyFont="1" applyFill="1" applyBorder="1" applyAlignment="1">
      <alignment horizontal="left" vertical="center"/>
    </xf>
    <xf numFmtId="0" fontId="17" fillId="2" borderId="3" xfId="0" applyFont="1" applyFill="1" applyBorder="1" applyAlignment="1">
      <alignment vertical="center" wrapText="1"/>
    </xf>
    <xf numFmtId="0" fontId="17" fillId="2" borderId="3" xfId="0" applyFont="1" applyFill="1" applyBorder="1" applyAlignment="1">
      <alignment horizontal="left" vertical="center" wrapText="1"/>
    </xf>
    <xf numFmtId="0" fontId="17" fillId="2" borderId="29" xfId="0" applyFont="1" applyFill="1" applyBorder="1" applyAlignment="1">
      <alignment vertical="center" wrapText="1"/>
    </xf>
    <xf numFmtId="0" fontId="17" fillId="2" borderId="37" xfId="0" applyFont="1" applyFill="1" applyBorder="1" applyAlignment="1">
      <alignment horizontal="center" vertical="center" wrapText="1"/>
    </xf>
    <xf numFmtId="0" fontId="30" fillId="2" borderId="5" xfId="0" applyFont="1" applyFill="1" applyBorder="1" applyAlignment="1">
      <alignment horizontal="left" vertical="center"/>
    </xf>
    <xf numFmtId="0" fontId="17" fillId="2" borderId="5" xfId="0" applyFont="1" applyFill="1" applyBorder="1" applyAlignment="1">
      <alignment vertical="center" wrapText="1"/>
    </xf>
    <xf numFmtId="0" fontId="17" fillId="2" borderId="5" xfId="0" applyFont="1" applyFill="1" applyBorder="1" applyAlignment="1">
      <alignment horizontal="left" vertical="center" wrapText="1"/>
    </xf>
    <xf numFmtId="0" fontId="17" fillId="2" borderId="51" xfId="0" applyFont="1" applyFill="1" applyBorder="1" applyAlignment="1">
      <alignment vertical="center" wrapText="1"/>
    </xf>
    <xf numFmtId="0" fontId="3" fillId="7" borderId="8" xfId="0" applyFont="1" applyFill="1" applyBorder="1" applyAlignment="1">
      <alignment vertical="center"/>
    </xf>
    <xf numFmtId="0" fontId="3" fillId="7" borderId="3" xfId="0" applyFont="1" applyFill="1" applyBorder="1" applyAlignment="1">
      <alignment vertical="center"/>
    </xf>
    <xf numFmtId="0" fontId="3" fillId="8" borderId="8" xfId="0" applyFont="1" applyFill="1" applyBorder="1" applyAlignment="1">
      <alignment vertical="center"/>
    </xf>
    <xf numFmtId="0" fontId="3" fillId="8" borderId="3" xfId="0" applyFont="1" applyFill="1" applyBorder="1" applyAlignment="1">
      <alignment vertical="center"/>
    </xf>
    <xf numFmtId="0" fontId="6" fillId="6" borderId="52" xfId="0" applyFont="1" applyFill="1" applyBorder="1"/>
    <xf numFmtId="0" fontId="5" fillId="3" borderId="50" xfId="0" applyFont="1" applyFill="1" applyBorder="1" applyAlignment="1">
      <alignment horizontal="left" vertical="center" wrapText="1"/>
    </xf>
    <xf numFmtId="0" fontId="4" fillId="3" borderId="50" xfId="0" applyFont="1" applyFill="1" applyBorder="1" applyAlignment="1">
      <alignment horizontal="left" vertical="center" wrapText="1"/>
    </xf>
    <xf numFmtId="0" fontId="2" fillId="3" borderId="0" xfId="1" applyFill="1"/>
    <xf numFmtId="0" fontId="24" fillId="3" borderId="0" xfId="0" applyFont="1" applyFill="1" applyAlignment="1">
      <alignment vertical="center"/>
    </xf>
    <xf numFmtId="0" fontId="37" fillId="2" borderId="0" xfId="0" applyFont="1" applyFill="1"/>
    <xf numFmtId="0" fontId="0" fillId="2" borderId="0" xfId="0" applyFill="1" applyAlignment="1">
      <alignment vertical="center" wrapText="1"/>
    </xf>
    <xf numFmtId="0" fontId="4" fillId="3" borderId="50" xfId="0" applyFont="1" applyFill="1" applyBorder="1" applyAlignment="1">
      <alignment vertical="center" wrapText="1"/>
    </xf>
    <xf numFmtId="0" fontId="0" fillId="3" borderId="50" xfId="0" applyFill="1" applyBorder="1" applyAlignment="1">
      <alignment vertical="center"/>
    </xf>
    <xf numFmtId="0" fontId="0" fillId="3" borderId="50" xfId="0" applyFill="1" applyBorder="1" applyAlignment="1">
      <alignment horizontal="center" vertical="center"/>
    </xf>
    <xf numFmtId="0" fontId="4" fillId="0" borderId="28" xfId="0" applyFont="1" applyBorder="1" applyAlignment="1">
      <alignment vertical="center" wrapText="1"/>
    </xf>
    <xf numFmtId="0" fontId="5" fillId="3" borderId="28" xfId="0" applyFont="1" applyFill="1" applyBorder="1" applyAlignment="1">
      <alignment horizontal="left" vertical="center" wrapText="1"/>
    </xf>
    <xf numFmtId="0" fontId="1" fillId="14" borderId="54" xfId="0" applyFont="1" applyFill="1" applyBorder="1" applyAlignment="1">
      <alignment vertical="center" wrapText="1"/>
    </xf>
    <xf numFmtId="0" fontId="0" fillId="14" borderId="55" xfId="0" applyFill="1" applyBorder="1" applyAlignment="1">
      <alignment horizontal="center" vertical="center"/>
    </xf>
    <xf numFmtId="0" fontId="4" fillId="14" borderId="55" xfId="0" applyFont="1" applyFill="1" applyBorder="1" applyAlignment="1">
      <alignment vertical="center" wrapText="1"/>
    </xf>
    <xf numFmtId="0" fontId="4" fillId="14" borderId="55" xfId="0" applyFont="1" applyFill="1" applyBorder="1" applyAlignment="1">
      <alignment horizontal="left" vertical="center" wrapText="1"/>
    </xf>
    <xf numFmtId="0" fontId="0" fillId="14" borderId="55" xfId="0" applyFill="1" applyBorder="1" applyAlignment="1">
      <alignment vertical="center"/>
    </xf>
    <xf numFmtId="0" fontId="4" fillId="14" borderId="56" xfId="0" applyFont="1" applyFill="1" applyBorder="1" applyAlignment="1">
      <alignment vertical="center" wrapText="1"/>
    </xf>
    <xf numFmtId="0" fontId="0" fillId="14" borderId="55" xfId="0" applyFill="1" applyBorder="1"/>
    <xf numFmtId="0" fontId="4" fillId="2" borderId="3" xfId="0" applyFont="1" applyFill="1" applyBorder="1" applyAlignment="1">
      <alignment vertical="center" wrapText="1"/>
    </xf>
    <xf numFmtId="0" fontId="17" fillId="3" borderId="37" xfId="0" applyFont="1" applyFill="1" applyBorder="1" applyAlignment="1">
      <alignment vertical="center" wrapText="1"/>
    </xf>
    <xf numFmtId="0" fontId="17" fillId="2" borderId="1" xfId="0" applyFont="1" applyFill="1" applyBorder="1" applyAlignment="1">
      <alignment vertical="center" wrapText="1"/>
    </xf>
    <xf numFmtId="0" fontId="17" fillId="2" borderId="57" xfId="0" applyFont="1" applyFill="1" applyBorder="1" applyAlignment="1">
      <alignment vertical="center" wrapText="1"/>
    </xf>
    <xf numFmtId="0" fontId="17" fillId="2" borderId="6" xfId="0" applyFont="1" applyFill="1" applyBorder="1" applyAlignment="1">
      <alignment horizontal="left" wrapText="1"/>
    </xf>
    <xf numFmtId="0" fontId="4" fillId="2" borderId="17" xfId="0" applyFont="1" applyFill="1" applyBorder="1" applyAlignment="1">
      <alignment vertical="center" wrapText="1"/>
    </xf>
    <xf numFmtId="0" fontId="17" fillId="2" borderId="0" xfId="0" applyFont="1" applyFill="1" applyAlignment="1">
      <alignment vertical="center" wrapText="1"/>
    </xf>
    <xf numFmtId="0" fontId="36" fillId="7" borderId="18" xfId="0" applyFont="1" applyFill="1" applyBorder="1"/>
    <xf numFmtId="0" fontId="4" fillId="0" borderId="50" xfId="0" applyFont="1" applyBorder="1" applyAlignment="1">
      <alignment vertical="center" wrapText="1"/>
    </xf>
    <xf numFmtId="0" fontId="19" fillId="7" borderId="3" xfId="0" applyFont="1" applyFill="1" applyBorder="1" applyAlignment="1">
      <alignment vertical="center"/>
    </xf>
    <xf numFmtId="0" fontId="5" fillId="7" borderId="29" xfId="0" applyFont="1" applyFill="1" applyBorder="1" applyAlignment="1">
      <alignment vertical="center"/>
    </xf>
    <xf numFmtId="0" fontId="12" fillId="3" borderId="0" xfId="0" applyFont="1" applyFill="1"/>
    <xf numFmtId="0" fontId="36" fillId="3" borderId="5" xfId="0" applyFont="1" applyFill="1" applyBorder="1" applyAlignment="1">
      <alignment horizontal="left" vertical="center" wrapText="1"/>
    </xf>
    <xf numFmtId="0" fontId="36" fillId="3" borderId="5" xfId="0" applyFont="1" applyFill="1" applyBorder="1" applyAlignment="1">
      <alignment vertical="center" wrapText="1"/>
    </xf>
    <xf numFmtId="0" fontId="36" fillId="3" borderId="51" xfId="0" applyFont="1" applyFill="1" applyBorder="1" applyAlignment="1">
      <alignment vertical="center" wrapText="1"/>
    </xf>
    <xf numFmtId="0" fontId="36" fillId="14" borderId="58" xfId="0" applyFont="1" applyFill="1" applyBorder="1" applyAlignment="1">
      <alignment vertical="center" wrapText="1"/>
    </xf>
    <xf numFmtId="0" fontId="0" fillId="2" borderId="0" xfId="0" applyFill="1" applyAlignment="1">
      <alignment horizontal="left"/>
    </xf>
    <xf numFmtId="0" fontId="0" fillId="3" borderId="55" xfId="0" applyFill="1" applyBorder="1" applyAlignment="1">
      <alignment horizontal="center" vertical="center"/>
    </xf>
    <xf numFmtId="0" fontId="0" fillId="14" borderId="56" xfId="0" applyFill="1" applyBorder="1" applyAlignment="1">
      <alignment vertical="center"/>
    </xf>
    <xf numFmtId="0" fontId="0" fillId="3" borderId="59" xfId="0" applyFill="1" applyBorder="1" applyAlignment="1">
      <alignment horizontal="center" vertical="center"/>
    </xf>
    <xf numFmtId="0" fontId="4" fillId="0" borderId="59" xfId="0" applyFont="1" applyBorder="1" applyAlignment="1">
      <alignment vertical="center" wrapText="1"/>
    </xf>
    <xf numFmtId="2" fontId="21" fillId="3" borderId="0" xfId="0" applyNumberFormat="1" applyFont="1" applyFill="1" applyAlignment="1">
      <alignment vertical="center"/>
    </xf>
    <xf numFmtId="0" fontId="2" fillId="3" borderId="0" xfId="1" applyFill="1" applyBorder="1" applyAlignment="1">
      <alignment wrapText="1"/>
    </xf>
    <xf numFmtId="0" fontId="23" fillId="3" borderId="0" xfId="0" applyFont="1" applyFill="1" applyAlignment="1">
      <alignment vertical="center" wrapText="1"/>
    </xf>
    <xf numFmtId="0" fontId="26" fillId="3" borderId="0" xfId="0" applyFont="1" applyFill="1" applyAlignment="1">
      <alignment vertical="center" wrapText="1"/>
    </xf>
    <xf numFmtId="0" fontId="27" fillId="4" borderId="0" xfId="0" applyFont="1" applyFill="1"/>
    <xf numFmtId="0" fontId="39" fillId="3" borderId="0" xfId="0" applyFont="1" applyFill="1" applyAlignment="1">
      <alignment horizontal="left" wrapText="1"/>
    </xf>
    <xf numFmtId="0" fontId="39" fillId="3" borderId="0" xfId="0" applyFont="1" applyFill="1"/>
    <xf numFmtId="0" fontId="40" fillId="3" borderId="0" xfId="0" applyFont="1" applyFill="1" applyAlignment="1">
      <alignment vertical="center" wrapText="1"/>
    </xf>
    <xf numFmtId="0" fontId="41" fillId="3" borderId="0" xfId="1" applyFont="1" applyFill="1" applyBorder="1" applyAlignment="1">
      <alignment wrapText="1"/>
    </xf>
    <xf numFmtId="0" fontId="39" fillId="3" borderId="16" xfId="0" applyFont="1" applyFill="1" applyBorder="1" applyAlignment="1">
      <alignment horizontal="left" wrapText="1"/>
    </xf>
    <xf numFmtId="0" fontId="28" fillId="3" borderId="2" xfId="0" applyFont="1" applyFill="1" applyBorder="1" applyAlignment="1">
      <alignment vertical="center"/>
    </xf>
    <xf numFmtId="0" fontId="28" fillId="3" borderId="0" xfId="0" applyFont="1" applyFill="1" applyAlignment="1">
      <alignment vertical="center"/>
    </xf>
    <xf numFmtId="9" fontId="27" fillId="3" borderId="0" xfId="0" applyNumberFormat="1" applyFont="1" applyFill="1"/>
    <xf numFmtId="0" fontId="12" fillId="4" borderId="0" xfId="0" applyFont="1" applyFill="1"/>
    <xf numFmtId="0" fontId="19" fillId="3" borderId="0" xfId="0" applyFont="1" applyFill="1" applyAlignment="1">
      <alignment vertical="top" wrapText="1"/>
    </xf>
    <xf numFmtId="0" fontId="42" fillId="3" borderId="4" xfId="0" applyFont="1" applyFill="1" applyBorder="1" applyAlignment="1">
      <alignment vertical="center" wrapText="1"/>
    </xf>
    <xf numFmtId="0" fontId="3" fillId="3" borderId="0" xfId="0" applyFont="1" applyFill="1" applyAlignment="1">
      <alignment horizontal="right"/>
    </xf>
    <xf numFmtId="0" fontId="2" fillId="3" borderId="0" xfId="1" applyFill="1" applyAlignment="1">
      <alignment horizontal="right"/>
    </xf>
    <xf numFmtId="0" fontId="8" fillId="3" borderId="4" xfId="0" quotePrefix="1" applyFont="1" applyFill="1" applyBorder="1" applyAlignment="1">
      <alignment horizontal="left" vertical="center" wrapText="1"/>
    </xf>
    <xf numFmtId="0" fontId="8" fillId="3" borderId="28" xfId="0" quotePrefix="1" applyFont="1" applyFill="1" applyBorder="1" applyAlignment="1">
      <alignment horizontal="left" vertical="center" wrapText="1"/>
    </xf>
    <xf numFmtId="0" fontId="8" fillId="3" borderId="4" xfId="0" applyFont="1" applyFill="1" applyBorder="1" applyAlignment="1">
      <alignment horizontal="left" vertical="center" wrapText="1"/>
    </xf>
    <xf numFmtId="0" fontId="3" fillId="7" borderId="4" xfId="0" applyFont="1" applyFill="1" applyBorder="1" applyAlignment="1">
      <alignment vertical="center" wrapText="1"/>
    </xf>
    <xf numFmtId="0" fontId="6" fillId="6" borderId="28" xfId="0" applyFont="1" applyFill="1" applyBorder="1" applyAlignment="1">
      <alignment vertical="center" wrapText="1"/>
    </xf>
    <xf numFmtId="0" fontId="3" fillId="9" borderId="4" xfId="0" applyFont="1" applyFill="1" applyBorder="1" applyAlignment="1">
      <alignment vertical="center"/>
    </xf>
    <xf numFmtId="0" fontId="3" fillId="15" borderId="4" xfId="0" applyFont="1" applyFill="1" applyBorder="1" applyAlignment="1">
      <alignment vertical="center"/>
    </xf>
    <xf numFmtId="0" fontId="18" fillId="3" borderId="0" xfId="1" applyFont="1" applyFill="1" applyAlignment="1">
      <alignment vertical="center"/>
    </xf>
    <xf numFmtId="0" fontId="3" fillId="16" borderId="4" xfId="0" applyFont="1" applyFill="1" applyBorder="1" applyAlignment="1">
      <alignment vertical="center"/>
    </xf>
    <xf numFmtId="164" fontId="17" fillId="3" borderId="43" xfId="0" applyNumberFormat="1" applyFont="1" applyFill="1" applyBorder="1" applyAlignment="1">
      <alignment horizontal="center" vertical="center" wrapText="1"/>
    </xf>
    <xf numFmtId="9" fontId="17" fillId="3" borderId="45" xfId="0" applyNumberFormat="1" applyFont="1" applyFill="1" applyBorder="1" applyAlignment="1">
      <alignment horizontal="center" vertical="center" wrapText="1"/>
    </xf>
    <xf numFmtId="0" fontId="36" fillId="3" borderId="0" xfId="0" applyFont="1" applyFill="1" applyAlignment="1">
      <alignment vertical="center" wrapText="1"/>
    </xf>
    <xf numFmtId="0" fontId="17" fillId="3" borderId="38" xfId="0" applyFont="1" applyFill="1" applyBorder="1" applyAlignment="1">
      <alignment vertical="center" wrapText="1"/>
    </xf>
    <xf numFmtId="0" fontId="36" fillId="3" borderId="0" xfId="0" applyFont="1" applyFill="1" applyAlignment="1">
      <alignment horizontal="left" vertical="center" wrapText="1"/>
    </xf>
    <xf numFmtId="0" fontId="36" fillId="14" borderId="61" xfId="0" applyFont="1" applyFill="1" applyBorder="1" applyAlignment="1">
      <alignment vertical="center" wrapText="1"/>
    </xf>
    <xf numFmtId="0" fontId="0" fillId="14" borderId="62" xfId="0" applyFill="1" applyBorder="1" applyAlignment="1">
      <alignment horizontal="center" vertical="center"/>
    </xf>
    <xf numFmtId="0" fontId="4" fillId="14" borderId="62" xfId="0" applyFont="1" applyFill="1" applyBorder="1" applyAlignment="1">
      <alignment vertical="center" wrapText="1"/>
    </xf>
    <xf numFmtId="0" fontId="4" fillId="14" borderId="62" xfId="0" applyFont="1" applyFill="1" applyBorder="1" applyAlignment="1">
      <alignment horizontal="left" vertical="center" wrapText="1"/>
    </xf>
    <xf numFmtId="0" fontId="0" fillId="14" borderId="62" xfId="0" applyFill="1" applyBorder="1" applyAlignment="1">
      <alignment vertical="center"/>
    </xf>
    <xf numFmtId="0" fontId="4" fillId="14" borderId="63" xfId="0" applyFont="1" applyFill="1" applyBorder="1" applyAlignment="1">
      <alignment vertical="center" wrapText="1"/>
    </xf>
    <xf numFmtId="0" fontId="0" fillId="14" borderId="62" xfId="0" applyFill="1" applyBorder="1"/>
    <xf numFmtId="0" fontId="19" fillId="8" borderId="3" xfId="0" applyFont="1" applyFill="1" applyBorder="1" applyAlignment="1">
      <alignment vertical="center"/>
    </xf>
    <xf numFmtId="0" fontId="5" fillId="8" borderId="3" xfId="0" applyFont="1" applyFill="1" applyBorder="1" applyAlignment="1">
      <alignment vertical="center" wrapText="1"/>
    </xf>
    <xf numFmtId="0" fontId="5" fillId="8" borderId="29" xfId="0" applyFont="1" applyFill="1" applyBorder="1" applyAlignment="1">
      <alignment vertical="center" wrapText="1"/>
    </xf>
    <xf numFmtId="0" fontId="6" fillId="6" borderId="65" xfId="0" applyFont="1" applyFill="1" applyBorder="1"/>
    <xf numFmtId="0" fontId="6" fillId="6" borderId="66" xfId="0" applyFont="1" applyFill="1" applyBorder="1"/>
    <xf numFmtId="0" fontId="3" fillId="7" borderId="9" xfId="0" applyFont="1" applyFill="1" applyBorder="1" applyAlignment="1">
      <alignment vertical="center"/>
    </xf>
    <xf numFmtId="0" fontId="1" fillId="3" borderId="67" xfId="0" applyFont="1" applyFill="1" applyBorder="1" applyAlignment="1">
      <alignment horizontal="left" vertical="center" wrapText="1"/>
    </xf>
    <xf numFmtId="0" fontId="0" fillId="3" borderId="68" xfId="0" applyFill="1" applyBorder="1" applyAlignment="1">
      <alignment vertical="center"/>
    </xf>
    <xf numFmtId="0" fontId="1" fillId="3" borderId="69" xfId="0" applyFont="1" applyFill="1" applyBorder="1" applyAlignment="1">
      <alignment horizontal="left" vertical="center" wrapText="1"/>
    </xf>
    <xf numFmtId="0" fontId="0" fillId="3" borderId="70" xfId="0" applyFill="1" applyBorder="1" applyAlignment="1">
      <alignment vertical="center"/>
    </xf>
    <xf numFmtId="0" fontId="3" fillId="7" borderId="8" xfId="0" applyFont="1" applyFill="1" applyBorder="1" applyAlignment="1">
      <alignment horizontal="left" vertical="center"/>
    </xf>
    <xf numFmtId="0" fontId="1" fillId="3" borderId="67" xfId="0" applyFont="1" applyFill="1" applyBorder="1" applyAlignment="1">
      <alignment vertical="center" wrapText="1"/>
    </xf>
    <xf numFmtId="0" fontId="1" fillId="3" borderId="7" xfId="0" applyFont="1" applyFill="1" applyBorder="1" applyAlignment="1">
      <alignment vertical="center" wrapText="1"/>
    </xf>
    <xf numFmtId="0" fontId="1" fillId="3" borderId="7" xfId="0" applyFont="1" applyFill="1" applyBorder="1" applyAlignment="1">
      <alignment horizontal="left" vertical="center" wrapText="1"/>
    </xf>
    <xf numFmtId="0" fontId="1" fillId="3" borderId="69" xfId="0" applyFont="1" applyFill="1" applyBorder="1" applyAlignment="1">
      <alignment vertical="center" wrapText="1"/>
    </xf>
    <xf numFmtId="0" fontId="1" fillId="14" borderId="71" xfId="0" applyFont="1" applyFill="1" applyBorder="1" applyAlignment="1">
      <alignment vertical="center" wrapText="1"/>
    </xf>
    <xf numFmtId="0" fontId="0" fillId="14" borderId="72" xfId="0" applyFill="1" applyBorder="1" applyAlignment="1">
      <alignment vertical="center"/>
    </xf>
    <xf numFmtId="0" fontId="1" fillId="14" borderId="73" xfId="0" applyFont="1" applyFill="1" applyBorder="1" applyAlignment="1">
      <alignment vertical="center" wrapText="1"/>
    </xf>
    <xf numFmtId="0" fontId="0" fillId="14" borderId="74" xfId="0" applyFill="1" applyBorder="1" applyAlignment="1">
      <alignment vertical="center"/>
    </xf>
    <xf numFmtId="0" fontId="3" fillId="8" borderId="9" xfId="0" applyFont="1" applyFill="1" applyBorder="1" applyAlignment="1">
      <alignment vertical="center"/>
    </xf>
    <xf numFmtId="0" fontId="1" fillId="3" borderId="75" xfId="0" applyFont="1" applyFill="1" applyBorder="1" applyAlignment="1">
      <alignment vertical="center" wrapText="1"/>
    </xf>
    <xf numFmtId="0" fontId="0" fillId="3" borderId="76" xfId="0" applyFill="1" applyBorder="1" applyAlignment="1">
      <alignment horizontal="center" vertical="center"/>
    </xf>
    <xf numFmtId="0" fontId="4" fillId="0" borderId="76" xfId="0" applyFont="1" applyBorder="1" applyAlignment="1">
      <alignment vertical="center" wrapText="1"/>
    </xf>
    <xf numFmtId="0" fontId="4" fillId="3" borderId="76" xfId="0" applyFont="1" applyFill="1" applyBorder="1" applyAlignment="1">
      <alignment vertical="center" wrapText="1"/>
    </xf>
    <xf numFmtId="0" fontId="4" fillId="3" borderId="76" xfId="0" applyFont="1" applyFill="1" applyBorder="1" applyAlignment="1">
      <alignment horizontal="left" vertical="center" wrapText="1"/>
    </xf>
    <xf numFmtId="0" fontId="0" fillId="3" borderId="77" xfId="0" applyFill="1" applyBorder="1" applyAlignment="1">
      <alignment vertical="center"/>
    </xf>
    <xf numFmtId="0" fontId="36" fillId="3" borderId="83" xfId="0" applyFont="1" applyFill="1" applyBorder="1" applyAlignment="1">
      <alignment vertical="center" wrapText="1"/>
    </xf>
    <xf numFmtId="0" fontId="0" fillId="3" borderId="76" xfId="0" applyFill="1" applyBorder="1" applyAlignment="1">
      <alignment vertical="center"/>
    </xf>
    <xf numFmtId="0" fontId="0" fillId="3" borderId="85" xfId="0" applyFill="1" applyBorder="1" applyAlignment="1">
      <alignment horizontal="center" vertical="center"/>
    </xf>
    <xf numFmtId="0" fontId="4" fillId="0" borderId="85" xfId="0" applyFont="1" applyBorder="1" applyAlignment="1">
      <alignment vertical="center" wrapText="1"/>
    </xf>
    <xf numFmtId="0" fontId="3" fillId="3" borderId="0" xfId="0" applyFont="1" applyFill="1" applyAlignment="1">
      <alignment horizontal="left" vertical="center" wrapText="1"/>
    </xf>
    <xf numFmtId="0" fontId="3" fillId="11" borderId="8" xfId="0" applyFont="1" applyFill="1" applyBorder="1" applyAlignment="1">
      <alignment vertical="center"/>
    </xf>
    <xf numFmtId="0" fontId="3" fillId="11" borderId="3" xfId="0" applyFont="1" applyFill="1" applyBorder="1" applyAlignment="1">
      <alignment vertical="center"/>
    </xf>
    <xf numFmtId="0" fontId="3" fillId="11" borderId="9" xfId="0" applyFont="1" applyFill="1" applyBorder="1" applyAlignment="1">
      <alignment vertical="center"/>
    </xf>
    <xf numFmtId="0" fontId="19" fillId="11" borderId="3" xfId="0" applyFont="1" applyFill="1" applyBorder="1" applyAlignment="1">
      <alignment vertical="center"/>
    </xf>
    <xf numFmtId="0" fontId="5" fillId="11" borderId="3" xfId="0" applyFont="1" applyFill="1" applyBorder="1" applyAlignment="1">
      <alignment vertical="center" wrapText="1"/>
    </xf>
    <xf numFmtId="0" fontId="3" fillId="11" borderId="60" xfId="0" applyFont="1" applyFill="1" applyBorder="1" applyAlignment="1">
      <alignment vertical="center"/>
    </xf>
    <xf numFmtId="0" fontId="19" fillId="11" borderId="1" xfId="0" applyFont="1" applyFill="1" applyBorder="1" applyAlignment="1">
      <alignment vertical="center"/>
    </xf>
    <xf numFmtId="0" fontId="3" fillId="11" borderId="1" xfId="0" applyFont="1" applyFill="1" applyBorder="1" applyAlignment="1">
      <alignment vertical="center"/>
    </xf>
    <xf numFmtId="0" fontId="5" fillId="11" borderId="1" xfId="0" applyFont="1" applyFill="1" applyBorder="1" applyAlignment="1">
      <alignment vertical="center" wrapText="1"/>
    </xf>
    <xf numFmtId="0" fontId="3" fillId="11" borderId="78" xfId="0" applyFont="1" applyFill="1" applyBorder="1" applyAlignment="1">
      <alignment vertical="center"/>
    </xf>
    <xf numFmtId="0" fontId="44" fillId="2" borderId="33" xfId="1" applyFont="1" applyFill="1" applyBorder="1"/>
    <xf numFmtId="0" fontId="8" fillId="0" borderId="0" xfId="0" applyFont="1"/>
    <xf numFmtId="0" fontId="0" fillId="3" borderId="0" xfId="0" applyFill="1" applyAlignment="1">
      <alignment horizontal="center" vertical="center"/>
    </xf>
    <xf numFmtId="2" fontId="0" fillId="0" borderId="0" xfId="0" applyNumberFormat="1" applyAlignment="1">
      <alignment horizontal="center"/>
    </xf>
    <xf numFmtId="0" fontId="8" fillId="0" borderId="12" xfId="0" applyFont="1" applyBorder="1" applyAlignment="1">
      <alignment horizontal="center"/>
    </xf>
    <xf numFmtId="0" fontId="8" fillId="3" borderId="0" xfId="0" applyFont="1" applyFill="1" applyAlignment="1">
      <alignment horizontal="left" vertical="center" wrapText="1"/>
    </xf>
    <xf numFmtId="0" fontId="3" fillId="3" borderId="0" xfId="0" applyFont="1" applyFill="1" applyAlignment="1">
      <alignment horizontal="left" vertical="center" wrapText="1"/>
    </xf>
    <xf numFmtId="0" fontId="46" fillId="3" borderId="0" xfId="0" applyFont="1" applyFill="1" applyAlignment="1">
      <alignment horizontal="left" vertical="center" wrapText="1"/>
    </xf>
    <xf numFmtId="0" fontId="18" fillId="3" borderId="0" xfId="1" applyFont="1" applyFill="1" applyAlignment="1">
      <alignment horizontal="center" vertical="center"/>
    </xf>
    <xf numFmtId="0" fontId="9" fillId="5" borderId="0" xfId="0" applyFont="1" applyFill="1" applyAlignment="1">
      <alignment horizontal="center" vertical="center"/>
    </xf>
    <xf numFmtId="0" fontId="43" fillId="5" borderId="0" xfId="0" applyFont="1" applyFill="1" applyAlignment="1">
      <alignment horizontal="center" vertical="center"/>
    </xf>
    <xf numFmtId="0" fontId="29" fillId="3" borderId="0" xfId="0" applyFont="1" applyFill="1" applyAlignment="1">
      <alignment horizontal="left" vertical="top" wrapText="1"/>
    </xf>
    <xf numFmtId="0" fontId="24" fillId="3" borderId="0" xfId="0" applyFont="1" applyFill="1" applyAlignment="1">
      <alignment horizontal="left" vertical="top" wrapText="1"/>
    </xf>
    <xf numFmtId="0" fontId="8" fillId="3" borderId="0" xfId="0" applyFont="1" applyFill="1" applyAlignment="1">
      <alignment horizontal="left" vertical="top" wrapText="1"/>
    </xf>
    <xf numFmtId="0" fontId="11" fillId="3" borderId="0" xfId="0" applyFont="1" applyFill="1" applyAlignment="1">
      <alignment horizontal="left" vertical="center" wrapText="1"/>
    </xf>
    <xf numFmtId="0" fontId="0" fillId="3" borderId="14" xfId="0" applyFill="1" applyBorder="1" applyAlignment="1">
      <alignment horizontal="left" vertical="center" wrapText="1"/>
    </xf>
    <xf numFmtId="0" fontId="0" fillId="3" borderId="34" xfId="0" applyFill="1" applyBorder="1" applyAlignment="1">
      <alignment horizontal="left" vertical="center" wrapText="1"/>
    </xf>
    <xf numFmtId="0" fontId="0" fillId="3" borderId="15" xfId="0" applyFill="1" applyBorder="1" applyAlignment="1">
      <alignment horizontal="left" vertical="center" wrapText="1"/>
    </xf>
    <xf numFmtId="0" fontId="37" fillId="3" borderId="12" xfId="0" applyFont="1" applyFill="1" applyBorder="1" applyAlignment="1">
      <alignment horizontal="center"/>
    </xf>
    <xf numFmtId="0" fontId="4" fillId="0" borderId="68" xfId="0" applyFont="1" applyBorder="1" applyAlignment="1">
      <alignment horizontal="left" vertical="center" wrapText="1"/>
    </xf>
    <xf numFmtId="0" fontId="4" fillId="0" borderId="79" xfId="0" applyFont="1" applyBorder="1" applyAlignment="1">
      <alignment horizontal="left" vertical="center" wrapText="1"/>
    </xf>
    <xf numFmtId="0" fontId="4" fillId="0" borderId="84" xfId="0" applyFont="1" applyBorder="1" applyAlignment="1">
      <alignment horizontal="left" vertical="center" wrapText="1"/>
    </xf>
    <xf numFmtId="0" fontId="7" fillId="6" borderId="20" xfId="0" applyFont="1" applyFill="1" applyBorder="1" applyAlignment="1">
      <alignment horizontal="center" vertical="center"/>
    </xf>
    <xf numFmtId="0" fontId="7" fillId="6" borderId="35" xfId="0" applyFont="1" applyFill="1" applyBorder="1" applyAlignment="1">
      <alignment horizontal="center" vertical="center"/>
    </xf>
    <xf numFmtId="0" fontId="7" fillId="6" borderId="21" xfId="0" applyFont="1" applyFill="1" applyBorder="1" applyAlignment="1">
      <alignment horizontal="center" vertical="center"/>
    </xf>
    <xf numFmtId="0" fontId="8" fillId="3" borderId="22" xfId="0" applyFont="1" applyFill="1" applyBorder="1" applyAlignment="1">
      <alignment horizontal="left" vertical="center" wrapText="1"/>
    </xf>
    <xf numFmtId="0" fontId="8" fillId="3" borderId="23" xfId="0" applyFont="1" applyFill="1" applyBorder="1" applyAlignment="1">
      <alignment horizontal="left" vertical="center" wrapText="1"/>
    </xf>
    <xf numFmtId="0" fontId="8" fillId="3" borderId="24" xfId="0" applyFont="1" applyFill="1" applyBorder="1" applyAlignment="1">
      <alignment horizontal="left" vertical="center" wrapText="1"/>
    </xf>
    <xf numFmtId="0" fontId="8" fillId="3" borderId="36" xfId="0" applyFont="1" applyFill="1" applyBorder="1" applyAlignment="1">
      <alignment horizontal="left" vertical="center" wrapText="1"/>
    </xf>
    <xf numFmtId="0" fontId="8" fillId="3" borderId="25" xfId="0" applyFont="1" applyFill="1" applyBorder="1" applyAlignment="1">
      <alignment horizontal="left" vertical="center" wrapText="1"/>
    </xf>
    <xf numFmtId="0" fontId="4" fillId="3" borderId="68" xfId="0" applyFont="1" applyFill="1" applyBorder="1" applyAlignment="1">
      <alignment horizontal="left" vertical="center" wrapText="1"/>
    </xf>
    <xf numFmtId="0" fontId="4" fillId="3" borderId="79" xfId="0" applyFont="1" applyFill="1" applyBorder="1" applyAlignment="1">
      <alignment horizontal="left" vertical="center" wrapText="1"/>
    </xf>
    <xf numFmtId="0" fontId="5" fillId="0" borderId="68" xfId="0" applyFont="1" applyBorder="1" applyAlignment="1">
      <alignment horizontal="left" vertical="center" wrapText="1"/>
    </xf>
    <xf numFmtId="0" fontId="4" fillId="0" borderId="80" xfId="0" applyFont="1" applyBorder="1" applyAlignment="1">
      <alignment horizontal="left" vertical="center" wrapText="1"/>
    </xf>
    <xf numFmtId="0" fontId="4" fillId="0" borderId="81" xfId="0" applyFont="1" applyBorder="1" applyAlignment="1">
      <alignment horizontal="left" vertical="center" wrapText="1"/>
    </xf>
    <xf numFmtId="0" fontId="4" fillId="0" borderId="9" xfId="0" applyFont="1" applyBorder="1" applyAlignment="1">
      <alignment horizontal="left" vertical="center" wrapText="1"/>
    </xf>
    <xf numFmtId="0" fontId="4" fillId="0" borderId="82" xfId="0" applyFont="1" applyBorder="1" applyAlignment="1">
      <alignment horizontal="left" vertical="center" wrapText="1"/>
    </xf>
    <xf numFmtId="0" fontId="7" fillId="6" borderId="13" xfId="0" applyFont="1" applyFill="1" applyBorder="1" applyAlignment="1">
      <alignment horizontal="center" vertical="center"/>
    </xf>
    <xf numFmtId="0" fontId="7" fillId="6" borderId="53" xfId="0" applyFont="1" applyFill="1" applyBorder="1" applyAlignment="1">
      <alignment horizontal="center" vertical="center"/>
    </xf>
    <xf numFmtId="0" fontId="8" fillId="3" borderId="10" xfId="0" applyFont="1" applyFill="1" applyBorder="1" applyAlignment="1">
      <alignment horizontal="left" vertical="center" wrapText="1"/>
    </xf>
    <xf numFmtId="0" fontId="8" fillId="3" borderId="64"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8" fillId="3" borderId="27"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7" fillId="6" borderId="14" xfId="0" applyFont="1" applyFill="1" applyBorder="1" applyAlignment="1">
      <alignment horizontal="center" vertical="center"/>
    </xf>
    <xf numFmtId="0" fontId="7" fillId="6" borderId="26" xfId="0" applyFont="1" applyFill="1" applyBorder="1" applyAlignment="1">
      <alignment horizontal="center" vertical="center"/>
    </xf>
    <xf numFmtId="0" fontId="8" fillId="3" borderId="13" xfId="0" applyFont="1" applyFill="1" applyBorder="1" applyAlignment="1">
      <alignment horizontal="left" vertical="center" wrapText="1"/>
    </xf>
    <xf numFmtId="0" fontId="8" fillId="3" borderId="53"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3" borderId="26" xfId="0" applyFont="1" applyFill="1" applyBorder="1" applyAlignment="1">
      <alignment horizontal="left" vertical="center" wrapText="1"/>
    </xf>
    <xf numFmtId="0" fontId="7" fillId="6" borderId="0" xfId="0" applyFont="1" applyFill="1" applyAlignment="1">
      <alignment horizontal="center" vertical="center"/>
    </xf>
  </cellXfs>
  <cellStyles count="3">
    <cellStyle name="Hyperlink" xfId="1" builtinId="8"/>
    <cellStyle name="Normal" xfId="0" builtinId="0"/>
    <cellStyle name="Normal 2" xfId="2" xr:uid="{72C8C828-4DAD-4D11-8583-7D4CF752E8EE}"/>
  </cellStyles>
  <dxfs count="198">
    <dxf>
      <fill>
        <patternFill>
          <bgColor theme="9" tint="0.39994506668294322"/>
        </patternFill>
      </fill>
    </dxf>
    <dxf>
      <fill>
        <patternFill>
          <bgColor rgb="FFF8B6B6"/>
        </patternFill>
      </fill>
    </dxf>
    <dxf>
      <font>
        <color theme="2" tint="-0.24994659260841701"/>
      </font>
      <fill>
        <patternFill>
          <bgColor theme="0" tint="-4.9989318521683403E-2"/>
        </patternFill>
      </fill>
    </dxf>
    <dxf>
      <fill>
        <patternFill>
          <bgColor theme="9" tint="0.39994506668294322"/>
        </patternFill>
      </fill>
    </dxf>
    <dxf>
      <fill>
        <patternFill>
          <bgColor theme="7" tint="0.59996337778862885"/>
        </patternFill>
      </fill>
    </dxf>
    <dxf>
      <fill>
        <patternFill>
          <bgColor rgb="FFF8B6B6"/>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9" tint="0.39994506668294322"/>
        </patternFill>
      </fill>
    </dxf>
    <dxf>
      <fill>
        <patternFill>
          <bgColor rgb="FFF8B6B6"/>
        </patternFill>
      </fill>
    </dxf>
    <dxf>
      <font>
        <color theme="2" tint="-0.24994659260841701"/>
      </font>
      <fill>
        <patternFill>
          <bgColor theme="0" tint="-4.9989318521683403E-2"/>
        </patternFill>
      </fill>
    </dxf>
    <dxf>
      <fill>
        <patternFill>
          <bgColor theme="9" tint="0.39994506668294322"/>
        </patternFill>
      </fill>
    </dxf>
    <dxf>
      <fill>
        <patternFill>
          <bgColor theme="7" tint="0.59996337778862885"/>
        </patternFill>
      </fill>
    </dxf>
    <dxf>
      <fill>
        <patternFill>
          <bgColor rgb="FFF8B6B6"/>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9" tint="0.39994506668294322"/>
        </patternFill>
      </fill>
    </dxf>
    <dxf>
      <fill>
        <patternFill>
          <bgColor rgb="FFF8B6B6"/>
        </patternFill>
      </fill>
    </dxf>
    <dxf>
      <fill>
        <patternFill>
          <bgColor theme="9" tint="0.39994506668294322"/>
        </patternFill>
      </fill>
    </dxf>
    <dxf>
      <fill>
        <patternFill>
          <bgColor theme="7" tint="0.59996337778862885"/>
        </patternFill>
      </fill>
    </dxf>
    <dxf>
      <fill>
        <patternFill>
          <bgColor rgb="FFF8B6B6"/>
        </patternFill>
      </fill>
    </dxf>
    <dxf>
      <fill>
        <patternFill>
          <bgColor theme="9" tint="0.39994506668294322"/>
        </patternFill>
      </fill>
    </dxf>
    <dxf>
      <fill>
        <patternFill>
          <bgColor theme="7" tint="0.59996337778862885"/>
        </patternFill>
      </fill>
    </dxf>
    <dxf>
      <fill>
        <patternFill>
          <bgColor rgb="FFF8B6B6"/>
        </patternFill>
      </fill>
    </dxf>
    <dxf>
      <fill>
        <patternFill>
          <bgColor theme="9" tint="0.39994506668294322"/>
        </patternFill>
      </fill>
    </dxf>
    <dxf>
      <fill>
        <patternFill>
          <bgColor rgb="FFF8B6B6"/>
        </patternFill>
      </fill>
    </dxf>
    <dxf>
      <fill>
        <patternFill>
          <bgColor theme="9" tint="0.39994506668294322"/>
        </patternFill>
      </fill>
    </dxf>
    <dxf>
      <fill>
        <patternFill>
          <bgColor theme="7" tint="0.59996337778862885"/>
        </patternFill>
      </fill>
    </dxf>
    <dxf>
      <fill>
        <patternFill>
          <bgColor rgb="FFF8B6B6"/>
        </patternFill>
      </fill>
    </dxf>
    <dxf>
      <fill>
        <patternFill>
          <bgColor theme="9" tint="0.39994506668294322"/>
        </patternFill>
      </fill>
    </dxf>
    <dxf>
      <fill>
        <patternFill>
          <bgColor rgb="FFF8B6B6"/>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7" tint="0.59996337778862885"/>
        </patternFill>
      </fill>
    </dxf>
    <dxf>
      <fill>
        <patternFill>
          <bgColor rgb="FFF8B6B6"/>
        </patternFill>
      </fill>
    </dxf>
    <dxf>
      <fill>
        <patternFill>
          <bgColor theme="9" tint="0.39994506668294322"/>
        </patternFill>
      </fill>
    </dxf>
    <dxf>
      <fill>
        <patternFill>
          <bgColor theme="9" tint="0.39994506668294322"/>
        </patternFill>
      </fill>
    </dxf>
    <dxf>
      <fill>
        <patternFill>
          <bgColor rgb="FFF8B6B6"/>
        </patternFill>
      </fill>
    </dxf>
    <dxf>
      <font>
        <color theme="2" tint="-0.24994659260841701"/>
      </font>
      <fill>
        <patternFill>
          <bgColor theme="0" tint="-4.9989318521683403E-2"/>
        </patternFill>
      </fill>
    </dxf>
    <dxf>
      <font>
        <color theme="2" tint="-0.24994659260841701"/>
      </font>
      <fill>
        <patternFill>
          <bgColor theme="0" tint="-4.9989318521683403E-2"/>
        </patternFill>
      </fill>
    </dxf>
    <dxf>
      <fill>
        <patternFill>
          <bgColor rgb="FFF8B6B6"/>
        </patternFill>
      </fill>
    </dxf>
    <dxf>
      <fill>
        <patternFill>
          <bgColor theme="9" tint="0.39994506668294322"/>
        </patternFill>
      </fill>
    </dxf>
    <dxf>
      <fill>
        <patternFill>
          <bgColor theme="9" tint="0.39994506668294322"/>
        </patternFill>
      </fill>
    </dxf>
    <dxf>
      <fill>
        <patternFill>
          <bgColor theme="7" tint="0.59996337778862885"/>
        </patternFill>
      </fill>
    </dxf>
    <dxf>
      <fill>
        <patternFill>
          <bgColor rgb="FFF8B6B6"/>
        </patternFill>
      </fill>
    </dxf>
    <dxf>
      <fill>
        <patternFill>
          <bgColor theme="9" tint="0.39994506668294322"/>
        </patternFill>
      </fill>
    </dxf>
    <dxf>
      <fill>
        <patternFill>
          <bgColor rgb="FFF8B6B6"/>
        </patternFill>
      </fill>
    </dxf>
    <dxf>
      <fill>
        <patternFill>
          <bgColor theme="9" tint="0.39994506668294322"/>
        </patternFill>
      </fill>
    </dxf>
    <dxf>
      <fill>
        <patternFill>
          <bgColor theme="7" tint="0.59996337778862885"/>
        </patternFill>
      </fill>
    </dxf>
    <dxf>
      <fill>
        <patternFill>
          <bgColor rgb="FFF8B6B6"/>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9" tint="0.39994506668294322"/>
        </patternFill>
      </fill>
    </dxf>
    <dxf>
      <fill>
        <patternFill>
          <bgColor rgb="FFF8B6B6"/>
        </patternFill>
      </fill>
    </dxf>
    <dxf>
      <fill>
        <patternFill>
          <bgColor theme="9" tint="0.39994506668294322"/>
        </patternFill>
      </fill>
    </dxf>
    <dxf>
      <fill>
        <patternFill>
          <bgColor theme="7" tint="0.59996337778862885"/>
        </patternFill>
      </fill>
    </dxf>
    <dxf>
      <fill>
        <patternFill>
          <bgColor rgb="FFF8B6B6"/>
        </patternFill>
      </fill>
    </dxf>
    <dxf>
      <font>
        <color rgb="FF9C0006"/>
      </font>
      <fill>
        <patternFill>
          <bgColor rgb="FFFFC7CE"/>
        </patternFill>
      </fill>
    </dxf>
    <dxf>
      <font>
        <color theme="4"/>
      </font>
      <fill>
        <patternFill>
          <bgColor theme="9"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9.9948118533890809E-2"/>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006100"/>
      </font>
      <fill>
        <patternFill>
          <bgColor rgb="FFC6EFCE"/>
        </patternFill>
      </fill>
    </dxf>
    <dxf>
      <fill>
        <patternFill>
          <bgColor theme="2" tint="-9.9948118533890809E-2"/>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4"/>
      </font>
      <fill>
        <patternFill>
          <bgColor theme="9"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tint="-9.9948118533890809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9.9948118533890809E-2"/>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006100"/>
      </font>
      <fill>
        <patternFill>
          <bgColor rgb="FFC6EFCE"/>
        </patternFill>
      </fill>
    </dxf>
    <dxf>
      <fill>
        <patternFill>
          <bgColor theme="2" tint="-9.9948118533890809E-2"/>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4"/>
      </font>
      <fill>
        <patternFill>
          <bgColor theme="9"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tint="-9.9948118533890809E-2"/>
        </patternFill>
      </fill>
    </dxf>
    <dxf>
      <font>
        <color theme="1"/>
      </font>
      <fill>
        <patternFill>
          <bgColor theme="2" tint="-9.9948118533890809E-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ont>
        <color rgb="FF9C5700"/>
      </font>
      <fill>
        <patternFill>
          <bgColor rgb="FFFFEB9C"/>
        </patternFill>
      </fill>
    </dxf>
    <dxf>
      <font>
        <color rgb="FF006100"/>
      </font>
      <fill>
        <patternFill>
          <bgColor rgb="FFC6EFCE"/>
        </patternFill>
      </fill>
    </dxf>
    <dxf>
      <font>
        <color theme="1"/>
      </font>
      <fill>
        <patternFill>
          <bgColor theme="2" tint="-9.9948118533890809E-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9.9948118533890809E-2"/>
        </patternFill>
      </fill>
    </dxf>
    <dxf>
      <font>
        <color rgb="FF9C0006"/>
      </font>
      <fill>
        <patternFill>
          <bgColor rgb="FFFFC7CE"/>
        </patternFill>
      </fill>
    </dxf>
    <dxf>
      <font>
        <color rgb="FF9C5700"/>
      </font>
      <fill>
        <patternFill>
          <bgColor rgb="FFFFEB9C"/>
        </patternFill>
      </fill>
    </dxf>
    <dxf>
      <fill>
        <patternFill>
          <bgColor theme="2" tint="-9.9948118533890809E-2"/>
        </patternFill>
      </fill>
    </dxf>
    <dxf>
      <font>
        <color rgb="FF006100"/>
      </font>
      <fill>
        <patternFill>
          <bgColor rgb="FFC6EFCE"/>
        </patternFill>
      </fill>
    </dxf>
    <dxf>
      <fill>
        <patternFill>
          <bgColor theme="2" tint="-9.9948118533890809E-2"/>
        </patternFill>
      </fill>
    </dxf>
    <dxf>
      <font>
        <color rgb="FF9C5700"/>
      </font>
      <fill>
        <patternFill>
          <bgColor rgb="FFFFEB9C"/>
        </patternFill>
      </fill>
    </dxf>
    <dxf>
      <font>
        <color rgb="FF9C0006"/>
      </font>
      <fill>
        <patternFill>
          <bgColor rgb="FFFFC7CE"/>
        </patternFill>
      </fill>
    </dxf>
    <dxf>
      <fill>
        <patternFill>
          <bgColor theme="2" tint="-9.9948118533890809E-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2" tint="-9.9948118533890809E-2"/>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9.9948118533890809E-2"/>
        </patternFill>
      </fill>
    </dxf>
    <dxf>
      <font>
        <color rgb="FF006100"/>
      </font>
      <fill>
        <patternFill>
          <bgColor rgb="FFC6EFCE"/>
        </patternFill>
      </fill>
    </dxf>
    <dxf>
      <fill>
        <patternFill>
          <bgColor theme="2" tint="-9.9948118533890809E-2"/>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3E3F5"/>
      <color rgb="FFEACBED"/>
      <color rgb="FFF0AAC6"/>
      <color rgb="FF881946"/>
      <color rgb="FFFFE1E1"/>
      <color rgb="FFFFC1C1"/>
      <color rgb="FFF0F8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Portfolio Size and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'Financial performance'!$D$18</c:f>
              <c:strCache>
                <c:ptCount val="1"/>
                <c:pt idx="0">
                  <c:v>SME portfolio size (USD million)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numRef>
              <c:f>'Financial performance'!$C$19:$C$23</c:f>
              <c:numCache>
                <c:formatCode>General</c:formatCode>
                <c:ptCount val="5"/>
                <c:pt idx="0">
                  <c:v>2020</c:v>
                </c:pt>
                <c:pt idx="1">
                  <c:v>2021</c:v>
                </c:pt>
                <c:pt idx="2">
                  <c:v>2022</c:v>
                </c:pt>
                <c:pt idx="3">
                  <c:v>2023</c:v>
                </c:pt>
                <c:pt idx="4">
                  <c:v>2024</c:v>
                </c:pt>
              </c:numCache>
            </c:numRef>
          </c:cat>
          <c:val>
            <c:numRef>
              <c:f>'Financial performance'!$D$19:$D$23</c:f>
              <c:numCache>
                <c:formatCode>General</c:formatCode>
                <c:ptCount val="5"/>
                <c:pt idx="0">
                  <c:v>5</c:v>
                </c:pt>
                <c:pt idx="1">
                  <c:v>5.5</c:v>
                </c:pt>
                <c:pt idx="2">
                  <c:v>5.7</c:v>
                </c:pt>
                <c:pt idx="3">
                  <c:v>7</c:v>
                </c:pt>
                <c:pt idx="4">
                  <c:v>7.5</c:v>
                </c:pt>
              </c:numCache>
            </c:numRef>
          </c:val>
          <c:extLst>
            <c:ext xmlns:c16="http://schemas.microsoft.com/office/drawing/2014/chart" uri="{C3380CC4-5D6E-409C-BE32-E72D297353CC}">
              <c16:uniqueId val="{00000000-D51A-4CBE-95F2-9BCF0C329189}"/>
            </c:ext>
          </c:extLst>
        </c:ser>
        <c:dLbls>
          <c:showLegendKey val="0"/>
          <c:showVal val="0"/>
          <c:showCatName val="0"/>
          <c:showSerName val="0"/>
          <c:showPercent val="0"/>
          <c:showBubbleSize val="0"/>
        </c:dLbls>
        <c:gapWidth val="219"/>
        <c:overlap val="-27"/>
        <c:axId val="50353967"/>
        <c:axId val="50354447"/>
      </c:barChart>
      <c:lineChart>
        <c:grouping val="standard"/>
        <c:varyColors val="0"/>
        <c:ser>
          <c:idx val="1"/>
          <c:order val="1"/>
          <c:tx>
            <c:strRef>
              <c:f>'Financial performance'!$E$18</c:f>
              <c:strCache>
                <c:ptCount val="1"/>
                <c:pt idx="0">
                  <c:v>SME share</c:v>
                </c:pt>
              </c:strCache>
            </c:strRef>
          </c:tx>
          <c:spPr>
            <a:ln w="31750" cap="rnd">
              <a:solidFill>
                <a:schemeClr val="accent2"/>
              </a:solidFill>
              <a:round/>
            </a:ln>
            <a:effectLst/>
          </c:spPr>
          <c:marker>
            <c:symbol val="none"/>
          </c:marker>
          <c:cat>
            <c:numRef>
              <c:f>'Financial performance'!$C$19:$C$23</c:f>
              <c:numCache>
                <c:formatCode>General</c:formatCode>
                <c:ptCount val="5"/>
                <c:pt idx="0">
                  <c:v>2020</c:v>
                </c:pt>
                <c:pt idx="1">
                  <c:v>2021</c:v>
                </c:pt>
                <c:pt idx="2">
                  <c:v>2022</c:v>
                </c:pt>
                <c:pt idx="3">
                  <c:v>2023</c:v>
                </c:pt>
                <c:pt idx="4">
                  <c:v>2024</c:v>
                </c:pt>
              </c:numCache>
            </c:numRef>
          </c:cat>
          <c:val>
            <c:numRef>
              <c:f>'Financial performance'!$E$19:$E$23</c:f>
              <c:numCache>
                <c:formatCode>0%</c:formatCode>
                <c:ptCount val="5"/>
                <c:pt idx="0">
                  <c:v>0.05</c:v>
                </c:pt>
                <c:pt idx="1">
                  <c:v>7.0000000000000007E-2</c:v>
                </c:pt>
                <c:pt idx="2">
                  <c:v>7.0000000000000007E-2</c:v>
                </c:pt>
                <c:pt idx="3">
                  <c:v>0.1</c:v>
                </c:pt>
                <c:pt idx="4">
                  <c:v>0.12</c:v>
                </c:pt>
              </c:numCache>
            </c:numRef>
          </c:val>
          <c:smooth val="0"/>
          <c:extLst>
            <c:ext xmlns:c16="http://schemas.microsoft.com/office/drawing/2014/chart" uri="{C3380CC4-5D6E-409C-BE32-E72D297353CC}">
              <c16:uniqueId val="{00000001-D51A-4CBE-95F2-9BCF0C329189}"/>
            </c:ext>
          </c:extLst>
        </c:ser>
        <c:dLbls>
          <c:showLegendKey val="0"/>
          <c:showVal val="0"/>
          <c:showCatName val="0"/>
          <c:showSerName val="0"/>
          <c:showPercent val="0"/>
          <c:showBubbleSize val="0"/>
        </c:dLbls>
        <c:marker val="1"/>
        <c:smooth val="0"/>
        <c:axId val="50360207"/>
        <c:axId val="50356847"/>
      </c:lineChart>
      <c:catAx>
        <c:axId val="503539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354447"/>
        <c:crosses val="autoZero"/>
        <c:auto val="1"/>
        <c:lblAlgn val="ctr"/>
        <c:lblOffset val="100"/>
        <c:noMultiLvlLbl val="0"/>
      </c:catAx>
      <c:valAx>
        <c:axId val="503544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353967"/>
        <c:crosses val="autoZero"/>
        <c:crossBetween val="between"/>
      </c:valAx>
      <c:valAx>
        <c:axId val="5035684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360207"/>
        <c:crosses val="max"/>
        <c:crossBetween val="between"/>
      </c:valAx>
      <c:catAx>
        <c:axId val="50360207"/>
        <c:scaling>
          <c:orientation val="minMax"/>
        </c:scaling>
        <c:delete val="1"/>
        <c:axPos val="b"/>
        <c:numFmt formatCode="General" sourceLinked="1"/>
        <c:majorTickMark val="none"/>
        <c:minorTickMark val="none"/>
        <c:tickLblPos val="nextTo"/>
        <c:crossAx val="503568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Portfolio Health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'Financial performance'!$K$47</c:f>
              <c:strCache>
                <c:ptCount val="1"/>
                <c:pt idx="0">
                  <c:v>SMEs NPL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numRef>
              <c:f>'Financial performance'!$J$48:$J$52</c:f>
              <c:numCache>
                <c:formatCode>General</c:formatCode>
                <c:ptCount val="5"/>
                <c:pt idx="0">
                  <c:v>2020</c:v>
                </c:pt>
                <c:pt idx="1">
                  <c:v>2021</c:v>
                </c:pt>
                <c:pt idx="2">
                  <c:v>2022</c:v>
                </c:pt>
                <c:pt idx="3">
                  <c:v>2023</c:v>
                </c:pt>
                <c:pt idx="4">
                  <c:v>2024</c:v>
                </c:pt>
              </c:numCache>
            </c:numRef>
          </c:cat>
          <c:val>
            <c:numRef>
              <c:f>'Financial performance'!$K$48:$K$52</c:f>
              <c:numCache>
                <c:formatCode>0%</c:formatCode>
                <c:ptCount val="5"/>
                <c:pt idx="0">
                  <c:v>0.08</c:v>
                </c:pt>
                <c:pt idx="1">
                  <c:v>0.06</c:v>
                </c:pt>
                <c:pt idx="2">
                  <c:v>0.04</c:v>
                </c:pt>
                <c:pt idx="3">
                  <c:v>0.04</c:v>
                </c:pt>
                <c:pt idx="4" formatCode="0.00%">
                  <c:v>2.5000000000000001E-2</c:v>
                </c:pt>
              </c:numCache>
            </c:numRef>
          </c:val>
          <c:extLst>
            <c:ext xmlns:c16="http://schemas.microsoft.com/office/drawing/2014/chart" uri="{C3380CC4-5D6E-409C-BE32-E72D297353CC}">
              <c16:uniqueId val="{00000000-D425-4D0A-B775-38819B384B85}"/>
            </c:ext>
          </c:extLst>
        </c:ser>
        <c:ser>
          <c:idx val="1"/>
          <c:order val="1"/>
          <c:tx>
            <c:strRef>
              <c:f>'Financial performance'!$L$47</c:f>
              <c:strCache>
                <c:ptCount val="1"/>
                <c:pt idx="0">
                  <c:v>Overall NPL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numRef>
              <c:f>'Financial performance'!$J$48:$J$52</c:f>
              <c:numCache>
                <c:formatCode>General</c:formatCode>
                <c:ptCount val="5"/>
                <c:pt idx="0">
                  <c:v>2020</c:v>
                </c:pt>
                <c:pt idx="1">
                  <c:v>2021</c:v>
                </c:pt>
                <c:pt idx="2">
                  <c:v>2022</c:v>
                </c:pt>
                <c:pt idx="3">
                  <c:v>2023</c:v>
                </c:pt>
                <c:pt idx="4">
                  <c:v>2024</c:v>
                </c:pt>
              </c:numCache>
            </c:numRef>
          </c:cat>
          <c:val>
            <c:numRef>
              <c:f>'Financial performance'!$L$48:$L$52</c:f>
              <c:numCache>
                <c:formatCode>0%</c:formatCode>
                <c:ptCount val="5"/>
                <c:pt idx="0">
                  <c:v>0.03</c:v>
                </c:pt>
                <c:pt idx="1">
                  <c:v>0.03</c:v>
                </c:pt>
                <c:pt idx="2">
                  <c:v>2.5000000000000001E-2</c:v>
                </c:pt>
                <c:pt idx="3">
                  <c:v>2.5000000000000001E-2</c:v>
                </c:pt>
                <c:pt idx="4">
                  <c:v>0.02</c:v>
                </c:pt>
              </c:numCache>
            </c:numRef>
          </c:val>
          <c:extLst>
            <c:ext xmlns:c16="http://schemas.microsoft.com/office/drawing/2014/chart" uri="{C3380CC4-5D6E-409C-BE32-E72D297353CC}">
              <c16:uniqueId val="{00000001-D425-4D0A-B775-38819B384B85}"/>
            </c:ext>
          </c:extLst>
        </c:ser>
        <c:dLbls>
          <c:showLegendKey val="0"/>
          <c:showVal val="0"/>
          <c:showCatName val="0"/>
          <c:showSerName val="0"/>
          <c:showPercent val="0"/>
          <c:showBubbleSize val="0"/>
        </c:dLbls>
        <c:gapWidth val="100"/>
        <c:overlap val="-24"/>
        <c:axId val="65950703"/>
        <c:axId val="65953583"/>
      </c:barChart>
      <c:catAx>
        <c:axId val="659507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953583"/>
        <c:crosses val="autoZero"/>
        <c:auto val="1"/>
        <c:lblAlgn val="ctr"/>
        <c:lblOffset val="100"/>
        <c:noMultiLvlLbl val="0"/>
      </c:catAx>
      <c:valAx>
        <c:axId val="6595358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950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Loyalty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'Financial performance'!$D$47</c:f>
              <c:strCache>
                <c:ptCount val="1"/>
                <c:pt idx="0">
                  <c:v>SME NPS</c:v>
                </c:pt>
              </c:strCache>
            </c:strRef>
          </c:tx>
          <c:spPr>
            <a:ln w="31750" cap="rnd">
              <a:solidFill>
                <a:schemeClr val="accent1"/>
              </a:solidFill>
              <a:round/>
            </a:ln>
            <a:effectLst/>
          </c:spPr>
          <c:marker>
            <c:symbol val="none"/>
          </c:marker>
          <c:cat>
            <c:numRef>
              <c:f>'Financial performance'!$C$48:$C$52</c:f>
              <c:numCache>
                <c:formatCode>General</c:formatCode>
                <c:ptCount val="5"/>
                <c:pt idx="0">
                  <c:v>2020</c:v>
                </c:pt>
                <c:pt idx="1">
                  <c:v>2021</c:v>
                </c:pt>
                <c:pt idx="2">
                  <c:v>2022</c:v>
                </c:pt>
                <c:pt idx="3">
                  <c:v>2023</c:v>
                </c:pt>
                <c:pt idx="4">
                  <c:v>2024</c:v>
                </c:pt>
              </c:numCache>
            </c:numRef>
          </c:cat>
          <c:val>
            <c:numRef>
              <c:f>'Financial performance'!$D$48:$D$52</c:f>
              <c:numCache>
                <c:formatCode>General</c:formatCode>
                <c:ptCount val="5"/>
                <c:pt idx="0">
                  <c:v>3</c:v>
                </c:pt>
                <c:pt idx="1">
                  <c:v>5</c:v>
                </c:pt>
                <c:pt idx="2">
                  <c:v>15</c:v>
                </c:pt>
                <c:pt idx="3">
                  <c:v>35</c:v>
                </c:pt>
                <c:pt idx="4">
                  <c:v>30</c:v>
                </c:pt>
              </c:numCache>
            </c:numRef>
          </c:val>
          <c:smooth val="0"/>
          <c:extLst>
            <c:ext xmlns:c16="http://schemas.microsoft.com/office/drawing/2014/chart" uri="{C3380CC4-5D6E-409C-BE32-E72D297353CC}">
              <c16:uniqueId val="{00000000-309D-48C8-8B97-45ED9CB9C23E}"/>
            </c:ext>
          </c:extLst>
        </c:ser>
        <c:ser>
          <c:idx val="1"/>
          <c:order val="1"/>
          <c:tx>
            <c:strRef>
              <c:f>'Financial performance'!$E$47</c:f>
              <c:strCache>
                <c:ptCount val="1"/>
                <c:pt idx="0">
                  <c:v>Overall NPS</c:v>
                </c:pt>
              </c:strCache>
            </c:strRef>
          </c:tx>
          <c:spPr>
            <a:ln w="31750" cap="rnd">
              <a:solidFill>
                <a:schemeClr val="accent2"/>
              </a:solidFill>
              <a:round/>
            </a:ln>
            <a:effectLst/>
          </c:spPr>
          <c:marker>
            <c:symbol val="none"/>
          </c:marker>
          <c:cat>
            <c:numRef>
              <c:f>'Financial performance'!$C$48:$C$52</c:f>
              <c:numCache>
                <c:formatCode>General</c:formatCode>
                <c:ptCount val="5"/>
                <c:pt idx="0">
                  <c:v>2020</c:v>
                </c:pt>
                <c:pt idx="1">
                  <c:v>2021</c:v>
                </c:pt>
                <c:pt idx="2">
                  <c:v>2022</c:v>
                </c:pt>
                <c:pt idx="3">
                  <c:v>2023</c:v>
                </c:pt>
                <c:pt idx="4">
                  <c:v>2024</c:v>
                </c:pt>
              </c:numCache>
            </c:numRef>
          </c:cat>
          <c:val>
            <c:numRef>
              <c:f>'Financial performance'!$E$48:$E$52</c:f>
              <c:numCache>
                <c:formatCode>General</c:formatCode>
                <c:ptCount val="5"/>
                <c:pt idx="0">
                  <c:v>45</c:v>
                </c:pt>
                <c:pt idx="1">
                  <c:v>45</c:v>
                </c:pt>
                <c:pt idx="2">
                  <c:v>46</c:v>
                </c:pt>
                <c:pt idx="3">
                  <c:v>48</c:v>
                </c:pt>
                <c:pt idx="4">
                  <c:v>50</c:v>
                </c:pt>
              </c:numCache>
            </c:numRef>
          </c:val>
          <c:smooth val="0"/>
          <c:extLst>
            <c:ext xmlns:c16="http://schemas.microsoft.com/office/drawing/2014/chart" uri="{C3380CC4-5D6E-409C-BE32-E72D297353CC}">
              <c16:uniqueId val="{00000001-309D-48C8-8B97-45ED9CB9C23E}"/>
            </c:ext>
          </c:extLst>
        </c:ser>
        <c:dLbls>
          <c:showLegendKey val="0"/>
          <c:showVal val="0"/>
          <c:showCatName val="0"/>
          <c:showSerName val="0"/>
          <c:showPercent val="0"/>
          <c:showBubbleSize val="0"/>
        </c:dLbls>
        <c:smooth val="0"/>
        <c:axId val="185427231"/>
        <c:axId val="185448831"/>
      </c:lineChart>
      <c:catAx>
        <c:axId val="18542723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48831"/>
        <c:crosses val="autoZero"/>
        <c:auto val="1"/>
        <c:lblAlgn val="ctr"/>
        <c:lblOffset val="100"/>
        <c:noMultiLvlLbl val="0"/>
      </c:catAx>
      <c:valAx>
        <c:axId val="1854488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2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Overall Revenue and SME Share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0A1-4A6F-A066-A00A9E2A3E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0A1-4A6F-A066-A00A9E2A3E5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('Financial performance'!$K$18,'Financial performance'!$L$18)</c:f>
              <c:strCache>
                <c:ptCount val="2"/>
                <c:pt idx="0">
                  <c:v>SME revenue (USD million) </c:v>
                </c:pt>
                <c:pt idx="1">
                  <c:v>Overall revenue (USD million)</c:v>
                </c:pt>
              </c:strCache>
            </c:strRef>
          </c:cat>
          <c:val>
            <c:numRef>
              <c:f>('Financial performance'!$K$24,'Financial performance'!$L$24)</c:f>
              <c:numCache>
                <c:formatCode>General</c:formatCode>
                <c:ptCount val="2"/>
                <c:pt idx="0">
                  <c:v>163</c:v>
                </c:pt>
                <c:pt idx="1">
                  <c:v>826</c:v>
                </c:pt>
              </c:numCache>
            </c:numRef>
          </c:val>
          <c:extLst>
            <c:ext xmlns:c16="http://schemas.microsoft.com/office/drawing/2014/chart" uri="{C3380CC4-5D6E-409C-BE32-E72D297353CC}">
              <c16:uniqueId val="{00000000-EB58-4B03-9172-2FDC5E463DC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Efficiency</a:t>
            </a:r>
            <a:r>
              <a:rPr lang="en-US" sz="1200" baseline="0"/>
              <a:t> (cost-income ratio)</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'Financial performance'!$R$18</c:f>
              <c:strCache>
                <c:ptCount val="1"/>
                <c:pt idx="0">
                  <c:v>SME CIR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numRef>
              <c:f>'Financial performance'!$Q$19:$Q$23</c:f>
              <c:numCache>
                <c:formatCode>General</c:formatCode>
                <c:ptCount val="5"/>
                <c:pt idx="0">
                  <c:v>2020</c:v>
                </c:pt>
                <c:pt idx="1">
                  <c:v>2021</c:v>
                </c:pt>
                <c:pt idx="2">
                  <c:v>2022</c:v>
                </c:pt>
                <c:pt idx="3">
                  <c:v>2023</c:v>
                </c:pt>
                <c:pt idx="4">
                  <c:v>2024</c:v>
                </c:pt>
              </c:numCache>
            </c:numRef>
          </c:cat>
          <c:val>
            <c:numRef>
              <c:f>'Financial performance'!$R$19:$R$23</c:f>
              <c:numCache>
                <c:formatCode>0%</c:formatCode>
                <c:ptCount val="5"/>
                <c:pt idx="0">
                  <c:v>0.68</c:v>
                </c:pt>
                <c:pt idx="1">
                  <c:v>0.65</c:v>
                </c:pt>
                <c:pt idx="2">
                  <c:v>0.65</c:v>
                </c:pt>
                <c:pt idx="3">
                  <c:v>0.62</c:v>
                </c:pt>
                <c:pt idx="4">
                  <c:v>0.59</c:v>
                </c:pt>
              </c:numCache>
            </c:numRef>
          </c:val>
          <c:extLst>
            <c:ext xmlns:c16="http://schemas.microsoft.com/office/drawing/2014/chart" uri="{C3380CC4-5D6E-409C-BE32-E72D297353CC}">
              <c16:uniqueId val="{00000000-988B-4D7F-86A9-499463B8A0FA}"/>
            </c:ext>
          </c:extLst>
        </c:ser>
        <c:ser>
          <c:idx val="1"/>
          <c:order val="1"/>
          <c:tx>
            <c:strRef>
              <c:f>'Financial performance'!$S$18</c:f>
              <c:strCache>
                <c:ptCount val="1"/>
                <c:pt idx="0">
                  <c:v>Overall CIR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numRef>
              <c:f>'Financial performance'!$Q$19:$Q$23</c:f>
              <c:numCache>
                <c:formatCode>General</c:formatCode>
                <c:ptCount val="5"/>
                <c:pt idx="0">
                  <c:v>2020</c:v>
                </c:pt>
                <c:pt idx="1">
                  <c:v>2021</c:v>
                </c:pt>
                <c:pt idx="2">
                  <c:v>2022</c:v>
                </c:pt>
                <c:pt idx="3">
                  <c:v>2023</c:v>
                </c:pt>
                <c:pt idx="4">
                  <c:v>2024</c:v>
                </c:pt>
              </c:numCache>
            </c:numRef>
          </c:cat>
          <c:val>
            <c:numRef>
              <c:f>'Financial performance'!$S$19:$S$23</c:f>
              <c:numCache>
                <c:formatCode>0.0%</c:formatCode>
                <c:ptCount val="5"/>
                <c:pt idx="0" formatCode="0%">
                  <c:v>0.54</c:v>
                </c:pt>
                <c:pt idx="1">
                  <c:v>0.54</c:v>
                </c:pt>
                <c:pt idx="2" formatCode="0%">
                  <c:v>0.53</c:v>
                </c:pt>
                <c:pt idx="3" formatCode="0%">
                  <c:v>0.54</c:v>
                </c:pt>
                <c:pt idx="4" formatCode="0%">
                  <c:v>0.48</c:v>
                </c:pt>
              </c:numCache>
            </c:numRef>
          </c:val>
          <c:extLst>
            <c:ext xmlns:c16="http://schemas.microsoft.com/office/drawing/2014/chart" uri="{C3380CC4-5D6E-409C-BE32-E72D297353CC}">
              <c16:uniqueId val="{00000001-988B-4D7F-86A9-499463B8A0FA}"/>
            </c:ext>
          </c:extLst>
        </c:ser>
        <c:dLbls>
          <c:showLegendKey val="0"/>
          <c:showVal val="0"/>
          <c:showCatName val="0"/>
          <c:showSerName val="0"/>
          <c:showPercent val="0"/>
          <c:showBubbleSize val="0"/>
        </c:dLbls>
        <c:gapWidth val="100"/>
        <c:overlap val="-24"/>
        <c:axId val="59539711"/>
        <c:axId val="59554591"/>
      </c:barChart>
      <c:catAx>
        <c:axId val="595397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554591"/>
        <c:crosses val="autoZero"/>
        <c:auto val="1"/>
        <c:lblAlgn val="ctr"/>
        <c:lblOffset val="100"/>
        <c:noMultiLvlLbl val="0"/>
      </c:catAx>
      <c:valAx>
        <c:axId val="5955459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53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Productivity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'Financial performance'!$R$47</c:f>
              <c:strCache>
                <c:ptCount val="1"/>
                <c:pt idx="0">
                  <c:v>Loans per officer SME segment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numRef>
              <c:f>'Financial performance'!$Q$48:$Q$52</c:f>
              <c:numCache>
                <c:formatCode>General</c:formatCode>
                <c:ptCount val="5"/>
                <c:pt idx="0">
                  <c:v>2020</c:v>
                </c:pt>
                <c:pt idx="1">
                  <c:v>2021</c:v>
                </c:pt>
                <c:pt idx="2">
                  <c:v>2022</c:v>
                </c:pt>
                <c:pt idx="3">
                  <c:v>2023</c:v>
                </c:pt>
                <c:pt idx="4">
                  <c:v>2024</c:v>
                </c:pt>
              </c:numCache>
            </c:numRef>
          </c:cat>
          <c:val>
            <c:numRef>
              <c:f>'Financial performance'!$R$48:$R$52</c:f>
              <c:numCache>
                <c:formatCode>General</c:formatCode>
                <c:ptCount val="5"/>
                <c:pt idx="0">
                  <c:v>90</c:v>
                </c:pt>
                <c:pt idx="1">
                  <c:v>90</c:v>
                </c:pt>
                <c:pt idx="2">
                  <c:v>95</c:v>
                </c:pt>
                <c:pt idx="3">
                  <c:v>102</c:v>
                </c:pt>
                <c:pt idx="4">
                  <c:v>115</c:v>
                </c:pt>
              </c:numCache>
            </c:numRef>
          </c:val>
          <c:extLst>
            <c:ext xmlns:c16="http://schemas.microsoft.com/office/drawing/2014/chart" uri="{C3380CC4-5D6E-409C-BE32-E72D297353CC}">
              <c16:uniqueId val="{00000000-D39C-4B28-8717-8392C2B79E07}"/>
            </c:ext>
          </c:extLst>
        </c:ser>
        <c:ser>
          <c:idx val="1"/>
          <c:order val="1"/>
          <c:tx>
            <c:strRef>
              <c:f>'Financial performance'!$S$47</c:f>
              <c:strCache>
                <c:ptCount val="1"/>
                <c:pt idx="0">
                  <c:v>Overall loans per officer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numRef>
              <c:f>'Financial performance'!$Q$48:$Q$52</c:f>
              <c:numCache>
                <c:formatCode>General</c:formatCode>
                <c:ptCount val="5"/>
                <c:pt idx="0">
                  <c:v>2020</c:v>
                </c:pt>
                <c:pt idx="1">
                  <c:v>2021</c:v>
                </c:pt>
                <c:pt idx="2">
                  <c:v>2022</c:v>
                </c:pt>
                <c:pt idx="3">
                  <c:v>2023</c:v>
                </c:pt>
                <c:pt idx="4">
                  <c:v>2024</c:v>
                </c:pt>
              </c:numCache>
            </c:numRef>
          </c:cat>
          <c:val>
            <c:numRef>
              <c:f>'Financial performance'!$S$48:$S$52</c:f>
              <c:numCache>
                <c:formatCode>General</c:formatCode>
                <c:ptCount val="5"/>
                <c:pt idx="0">
                  <c:v>150</c:v>
                </c:pt>
                <c:pt idx="1">
                  <c:v>150</c:v>
                </c:pt>
                <c:pt idx="2">
                  <c:v>150</c:v>
                </c:pt>
                <c:pt idx="3">
                  <c:v>150</c:v>
                </c:pt>
                <c:pt idx="4">
                  <c:v>150</c:v>
                </c:pt>
              </c:numCache>
            </c:numRef>
          </c:val>
          <c:extLst>
            <c:ext xmlns:c16="http://schemas.microsoft.com/office/drawing/2014/chart" uri="{C3380CC4-5D6E-409C-BE32-E72D297353CC}">
              <c16:uniqueId val="{00000001-D39C-4B28-8717-8392C2B79E07}"/>
            </c:ext>
          </c:extLst>
        </c:ser>
        <c:dLbls>
          <c:showLegendKey val="0"/>
          <c:showVal val="0"/>
          <c:showCatName val="0"/>
          <c:showSerName val="0"/>
          <c:showPercent val="0"/>
          <c:showBubbleSize val="0"/>
        </c:dLbls>
        <c:gapWidth val="100"/>
        <c:overlap val="-24"/>
        <c:axId val="461798751"/>
        <c:axId val="461780991"/>
      </c:barChart>
      <c:catAx>
        <c:axId val="461798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1780991"/>
        <c:crosses val="autoZero"/>
        <c:auto val="1"/>
        <c:lblAlgn val="ctr"/>
        <c:lblOffset val="100"/>
        <c:noMultiLvlLbl val="0"/>
      </c:catAx>
      <c:valAx>
        <c:axId val="4617809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179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1"/>
          <c:showCatName val="0"/>
          <c:showSerName val="0"/>
          <c:showPercent val="0"/>
          <c:showBubbleSize val="0"/>
          <c:showLeaderLines val="0"/>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SME banking</a:t>
            </a:r>
            <a:r>
              <a:rPr lang="en-US" b="1" baseline="0"/>
              <a:t> maturity by category</a:t>
            </a:r>
            <a:endParaRPr lang="en-US" b="1"/>
          </a:p>
        </c:rich>
      </c:tx>
      <c:layout>
        <c:manualLayout>
          <c:xMode val="edge"/>
          <c:yMode val="edge"/>
          <c:x val="0.28010864569740562"/>
          <c:y val="0.114271808974171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87531271318327"/>
          <c:y val="0.20021952969481208"/>
          <c:w val="0.69726700713281253"/>
          <c:h val="0.46720190663622202"/>
        </c:manualLayout>
      </c:layout>
      <c:radarChart>
        <c:radarStyle val="marker"/>
        <c:varyColors val="0"/>
        <c:ser>
          <c:idx val="1"/>
          <c:order val="0"/>
          <c:tx>
            <c:v>Bank score</c:v>
          </c:tx>
          <c:spPr>
            <a:ln w="28575" cap="rnd">
              <a:solidFill>
                <a:schemeClr val="accent2"/>
              </a:solidFill>
              <a:round/>
            </a:ln>
            <a:effectLst/>
          </c:spPr>
          <c:marker>
            <c:symbol val="none"/>
          </c:marker>
          <c:cat>
            <c:strRef>
              <c:f>Results!$F$20:$F$25</c:f>
              <c:strCache>
                <c:ptCount val="6"/>
                <c:pt idx="0">
                  <c:v>1. Strategy</c:v>
                </c:pt>
                <c:pt idx="1">
                  <c:v>2. Talent and organizational structure</c:v>
                </c:pt>
                <c:pt idx="2">
                  <c:v>3. Competitive positioning</c:v>
                </c:pt>
                <c:pt idx="3">
                  <c:v>4. Operational processes</c:v>
                </c:pt>
                <c:pt idx="4">
                  <c:v>5. Products and value proposition</c:v>
                </c:pt>
                <c:pt idx="5">
                  <c:v>6. Digital</c:v>
                </c:pt>
              </c:strCache>
            </c:strRef>
          </c:cat>
          <c:val>
            <c:numRef>
              <c:f>Results!$H$20:$H$25</c:f>
              <c:numCache>
                <c:formatCode>0%</c:formatCode>
                <c:ptCount val="6"/>
                <c:pt idx="0">
                  <c:v>0</c:v>
                </c:pt>
                <c:pt idx="1">
                  <c:v>0</c:v>
                </c:pt>
                <c:pt idx="2">
                  <c:v>0</c:v>
                </c:pt>
                <c:pt idx="3">
                  <c:v>0</c:v>
                </c:pt>
                <c:pt idx="4">
                  <c:v>0</c:v>
                </c:pt>
                <c:pt idx="5">
                  <c:v>0.8</c:v>
                </c:pt>
              </c:numCache>
            </c:numRef>
          </c:val>
          <c:extLst>
            <c:ext xmlns:c16="http://schemas.microsoft.com/office/drawing/2014/chart" uri="{C3380CC4-5D6E-409C-BE32-E72D297353CC}">
              <c16:uniqueId val="{00000001-C541-4ECB-8558-4205FE93FF01}"/>
            </c:ext>
          </c:extLst>
        </c:ser>
        <c:ser>
          <c:idx val="0"/>
          <c:order val="1"/>
          <c:tx>
            <c:v>Min (0%)</c:v>
          </c:tx>
          <c:spPr>
            <a:ln w="28575" cap="rnd">
              <a:solidFill>
                <a:schemeClr val="accent1"/>
              </a:solidFill>
              <a:round/>
            </a:ln>
            <a:effectLst/>
          </c:spPr>
          <c:marker>
            <c:symbol val="none"/>
          </c:marker>
          <c:cat>
            <c:strRef>
              <c:f>Results!$F$20:$F$25</c:f>
              <c:strCache>
                <c:ptCount val="6"/>
                <c:pt idx="0">
                  <c:v>1. Strategy</c:v>
                </c:pt>
                <c:pt idx="1">
                  <c:v>2. Talent and organizational structure</c:v>
                </c:pt>
                <c:pt idx="2">
                  <c:v>3. Competitive positioning</c:v>
                </c:pt>
                <c:pt idx="3">
                  <c:v>4. Operational processes</c:v>
                </c:pt>
                <c:pt idx="4">
                  <c:v>5. Products and value proposition</c:v>
                </c:pt>
                <c:pt idx="5">
                  <c:v>6. Digital</c:v>
                </c:pt>
              </c:strCache>
            </c:strRef>
          </c:cat>
          <c:val>
            <c:numRef>
              <c:f>Results!#REF!</c:f>
              <c:numCache>
                <c:formatCode>General</c:formatCode>
                <c:ptCount val="1"/>
                <c:pt idx="0">
                  <c:v>1</c:v>
                </c:pt>
              </c:numCache>
              <c:extLst xmlns:c15="http://schemas.microsoft.com/office/drawing/2012/chart"/>
            </c:numRef>
          </c:val>
          <c:extLst xmlns:c15="http://schemas.microsoft.com/office/drawing/2012/chart">
            <c:ext xmlns:c16="http://schemas.microsoft.com/office/drawing/2014/chart" uri="{C3380CC4-5D6E-409C-BE32-E72D297353CC}">
              <c16:uniqueId val="{00000000-C541-4ECB-8558-4205FE93FF01}"/>
            </c:ext>
          </c:extLst>
        </c:ser>
        <c:ser>
          <c:idx val="2"/>
          <c:order val="2"/>
          <c:tx>
            <c:v>Max (100%)</c:v>
          </c:tx>
          <c:spPr>
            <a:ln w="28575" cap="rnd">
              <a:solidFill>
                <a:schemeClr val="bg2"/>
              </a:solidFill>
              <a:round/>
            </a:ln>
            <a:effectLst/>
          </c:spPr>
          <c:marker>
            <c:symbol val="none"/>
          </c:marker>
          <c:cat>
            <c:strRef>
              <c:f>Results!$F$20:$F$25</c:f>
              <c:strCache>
                <c:ptCount val="6"/>
                <c:pt idx="0">
                  <c:v>1. Strategy</c:v>
                </c:pt>
                <c:pt idx="1">
                  <c:v>2. Talent and organizational structure</c:v>
                </c:pt>
                <c:pt idx="2">
                  <c:v>3. Competitive positioning</c:v>
                </c:pt>
                <c:pt idx="3">
                  <c:v>4. Operational processes</c:v>
                </c:pt>
                <c:pt idx="4">
                  <c:v>5. Products and value proposition</c:v>
                </c:pt>
                <c:pt idx="5">
                  <c:v>6. Digital</c:v>
                </c:pt>
              </c:strCache>
            </c:strRef>
          </c:cat>
          <c:val>
            <c:numRef>
              <c:f>Results!$I$20:$I$25</c:f>
              <c:numCache>
                <c:formatCode>0%</c:formatCode>
                <c:ptCount val="6"/>
                <c:pt idx="0">
                  <c:v>1</c:v>
                </c:pt>
                <c:pt idx="1">
                  <c:v>1</c:v>
                </c:pt>
                <c:pt idx="2">
                  <c:v>1</c:v>
                </c:pt>
                <c:pt idx="3">
                  <c:v>1</c:v>
                </c:pt>
                <c:pt idx="4">
                  <c:v>1</c:v>
                </c:pt>
                <c:pt idx="5">
                  <c:v>1</c:v>
                </c:pt>
              </c:numCache>
            </c:numRef>
          </c:val>
          <c:extLst xmlns:c15="http://schemas.microsoft.com/office/drawing/2012/chart">
            <c:ext xmlns:c16="http://schemas.microsoft.com/office/drawing/2014/chart" uri="{C3380CC4-5D6E-409C-BE32-E72D297353CC}">
              <c16:uniqueId val="{00000002-C541-4ECB-8558-4205FE93FF01}"/>
            </c:ext>
          </c:extLst>
        </c:ser>
        <c:dLbls>
          <c:showLegendKey val="0"/>
          <c:showVal val="0"/>
          <c:showCatName val="0"/>
          <c:showSerName val="0"/>
          <c:showPercent val="0"/>
          <c:showBubbleSize val="0"/>
        </c:dLbls>
        <c:axId val="402074416"/>
        <c:axId val="402067696"/>
        <c:extLst/>
      </c:radarChart>
      <c:catAx>
        <c:axId val="40207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67696"/>
        <c:crosses val="autoZero"/>
        <c:auto val="1"/>
        <c:lblAlgn val="ctr"/>
        <c:lblOffset val="100"/>
        <c:noMultiLvlLbl val="0"/>
      </c:catAx>
      <c:valAx>
        <c:axId val="4020676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40207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hyperlink" Target="#Results!A1"/><Relationship Id="rId2" Type="http://schemas.openxmlformats.org/officeDocument/2006/relationships/hyperlink" Target="#'Example 1'!A1"/><Relationship Id="rId1" Type="http://schemas.openxmlformats.org/officeDocument/2006/relationships/hyperlink" Target="#Methodology!A1"/></Relationships>
</file>

<file path=xl/drawings/_rels/drawing4.xml.rels><?xml version="1.0" encoding="UTF-8" standalone="yes"?>
<Relationships xmlns="http://schemas.openxmlformats.org/package/2006/relationships"><Relationship Id="rId1" Type="http://schemas.openxmlformats.org/officeDocument/2006/relationships/hyperlink" Target="#'Example 2'!A1"/></Relationships>
</file>

<file path=xl/drawings/_rels/drawing5.xml.rels><?xml version="1.0" encoding="UTF-8" standalone="yes"?>
<Relationships xmlns="http://schemas.openxmlformats.org/package/2006/relationships"><Relationship Id="rId2" Type="http://schemas.openxmlformats.org/officeDocument/2006/relationships/hyperlink" Target="#'Bank diagnostic'!A1"/><Relationship Id="rId1" Type="http://schemas.openxmlformats.org/officeDocument/2006/relationships/hyperlink" Target="#Results!A1"/></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1495425</xdr:colOff>
      <xdr:row>16</xdr:row>
      <xdr:rowOff>188981</xdr:rowOff>
    </xdr:from>
    <xdr:to>
      <xdr:col>3</xdr:col>
      <xdr:colOff>3000375</xdr:colOff>
      <xdr:row>17</xdr:row>
      <xdr:rowOff>295275</xdr:rowOff>
    </xdr:to>
    <xdr:sp macro="" textlink="">
      <xdr:nvSpPr>
        <xdr:cNvPr id="2" name="Rectangle: Rounded Corners 9">
          <a:extLst>
            <a:ext uri="{FF2B5EF4-FFF2-40B4-BE49-F238E27FC236}">
              <a16:creationId xmlns:a16="http://schemas.microsoft.com/office/drawing/2014/main" id="{A55963CC-5566-4438-BD34-126992515510}"/>
            </a:ext>
          </a:extLst>
        </xdr:cNvPr>
        <xdr:cNvSpPr/>
      </xdr:nvSpPr>
      <xdr:spPr>
        <a:xfrm>
          <a:off x="5105400" y="4599056"/>
          <a:ext cx="1504950" cy="344419"/>
        </a:xfrm>
        <a:prstGeom prst="roundRect">
          <a:avLst/>
        </a:prstGeom>
        <a:solidFill>
          <a:schemeClr val="accent2"/>
        </a:solidFill>
        <a:ln>
          <a:solidFill>
            <a:schemeClr val="accent2"/>
          </a:solid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i="1"/>
            <a:t>TA Funders</a:t>
          </a:r>
        </a:p>
      </xdr:txBody>
    </xdr:sp>
    <xdr:clientData/>
  </xdr:twoCellAnchor>
  <xdr:twoCellAnchor editAs="oneCell">
    <xdr:from>
      <xdr:col>2</xdr:col>
      <xdr:colOff>561975</xdr:colOff>
      <xdr:row>3</xdr:row>
      <xdr:rowOff>152400</xdr:rowOff>
    </xdr:from>
    <xdr:to>
      <xdr:col>3</xdr:col>
      <xdr:colOff>2039463</xdr:colOff>
      <xdr:row>6</xdr:row>
      <xdr:rowOff>189253</xdr:rowOff>
    </xdr:to>
    <xdr:pic>
      <xdr:nvPicPr>
        <xdr:cNvPr id="4" name="Afbeelding 13">
          <a:extLst>
            <a:ext uri="{FF2B5EF4-FFF2-40B4-BE49-F238E27FC236}">
              <a16:creationId xmlns:a16="http://schemas.microsoft.com/office/drawing/2014/main" id="{72C03895-532B-4D19-B4EC-3F615404B7D3}"/>
            </a:ext>
          </a:extLst>
        </xdr:cNvPr>
        <xdr:cNvPicPr>
          <a:picLocks noChangeAspect="1"/>
        </xdr:cNvPicPr>
      </xdr:nvPicPr>
      <xdr:blipFill>
        <a:blip xmlns:r="http://schemas.openxmlformats.org/officeDocument/2006/relationships" r:embed="rId1"/>
        <a:srcRect/>
        <a:stretch/>
      </xdr:blipFill>
      <xdr:spPr>
        <a:xfrm>
          <a:off x="2752725" y="866775"/>
          <a:ext cx="2896713" cy="960778"/>
        </a:xfrm>
        <a:prstGeom prst="rect">
          <a:avLst/>
        </a:prstGeom>
      </xdr:spPr>
    </xdr:pic>
    <xdr:clientData/>
  </xdr:twoCellAnchor>
  <xdr:twoCellAnchor>
    <xdr:from>
      <xdr:col>2</xdr:col>
      <xdr:colOff>1314450</xdr:colOff>
      <xdr:row>16</xdr:row>
      <xdr:rowOff>188981</xdr:rowOff>
    </xdr:from>
    <xdr:to>
      <xdr:col>3</xdr:col>
      <xdr:colOff>1400175</xdr:colOff>
      <xdr:row>17</xdr:row>
      <xdr:rowOff>292100</xdr:rowOff>
    </xdr:to>
    <xdr:sp macro="" textlink="">
      <xdr:nvSpPr>
        <xdr:cNvPr id="6" name="Rectangle: Rounded Corners 9">
          <a:extLst>
            <a:ext uri="{FF2B5EF4-FFF2-40B4-BE49-F238E27FC236}">
              <a16:creationId xmlns:a16="http://schemas.microsoft.com/office/drawing/2014/main" id="{711C945E-0E63-4D82-8A2B-D88918B900F3}"/>
            </a:ext>
          </a:extLst>
        </xdr:cNvPr>
        <xdr:cNvSpPr/>
      </xdr:nvSpPr>
      <xdr:spPr>
        <a:xfrm>
          <a:off x="3505200" y="4599056"/>
          <a:ext cx="1504950" cy="341244"/>
        </a:xfrm>
        <a:prstGeom prst="roundRect">
          <a:avLst/>
        </a:prstGeom>
        <a:solidFill>
          <a:schemeClr val="accent2"/>
        </a:solidFill>
        <a:ln>
          <a:solidFill>
            <a:schemeClr val="accent2"/>
          </a:solid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i="1"/>
            <a:t>Banks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573087</xdr:colOff>
      <xdr:row>6</xdr:row>
      <xdr:rowOff>125411</xdr:rowOff>
    </xdr:from>
    <xdr:to>
      <xdr:col>5</xdr:col>
      <xdr:colOff>554037</xdr:colOff>
      <xdr:row>16</xdr:row>
      <xdr:rowOff>76199</xdr:rowOff>
    </xdr:to>
    <xdr:graphicFrame macro="">
      <xdr:nvGraphicFramePr>
        <xdr:cNvPr id="15" name="Chart 17">
          <a:extLst>
            <a:ext uri="{FF2B5EF4-FFF2-40B4-BE49-F238E27FC236}">
              <a16:creationId xmlns:a16="http://schemas.microsoft.com/office/drawing/2014/main" id="{E1B33681-FFF7-6344-7046-80A5F76E5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66676</xdr:colOff>
      <xdr:row>17</xdr:row>
      <xdr:rowOff>481018</xdr:rowOff>
    </xdr:from>
    <xdr:to>
      <xdr:col>6</xdr:col>
      <xdr:colOff>675120</xdr:colOff>
      <xdr:row>19</xdr:row>
      <xdr:rowOff>162425</xdr:rowOff>
    </xdr:to>
    <xdr:sp macro="" textlink="">
      <xdr:nvSpPr>
        <xdr:cNvPr id="476" name="Callout: Line 19">
          <a:extLst>
            <a:ext uri="{FF2B5EF4-FFF2-40B4-BE49-F238E27FC236}">
              <a16:creationId xmlns:a16="http://schemas.microsoft.com/office/drawing/2014/main" id="{A1178906-7203-01FE-BECD-C31CD1BE0CC2}"/>
            </a:ext>
          </a:extLst>
        </xdr:cNvPr>
        <xdr:cNvSpPr/>
      </xdr:nvSpPr>
      <xdr:spPr>
        <a:xfrm>
          <a:off x="4265870" y="5468841"/>
          <a:ext cx="1366347" cy="408584"/>
        </a:xfrm>
        <a:prstGeom prst="borderCallout1">
          <a:avLst>
            <a:gd name="adj1" fmla="val 53145"/>
            <a:gd name="adj2" fmla="val 256"/>
            <a:gd name="adj3" fmla="val 72627"/>
            <a:gd name="adj4" fmla="val -11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t>Replace</a:t>
          </a:r>
          <a:r>
            <a:rPr lang="en-US" sz="1050" b="1" baseline="0"/>
            <a:t> data</a:t>
          </a:r>
          <a:endParaRPr lang="en-US" sz="1050" b="1"/>
        </a:p>
      </xdr:txBody>
    </xdr:sp>
    <xdr:clientData/>
  </xdr:twoCellAnchor>
  <xdr:twoCellAnchor>
    <xdr:from>
      <xdr:col>12</xdr:col>
      <xdr:colOff>66676</xdr:colOff>
      <xdr:row>46</xdr:row>
      <xdr:rowOff>431268</xdr:rowOff>
    </xdr:from>
    <xdr:to>
      <xdr:col>13</xdr:col>
      <xdr:colOff>675120</xdr:colOff>
      <xdr:row>48</xdr:row>
      <xdr:rowOff>112675</xdr:rowOff>
    </xdr:to>
    <xdr:sp macro="" textlink="">
      <xdr:nvSpPr>
        <xdr:cNvPr id="475" name="Callout: Line 20">
          <a:extLst>
            <a:ext uri="{FF2B5EF4-FFF2-40B4-BE49-F238E27FC236}">
              <a16:creationId xmlns:a16="http://schemas.microsoft.com/office/drawing/2014/main" id="{C1B6E0B6-3D57-4A08-B9CE-FFD18D0B05CC}"/>
            </a:ext>
          </a:extLst>
        </xdr:cNvPr>
        <xdr:cNvSpPr/>
      </xdr:nvSpPr>
      <xdr:spPr>
        <a:xfrm>
          <a:off x="9571192" y="12127558"/>
          <a:ext cx="1366347" cy="408585"/>
        </a:xfrm>
        <a:prstGeom prst="borderCallout1">
          <a:avLst>
            <a:gd name="adj1" fmla="val 53145"/>
            <a:gd name="adj2" fmla="val 256"/>
            <a:gd name="adj3" fmla="val 72627"/>
            <a:gd name="adj4" fmla="val -11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t>Replace</a:t>
          </a:r>
          <a:r>
            <a:rPr lang="en-US" sz="1050" b="1" baseline="0"/>
            <a:t> data</a:t>
          </a:r>
          <a:endParaRPr lang="en-US" sz="1050" b="1"/>
        </a:p>
      </xdr:txBody>
    </xdr:sp>
    <xdr:clientData/>
  </xdr:twoCellAnchor>
  <xdr:twoCellAnchor>
    <xdr:from>
      <xdr:col>8</xdr:col>
      <xdr:colOff>257213</xdr:colOff>
      <xdr:row>35</xdr:row>
      <xdr:rowOff>126650</xdr:rowOff>
    </xdr:from>
    <xdr:to>
      <xdr:col>12</xdr:col>
      <xdr:colOff>638213</xdr:colOff>
      <xdr:row>45</xdr:row>
      <xdr:rowOff>78136</xdr:rowOff>
    </xdr:to>
    <xdr:graphicFrame macro="">
      <xdr:nvGraphicFramePr>
        <xdr:cNvPr id="14" name="Chart 21">
          <a:extLst>
            <a:ext uri="{FF2B5EF4-FFF2-40B4-BE49-F238E27FC236}">
              <a16:creationId xmlns:a16="http://schemas.microsoft.com/office/drawing/2014/main" id="{5EA4736C-53E3-F22E-4295-C6AA2F17B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142924</xdr:colOff>
      <xdr:row>24</xdr:row>
      <xdr:rowOff>56784</xdr:rowOff>
    </xdr:from>
    <xdr:to>
      <xdr:col>4</xdr:col>
      <xdr:colOff>752524</xdr:colOff>
      <xdr:row>25</xdr:row>
      <xdr:rowOff>84275</xdr:rowOff>
    </xdr:to>
    <xdr:sp macro="" textlink="">
      <xdr:nvSpPr>
        <xdr:cNvPr id="489" name="Isosceles Triangle 22">
          <a:extLst>
            <a:ext uri="{FF2B5EF4-FFF2-40B4-BE49-F238E27FC236}">
              <a16:creationId xmlns:a16="http://schemas.microsoft.com/office/drawing/2014/main" id="{5F26FBF1-E04C-4329-83C0-B47AB84334FD}"/>
            </a:ext>
          </a:extLst>
        </xdr:cNvPr>
        <xdr:cNvSpPr/>
      </xdr:nvSpPr>
      <xdr:spPr>
        <a:xfrm flipV="1">
          <a:off x="1658730" y="6918881"/>
          <a:ext cx="2330246" cy="252813"/>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373062</xdr:colOff>
      <xdr:row>35</xdr:row>
      <xdr:rowOff>123665</xdr:rowOff>
    </xdr:from>
    <xdr:to>
      <xdr:col>5</xdr:col>
      <xdr:colOff>754062</xdr:colOff>
      <xdr:row>45</xdr:row>
      <xdr:rowOff>77945</xdr:rowOff>
    </xdr:to>
    <xdr:graphicFrame macro="">
      <xdr:nvGraphicFramePr>
        <xdr:cNvPr id="13" name="Chart 23">
          <a:extLst>
            <a:ext uri="{FF2B5EF4-FFF2-40B4-BE49-F238E27FC236}">
              <a16:creationId xmlns:a16="http://schemas.microsoft.com/office/drawing/2014/main" id="{C3AE5139-045D-DFA1-589C-C1DB196D5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271879</xdr:colOff>
      <xdr:row>55</xdr:row>
      <xdr:rowOff>46933</xdr:rowOff>
    </xdr:from>
    <xdr:to>
      <xdr:col>12</xdr:col>
      <xdr:colOff>623546</xdr:colOff>
      <xdr:row>60</xdr:row>
      <xdr:rowOff>200479</xdr:rowOff>
    </xdr:to>
    <xdr:sp macro="" textlink="">
      <xdr:nvSpPr>
        <xdr:cNvPr id="478" name="Rectangle 25">
          <a:extLst>
            <a:ext uri="{FF2B5EF4-FFF2-40B4-BE49-F238E27FC236}">
              <a16:creationId xmlns:a16="http://schemas.microsoft.com/office/drawing/2014/main" id="{C152E518-BA77-8E86-A8ED-B061259A8524}"/>
            </a:ext>
          </a:extLst>
        </xdr:cNvPr>
        <xdr:cNvSpPr/>
      </xdr:nvSpPr>
      <xdr:spPr>
        <a:xfrm>
          <a:off x="6744782" y="14057901"/>
          <a:ext cx="3383280" cy="1280159"/>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tx1"/>
              </a:solidFill>
            </a:rPr>
            <a:t>Review the </a:t>
          </a:r>
          <a:r>
            <a:rPr lang="en-US" sz="1050" b="1">
              <a:solidFill>
                <a:schemeClr val="tx1"/>
              </a:solidFill>
            </a:rPr>
            <a:t>"Processes" </a:t>
          </a:r>
          <a:r>
            <a:rPr lang="en-US" sz="1050">
              <a:solidFill>
                <a:schemeClr val="tx1"/>
              </a:solidFill>
            </a:rPr>
            <a:t>section of the Bank Diagnostic to understand potential internal constraints or</a:t>
          </a:r>
          <a:r>
            <a:rPr lang="en-US" sz="1050" baseline="0">
              <a:solidFill>
                <a:schemeClr val="tx1"/>
              </a:solidFill>
            </a:rPr>
            <a:t> areas of improvement for growth</a:t>
          </a:r>
        </a:p>
        <a:p>
          <a:pPr algn="ctr"/>
          <a:endParaRPr lang="en-US" sz="1050" baseline="0">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50" b="1">
              <a:solidFill>
                <a:schemeClr val="tx1"/>
              </a:solidFill>
              <a:effectLst/>
              <a:latin typeface="+mn-lt"/>
              <a:ea typeface="+mn-ea"/>
              <a:cs typeface="+mn-cs"/>
            </a:rPr>
            <a:t>Best-in-class</a:t>
          </a:r>
          <a:r>
            <a:rPr lang="en-US" sz="1050" b="1" baseline="0">
              <a:solidFill>
                <a:schemeClr val="tx1"/>
              </a:solidFill>
              <a:effectLst/>
              <a:latin typeface="+mn-lt"/>
              <a:ea typeface="+mn-ea"/>
              <a:cs typeface="+mn-cs"/>
            </a:rPr>
            <a:t> benchmark in LMICs: </a:t>
          </a:r>
          <a:r>
            <a:rPr lang="en-US" sz="1050" baseline="0">
              <a:solidFill>
                <a:schemeClr val="tx1"/>
              </a:solidFill>
              <a:effectLst/>
              <a:latin typeface="+mn-lt"/>
              <a:ea typeface="+mn-ea"/>
              <a:cs typeface="+mn-cs"/>
            </a:rPr>
            <a:t>NPL under 3%</a:t>
          </a:r>
          <a:endParaRPr lang="en-US" sz="1050">
            <a:solidFill>
              <a:schemeClr val="tx1"/>
            </a:solidFill>
            <a:effectLst/>
          </a:endParaRPr>
        </a:p>
      </xdr:txBody>
    </xdr:sp>
    <xdr:clientData/>
  </xdr:twoCellAnchor>
  <xdr:twoCellAnchor>
    <xdr:from>
      <xdr:col>8</xdr:col>
      <xdr:colOff>741817</xdr:colOff>
      <xdr:row>53</xdr:row>
      <xdr:rowOff>15998</xdr:rowOff>
    </xdr:from>
    <xdr:to>
      <xdr:col>12</xdr:col>
      <xdr:colOff>48013</xdr:colOff>
      <xdr:row>54</xdr:row>
      <xdr:rowOff>46664</xdr:rowOff>
    </xdr:to>
    <xdr:sp macro="" textlink="">
      <xdr:nvSpPr>
        <xdr:cNvPr id="488" name="Isosceles Triangle 26">
          <a:extLst>
            <a:ext uri="{FF2B5EF4-FFF2-40B4-BE49-F238E27FC236}">
              <a16:creationId xmlns:a16="http://schemas.microsoft.com/office/drawing/2014/main" id="{52049200-78B8-40D0-AE24-8B63FAC4F8CA}"/>
            </a:ext>
          </a:extLst>
        </xdr:cNvPr>
        <xdr:cNvSpPr/>
      </xdr:nvSpPr>
      <xdr:spPr>
        <a:xfrm flipV="1">
          <a:off x="7214720" y="13576321"/>
          <a:ext cx="2337809" cy="255988"/>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463313</xdr:colOff>
      <xdr:row>26</xdr:row>
      <xdr:rowOff>26780</xdr:rowOff>
    </xdr:from>
    <xdr:to>
      <xdr:col>5</xdr:col>
      <xdr:colOff>402127</xdr:colOff>
      <xdr:row>32</xdr:row>
      <xdr:rowOff>94500</xdr:rowOff>
    </xdr:to>
    <xdr:sp macro="" textlink="">
      <xdr:nvSpPr>
        <xdr:cNvPr id="477" name="Rectangle 27">
          <a:extLst>
            <a:ext uri="{FF2B5EF4-FFF2-40B4-BE49-F238E27FC236}">
              <a16:creationId xmlns:a16="http://schemas.microsoft.com/office/drawing/2014/main" id="{4075BC97-87AA-4185-BDD6-2C05E48F8A23}"/>
            </a:ext>
          </a:extLst>
        </xdr:cNvPr>
        <xdr:cNvSpPr/>
      </xdr:nvSpPr>
      <xdr:spPr>
        <a:xfrm>
          <a:off x="1221216" y="7339522"/>
          <a:ext cx="3380105" cy="128651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effectLst/>
              <a:latin typeface="+mn-lt"/>
              <a:ea typeface="+mn-ea"/>
              <a:cs typeface="+mn-cs"/>
            </a:rPr>
            <a:t>Review the "</a:t>
          </a:r>
          <a:r>
            <a:rPr lang="en-US" sz="1100" b="1">
              <a:solidFill>
                <a:schemeClr val="tx1"/>
              </a:solidFill>
              <a:effectLst/>
              <a:latin typeface="+mn-lt"/>
              <a:ea typeface="+mn-ea"/>
              <a:cs typeface="+mn-cs"/>
            </a:rPr>
            <a:t>Competitive positioning", "</a:t>
          </a:r>
          <a:r>
            <a:rPr lang="en-US" sz="1100" b="1" baseline="0">
              <a:solidFill>
                <a:schemeClr val="tx1"/>
              </a:solidFill>
              <a:effectLst/>
              <a:latin typeface="+mn-lt"/>
              <a:ea typeface="+mn-ea"/>
              <a:cs typeface="+mn-cs"/>
            </a:rPr>
            <a:t>Processes", and "Product" </a:t>
          </a:r>
          <a:r>
            <a:rPr lang="en-US" sz="1100" b="0" baseline="0">
              <a:solidFill>
                <a:schemeClr val="tx1"/>
              </a:solidFill>
              <a:effectLst/>
              <a:latin typeface="+mn-lt"/>
              <a:ea typeface="+mn-ea"/>
              <a:cs typeface="+mn-cs"/>
            </a:rPr>
            <a:t>sections</a:t>
          </a:r>
          <a:r>
            <a:rPr lang="en-US" sz="1100" b="1" baseline="0">
              <a:solidFill>
                <a:schemeClr val="tx1"/>
              </a:solidFill>
              <a:effectLst/>
              <a:latin typeface="+mn-lt"/>
              <a:ea typeface="+mn-ea"/>
              <a:cs typeface="+mn-cs"/>
            </a:rPr>
            <a:t> </a:t>
          </a:r>
          <a:r>
            <a:rPr lang="en-US" sz="1100">
              <a:solidFill>
                <a:schemeClr val="tx1"/>
              </a:solidFill>
              <a:effectLst/>
              <a:latin typeface="+mn-lt"/>
              <a:ea typeface="+mn-ea"/>
              <a:cs typeface="+mn-cs"/>
            </a:rPr>
            <a:t>to understand what the main drivers of portfolio</a:t>
          </a:r>
          <a:r>
            <a:rPr lang="en-US" sz="1100" baseline="0">
              <a:solidFill>
                <a:schemeClr val="tx1"/>
              </a:solidFill>
              <a:effectLst/>
              <a:latin typeface="+mn-lt"/>
              <a:ea typeface="+mn-ea"/>
              <a:cs typeface="+mn-cs"/>
            </a:rPr>
            <a:t> size and growth are</a:t>
          </a:r>
          <a:endParaRPr lang="en-US" sz="1050">
            <a:solidFill>
              <a:schemeClr val="tx1"/>
            </a:solidFill>
            <a:effectLst/>
          </a:endParaRPr>
        </a:p>
      </xdr:txBody>
    </xdr:sp>
    <xdr:clientData/>
  </xdr:twoCellAnchor>
  <xdr:twoCellAnchor>
    <xdr:from>
      <xdr:col>1</xdr:col>
      <xdr:colOff>466488</xdr:colOff>
      <xdr:row>55</xdr:row>
      <xdr:rowOff>46932</xdr:rowOff>
    </xdr:from>
    <xdr:to>
      <xdr:col>5</xdr:col>
      <xdr:colOff>398952</xdr:colOff>
      <xdr:row>60</xdr:row>
      <xdr:rowOff>200479</xdr:rowOff>
    </xdr:to>
    <xdr:sp macro="" textlink="">
      <xdr:nvSpPr>
        <xdr:cNvPr id="479" name="Rectangle 28">
          <a:extLst>
            <a:ext uri="{FF2B5EF4-FFF2-40B4-BE49-F238E27FC236}">
              <a16:creationId xmlns:a16="http://schemas.microsoft.com/office/drawing/2014/main" id="{5A4FED2B-DC92-4857-9418-B1E39C47345F}"/>
            </a:ext>
          </a:extLst>
        </xdr:cNvPr>
        <xdr:cNvSpPr/>
      </xdr:nvSpPr>
      <xdr:spPr>
        <a:xfrm>
          <a:off x="1224391" y="14057900"/>
          <a:ext cx="3373755" cy="128016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tx1"/>
              </a:solidFill>
            </a:rPr>
            <a:t>Review the </a:t>
          </a:r>
          <a:r>
            <a:rPr lang="en-US" sz="1050" b="1">
              <a:solidFill>
                <a:schemeClr val="tx1"/>
              </a:solidFill>
            </a:rPr>
            <a:t>"SME offerings" </a:t>
          </a:r>
          <a:r>
            <a:rPr lang="en-US" sz="1050">
              <a:solidFill>
                <a:schemeClr val="tx1"/>
              </a:solidFill>
            </a:rPr>
            <a:t>subsection and the relationship management indicator (4.3) of the Bank Diagnostic to understand what is driving or inhibiting client engagement and loyalty</a:t>
          </a:r>
        </a:p>
        <a:p>
          <a:pPr algn="ctr"/>
          <a:endParaRPr lang="en-US" sz="1050" b="1">
            <a:solidFill>
              <a:schemeClr val="tx1"/>
            </a:solidFill>
          </a:endParaRPr>
        </a:p>
        <a:p>
          <a:pPr algn="ctr"/>
          <a:r>
            <a:rPr lang="en-US" sz="1050" b="1">
              <a:solidFill>
                <a:schemeClr val="tx1"/>
              </a:solidFill>
            </a:rPr>
            <a:t>Best-in-class</a:t>
          </a:r>
          <a:r>
            <a:rPr lang="en-US" sz="1050" b="1" baseline="0">
              <a:solidFill>
                <a:schemeClr val="tx1"/>
              </a:solidFill>
            </a:rPr>
            <a:t> benchmark in LMICs: </a:t>
          </a:r>
          <a:r>
            <a:rPr lang="en-US" sz="1050" baseline="0">
              <a:solidFill>
                <a:schemeClr val="tx1"/>
              </a:solidFill>
            </a:rPr>
            <a:t>NPS of +40 to +60</a:t>
          </a:r>
          <a:endParaRPr lang="en-US" sz="1050">
            <a:solidFill>
              <a:schemeClr val="tx1"/>
            </a:solidFill>
          </a:endParaRPr>
        </a:p>
      </xdr:txBody>
    </xdr:sp>
    <xdr:clientData/>
  </xdr:twoCellAnchor>
  <xdr:twoCellAnchor>
    <xdr:from>
      <xdr:col>1</xdr:col>
      <xdr:colOff>754529</xdr:colOff>
      <xdr:row>53</xdr:row>
      <xdr:rowOff>6473</xdr:rowOff>
    </xdr:from>
    <xdr:to>
      <xdr:col>5</xdr:col>
      <xdr:colOff>44851</xdr:colOff>
      <xdr:row>54</xdr:row>
      <xdr:rowOff>46664</xdr:rowOff>
    </xdr:to>
    <xdr:sp macro="" textlink="">
      <xdr:nvSpPr>
        <xdr:cNvPr id="487" name="Isosceles Triangle 29">
          <a:extLst>
            <a:ext uri="{FF2B5EF4-FFF2-40B4-BE49-F238E27FC236}">
              <a16:creationId xmlns:a16="http://schemas.microsoft.com/office/drawing/2014/main" id="{136EAAD9-897B-4033-9CFE-C05FF07CC976}"/>
            </a:ext>
          </a:extLst>
        </xdr:cNvPr>
        <xdr:cNvSpPr/>
      </xdr:nvSpPr>
      <xdr:spPr>
        <a:xfrm flipV="1">
          <a:off x="1512432" y="13566796"/>
          <a:ext cx="2731613" cy="265513"/>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250672</xdr:colOff>
      <xdr:row>6</xdr:row>
      <xdr:rowOff>126982</xdr:rowOff>
    </xdr:from>
    <xdr:to>
      <xdr:col>12</xdr:col>
      <xdr:colOff>632825</xdr:colOff>
      <xdr:row>16</xdr:row>
      <xdr:rowOff>77803</xdr:rowOff>
    </xdr:to>
    <xdr:graphicFrame macro="">
      <xdr:nvGraphicFramePr>
        <xdr:cNvPr id="20" name="Chart 31">
          <a:extLst>
            <a:ext uri="{FF2B5EF4-FFF2-40B4-BE49-F238E27FC236}">
              <a16:creationId xmlns:a16="http://schemas.microsoft.com/office/drawing/2014/main" id="{A5303390-9C80-95F3-FDF2-DCBAB9212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74829</xdr:colOff>
      <xdr:row>46</xdr:row>
      <xdr:rowOff>432995</xdr:rowOff>
    </xdr:from>
    <xdr:to>
      <xdr:col>6</xdr:col>
      <xdr:colOff>679382</xdr:colOff>
      <xdr:row>48</xdr:row>
      <xdr:rowOff>110947</xdr:rowOff>
    </xdr:to>
    <xdr:sp macro="" textlink="">
      <xdr:nvSpPr>
        <xdr:cNvPr id="474" name="Callout: Line 32">
          <a:extLst>
            <a:ext uri="{FF2B5EF4-FFF2-40B4-BE49-F238E27FC236}">
              <a16:creationId xmlns:a16="http://schemas.microsoft.com/office/drawing/2014/main" id="{342D1D17-4CFB-49CE-BD11-3CFD34E58A32}"/>
            </a:ext>
          </a:extLst>
        </xdr:cNvPr>
        <xdr:cNvSpPr/>
      </xdr:nvSpPr>
      <xdr:spPr>
        <a:xfrm>
          <a:off x="4274023" y="12129285"/>
          <a:ext cx="1362456" cy="405130"/>
        </a:xfrm>
        <a:prstGeom prst="borderCallout1">
          <a:avLst>
            <a:gd name="adj1" fmla="val 53145"/>
            <a:gd name="adj2" fmla="val 256"/>
            <a:gd name="adj3" fmla="val 72627"/>
            <a:gd name="adj4" fmla="val -11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t>Replace</a:t>
          </a:r>
          <a:r>
            <a:rPr lang="en-US" sz="1050" b="1" baseline="0"/>
            <a:t> data</a:t>
          </a:r>
          <a:endParaRPr lang="en-US" sz="1050" b="1"/>
        </a:p>
      </xdr:txBody>
    </xdr:sp>
    <xdr:clientData/>
  </xdr:twoCellAnchor>
  <xdr:twoCellAnchor>
    <xdr:from>
      <xdr:col>12</xdr:col>
      <xdr:colOff>65131</xdr:colOff>
      <xdr:row>17</xdr:row>
      <xdr:rowOff>479431</xdr:rowOff>
    </xdr:from>
    <xdr:to>
      <xdr:col>13</xdr:col>
      <xdr:colOff>712831</xdr:colOff>
      <xdr:row>19</xdr:row>
      <xdr:rowOff>164013</xdr:rowOff>
    </xdr:to>
    <xdr:sp macro="" textlink="">
      <xdr:nvSpPr>
        <xdr:cNvPr id="473" name="Callout: Line 33">
          <a:extLst>
            <a:ext uri="{FF2B5EF4-FFF2-40B4-BE49-F238E27FC236}">
              <a16:creationId xmlns:a16="http://schemas.microsoft.com/office/drawing/2014/main" id="{3F6864B9-A207-4A59-8318-5BA643B0CE45}"/>
            </a:ext>
          </a:extLst>
        </xdr:cNvPr>
        <xdr:cNvSpPr/>
      </xdr:nvSpPr>
      <xdr:spPr>
        <a:xfrm>
          <a:off x="14874970" y="5467254"/>
          <a:ext cx="1405603" cy="411759"/>
        </a:xfrm>
        <a:prstGeom prst="borderCallout1">
          <a:avLst>
            <a:gd name="adj1" fmla="val 53145"/>
            <a:gd name="adj2" fmla="val 256"/>
            <a:gd name="adj3" fmla="val 72627"/>
            <a:gd name="adj4" fmla="val -11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t>Replace</a:t>
          </a:r>
          <a:r>
            <a:rPr lang="en-US" sz="1050" b="1" baseline="0"/>
            <a:t> data</a:t>
          </a:r>
          <a:endParaRPr lang="en-US" sz="1050" b="1"/>
        </a:p>
      </xdr:txBody>
    </xdr:sp>
    <xdr:clientData/>
  </xdr:twoCellAnchor>
  <xdr:twoCellAnchor>
    <xdr:from>
      <xdr:col>8</xdr:col>
      <xdr:colOff>267503</xdr:colOff>
      <xdr:row>26</xdr:row>
      <xdr:rowOff>29955</xdr:rowOff>
    </xdr:from>
    <xdr:to>
      <xdr:col>12</xdr:col>
      <xdr:colOff>619170</xdr:colOff>
      <xdr:row>32</xdr:row>
      <xdr:rowOff>97675</xdr:rowOff>
    </xdr:to>
    <xdr:sp macro="" textlink="">
      <xdr:nvSpPr>
        <xdr:cNvPr id="505" name="Rectangle 34">
          <a:extLst>
            <a:ext uri="{FF2B5EF4-FFF2-40B4-BE49-F238E27FC236}">
              <a16:creationId xmlns:a16="http://schemas.microsoft.com/office/drawing/2014/main" id="{D3B4441F-5BED-4096-B230-A0DCE6E1B583}"/>
            </a:ext>
          </a:extLst>
        </xdr:cNvPr>
        <xdr:cNvSpPr/>
      </xdr:nvSpPr>
      <xdr:spPr>
        <a:xfrm>
          <a:off x="12045729" y="7342697"/>
          <a:ext cx="3383280" cy="128651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tx1"/>
              </a:solidFill>
            </a:rPr>
            <a:t>Review the </a:t>
          </a:r>
          <a:r>
            <a:rPr lang="en-US" sz="1050" b="1">
              <a:solidFill>
                <a:schemeClr val="tx1"/>
              </a:solidFill>
            </a:rPr>
            <a:t>overall </a:t>
          </a:r>
          <a:r>
            <a:rPr lang="en-US" sz="1050">
              <a:solidFill>
                <a:schemeClr val="tx1"/>
              </a:solidFill>
            </a:rPr>
            <a:t>Bank Diagnostic to understand what are the main drivers of SME revenue</a:t>
          </a:r>
        </a:p>
      </xdr:txBody>
    </xdr:sp>
    <xdr:clientData/>
  </xdr:twoCellAnchor>
  <xdr:twoCellAnchor>
    <xdr:from>
      <xdr:col>9</xdr:col>
      <xdr:colOff>39146</xdr:colOff>
      <xdr:row>24</xdr:row>
      <xdr:rowOff>93232</xdr:rowOff>
    </xdr:from>
    <xdr:to>
      <xdr:col>12</xdr:col>
      <xdr:colOff>86449</xdr:colOff>
      <xdr:row>25</xdr:row>
      <xdr:rowOff>112454</xdr:rowOff>
    </xdr:to>
    <xdr:sp macro="" textlink="">
      <xdr:nvSpPr>
        <xdr:cNvPr id="504" name="Isosceles Triangle 35">
          <a:extLst>
            <a:ext uri="{FF2B5EF4-FFF2-40B4-BE49-F238E27FC236}">
              <a16:creationId xmlns:a16="http://schemas.microsoft.com/office/drawing/2014/main" id="{F6711CAE-2236-41B4-973E-D14C35769127}"/>
            </a:ext>
          </a:extLst>
        </xdr:cNvPr>
        <xdr:cNvSpPr/>
      </xdr:nvSpPr>
      <xdr:spPr>
        <a:xfrm flipV="1">
          <a:off x="12575275" y="6955329"/>
          <a:ext cx="2321013" cy="244544"/>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257361</xdr:colOff>
      <xdr:row>6</xdr:row>
      <xdr:rowOff>63500</xdr:rowOff>
    </xdr:from>
    <xdr:to>
      <xdr:col>19</xdr:col>
      <xdr:colOff>638064</xdr:colOff>
      <xdr:row>16</xdr:row>
      <xdr:rowOff>20360</xdr:rowOff>
    </xdr:to>
    <xdr:graphicFrame macro="">
      <xdr:nvGraphicFramePr>
        <xdr:cNvPr id="50" name="Chart 36">
          <a:extLst>
            <a:ext uri="{FF2B5EF4-FFF2-40B4-BE49-F238E27FC236}">
              <a16:creationId xmlns:a16="http://schemas.microsoft.com/office/drawing/2014/main" id="{1A57131B-08B7-F489-DADA-8270A0E14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254572</xdr:colOff>
      <xdr:row>35</xdr:row>
      <xdr:rowOff>77207</xdr:rowOff>
    </xdr:from>
    <xdr:to>
      <xdr:col>19</xdr:col>
      <xdr:colOff>628925</xdr:colOff>
      <xdr:row>45</xdr:row>
      <xdr:rowOff>27717</xdr:rowOff>
    </xdr:to>
    <xdr:graphicFrame macro="">
      <xdr:nvGraphicFramePr>
        <xdr:cNvPr id="51" name="Chart 37">
          <a:extLst>
            <a:ext uri="{FF2B5EF4-FFF2-40B4-BE49-F238E27FC236}">
              <a16:creationId xmlns:a16="http://schemas.microsoft.com/office/drawing/2014/main" id="{B4E64668-07D4-A222-F2FB-A5B613D18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275054</xdr:colOff>
      <xdr:row>26</xdr:row>
      <xdr:rowOff>31543</xdr:rowOff>
    </xdr:from>
    <xdr:to>
      <xdr:col>19</xdr:col>
      <xdr:colOff>620371</xdr:colOff>
      <xdr:row>32</xdr:row>
      <xdr:rowOff>96088</xdr:rowOff>
    </xdr:to>
    <xdr:sp macro="" textlink="">
      <xdr:nvSpPr>
        <xdr:cNvPr id="481" name="Rectangle 38">
          <a:extLst>
            <a:ext uri="{FF2B5EF4-FFF2-40B4-BE49-F238E27FC236}">
              <a16:creationId xmlns:a16="http://schemas.microsoft.com/office/drawing/2014/main" id="{4C758BFA-48BA-4695-945F-29CE357100DD}"/>
            </a:ext>
          </a:extLst>
        </xdr:cNvPr>
        <xdr:cNvSpPr/>
      </xdr:nvSpPr>
      <xdr:spPr>
        <a:xfrm>
          <a:off x="6747957" y="7344285"/>
          <a:ext cx="3376930" cy="128333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tx1"/>
              </a:solidFill>
            </a:rPr>
            <a:t>Review the </a:t>
          </a:r>
          <a:r>
            <a:rPr lang="en-US" sz="1050" b="1">
              <a:solidFill>
                <a:schemeClr val="tx1"/>
              </a:solidFill>
            </a:rPr>
            <a:t>overall </a:t>
          </a:r>
          <a:r>
            <a:rPr lang="en-US" sz="1050">
              <a:solidFill>
                <a:schemeClr val="tx1"/>
              </a:solidFill>
            </a:rPr>
            <a:t>Bank Diagnostic to understand what are the main drivers of</a:t>
          </a:r>
          <a:r>
            <a:rPr lang="en-US" sz="1050" baseline="0">
              <a:solidFill>
                <a:schemeClr val="tx1"/>
              </a:solidFill>
            </a:rPr>
            <a:t> efficiency</a:t>
          </a:r>
          <a:endParaRPr lang="en-US" sz="1050">
            <a:solidFill>
              <a:schemeClr val="tx1"/>
            </a:solidFill>
          </a:endParaRPr>
        </a:p>
      </xdr:txBody>
    </xdr:sp>
    <xdr:clientData/>
  </xdr:twoCellAnchor>
  <xdr:twoCellAnchor>
    <xdr:from>
      <xdr:col>16</xdr:col>
      <xdr:colOff>45110</xdr:colOff>
      <xdr:row>24</xdr:row>
      <xdr:rowOff>59331</xdr:rowOff>
    </xdr:from>
    <xdr:to>
      <xdr:col>19</xdr:col>
      <xdr:colOff>86063</xdr:colOff>
      <xdr:row>25</xdr:row>
      <xdr:rowOff>84903</xdr:rowOff>
    </xdr:to>
    <xdr:sp macro="" textlink="">
      <xdr:nvSpPr>
        <xdr:cNvPr id="484" name="Isosceles Triangle 39">
          <a:extLst>
            <a:ext uri="{FF2B5EF4-FFF2-40B4-BE49-F238E27FC236}">
              <a16:creationId xmlns:a16="http://schemas.microsoft.com/office/drawing/2014/main" id="{870518C3-6C59-4345-B644-721961ADB5B5}"/>
            </a:ext>
          </a:extLst>
        </xdr:cNvPr>
        <xdr:cNvSpPr/>
      </xdr:nvSpPr>
      <xdr:spPr>
        <a:xfrm flipV="1">
          <a:off x="7275916" y="6921428"/>
          <a:ext cx="2314663" cy="250894"/>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269090</xdr:colOff>
      <xdr:row>55</xdr:row>
      <xdr:rowOff>46932</xdr:rowOff>
    </xdr:from>
    <xdr:to>
      <xdr:col>19</xdr:col>
      <xdr:colOff>614407</xdr:colOff>
      <xdr:row>60</xdr:row>
      <xdr:rowOff>200479</xdr:rowOff>
    </xdr:to>
    <xdr:sp macro="" textlink="">
      <xdr:nvSpPr>
        <xdr:cNvPr id="508" name="Rectangle 40">
          <a:extLst>
            <a:ext uri="{FF2B5EF4-FFF2-40B4-BE49-F238E27FC236}">
              <a16:creationId xmlns:a16="http://schemas.microsoft.com/office/drawing/2014/main" id="{AE83D4B9-CAC2-47DA-9A15-FEB1616B185A}"/>
            </a:ext>
          </a:extLst>
        </xdr:cNvPr>
        <xdr:cNvSpPr/>
      </xdr:nvSpPr>
      <xdr:spPr>
        <a:xfrm>
          <a:off x="12047316" y="14057900"/>
          <a:ext cx="3376930" cy="128016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effectLst/>
              <a:latin typeface="+mn-lt"/>
              <a:ea typeface="+mn-ea"/>
              <a:cs typeface="+mn-cs"/>
            </a:rPr>
            <a:t>Review the </a:t>
          </a:r>
          <a:r>
            <a:rPr lang="en-US" sz="1100" b="1">
              <a:solidFill>
                <a:schemeClr val="tx1"/>
              </a:solidFill>
              <a:effectLst/>
              <a:latin typeface="+mn-lt"/>
              <a:ea typeface="+mn-ea"/>
              <a:cs typeface="+mn-cs"/>
            </a:rPr>
            <a:t>"Talent</a:t>
          </a:r>
          <a:r>
            <a:rPr lang="en-US" sz="1100" b="1" baseline="0">
              <a:solidFill>
                <a:schemeClr val="tx1"/>
              </a:solidFill>
              <a:effectLst/>
              <a:latin typeface="+mn-lt"/>
              <a:ea typeface="+mn-ea"/>
              <a:cs typeface="+mn-cs"/>
            </a:rPr>
            <a:t> and organizational structure</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and the </a:t>
          </a:r>
          <a:r>
            <a:rPr lang="en-US" sz="1100" b="1">
              <a:solidFill>
                <a:schemeClr val="tx1"/>
              </a:solidFill>
              <a:effectLst/>
              <a:latin typeface="+mn-lt"/>
              <a:ea typeface="+mn-ea"/>
              <a:cs typeface="+mn-cs"/>
            </a:rPr>
            <a:t>"Processes" </a:t>
          </a:r>
          <a:r>
            <a:rPr lang="en-US" sz="1100">
              <a:solidFill>
                <a:schemeClr val="tx1"/>
              </a:solidFill>
              <a:effectLst/>
              <a:latin typeface="+mn-lt"/>
              <a:ea typeface="+mn-ea"/>
              <a:cs typeface="+mn-cs"/>
            </a:rPr>
            <a:t>sections of the Bank Diagnostic to understand what is driving or inhibiting client engagement and loyalty</a:t>
          </a:r>
        </a:p>
        <a:p>
          <a:pPr algn="ctr"/>
          <a:endParaRPr lang="en-US" sz="110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Best-in-class</a:t>
          </a:r>
          <a:r>
            <a:rPr lang="en-US" sz="1100" b="1" baseline="0">
              <a:solidFill>
                <a:schemeClr val="tx1"/>
              </a:solidFill>
              <a:effectLst/>
              <a:latin typeface="+mn-lt"/>
              <a:ea typeface="+mn-ea"/>
              <a:cs typeface="+mn-cs"/>
            </a:rPr>
            <a:t> benchmark in LMICs: </a:t>
          </a:r>
          <a:r>
            <a:rPr lang="en-US" sz="1100" baseline="0">
              <a:solidFill>
                <a:schemeClr val="tx1"/>
              </a:solidFill>
              <a:effectLst/>
              <a:latin typeface="+mn-lt"/>
              <a:ea typeface="+mn-ea"/>
              <a:cs typeface="+mn-cs"/>
            </a:rPr>
            <a:t>100-150 active loans per officer</a:t>
          </a:r>
          <a:endParaRPr lang="en-US" sz="1050">
            <a:solidFill>
              <a:schemeClr val="tx1"/>
            </a:solidFill>
            <a:effectLst/>
          </a:endParaRPr>
        </a:p>
      </xdr:txBody>
    </xdr:sp>
    <xdr:clientData/>
  </xdr:twoCellAnchor>
  <xdr:twoCellAnchor>
    <xdr:from>
      <xdr:col>16</xdr:col>
      <xdr:colOff>11134</xdr:colOff>
      <xdr:row>53</xdr:row>
      <xdr:rowOff>20132</xdr:rowOff>
    </xdr:from>
    <xdr:to>
      <xdr:col>19</xdr:col>
      <xdr:colOff>59359</xdr:colOff>
      <xdr:row>54</xdr:row>
      <xdr:rowOff>39354</xdr:rowOff>
    </xdr:to>
    <xdr:sp macro="" textlink="">
      <xdr:nvSpPr>
        <xdr:cNvPr id="485" name="Isosceles Triangle 41">
          <a:extLst>
            <a:ext uri="{FF2B5EF4-FFF2-40B4-BE49-F238E27FC236}">
              <a16:creationId xmlns:a16="http://schemas.microsoft.com/office/drawing/2014/main" id="{6F0969CE-DD39-430F-BA4B-9AF0C1ACF9D2}"/>
            </a:ext>
          </a:extLst>
        </xdr:cNvPr>
        <xdr:cNvSpPr/>
      </xdr:nvSpPr>
      <xdr:spPr>
        <a:xfrm flipV="1">
          <a:off x="12547263" y="13580455"/>
          <a:ext cx="2321935" cy="244544"/>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19</xdr:col>
      <xdr:colOff>69319</xdr:colOff>
      <xdr:row>17</xdr:row>
      <xdr:rowOff>474668</xdr:rowOff>
    </xdr:from>
    <xdr:to>
      <xdr:col>20</xdr:col>
      <xdr:colOff>717019</xdr:colOff>
      <xdr:row>19</xdr:row>
      <xdr:rowOff>168775</xdr:rowOff>
    </xdr:to>
    <xdr:sp macro="" textlink="">
      <xdr:nvSpPr>
        <xdr:cNvPr id="472" name="Callout: Line 42">
          <a:extLst>
            <a:ext uri="{FF2B5EF4-FFF2-40B4-BE49-F238E27FC236}">
              <a16:creationId xmlns:a16="http://schemas.microsoft.com/office/drawing/2014/main" id="{2CAFA723-8A1B-4375-99A5-B470364AB22E}"/>
            </a:ext>
          </a:extLst>
        </xdr:cNvPr>
        <xdr:cNvSpPr/>
      </xdr:nvSpPr>
      <xdr:spPr>
        <a:xfrm>
          <a:off x="9573835" y="5462491"/>
          <a:ext cx="1405603" cy="421284"/>
        </a:xfrm>
        <a:prstGeom prst="borderCallout1">
          <a:avLst>
            <a:gd name="adj1" fmla="val 53145"/>
            <a:gd name="adj2" fmla="val 256"/>
            <a:gd name="adj3" fmla="val 72627"/>
            <a:gd name="adj4" fmla="val -11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t>Replace</a:t>
          </a:r>
          <a:r>
            <a:rPr lang="en-US" sz="1050" b="1" baseline="0"/>
            <a:t> data</a:t>
          </a:r>
          <a:endParaRPr lang="en-US" sz="1050" b="1"/>
        </a:p>
      </xdr:txBody>
    </xdr:sp>
    <xdr:clientData/>
  </xdr:twoCellAnchor>
  <xdr:twoCellAnchor>
    <xdr:from>
      <xdr:col>19</xdr:col>
      <xdr:colOff>58080</xdr:colOff>
      <xdr:row>46</xdr:row>
      <xdr:rowOff>429680</xdr:rowOff>
    </xdr:from>
    <xdr:to>
      <xdr:col>20</xdr:col>
      <xdr:colOff>705780</xdr:colOff>
      <xdr:row>48</xdr:row>
      <xdr:rowOff>114262</xdr:rowOff>
    </xdr:to>
    <xdr:sp macro="" textlink="">
      <xdr:nvSpPr>
        <xdr:cNvPr id="471" name="Callout: Line 43">
          <a:extLst>
            <a:ext uri="{FF2B5EF4-FFF2-40B4-BE49-F238E27FC236}">
              <a16:creationId xmlns:a16="http://schemas.microsoft.com/office/drawing/2014/main" id="{2ED0F2D7-A37C-4E7B-97CB-574BB9338243}"/>
            </a:ext>
          </a:extLst>
        </xdr:cNvPr>
        <xdr:cNvSpPr/>
      </xdr:nvSpPr>
      <xdr:spPr>
        <a:xfrm>
          <a:off x="14867919" y="12125970"/>
          <a:ext cx="1405603" cy="411760"/>
        </a:xfrm>
        <a:prstGeom prst="borderCallout1">
          <a:avLst>
            <a:gd name="adj1" fmla="val 53145"/>
            <a:gd name="adj2" fmla="val 256"/>
            <a:gd name="adj3" fmla="val 72627"/>
            <a:gd name="adj4" fmla="val -11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t>Replace</a:t>
          </a:r>
          <a:r>
            <a:rPr lang="en-US" sz="1050" b="1" baseline="0"/>
            <a:t> data</a:t>
          </a:r>
          <a:endParaRPr lang="en-US" sz="105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174365</xdr:colOff>
      <xdr:row>4</xdr:row>
      <xdr:rowOff>11329</xdr:rowOff>
    </xdr:from>
    <xdr:to>
      <xdr:col>6</xdr:col>
      <xdr:colOff>2176901</xdr:colOff>
      <xdr:row>5</xdr:row>
      <xdr:rowOff>151848</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7D698BCD-BA05-445E-B2B3-A85510A055BB}"/>
            </a:ext>
          </a:extLst>
        </xdr:cNvPr>
        <xdr:cNvSpPr/>
      </xdr:nvSpPr>
      <xdr:spPr>
        <a:xfrm>
          <a:off x="12750126" y="1074264"/>
          <a:ext cx="2002536" cy="375193"/>
        </a:xfrm>
        <a:prstGeom prst="rect">
          <a:avLst/>
        </a:prstGeom>
        <a:solidFill>
          <a:schemeClr val="bg2">
            <a:lumMod val="90000"/>
          </a:schemeClr>
        </a:solidFill>
        <a:ln>
          <a:noFill/>
        </a:ln>
        <a:effectLst/>
        <a:scene3d>
          <a:camera prst="orthographicFront">
            <a:rot lat="0" lon="0" rev="0"/>
          </a:camera>
          <a:lightRig rig="contrasting" dir="t">
            <a:rot lat="0" lon="0" rev="7800000"/>
          </a:lightRig>
        </a:scene3d>
        <a:sp3d>
          <a:bevelT w="139700" h="139700"/>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solidFill>
                <a:sysClr val="windowText" lastClr="000000"/>
              </a:solidFill>
            </a:rPr>
            <a:t>Methodology</a:t>
          </a:r>
        </a:p>
      </xdr:txBody>
    </xdr:sp>
    <xdr:clientData/>
  </xdr:twoCellAnchor>
  <xdr:twoCellAnchor>
    <xdr:from>
      <xdr:col>6</xdr:col>
      <xdr:colOff>182957</xdr:colOff>
      <xdr:row>5</xdr:row>
      <xdr:rowOff>319329</xdr:rowOff>
    </xdr:from>
    <xdr:to>
      <xdr:col>6</xdr:col>
      <xdr:colOff>2171484</xdr:colOff>
      <xdr:row>5</xdr:row>
      <xdr:rowOff>700583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AF98CC8C-5BD9-4C43-AF09-E867D0ECF011}"/>
            </a:ext>
          </a:extLst>
        </xdr:cNvPr>
        <xdr:cNvSpPr/>
      </xdr:nvSpPr>
      <xdr:spPr>
        <a:xfrm>
          <a:off x="12758718" y="1616938"/>
          <a:ext cx="1988527" cy="381254"/>
        </a:xfrm>
        <a:prstGeom prst="rect">
          <a:avLst/>
        </a:prstGeom>
        <a:solidFill>
          <a:schemeClr val="tx2">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solidFill>
                <a:sysClr val="windowText" lastClr="000000"/>
              </a:solidFill>
            </a:rPr>
            <a:t>Example</a:t>
          </a:r>
          <a:r>
            <a:rPr lang="en-US" sz="1400" b="1" baseline="0">
              <a:solidFill>
                <a:sysClr val="windowText" lastClr="000000"/>
              </a:solidFill>
            </a:rPr>
            <a:t> 1</a:t>
          </a:r>
          <a:endParaRPr lang="en-US" sz="1400" b="1">
            <a:solidFill>
              <a:sysClr val="windowText" lastClr="000000"/>
            </a:solidFill>
          </a:endParaRPr>
        </a:p>
      </xdr:txBody>
    </xdr:sp>
    <xdr:clientData/>
  </xdr:twoCellAnchor>
  <xdr:twoCellAnchor>
    <xdr:from>
      <xdr:col>5</xdr:col>
      <xdr:colOff>577572</xdr:colOff>
      <xdr:row>5</xdr:row>
      <xdr:rowOff>1069554</xdr:rowOff>
    </xdr:from>
    <xdr:to>
      <xdr:col>5</xdr:col>
      <xdr:colOff>1042850</xdr:colOff>
      <xdr:row>5</xdr:row>
      <xdr:rowOff>1339869</xdr:rowOff>
    </xdr:to>
    <xdr:sp macro="" textlink="">
      <xdr:nvSpPr>
        <xdr:cNvPr id="6" name="Rectangle 5">
          <a:extLst>
            <a:ext uri="{FF2B5EF4-FFF2-40B4-BE49-F238E27FC236}">
              <a16:creationId xmlns:a16="http://schemas.microsoft.com/office/drawing/2014/main" id="{78C4A44D-B6F0-A047-75D2-0603A0EDB28E}"/>
            </a:ext>
          </a:extLst>
        </xdr:cNvPr>
        <xdr:cNvSpPr/>
      </xdr:nvSpPr>
      <xdr:spPr>
        <a:xfrm>
          <a:off x="11055072" y="2362233"/>
          <a:ext cx="465278" cy="270315"/>
        </a:xfrm>
        <a:prstGeom prst="rect">
          <a:avLst/>
        </a:prstGeom>
        <a:solidFill>
          <a:srgbClr val="F3E3F5"/>
        </a:solidFill>
        <a:ln w="28575">
          <a:solidFill>
            <a:schemeClr val="accent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174365</xdr:colOff>
      <xdr:row>5</xdr:row>
      <xdr:rowOff>864889</xdr:rowOff>
    </xdr:from>
    <xdr:to>
      <xdr:col>6</xdr:col>
      <xdr:colOff>2176901</xdr:colOff>
      <xdr:row>5</xdr:row>
      <xdr:rowOff>1246143</xdr:rowOff>
    </xdr:to>
    <xdr:sp macro="" textlink="">
      <xdr:nvSpPr>
        <xdr:cNvPr id="2" name="Rectangle 1">
          <a:hlinkClick xmlns:r="http://schemas.openxmlformats.org/officeDocument/2006/relationships" r:id="rId3"/>
          <a:extLst>
            <a:ext uri="{FF2B5EF4-FFF2-40B4-BE49-F238E27FC236}">
              <a16:creationId xmlns:a16="http://schemas.microsoft.com/office/drawing/2014/main" id="{8F0F78F7-C4FF-4C0F-A460-1B28664D6B25}"/>
            </a:ext>
          </a:extLst>
        </xdr:cNvPr>
        <xdr:cNvSpPr/>
      </xdr:nvSpPr>
      <xdr:spPr>
        <a:xfrm>
          <a:off x="12750126" y="2162498"/>
          <a:ext cx="2002536" cy="381254"/>
        </a:xfrm>
        <a:prstGeom prst="rect">
          <a:avLst/>
        </a:prstGeom>
        <a:solidFill>
          <a:schemeClr val="accent2">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solidFill>
                <a:sysClr val="windowText" lastClr="000000"/>
              </a:solidFill>
            </a:rPr>
            <a:t>Results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203200</xdr:colOff>
      <xdr:row>5</xdr:row>
      <xdr:rowOff>76200</xdr:rowOff>
    </xdr:from>
    <xdr:to>
      <xdr:col>5</xdr:col>
      <xdr:colOff>2185377</xdr:colOff>
      <xdr:row>5</xdr:row>
      <xdr:rowOff>473329</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1B181F12-FE3E-4715-93E2-0C9DE96F68DE}"/>
            </a:ext>
          </a:extLst>
        </xdr:cNvPr>
        <xdr:cNvSpPr/>
      </xdr:nvSpPr>
      <xdr:spPr>
        <a:xfrm>
          <a:off x="12776200" y="1358900"/>
          <a:ext cx="1982177" cy="397129"/>
        </a:xfrm>
        <a:prstGeom prst="rect">
          <a:avLst/>
        </a:prstGeom>
        <a:solidFill>
          <a:schemeClr val="tx2">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solidFill>
                <a:sysClr val="windowText" lastClr="000000"/>
              </a:solidFill>
            </a:rPr>
            <a:t>Example</a:t>
          </a:r>
          <a:r>
            <a:rPr lang="en-US" sz="1400" b="1" baseline="0">
              <a:solidFill>
                <a:sysClr val="windowText" lastClr="000000"/>
              </a:solidFill>
            </a:rPr>
            <a:t> 2</a:t>
          </a:r>
          <a:endParaRPr lang="en-US" sz="1400" b="1">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355235</xdr:colOff>
      <xdr:row>7</xdr:row>
      <xdr:rowOff>59211</xdr:rowOff>
    </xdr:from>
    <xdr:to>
      <xdr:col>9</xdr:col>
      <xdr:colOff>395000</xdr:colOff>
      <xdr:row>7</xdr:row>
      <xdr:rowOff>362150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B774EF4B-7EC7-45E0-93E4-4DBD861A9104}"/>
            </a:ext>
          </a:extLst>
        </xdr:cNvPr>
        <xdr:cNvSpPr/>
      </xdr:nvSpPr>
      <xdr:spPr>
        <a:xfrm>
          <a:off x="12216556" y="1757536"/>
          <a:ext cx="1881864" cy="302939"/>
        </a:xfrm>
        <a:prstGeom prst="rect">
          <a:avLst/>
        </a:prstGeom>
        <a:solidFill>
          <a:schemeClr val="accent2">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solidFill>
                <a:sysClr val="windowText" lastClr="000000"/>
              </a:solidFill>
            </a:rPr>
            <a:t>Results</a:t>
          </a:r>
        </a:p>
      </xdr:txBody>
    </xdr:sp>
    <xdr:clientData/>
  </xdr:twoCellAnchor>
  <xdr:twoCellAnchor>
    <xdr:from>
      <xdr:col>8</xdr:col>
      <xdr:colOff>342192</xdr:colOff>
      <xdr:row>5</xdr:row>
      <xdr:rowOff>142906</xdr:rowOff>
    </xdr:from>
    <xdr:to>
      <xdr:col>9</xdr:col>
      <xdr:colOff>381957</xdr:colOff>
      <xdr:row>6</xdr:row>
      <xdr:rowOff>203227</xdr:rowOff>
    </xdr:to>
    <xdr:sp macro="" textlink="">
      <xdr:nvSpPr>
        <xdr:cNvPr id="2" name="Rectangle 1">
          <a:hlinkClick xmlns:r="http://schemas.openxmlformats.org/officeDocument/2006/relationships" r:id="rId2"/>
          <a:extLst>
            <a:ext uri="{FF2B5EF4-FFF2-40B4-BE49-F238E27FC236}">
              <a16:creationId xmlns:a16="http://schemas.microsoft.com/office/drawing/2014/main" id="{35AB0145-5AD3-4761-BDF6-E064BC2FAA31}"/>
            </a:ext>
          </a:extLst>
        </xdr:cNvPr>
        <xdr:cNvSpPr/>
      </xdr:nvSpPr>
      <xdr:spPr>
        <a:xfrm>
          <a:off x="12203513" y="1320052"/>
          <a:ext cx="1881864" cy="302939"/>
        </a:xfrm>
        <a:prstGeom prst="rect">
          <a:avLst/>
        </a:prstGeom>
        <a:solidFill>
          <a:schemeClr val="tx2"/>
        </a:solidFill>
        <a:ln>
          <a:noFill/>
        </a:ln>
        <a:effectLst/>
        <a:scene3d>
          <a:camera prst="orthographicFront">
            <a:rot lat="0" lon="0" rev="0"/>
          </a:camera>
          <a:lightRig rig="contrasting" dir="t">
            <a:rot lat="0" lon="0" rev="7800000"/>
          </a:lightRig>
        </a:scene3d>
        <a:sp3d>
          <a:bevelT w="139700" h="139700"/>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solidFill>
                <a:schemeClr val="bg1"/>
              </a:solidFill>
            </a:rPr>
            <a:t>Bank diagnostic</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139673</xdr:colOff>
      <xdr:row>19</xdr:row>
      <xdr:rowOff>0</xdr:rowOff>
    </xdr:from>
    <xdr:to>
      <xdr:col>2</xdr:col>
      <xdr:colOff>1472486</xdr:colOff>
      <xdr:row>25</xdr:row>
      <xdr:rowOff>161732</xdr:rowOff>
    </xdr:to>
    <xdr:graphicFrame macro="">
      <xdr:nvGraphicFramePr>
        <xdr:cNvPr id="5" name="Chart 4">
          <a:extLst>
            <a:ext uri="{FF2B5EF4-FFF2-40B4-BE49-F238E27FC236}">
              <a16:creationId xmlns:a16="http://schemas.microsoft.com/office/drawing/2014/main" id="{D5AC403B-6AA8-436F-92FD-23B9D8284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303125</xdr:colOff>
      <xdr:row>18</xdr:row>
      <xdr:rowOff>206864</xdr:rowOff>
    </xdr:from>
    <xdr:to>
      <xdr:col>4</xdr:col>
      <xdr:colOff>20550</xdr:colOff>
      <xdr:row>27</xdr:row>
      <xdr:rowOff>59628</xdr:rowOff>
    </xdr:to>
    <xdr:graphicFrame macro="">
      <xdr:nvGraphicFramePr>
        <xdr:cNvPr id="9" name="Chart 8">
          <a:extLst>
            <a:ext uri="{FF2B5EF4-FFF2-40B4-BE49-F238E27FC236}">
              <a16:creationId xmlns:a16="http://schemas.microsoft.com/office/drawing/2014/main" id="{9416253F-479E-BADD-AE06-DD7841907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420235</xdr:colOff>
      <xdr:row>14</xdr:row>
      <xdr:rowOff>162151</xdr:rowOff>
    </xdr:from>
    <xdr:to>
      <xdr:col>11</xdr:col>
      <xdr:colOff>724808</xdr:colOff>
      <xdr:row>24</xdr:row>
      <xdr:rowOff>598714</xdr:rowOff>
    </xdr:to>
    <xdr:sp macro="" textlink="">
      <xdr:nvSpPr>
        <xdr:cNvPr id="12" name="Isosceles Triangle 11">
          <a:extLst>
            <a:ext uri="{FF2B5EF4-FFF2-40B4-BE49-F238E27FC236}">
              <a16:creationId xmlns:a16="http://schemas.microsoft.com/office/drawing/2014/main" id="{24C8013B-B539-5AC7-AD42-0FD69FBF8768}"/>
            </a:ext>
          </a:extLst>
        </xdr:cNvPr>
        <xdr:cNvSpPr/>
      </xdr:nvSpPr>
      <xdr:spPr>
        <a:xfrm rot="5400000" flipH="1">
          <a:off x="14138276" y="5153932"/>
          <a:ext cx="3702277" cy="304573"/>
        </a:xfrm>
        <a:prstGeom prst="triangle">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56444</xdr:colOff>
      <xdr:row>3</xdr:row>
      <xdr:rowOff>150871</xdr:rowOff>
    </xdr:from>
    <xdr:to>
      <xdr:col>6</xdr:col>
      <xdr:colOff>296098</xdr:colOff>
      <xdr:row>14</xdr:row>
      <xdr:rowOff>0</xdr:rowOff>
    </xdr:to>
    <xdr:sp macro="" textlink="">
      <xdr:nvSpPr>
        <xdr:cNvPr id="2" name="Rectangle 1">
          <a:extLst>
            <a:ext uri="{FF2B5EF4-FFF2-40B4-BE49-F238E27FC236}">
              <a16:creationId xmlns:a16="http://schemas.microsoft.com/office/drawing/2014/main" id="{2CA222A2-93FA-3CD5-6250-65A9554D38FE}"/>
            </a:ext>
          </a:extLst>
        </xdr:cNvPr>
        <xdr:cNvSpPr/>
      </xdr:nvSpPr>
      <xdr:spPr>
        <a:xfrm>
          <a:off x="6088944" y="754121"/>
          <a:ext cx="4240154" cy="21986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200" b="1"/>
            <a:t>Link to individual</a:t>
          </a:r>
          <a:r>
            <a:rPr lang="en-US" sz="1200" b="1" baseline="0"/>
            <a:t> results tab for each bank diagnosed</a:t>
          </a:r>
          <a:endParaRPr lang="en-US" sz="1200" b="1"/>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heme/theme1.xml><?xml version="1.0" encoding="utf-8"?>
<a:theme xmlns:a="http://schemas.openxmlformats.org/drawingml/2006/main" name="Argidius">
  <a:themeElements>
    <a:clrScheme name="Argidius">
      <a:dk1>
        <a:sysClr val="windowText" lastClr="000000"/>
      </a:dk1>
      <a:lt1>
        <a:sysClr val="window" lastClr="FFFFFF"/>
      </a:lt1>
      <a:dk2>
        <a:srgbClr val="44546A"/>
      </a:dk2>
      <a:lt2>
        <a:srgbClr val="E7E6E6"/>
      </a:lt2>
      <a:accent1>
        <a:srgbClr val="3C655F"/>
      </a:accent1>
      <a:accent2>
        <a:srgbClr val="EDB805"/>
      </a:accent2>
      <a:accent3>
        <a:srgbClr val="FEE914"/>
      </a:accent3>
      <a:accent4>
        <a:srgbClr val="A5A5A5"/>
      </a:accent4>
      <a:accent5>
        <a:srgbClr val="AEA23B"/>
      </a:accent5>
      <a:accent6>
        <a:srgbClr val="70AD47"/>
      </a:accent6>
      <a:hlink>
        <a:srgbClr val="0563C1"/>
      </a:hlink>
      <a:folHlink>
        <a:srgbClr val="954F72"/>
      </a:folHlink>
    </a:clrScheme>
    <a:fontScheme name="Argidius">
      <a:majorFont>
        <a:latin typeface="Lato Light"/>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rgidius" id="{84C734D3-1494-4EB0-AD4B-2C0C1B42D1EB}" vid="{FE52B1AF-F9B0-43D9-A0FA-A17EF168C50F}"/>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usi.hornberger@dalberg.com" TargetMode="External"/><Relationship Id="rId1" Type="http://schemas.openxmlformats.org/officeDocument/2006/relationships/hyperlink" Target="mailto:karen.rodriguez@dalberg.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Bank%20diagnostic%20Interview%20guide_vFinal.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spglobal.com/_assets/documents/ratings/es/pdf/2024/2024-08-29-segunda-opinion-marco-de-sostenibilidad-de-banco-finandina-sa-bic.pdf" TargetMode="External"/><Relationship Id="rId2" Type="http://schemas.openxmlformats.org/officeDocument/2006/relationships/hyperlink" Target="https://www.spglobal.com/_assets/documents/ratings/es/pdf/2024/2024-08-29-segunda-opinion-marco-de-sostenibilidad-de-banco-finandina-sa-bic.pdf" TargetMode="External"/><Relationship Id="rId1" Type="http://schemas.openxmlformats.org/officeDocument/2006/relationships/hyperlink" Target="https://www.bancofinandina.com/docs/default-source/inversionistasdocs/informaci%C3%B3n-financiera/informe-de-gesti%C3%B3n/informe-de-gestion-2021.pdf?sfvrsn=877541dc_2"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BAE4-4E50-4AD6-813D-4036A91950E6}">
  <sheetPr>
    <pageSetUpPr fitToPage="1"/>
  </sheetPr>
  <dimension ref="B3:F47"/>
  <sheetViews>
    <sheetView topLeftCell="C1" zoomScale="75" zoomScaleNormal="75" workbookViewId="0">
      <selection activeCell="C43" sqref="C43:E43"/>
    </sheetView>
  </sheetViews>
  <sheetFormatPr defaultColWidth="8.69140625" defaultRowHeight="15" x14ac:dyDescent="0.3"/>
  <cols>
    <col min="1" max="1" width="10.84375" style="28" customWidth="1"/>
    <col min="2" max="2" width="15.69140625" style="28" customWidth="1"/>
    <col min="3" max="3" width="17.23046875" style="28" customWidth="1"/>
    <col min="4" max="4" width="75.69140625" style="28" customWidth="1"/>
    <col min="5" max="5" width="87.23046875" style="28" customWidth="1"/>
    <col min="6" max="6" width="15.69140625" style="28" customWidth="1"/>
    <col min="7" max="16384" width="8.69140625" style="28"/>
  </cols>
  <sheetData>
    <row r="3" spans="2:6" x14ac:dyDescent="0.3">
      <c r="B3" s="30"/>
      <c r="C3" s="30"/>
      <c r="D3" s="30"/>
      <c r="E3" s="30"/>
      <c r="F3" s="30"/>
    </row>
    <row r="4" spans="2:6" x14ac:dyDescent="0.3">
      <c r="B4" s="30"/>
      <c r="C4" s="72"/>
      <c r="D4" s="71"/>
      <c r="E4" s="71"/>
      <c r="F4" s="30"/>
    </row>
    <row r="5" spans="2:6" ht="22.5" x14ac:dyDescent="0.3">
      <c r="B5" s="30"/>
      <c r="C5" s="285" t="s">
        <v>0</v>
      </c>
      <c r="D5" s="285"/>
      <c r="E5" s="285"/>
      <c r="F5" s="30"/>
    </row>
    <row r="6" spans="2:6" ht="20" x14ac:dyDescent="0.3">
      <c r="B6" s="30"/>
      <c r="C6" s="286" t="s">
        <v>1</v>
      </c>
      <c r="D6" s="286"/>
      <c r="E6" s="286"/>
      <c r="F6" s="30"/>
    </row>
    <row r="7" spans="2:6" x14ac:dyDescent="0.3">
      <c r="B7" s="30"/>
      <c r="C7" s="71"/>
      <c r="D7" s="71"/>
      <c r="E7" s="71"/>
      <c r="F7" s="30"/>
    </row>
    <row r="8" spans="2:6" x14ac:dyDescent="0.3">
      <c r="B8" s="30"/>
      <c r="C8" s="73"/>
      <c r="D8" s="73"/>
      <c r="E8" s="73"/>
      <c r="F8" s="30"/>
    </row>
    <row r="9" spans="2:6" x14ac:dyDescent="0.3">
      <c r="B9" s="30"/>
      <c r="C9" s="30"/>
      <c r="D9" s="30"/>
      <c r="E9" s="30"/>
      <c r="F9" s="30"/>
    </row>
    <row r="10" spans="2:6" x14ac:dyDescent="0.3">
      <c r="B10" s="30"/>
      <c r="C10" s="74" t="s">
        <v>2</v>
      </c>
      <c r="D10" s="30"/>
      <c r="E10" s="212" t="s">
        <v>3</v>
      </c>
      <c r="F10" s="30"/>
    </row>
    <row r="11" spans="2:6" x14ac:dyDescent="0.3">
      <c r="B11" s="30"/>
      <c r="C11" s="74"/>
      <c r="D11" s="30"/>
      <c r="E11" s="213" t="s">
        <v>4</v>
      </c>
      <c r="F11" s="30"/>
    </row>
    <row r="12" spans="2:6" x14ac:dyDescent="0.3">
      <c r="B12" s="30"/>
      <c r="C12" s="74"/>
      <c r="D12" s="30"/>
      <c r="E12" s="213" t="s">
        <v>5</v>
      </c>
      <c r="F12" s="30"/>
    </row>
    <row r="13" spans="2:6" ht="15.5" thickBot="1" x14ac:dyDescent="0.35">
      <c r="B13" s="30"/>
      <c r="C13" s="30"/>
      <c r="D13" s="30"/>
      <c r="E13" s="159"/>
      <c r="F13" s="30"/>
    </row>
    <row r="14" spans="2:6" s="79" customFormat="1" ht="21" thickTop="1" thickBot="1" x14ac:dyDescent="0.35">
      <c r="B14" s="75"/>
      <c r="C14" s="76" t="s">
        <v>6</v>
      </c>
      <c r="D14" s="77"/>
      <c r="E14" s="77"/>
      <c r="F14" s="78"/>
    </row>
    <row r="15" spans="2:6" ht="15.5" thickTop="1" x14ac:dyDescent="0.3">
      <c r="B15" s="30"/>
      <c r="C15" s="80"/>
      <c r="D15" s="80"/>
      <c r="E15" s="80"/>
      <c r="F15" s="80"/>
    </row>
    <row r="16" spans="2:6" ht="41.15" customHeight="1" x14ac:dyDescent="0.3">
      <c r="B16" s="30"/>
      <c r="C16" s="287" t="s">
        <v>7</v>
      </c>
      <c r="D16" s="287"/>
      <c r="E16" s="287"/>
      <c r="F16" s="81"/>
    </row>
    <row r="17" spans="2:6" x14ac:dyDescent="0.3">
      <c r="B17" s="30"/>
      <c r="C17" s="88"/>
      <c r="D17" s="88"/>
      <c r="E17" s="88"/>
      <c r="F17" s="81"/>
    </row>
    <row r="18" spans="2:6" ht="34.5" customHeight="1" thickBot="1" x14ac:dyDescent="0.35">
      <c r="B18" s="30"/>
      <c r="C18" s="288" t="s">
        <v>8</v>
      </c>
      <c r="D18" s="288"/>
      <c r="E18" s="88"/>
      <c r="F18" s="81"/>
    </row>
    <row r="19" spans="2:6" s="79" customFormat="1" ht="21" thickTop="1" thickBot="1" x14ac:dyDescent="0.35">
      <c r="B19" s="75"/>
      <c r="C19" s="76" t="s">
        <v>9</v>
      </c>
      <c r="D19" s="77"/>
      <c r="E19" s="77"/>
      <c r="F19" s="82"/>
    </row>
    <row r="20" spans="2:6" ht="15.5" thickTop="1" x14ac:dyDescent="0.3">
      <c r="B20" s="30"/>
      <c r="C20" s="80"/>
      <c r="D20" s="80"/>
      <c r="E20" s="80"/>
      <c r="F20" s="81"/>
    </row>
    <row r="21" spans="2:6" ht="55" customHeight="1" x14ac:dyDescent="0.3">
      <c r="B21" s="30"/>
      <c r="C21" s="287" t="s">
        <v>10</v>
      </c>
      <c r="D21" s="287"/>
      <c r="E21" s="287"/>
      <c r="F21" s="81"/>
    </row>
    <row r="22" spans="2:6" ht="15.5" thickBot="1" x14ac:dyDescent="0.35">
      <c r="B22" s="30"/>
      <c r="C22" s="83"/>
      <c r="D22" s="83"/>
      <c r="E22" s="83"/>
      <c r="F22" s="81"/>
    </row>
    <row r="23" spans="2:6" ht="21" thickTop="1" thickBot="1" x14ac:dyDescent="0.35">
      <c r="B23" s="30"/>
      <c r="C23" s="76" t="s">
        <v>11</v>
      </c>
      <c r="D23" s="77"/>
      <c r="E23" s="77"/>
      <c r="F23" s="81"/>
    </row>
    <row r="24" spans="2:6" ht="15.5" thickTop="1" x14ac:dyDescent="0.3">
      <c r="B24" s="30"/>
      <c r="C24" s="83"/>
      <c r="D24" s="83"/>
      <c r="E24" s="83"/>
      <c r="F24" s="81"/>
    </row>
    <row r="25" spans="2:6" ht="42.65" customHeight="1" x14ac:dyDescent="0.3">
      <c r="B25" s="30"/>
      <c r="C25" s="289" t="s">
        <v>12</v>
      </c>
      <c r="D25" s="289"/>
      <c r="E25" s="289"/>
      <c r="F25" s="81"/>
    </row>
    <row r="26" spans="2:6" ht="15.5" thickBot="1" x14ac:dyDescent="0.35">
      <c r="B26" s="30"/>
      <c r="C26" s="83"/>
      <c r="D26" s="83"/>
      <c r="E26" s="83"/>
      <c r="F26" s="81"/>
    </row>
    <row r="27" spans="2:6" s="79" customFormat="1" ht="21" thickTop="1" thickBot="1" x14ac:dyDescent="0.35">
      <c r="B27" s="75"/>
      <c r="C27" s="76" t="s">
        <v>13</v>
      </c>
      <c r="D27" s="77"/>
      <c r="E27" s="77"/>
      <c r="F27" s="82"/>
    </row>
    <row r="28" spans="2:6" ht="15.5" thickTop="1" x14ac:dyDescent="0.3">
      <c r="B28" s="30"/>
      <c r="C28" s="80"/>
      <c r="D28" s="80"/>
      <c r="E28" s="80"/>
      <c r="F28" s="81"/>
    </row>
    <row r="29" spans="2:6" ht="24.65" customHeight="1" x14ac:dyDescent="0.3">
      <c r="B29" s="30"/>
      <c r="C29" s="281" t="s">
        <v>14</v>
      </c>
      <c r="D29" s="281"/>
      <c r="E29" s="281"/>
      <c r="F29" s="81"/>
    </row>
    <row r="30" spans="2:6" x14ac:dyDescent="0.3">
      <c r="B30" s="30"/>
      <c r="C30" s="80"/>
      <c r="D30" s="80"/>
      <c r="E30" s="80"/>
      <c r="F30" s="81"/>
    </row>
    <row r="31" spans="2:6" ht="17.5" x14ac:dyDescent="0.35">
      <c r="B31" s="30"/>
      <c r="C31" s="84" t="s">
        <v>15</v>
      </c>
      <c r="D31" s="84" t="s">
        <v>16</v>
      </c>
      <c r="E31" s="84" t="s">
        <v>17</v>
      </c>
      <c r="F31" s="81"/>
    </row>
    <row r="32" spans="2:6" x14ac:dyDescent="0.3">
      <c r="B32" s="30"/>
      <c r="C32" s="48"/>
      <c r="D32" s="85"/>
      <c r="E32" s="30"/>
      <c r="F32" s="81"/>
    </row>
    <row r="33" spans="2:6" ht="90" x14ac:dyDescent="0.3">
      <c r="B33" s="30"/>
      <c r="C33" s="217" t="s">
        <v>18</v>
      </c>
      <c r="D33" s="214" t="s">
        <v>19</v>
      </c>
      <c r="E33" s="215" t="s">
        <v>20</v>
      </c>
      <c r="F33" s="81"/>
    </row>
    <row r="34" spans="2:6" ht="75" x14ac:dyDescent="0.3">
      <c r="B34" s="30"/>
      <c r="C34" s="218" t="s">
        <v>21</v>
      </c>
      <c r="D34" s="214" t="s">
        <v>22</v>
      </c>
      <c r="E34" s="215" t="s">
        <v>23</v>
      </c>
      <c r="F34" s="81"/>
    </row>
    <row r="35" spans="2:6" ht="75" x14ac:dyDescent="0.3">
      <c r="B35" s="30"/>
      <c r="C35" s="219" t="s">
        <v>24</v>
      </c>
      <c r="D35" s="214" t="s">
        <v>25</v>
      </c>
      <c r="E35" s="214" t="s">
        <v>26</v>
      </c>
      <c r="F35" s="30"/>
    </row>
    <row r="36" spans="2:6" ht="78" customHeight="1" x14ac:dyDescent="0.3">
      <c r="B36" s="30"/>
      <c r="C36" s="222" t="s">
        <v>27</v>
      </c>
      <c r="D36" s="216" t="s">
        <v>28</v>
      </c>
      <c r="E36" s="216" t="s">
        <v>29</v>
      </c>
      <c r="F36" s="30"/>
    </row>
    <row r="37" spans="2:6" ht="58.5" customHeight="1" x14ac:dyDescent="0.3">
      <c r="B37" s="30"/>
      <c r="C37" s="220" t="s">
        <v>30</v>
      </c>
      <c r="D37" s="216" t="s">
        <v>31</v>
      </c>
      <c r="E37" s="216" t="s">
        <v>32</v>
      </c>
      <c r="F37" s="30"/>
    </row>
    <row r="38" spans="2:6" ht="15.5" thickBot="1" x14ac:dyDescent="0.35">
      <c r="B38" s="30"/>
      <c r="C38" s="85"/>
      <c r="D38" s="86"/>
      <c r="E38" s="85"/>
      <c r="F38" s="85"/>
    </row>
    <row r="39" spans="2:6" ht="21" thickTop="1" thickBot="1" x14ac:dyDescent="0.35">
      <c r="B39" s="30"/>
      <c r="C39" s="76" t="s">
        <v>33</v>
      </c>
      <c r="D39" s="77"/>
      <c r="E39" s="77"/>
      <c r="F39" s="85"/>
    </row>
    <row r="40" spans="2:6" ht="15.5" thickTop="1" x14ac:dyDescent="0.3">
      <c r="B40" s="30"/>
      <c r="C40" s="83"/>
      <c r="D40" s="83"/>
      <c r="E40" s="83"/>
      <c r="F40" s="30"/>
    </row>
    <row r="41" spans="2:6" x14ac:dyDescent="0.3">
      <c r="B41" s="30"/>
      <c r="C41" s="282" t="s">
        <v>34</v>
      </c>
      <c r="D41" s="281"/>
      <c r="E41" s="281"/>
      <c r="F41" s="30"/>
    </row>
    <row r="42" spans="2:6" x14ac:dyDescent="0.3">
      <c r="B42" s="30"/>
      <c r="C42" s="265"/>
      <c r="D42" s="70"/>
      <c r="E42" s="70"/>
      <c r="F42" s="30"/>
    </row>
    <row r="43" spans="2:6" ht="59.15" customHeight="1" x14ac:dyDescent="0.3">
      <c r="B43" s="30"/>
      <c r="C43" s="282" t="s">
        <v>35</v>
      </c>
      <c r="D43" s="281"/>
      <c r="E43" s="281"/>
      <c r="F43" s="30"/>
    </row>
    <row r="44" spans="2:6" x14ac:dyDescent="0.3">
      <c r="B44" s="30"/>
      <c r="C44" s="210"/>
      <c r="D44" s="210"/>
      <c r="E44" s="210"/>
      <c r="F44" s="30"/>
    </row>
    <row r="45" spans="2:6" ht="54" customHeight="1" x14ac:dyDescent="0.3">
      <c r="B45" s="30"/>
      <c r="C45" s="283" t="s">
        <v>36</v>
      </c>
      <c r="D45" s="281"/>
      <c r="E45" s="281"/>
      <c r="F45" s="85"/>
    </row>
    <row r="46" spans="2:6" x14ac:dyDescent="0.3">
      <c r="B46" s="30"/>
      <c r="C46" s="70"/>
      <c r="D46" s="284" t="s">
        <v>37</v>
      </c>
      <c r="E46" s="284"/>
      <c r="F46" s="221"/>
    </row>
    <row r="47" spans="2:6" x14ac:dyDescent="0.3">
      <c r="B47" s="30"/>
      <c r="C47" s="30"/>
      <c r="D47" s="30"/>
      <c r="E47" s="30"/>
      <c r="F47" s="30"/>
    </row>
  </sheetData>
  <mergeCells count="11">
    <mergeCell ref="C29:E29"/>
    <mergeCell ref="C43:E43"/>
    <mergeCell ref="C45:E45"/>
    <mergeCell ref="D46:E46"/>
    <mergeCell ref="C5:E5"/>
    <mergeCell ref="C6:E6"/>
    <mergeCell ref="C16:E16"/>
    <mergeCell ref="C18:D18"/>
    <mergeCell ref="C21:E21"/>
    <mergeCell ref="C25:E25"/>
    <mergeCell ref="C41:E41"/>
  </mergeCells>
  <hyperlinks>
    <hyperlink ref="E11" r:id="rId1" xr:uid="{01D1CF8F-EDD2-4B97-96A5-738E770919EC}"/>
    <hyperlink ref="E12" r:id="rId2" xr:uid="{C3D3FEDE-2813-47D1-81EB-E21E4CFA75CE}"/>
  </hyperlinks>
  <pageMargins left="0.25" right="0.25" top="0.75" bottom="0.75" header="0.3" footer="0.3"/>
  <pageSetup scale="34"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25B5-C9B1-4185-B137-4F253769DE06}">
  <sheetPr>
    <tabColor theme="3" tint="0.79998168889431442"/>
  </sheetPr>
  <dimension ref="B2:AO64"/>
  <sheetViews>
    <sheetView topLeftCell="A49" zoomScale="57" zoomScaleNormal="68" workbookViewId="0">
      <selection activeCell="D4" sqref="D4:S4"/>
    </sheetView>
  </sheetViews>
  <sheetFormatPr defaultColWidth="9.23046875" defaultRowHeight="14" x14ac:dyDescent="0.3"/>
  <cols>
    <col min="1" max="3" width="9.23046875" style="1"/>
    <col min="4" max="5" width="11.69140625" style="1" customWidth="1"/>
    <col min="6" max="16384" width="9.23046875" style="1"/>
  </cols>
  <sheetData>
    <row r="2" spans="2:41" ht="28" customHeight="1" x14ac:dyDescent="0.3"/>
    <row r="3" spans="2:41" ht="23" thickBot="1" x14ac:dyDescent="0.5">
      <c r="B3" s="2"/>
      <c r="C3" s="2"/>
      <c r="D3" s="294" t="s">
        <v>38</v>
      </c>
      <c r="E3" s="294"/>
      <c r="F3" s="294"/>
      <c r="G3" s="294"/>
      <c r="H3" s="294"/>
      <c r="I3" s="294"/>
      <c r="J3" s="294"/>
      <c r="K3" s="294"/>
      <c r="L3" s="294"/>
      <c r="M3" s="294"/>
      <c r="N3" s="294"/>
      <c r="O3" s="294"/>
      <c r="P3" s="294"/>
      <c r="Q3" s="294"/>
      <c r="R3" s="294"/>
      <c r="S3" s="294"/>
      <c r="T3" s="2"/>
      <c r="U3" s="2"/>
      <c r="V3" s="2"/>
      <c r="X3" s="161"/>
      <c r="Y3" s="161"/>
      <c r="Z3" s="161"/>
      <c r="AA3" s="161"/>
      <c r="AB3" s="161"/>
      <c r="AC3" s="161"/>
      <c r="AD3" s="161"/>
      <c r="AE3" s="161"/>
      <c r="AF3" s="161"/>
      <c r="AG3" s="161"/>
      <c r="AH3" s="161"/>
      <c r="AI3" s="161"/>
      <c r="AJ3" s="161"/>
      <c r="AK3" s="161"/>
    </row>
    <row r="4" spans="2:41" ht="88" customHeight="1" thickBot="1" x14ac:dyDescent="0.35">
      <c r="B4" s="2"/>
      <c r="C4" s="2"/>
      <c r="D4" s="291" t="s">
        <v>39</v>
      </c>
      <c r="E4" s="292"/>
      <c r="F4" s="292"/>
      <c r="G4" s="292"/>
      <c r="H4" s="292"/>
      <c r="I4" s="292"/>
      <c r="J4" s="292"/>
      <c r="K4" s="292"/>
      <c r="L4" s="292"/>
      <c r="M4" s="292"/>
      <c r="N4" s="292"/>
      <c r="O4" s="292"/>
      <c r="P4" s="292"/>
      <c r="Q4" s="292"/>
      <c r="R4" s="292"/>
      <c r="S4" s="293"/>
      <c r="T4" s="2"/>
      <c r="U4" s="2"/>
      <c r="V4" s="2"/>
      <c r="W4" s="162"/>
      <c r="X4" s="162"/>
      <c r="Y4" s="162"/>
      <c r="Z4" s="162"/>
      <c r="AA4" s="162"/>
      <c r="AB4" s="162"/>
      <c r="AC4" s="162"/>
      <c r="AD4" s="162"/>
      <c r="AE4" s="162"/>
      <c r="AF4" s="162"/>
      <c r="AG4" s="162"/>
      <c r="AH4" s="162"/>
      <c r="AI4" s="162"/>
      <c r="AJ4" s="162"/>
      <c r="AK4" s="162"/>
    </row>
    <row r="5" spans="2:41" x14ac:dyDescent="0.3">
      <c r="B5" s="2"/>
      <c r="C5" s="2"/>
      <c r="D5" s="2"/>
      <c r="E5" s="2"/>
      <c r="F5" s="2"/>
      <c r="G5" s="2"/>
      <c r="H5" s="2"/>
      <c r="I5" s="2"/>
      <c r="J5" s="2"/>
      <c r="K5" s="2"/>
      <c r="L5" s="2"/>
      <c r="M5" s="2"/>
      <c r="N5" s="2"/>
      <c r="O5" s="2"/>
      <c r="P5" s="2"/>
      <c r="Q5" s="2"/>
      <c r="R5" s="2"/>
      <c r="S5" s="2"/>
      <c r="T5" s="2"/>
      <c r="U5" s="2"/>
      <c r="V5" s="2"/>
      <c r="W5" s="162"/>
      <c r="X5" s="162"/>
      <c r="Y5" s="162"/>
      <c r="Z5" s="162"/>
      <c r="AA5" s="162"/>
      <c r="AB5" s="162"/>
      <c r="AC5" s="162"/>
      <c r="AD5" s="162"/>
      <c r="AE5" s="162"/>
      <c r="AF5" s="162"/>
      <c r="AG5" s="162"/>
      <c r="AH5" s="162"/>
      <c r="AI5" s="162"/>
      <c r="AJ5" s="162"/>
      <c r="AK5" s="162"/>
    </row>
    <row r="6" spans="2:41" x14ac:dyDescent="0.3">
      <c r="B6" s="2"/>
      <c r="C6" s="2"/>
      <c r="D6" s="102"/>
      <c r="E6" s="2"/>
      <c r="F6" s="2"/>
      <c r="G6" s="2"/>
      <c r="H6" s="2"/>
      <c r="I6" s="2"/>
      <c r="J6" s="2"/>
      <c r="K6" s="2"/>
      <c r="L6" s="2"/>
      <c r="M6" s="2"/>
      <c r="N6" s="2"/>
      <c r="O6" s="2"/>
      <c r="P6" s="2"/>
      <c r="Q6" s="2"/>
      <c r="R6" s="2"/>
      <c r="S6" s="2"/>
      <c r="T6" s="2"/>
      <c r="U6" s="2"/>
      <c r="V6" s="2"/>
    </row>
    <row r="7" spans="2:41" x14ac:dyDescent="0.3">
      <c r="B7" s="2"/>
      <c r="C7" s="2"/>
      <c r="D7" s="2"/>
      <c r="E7" s="2"/>
      <c r="F7" s="2"/>
      <c r="G7" s="2"/>
      <c r="H7" s="2"/>
      <c r="I7" s="2"/>
      <c r="J7" s="2"/>
      <c r="K7" s="2"/>
      <c r="L7" s="2"/>
      <c r="M7" s="2"/>
      <c r="N7" s="2"/>
      <c r="O7" s="2"/>
      <c r="P7" s="2"/>
      <c r="Q7" s="2"/>
      <c r="R7" s="2"/>
      <c r="S7" s="2"/>
      <c r="T7" s="2"/>
      <c r="U7" s="2"/>
      <c r="V7" s="2"/>
    </row>
    <row r="8" spans="2:41" x14ac:dyDescent="0.3">
      <c r="B8" s="2"/>
      <c r="C8" s="2"/>
      <c r="D8" s="2"/>
      <c r="E8" s="2"/>
      <c r="F8" s="2"/>
      <c r="G8" s="2"/>
      <c r="H8" s="2"/>
      <c r="I8" s="2"/>
      <c r="J8" s="2"/>
      <c r="K8" s="2"/>
      <c r="L8" s="2"/>
      <c r="M8" s="2"/>
      <c r="N8" s="2"/>
      <c r="O8" s="2"/>
      <c r="P8" s="2"/>
      <c r="Q8" s="2"/>
      <c r="R8" s="2"/>
      <c r="S8" s="2"/>
      <c r="T8" s="2"/>
      <c r="U8" s="2"/>
      <c r="V8" s="2"/>
    </row>
    <row r="9" spans="2:41" x14ac:dyDescent="0.3">
      <c r="B9" s="2"/>
      <c r="C9" s="2"/>
      <c r="D9" s="2"/>
      <c r="E9" s="2"/>
      <c r="F9" s="2"/>
      <c r="G9" s="2"/>
      <c r="H9" s="2"/>
      <c r="I9" s="2"/>
      <c r="J9" s="2"/>
      <c r="K9" s="2"/>
      <c r="L9" s="2"/>
      <c r="M9" s="2"/>
      <c r="N9" s="2"/>
      <c r="O9" s="2"/>
      <c r="P9" s="2"/>
      <c r="Q9" s="2"/>
      <c r="R9" s="2"/>
      <c r="S9" s="2"/>
      <c r="T9" s="2"/>
      <c r="U9" s="2"/>
      <c r="V9" s="2"/>
    </row>
    <row r="10" spans="2:41" x14ac:dyDescent="0.3">
      <c r="B10" s="2"/>
      <c r="C10" s="2"/>
      <c r="D10" s="2"/>
      <c r="E10" s="2"/>
      <c r="F10" s="2"/>
      <c r="G10" s="2"/>
      <c r="H10" s="2"/>
      <c r="I10" s="2"/>
      <c r="J10" s="2"/>
      <c r="K10" s="2"/>
      <c r="L10" s="2"/>
      <c r="M10" s="2"/>
      <c r="N10" s="2"/>
      <c r="O10" s="2"/>
      <c r="P10" s="2"/>
      <c r="Q10" s="2"/>
      <c r="R10" s="2"/>
      <c r="S10" s="2"/>
      <c r="T10" s="2"/>
      <c r="U10" s="2"/>
      <c r="V10" s="2"/>
    </row>
    <row r="11" spans="2:41" x14ac:dyDescent="0.3">
      <c r="B11" s="2"/>
      <c r="C11" s="2"/>
      <c r="D11" s="2"/>
      <c r="E11" s="2"/>
      <c r="F11" s="2"/>
      <c r="G11" s="2"/>
      <c r="H11" s="2"/>
      <c r="I11" s="2"/>
      <c r="J11" s="2"/>
      <c r="K11" s="2"/>
      <c r="L11" s="2"/>
      <c r="M11" s="2"/>
      <c r="N11" s="2"/>
      <c r="O11" s="2"/>
      <c r="P11" s="2"/>
      <c r="Q11" s="2"/>
      <c r="R11" s="2"/>
      <c r="S11" s="2"/>
      <c r="T11" s="2"/>
      <c r="U11" s="2"/>
      <c r="V11" s="2"/>
    </row>
    <row r="12" spans="2:41" x14ac:dyDescent="0.3">
      <c r="B12" s="2"/>
      <c r="C12" s="2"/>
      <c r="D12" s="2"/>
      <c r="E12" s="2"/>
      <c r="F12" s="2"/>
      <c r="G12" s="2"/>
      <c r="H12" s="2"/>
      <c r="I12" s="2"/>
      <c r="J12" s="2"/>
      <c r="K12" s="2"/>
      <c r="L12" s="2"/>
      <c r="M12" s="2"/>
      <c r="N12" s="2"/>
      <c r="O12" s="2"/>
      <c r="P12" s="2"/>
      <c r="Q12" s="2"/>
      <c r="R12" s="2"/>
      <c r="S12" s="2"/>
      <c r="T12" s="2"/>
      <c r="U12" s="2"/>
      <c r="V12" s="2"/>
    </row>
    <row r="13" spans="2:41" x14ac:dyDescent="0.3">
      <c r="B13" s="2"/>
      <c r="C13" s="2"/>
      <c r="D13" s="2"/>
      <c r="E13" s="2"/>
      <c r="F13" s="2"/>
      <c r="G13" s="2"/>
      <c r="H13" s="2"/>
      <c r="I13" s="2"/>
      <c r="J13" s="2"/>
      <c r="K13" s="2"/>
      <c r="L13" s="2"/>
      <c r="M13" s="2"/>
      <c r="N13" s="2"/>
      <c r="O13" s="2"/>
      <c r="P13" s="2"/>
      <c r="Q13" s="2"/>
      <c r="R13" s="2"/>
      <c r="S13" s="2"/>
      <c r="T13" s="2"/>
      <c r="U13" s="2"/>
      <c r="V13" s="2"/>
    </row>
    <row r="14" spans="2:41" x14ac:dyDescent="0.3">
      <c r="B14" s="2"/>
      <c r="C14" s="2"/>
      <c r="D14" s="2"/>
      <c r="E14" s="2"/>
      <c r="F14" s="2"/>
      <c r="G14" s="2"/>
      <c r="H14" s="2"/>
      <c r="I14" s="2"/>
      <c r="J14" s="2"/>
      <c r="K14" s="2"/>
      <c r="L14" s="2"/>
      <c r="M14" s="2"/>
      <c r="N14" s="2"/>
      <c r="O14" s="2"/>
      <c r="P14" s="2"/>
      <c r="Q14" s="2"/>
      <c r="R14" s="2"/>
      <c r="S14" s="2"/>
      <c r="T14" s="2"/>
      <c r="U14" s="2"/>
      <c r="V14" s="2"/>
      <c r="AO14" s="2"/>
    </row>
    <row r="15" spans="2:41" x14ac:dyDescent="0.3">
      <c r="B15" s="2"/>
      <c r="C15" s="2"/>
      <c r="D15" s="2"/>
      <c r="E15" s="2"/>
      <c r="F15" s="2"/>
      <c r="G15" s="2"/>
      <c r="H15" s="2"/>
      <c r="I15" s="2"/>
      <c r="J15" s="2"/>
      <c r="K15" s="2"/>
      <c r="L15" s="2"/>
      <c r="M15" s="2"/>
      <c r="N15" s="2"/>
      <c r="O15" s="2"/>
      <c r="P15" s="2"/>
      <c r="Q15" s="2"/>
      <c r="R15" s="2"/>
      <c r="S15" s="2"/>
      <c r="T15" s="2"/>
      <c r="U15" s="2"/>
      <c r="V15" s="2"/>
      <c r="AO15" s="2"/>
    </row>
    <row r="16" spans="2:41" x14ac:dyDescent="0.3">
      <c r="B16" s="2"/>
      <c r="C16" s="2"/>
      <c r="D16" s="2"/>
      <c r="E16" s="2"/>
      <c r="F16" s="2"/>
      <c r="G16" s="2"/>
      <c r="H16" s="2"/>
      <c r="I16" s="2"/>
      <c r="J16" s="2"/>
      <c r="K16" s="2"/>
      <c r="L16" s="2"/>
      <c r="M16" s="2"/>
      <c r="N16" s="2"/>
      <c r="O16" s="2"/>
      <c r="P16" s="2"/>
      <c r="Q16" s="2"/>
      <c r="R16" s="2"/>
      <c r="S16" s="2"/>
      <c r="T16" s="2"/>
      <c r="U16" s="2"/>
      <c r="V16" s="2"/>
      <c r="AO16" s="2"/>
    </row>
    <row r="17" spans="2:41" ht="14.5" thickBot="1" x14ac:dyDescent="0.35">
      <c r="B17" s="2"/>
      <c r="C17" s="2"/>
      <c r="D17" s="2"/>
      <c r="E17" s="2"/>
      <c r="F17" s="2"/>
      <c r="G17" s="2"/>
      <c r="H17" s="2"/>
      <c r="I17" s="2"/>
      <c r="J17" s="2"/>
      <c r="K17" s="2"/>
      <c r="L17" s="2"/>
      <c r="M17" s="2"/>
      <c r="N17" s="2"/>
      <c r="O17" s="2"/>
      <c r="P17" s="2"/>
      <c r="Q17" s="2"/>
      <c r="R17" s="2"/>
      <c r="S17" s="2"/>
      <c r="T17" s="2"/>
      <c r="U17" s="2"/>
      <c r="V17" s="2"/>
      <c r="AO17" s="2"/>
    </row>
    <row r="18" spans="2:41" ht="20.5" thickBot="1" x14ac:dyDescent="0.35">
      <c r="B18" s="2"/>
      <c r="C18" s="104" t="s">
        <v>40</v>
      </c>
      <c r="D18" s="105" t="s">
        <v>41</v>
      </c>
      <c r="E18" s="106" t="s">
        <v>42</v>
      </c>
      <c r="F18" s="2"/>
      <c r="G18" s="2"/>
      <c r="H18" s="2"/>
      <c r="I18" s="2"/>
      <c r="J18" s="104" t="s">
        <v>40</v>
      </c>
      <c r="K18" s="105" t="s">
        <v>43</v>
      </c>
      <c r="L18" s="106" t="s">
        <v>44</v>
      </c>
      <c r="M18" s="2"/>
      <c r="N18" s="2"/>
      <c r="O18" s="2"/>
      <c r="P18" s="2"/>
      <c r="Q18" s="104" t="s">
        <v>40</v>
      </c>
      <c r="R18" s="105" t="s">
        <v>45</v>
      </c>
      <c r="S18" s="106" t="s">
        <v>46</v>
      </c>
      <c r="T18" s="2"/>
      <c r="U18" s="2"/>
      <c r="V18" s="2"/>
      <c r="AO18" s="2"/>
    </row>
    <row r="19" spans="2:41" x14ac:dyDescent="0.3">
      <c r="B19" s="2"/>
      <c r="C19" s="107">
        <v>2020</v>
      </c>
      <c r="D19" s="108">
        <v>5</v>
      </c>
      <c r="E19" s="109">
        <v>0.05</v>
      </c>
      <c r="F19" s="2"/>
      <c r="G19" s="2"/>
      <c r="H19" s="2"/>
      <c r="I19" s="2"/>
      <c r="J19" s="107">
        <v>2020</v>
      </c>
      <c r="K19" s="108">
        <v>130</v>
      </c>
      <c r="L19" s="117">
        <v>720</v>
      </c>
      <c r="M19" s="2"/>
      <c r="N19" s="2"/>
      <c r="O19" s="2"/>
      <c r="P19" s="2"/>
      <c r="Q19" s="107">
        <v>2020</v>
      </c>
      <c r="R19" s="115">
        <v>0.68</v>
      </c>
      <c r="S19" s="109">
        <v>0.54</v>
      </c>
      <c r="T19" s="2"/>
      <c r="U19" s="2"/>
      <c r="V19" s="2"/>
      <c r="AO19" s="2"/>
    </row>
    <row r="20" spans="2:41" x14ac:dyDescent="0.3">
      <c r="B20" s="2"/>
      <c r="C20" s="110">
        <v>2021</v>
      </c>
      <c r="D20" s="56">
        <v>5.5</v>
      </c>
      <c r="E20" s="111">
        <v>7.0000000000000007E-2</v>
      </c>
      <c r="F20" s="2"/>
      <c r="G20" s="2"/>
      <c r="H20" s="2"/>
      <c r="I20" s="2"/>
      <c r="J20" s="110">
        <v>2021</v>
      </c>
      <c r="K20" s="56">
        <v>145</v>
      </c>
      <c r="L20" s="118">
        <v>760</v>
      </c>
      <c r="M20" s="2"/>
      <c r="N20" s="2"/>
      <c r="O20" s="2"/>
      <c r="P20" s="2"/>
      <c r="Q20" s="110">
        <v>2021</v>
      </c>
      <c r="R20" s="103">
        <v>0.65</v>
      </c>
      <c r="S20" s="223">
        <v>0.54</v>
      </c>
      <c r="T20" s="2"/>
      <c r="U20" s="2"/>
      <c r="V20" s="2"/>
      <c r="AO20" s="2"/>
    </row>
    <row r="21" spans="2:41" x14ac:dyDescent="0.3">
      <c r="B21" s="2"/>
      <c r="C21" s="110">
        <v>2022</v>
      </c>
      <c r="D21" s="56">
        <v>5.7</v>
      </c>
      <c r="E21" s="111">
        <v>7.0000000000000007E-2</v>
      </c>
      <c r="F21" s="2"/>
      <c r="G21" s="2"/>
      <c r="H21" s="2"/>
      <c r="I21" s="2"/>
      <c r="J21" s="110">
        <v>2022</v>
      </c>
      <c r="K21" s="56">
        <v>160</v>
      </c>
      <c r="L21" s="118">
        <v>820</v>
      </c>
      <c r="M21" s="2"/>
      <c r="N21" s="2"/>
      <c r="O21" s="2"/>
      <c r="P21" s="2"/>
      <c r="Q21" s="110">
        <v>2022</v>
      </c>
      <c r="R21" s="103">
        <v>0.65</v>
      </c>
      <c r="S21" s="111">
        <v>0.53</v>
      </c>
      <c r="T21" s="2"/>
      <c r="U21" s="2"/>
      <c r="V21" s="2"/>
      <c r="AO21" s="2"/>
    </row>
    <row r="22" spans="2:41" x14ac:dyDescent="0.3">
      <c r="B22" s="2"/>
      <c r="C22" s="110">
        <v>2023</v>
      </c>
      <c r="D22" s="56">
        <v>7</v>
      </c>
      <c r="E22" s="111">
        <v>0.1</v>
      </c>
      <c r="F22" s="2"/>
      <c r="G22" s="2"/>
      <c r="H22" s="2"/>
      <c r="I22" s="2"/>
      <c r="J22" s="110">
        <v>2023</v>
      </c>
      <c r="K22" s="56">
        <v>170</v>
      </c>
      <c r="L22" s="118">
        <v>850</v>
      </c>
      <c r="M22" s="2"/>
      <c r="N22" s="2"/>
      <c r="O22" s="2"/>
      <c r="P22" s="2"/>
      <c r="Q22" s="110">
        <v>2023</v>
      </c>
      <c r="R22" s="103">
        <v>0.62</v>
      </c>
      <c r="S22" s="111">
        <v>0.54</v>
      </c>
      <c r="T22" s="2"/>
      <c r="U22" s="2"/>
      <c r="V22" s="2"/>
      <c r="AO22" s="2"/>
    </row>
    <row r="23" spans="2:41" ht="14.5" thickBot="1" x14ac:dyDescent="0.35">
      <c r="B23" s="2"/>
      <c r="C23" s="112">
        <v>2024</v>
      </c>
      <c r="D23" s="113">
        <v>7.5</v>
      </c>
      <c r="E23" s="114">
        <v>0.12</v>
      </c>
      <c r="F23" s="2"/>
      <c r="G23" s="2"/>
      <c r="H23" s="2"/>
      <c r="I23" s="2"/>
      <c r="J23" s="112">
        <v>2024</v>
      </c>
      <c r="K23" s="113">
        <v>210</v>
      </c>
      <c r="L23" s="119">
        <v>980</v>
      </c>
      <c r="M23" s="2"/>
      <c r="N23" s="2"/>
      <c r="O23" s="2"/>
      <c r="P23" s="2"/>
      <c r="Q23" s="112">
        <v>2024</v>
      </c>
      <c r="R23" s="224">
        <v>0.59</v>
      </c>
      <c r="S23" s="114">
        <v>0.48</v>
      </c>
      <c r="T23" s="2"/>
      <c r="U23" s="2"/>
      <c r="V23" s="2"/>
      <c r="AO23" s="2"/>
    </row>
    <row r="24" spans="2:41" ht="14.5" thickBot="1" x14ac:dyDescent="0.35">
      <c r="B24" s="2"/>
      <c r="C24" s="2"/>
      <c r="D24" s="2"/>
      <c r="E24" s="2"/>
      <c r="F24" s="2"/>
      <c r="G24" s="2"/>
      <c r="H24" s="2"/>
      <c r="I24" s="2"/>
      <c r="J24" s="121" t="s">
        <v>47</v>
      </c>
      <c r="K24" s="122">
        <f>AVERAGE(K19:K23)</f>
        <v>163</v>
      </c>
      <c r="L24" s="123">
        <f>AVERAGE(L19:L23)</f>
        <v>826</v>
      </c>
      <c r="M24" s="2"/>
      <c r="N24" s="2"/>
      <c r="O24" s="2"/>
      <c r="P24" s="2"/>
      <c r="Q24" s="2"/>
      <c r="R24" s="2"/>
      <c r="S24" s="2"/>
      <c r="T24" s="2"/>
      <c r="U24" s="2"/>
      <c r="V24" s="2"/>
      <c r="AO24" s="2"/>
    </row>
    <row r="25" spans="2:41" x14ac:dyDescent="0.3">
      <c r="B25" s="2"/>
      <c r="C25" s="2"/>
      <c r="D25" s="2"/>
      <c r="E25" s="2"/>
      <c r="F25" s="2"/>
      <c r="G25" s="2"/>
      <c r="H25" s="2"/>
      <c r="I25" s="2"/>
      <c r="J25" s="2"/>
      <c r="K25" s="2"/>
      <c r="L25" s="2"/>
      <c r="M25" s="2"/>
      <c r="N25" s="2"/>
      <c r="O25" s="2"/>
      <c r="P25" s="2"/>
      <c r="Q25" s="2"/>
      <c r="R25" s="2"/>
      <c r="S25" s="2"/>
      <c r="T25" s="2"/>
      <c r="U25" s="2"/>
      <c r="V25" s="2"/>
      <c r="AO25" s="2"/>
    </row>
    <row r="26" spans="2:41" x14ac:dyDescent="0.3">
      <c r="B26" s="2"/>
      <c r="C26" s="2"/>
      <c r="D26" s="2"/>
      <c r="E26" s="2"/>
      <c r="F26" s="2"/>
      <c r="G26" s="2"/>
      <c r="H26" s="2"/>
      <c r="I26" s="2"/>
      <c r="J26" s="2"/>
      <c r="K26" s="2"/>
      <c r="L26" s="2"/>
      <c r="M26" s="2"/>
      <c r="N26" s="2"/>
      <c r="O26" s="2"/>
      <c r="P26" s="2"/>
      <c r="Q26" s="2"/>
      <c r="R26" s="2"/>
      <c r="S26" s="2"/>
      <c r="T26" s="2"/>
      <c r="U26" s="2"/>
      <c r="V26" s="2"/>
      <c r="AO26" s="2"/>
    </row>
    <row r="27" spans="2:41" ht="7.5" customHeight="1" x14ac:dyDescent="0.3">
      <c r="B27" s="2"/>
      <c r="C27" s="290"/>
      <c r="D27" s="290"/>
      <c r="E27" s="290"/>
      <c r="F27" s="290"/>
      <c r="G27" s="62"/>
      <c r="H27" s="2"/>
      <c r="I27" s="2"/>
      <c r="J27" s="2"/>
      <c r="K27" s="2"/>
      <c r="L27" s="2"/>
      <c r="M27" s="2"/>
      <c r="N27" s="2"/>
      <c r="O27" s="2"/>
      <c r="P27" s="2"/>
      <c r="Q27" s="2"/>
      <c r="R27" s="2"/>
      <c r="S27" s="2"/>
      <c r="T27" s="2"/>
      <c r="U27" s="2"/>
      <c r="V27" s="2"/>
      <c r="AO27" s="2"/>
    </row>
    <row r="28" spans="2:41" x14ac:dyDescent="0.3">
      <c r="B28" s="2"/>
      <c r="C28" s="290"/>
      <c r="D28" s="290"/>
      <c r="E28" s="290"/>
      <c r="F28" s="290"/>
      <c r="G28" s="62"/>
      <c r="H28" s="2"/>
      <c r="I28" s="2"/>
      <c r="J28" s="2"/>
      <c r="K28" s="2"/>
      <c r="L28" s="2"/>
      <c r="M28" s="2"/>
      <c r="N28" s="2"/>
      <c r="O28" s="2"/>
      <c r="P28" s="2"/>
      <c r="Q28" s="2"/>
      <c r="R28" s="2"/>
      <c r="S28" s="2"/>
      <c r="T28" s="2"/>
      <c r="U28" s="2"/>
      <c r="V28" s="2"/>
      <c r="AO28" s="2"/>
    </row>
    <row r="29" spans="2:41" x14ac:dyDescent="0.3">
      <c r="B29" s="2"/>
      <c r="C29" s="290"/>
      <c r="D29" s="290"/>
      <c r="E29" s="290"/>
      <c r="F29" s="290"/>
      <c r="G29" s="62"/>
      <c r="H29" s="2"/>
      <c r="I29" s="2"/>
      <c r="J29" s="2"/>
      <c r="K29" s="2"/>
      <c r="L29" s="2"/>
      <c r="M29" s="2"/>
      <c r="N29" s="2"/>
      <c r="O29" s="2"/>
      <c r="P29" s="2"/>
      <c r="Q29" s="2"/>
      <c r="R29" s="2"/>
      <c r="S29" s="2"/>
      <c r="T29" s="2"/>
      <c r="U29" s="2"/>
      <c r="V29" s="2"/>
      <c r="AO29" s="2"/>
    </row>
    <row r="30" spans="2:41" x14ac:dyDescent="0.3">
      <c r="B30" s="2"/>
      <c r="C30" s="120"/>
      <c r="D30" s="120"/>
      <c r="E30" s="120"/>
      <c r="F30" s="120"/>
      <c r="G30" s="120"/>
      <c r="H30" s="2"/>
      <c r="I30" s="2"/>
      <c r="J30" s="2"/>
      <c r="K30" s="2"/>
      <c r="L30" s="2"/>
      <c r="M30" s="2"/>
      <c r="N30" s="2"/>
      <c r="O30" s="2"/>
      <c r="P30" s="2"/>
      <c r="Q30" s="2"/>
      <c r="R30" s="2"/>
      <c r="S30" s="2"/>
      <c r="T30" s="2"/>
      <c r="U30" s="2"/>
      <c r="V30" s="2"/>
      <c r="AO30" s="2"/>
    </row>
    <row r="31" spans="2:41" x14ac:dyDescent="0.3">
      <c r="B31" s="2"/>
      <c r="C31" s="2"/>
      <c r="D31" s="2"/>
      <c r="E31" s="2"/>
      <c r="F31" s="2"/>
      <c r="G31" s="2"/>
      <c r="H31" s="2"/>
      <c r="I31" s="2"/>
      <c r="J31" s="2"/>
      <c r="K31" s="2"/>
      <c r="L31" s="2"/>
      <c r="M31" s="2"/>
      <c r="N31" s="2"/>
      <c r="O31" s="2"/>
      <c r="P31" s="2"/>
      <c r="Q31" s="2"/>
      <c r="R31" s="2"/>
      <c r="S31" s="2"/>
      <c r="T31" s="2"/>
      <c r="U31" s="2"/>
      <c r="V31" s="2"/>
      <c r="AO31" s="2"/>
    </row>
    <row r="32" spans="2:41" x14ac:dyDescent="0.3">
      <c r="B32" s="2"/>
      <c r="C32" s="2"/>
      <c r="D32" s="2"/>
      <c r="E32" s="2"/>
      <c r="F32" s="2"/>
      <c r="G32" s="2"/>
      <c r="H32" s="2"/>
      <c r="I32" s="2"/>
      <c r="J32" s="2"/>
      <c r="K32" s="2"/>
      <c r="L32" s="2"/>
      <c r="M32" s="2"/>
      <c r="N32" s="2"/>
      <c r="O32" s="2"/>
      <c r="P32" s="2"/>
      <c r="Q32" s="2"/>
      <c r="R32" s="2"/>
      <c r="S32" s="2"/>
      <c r="T32" s="2"/>
      <c r="U32" s="2"/>
      <c r="V32" s="2"/>
      <c r="AO32" s="2"/>
    </row>
    <row r="33" spans="2:41" x14ac:dyDescent="0.3">
      <c r="B33" s="2"/>
      <c r="C33" s="2"/>
      <c r="D33" s="2"/>
      <c r="E33" s="2"/>
      <c r="F33" s="2"/>
      <c r="G33" s="2"/>
      <c r="H33" s="2"/>
      <c r="I33" s="2"/>
      <c r="J33" s="2"/>
      <c r="K33" s="2"/>
      <c r="L33" s="2"/>
      <c r="M33" s="2"/>
      <c r="N33" s="2"/>
      <c r="O33" s="2"/>
      <c r="P33" s="2"/>
      <c r="Q33" s="2"/>
      <c r="R33" s="2"/>
      <c r="S33" s="2"/>
      <c r="T33" s="2"/>
      <c r="U33" s="2"/>
      <c r="V33" s="2"/>
      <c r="AO33" s="2"/>
    </row>
    <row r="34" spans="2:41" x14ac:dyDescent="0.3">
      <c r="B34" s="2"/>
      <c r="C34" s="2"/>
      <c r="D34" s="2"/>
      <c r="E34" s="2"/>
      <c r="F34" s="2"/>
      <c r="G34" s="2"/>
      <c r="H34" s="2"/>
      <c r="I34" s="2"/>
      <c r="J34" s="2"/>
      <c r="K34" s="2"/>
      <c r="L34" s="2"/>
      <c r="M34" s="2"/>
      <c r="N34" s="2"/>
      <c r="O34" s="2"/>
      <c r="P34" s="2"/>
      <c r="Q34" s="2"/>
      <c r="R34" s="2"/>
      <c r="S34" s="2"/>
      <c r="T34" s="2"/>
      <c r="U34" s="2"/>
      <c r="V34" s="2"/>
      <c r="AO34" s="2"/>
    </row>
    <row r="35" spans="2:41" x14ac:dyDescent="0.3">
      <c r="B35" s="2"/>
      <c r="C35" s="2"/>
      <c r="D35" s="2"/>
      <c r="E35" s="2"/>
      <c r="F35" s="2"/>
      <c r="G35" s="2"/>
      <c r="H35" s="2"/>
      <c r="I35" s="2"/>
      <c r="J35" s="2"/>
      <c r="K35" s="2"/>
      <c r="L35" s="2"/>
      <c r="M35" s="2"/>
      <c r="N35" s="2"/>
      <c r="O35" s="2"/>
      <c r="P35" s="2"/>
      <c r="Q35" s="2"/>
      <c r="R35" s="2"/>
      <c r="S35" s="2"/>
      <c r="T35" s="2"/>
      <c r="U35" s="2"/>
      <c r="V35" s="2"/>
    </row>
    <row r="36" spans="2:41" x14ac:dyDescent="0.3">
      <c r="B36" s="2"/>
      <c r="C36" s="2"/>
      <c r="D36" s="2"/>
      <c r="E36" s="2"/>
      <c r="F36" s="2"/>
      <c r="G36" s="2"/>
      <c r="H36" s="2"/>
      <c r="I36" s="2"/>
      <c r="J36" s="2"/>
      <c r="K36" s="2"/>
      <c r="L36" s="2"/>
      <c r="M36" s="2"/>
      <c r="N36" s="2"/>
      <c r="O36" s="2"/>
      <c r="P36" s="2"/>
      <c r="Q36" s="2"/>
      <c r="R36" s="2"/>
      <c r="S36" s="2"/>
      <c r="T36" s="2"/>
      <c r="U36" s="2"/>
      <c r="V36" s="2"/>
    </row>
    <row r="37" spans="2:41" x14ac:dyDescent="0.3">
      <c r="B37" s="2"/>
      <c r="C37" s="2"/>
      <c r="D37" s="2"/>
      <c r="E37" s="2"/>
      <c r="F37" s="2"/>
      <c r="G37" s="2"/>
      <c r="H37" s="2"/>
      <c r="I37" s="2"/>
      <c r="J37" s="2"/>
      <c r="K37" s="2"/>
      <c r="L37" s="2"/>
      <c r="M37" s="2"/>
      <c r="N37" s="2"/>
      <c r="O37" s="2"/>
      <c r="P37" s="2"/>
      <c r="Q37" s="2"/>
      <c r="R37" s="2"/>
      <c r="S37" s="2"/>
      <c r="T37" s="2"/>
      <c r="U37" s="2"/>
      <c r="V37" s="2"/>
    </row>
    <row r="38" spans="2:41" x14ac:dyDescent="0.3">
      <c r="B38" s="2"/>
      <c r="C38" s="2"/>
      <c r="D38" s="2"/>
      <c r="E38" s="2"/>
      <c r="F38" s="2"/>
      <c r="G38" s="2"/>
      <c r="H38" s="2"/>
      <c r="I38" s="2"/>
      <c r="J38" s="2"/>
      <c r="K38" s="2"/>
      <c r="L38" s="2"/>
      <c r="M38" s="2"/>
      <c r="N38" s="2"/>
      <c r="O38" s="2"/>
      <c r="P38" s="2"/>
      <c r="Q38" s="2"/>
      <c r="R38" s="2"/>
      <c r="S38" s="2"/>
      <c r="T38" s="2"/>
      <c r="U38" s="2"/>
      <c r="V38" s="2"/>
    </row>
    <row r="39" spans="2:41" x14ac:dyDescent="0.3">
      <c r="B39" s="2"/>
      <c r="C39" s="2"/>
      <c r="D39" s="2"/>
      <c r="E39" s="2"/>
      <c r="F39" s="2"/>
      <c r="G39" s="2"/>
      <c r="H39" s="2"/>
      <c r="I39" s="2"/>
      <c r="J39" s="2"/>
      <c r="K39" s="2"/>
      <c r="L39" s="2"/>
      <c r="M39" s="2"/>
      <c r="N39" s="2"/>
      <c r="O39" s="2"/>
      <c r="P39" s="2"/>
      <c r="Q39" s="2"/>
      <c r="R39" s="2"/>
      <c r="S39" s="2"/>
      <c r="T39" s="2"/>
      <c r="U39" s="2"/>
      <c r="V39" s="2"/>
    </row>
    <row r="40" spans="2:41" x14ac:dyDescent="0.3">
      <c r="B40" s="2"/>
      <c r="C40" s="2"/>
      <c r="D40" s="2"/>
      <c r="E40" s="2"/>
      <c r="F40" s="2"/>
      <c r="G40" s="2"/>
      <c r="H40" s="2"/>
      <c r="I40" s="2"/>
      <c r="J40" s="2"/>
      <c r="K40" s="2"/>
      <c r="L40" s="2"/>
      <c r="M40" s="2"/>
      <c r="N40" s="2"/>
      <c r="O40" s="2"/>
      <c r="P40" s="2"/>
      <c r="Q40" s="2"/>
      <c r="R40" s="2"/>
      <c r="S40" s="2"/>
      <c r="T40" s="2"/>
      <c r="U40" s="2"/>
      <c r="V40" s="2"/>
    </row>
    <row r="41" spans="2:41" x14ac:dyDescent="0.3">
      <c r="B41" s="2"/>
      <c r="C41" s="2"/>
      <c r="D41" s="2"/>
      <c r="E41" s="2"/>
      <c r="F41" s="2"/>
      <c r="G41" s="2"/>
      <c r="H41" s="2"/>
      <c r="I41" s="2"/>
      <c r="J41" s="2"/>
      <c r="K41" s="2"/>
      <c r="L41" s="2"/>
      <c r="M41" s="2"/>
      <c r="N41" s="2"/>
      <c r="O41" s="2"/>
      <c r="P41" s="2"/>
      <c r="Q41" s="2"/>
      <c r="R41" s="2"/>
      <c r="S41" s="2"/>
      <c r="T41" s="2"/>
      <c r="U41" s="2"/>
      <c r="V41" s="2"/>
    </row>
    <row r="42" spans="2:41" x14ac:dyDescent="0.3">
      <c r="B42" s="2"/>
      <c r="C42" s="2"/>
      <c r="D42" s="2"/>
      <c r="E42" s="2"/>
      <c r="F42" s="2"/>
      <c r="G42" s="2"/>
      <c r="H42" s="2"/>
      <c r="I42" s="2"/>
      <c r="J42" s="2"/>
      <c r="K42" s="2"/>
      <c r="L42" s="2"/>
      <c r="M42" s="2"/>
      <c r="N42" s="2"/>
      <c r="O42" s="2"/>
      <c r="P42" s="2"/>
      <c r="Q42" s="2"/>
      <c r="R42" s="2"/>
      <c r="S42" s="2"/>
      <c r="T42" s="2"/>
      <c r="U42" s="2"/>
      <c r="V42" s="2"/>
    </row>
    <row r="43" spans="2:41" x14ac:dyDescent="0.3">
      <c r="B43" s="2"/>
      <c r="C43" s="2"/>
      <c r="D43" s="2"/>
      <c r="E43" s="2"/>
      <c r="F43" s="2"/>
      <c r="G43" s="2"/>
      <c r="H43" s="2"/>
      <c r="I43" s="2"/>
      <c r="J43" s="2"/>
      <c r="K43" s="2"/>
      <c r="L43" s="2"/>
      <c r="M43" s="2"/>
      <c r="N43" s="2"/>
      <c r="O43" s="2"/>
      <c r="P43" s="2"/>
      <c r="Q43" s="2"/>
      <c r="R43" s="2"/>
      <c r="S43" s="2"/>
      <c r="T43" s="2"/>
      <c r="U43" s="2"/>
      <c r="V43" s="2"/>
    </row>
    <row r="44" spans="2:41" x14ac:dyDescent="0.3">
      <c r="B44" s="2"/>
      <c r="C44" s="2"/>
      <c r="D44" s="2"/>
      <c r="E44" s="2"/>
      <c r="F44" s="2"/>
      <c r="G44" s="2"/>
      <c r="H44" s="2"/>
      <c r="I44" s="2"/>
      <c r="J44" s="2"/>
      <c r="K44" s="2"/>
      <c r="L44" s="2"/>
      <c r="M44" s="2"/>
      <c r="N44" s="2"/>
      <c r="O44" s="2"/>
      <c r="P44" s="2"/>
      <c r="Q44" s="2"/>
      <c r="R44" s="2"/>
      <c r="S44" s="2"/>
      <c r="T44" s="2"/>
      <c r="U44" s="2"/>
      <c r="V44" s="2"/>
    </row>
    <row r="45" spans="2:41" x14ac:dyDescent="0.3">
      <c r="B45" s="2"/>
      <c r="C45" s="2"/>
      <c r="D45" s="2"/>
      <c r="E45" s="2"/>
      <c r="F45" s="2"/>
      <c r="G45" s="2"/>
      <c r="H45" s="2"/>
      <c r="I45" s="2"/>
      <c r="J45" s="2"/>
      <c r="K45" s="2"/>
      <c r="L45" s="2"/>
      <c r="M45" s="2"/>
      <c r="N45" s="2"/>
      <c r="O45" s="2"/>
      <c r="P45" s="2"/>
      <c r="Q45" s="2"/>
      <c r="R45" s="2"/>
      <c r="S45" s="2"/>
      <c r="T45" s="2"/>
      <c r="U45" s="2"/>
      <c r="V45" s="2"/>
    </row>
    <row r="46" spans="2:41" ht="14.5" thickBot="1" x14ac:dyDescent="0.35">
      <c r="B46" s="2"/>
      <c r="C46" s="2"/>
      <c r="D46" s="2"/>
      <c r="E46" s="2"/>
      <c r="F46" s="2"/>
      <c r="G46" s="2"/>
      <c r="H46" s="2"/>
      <c r="I46" s="2"/>
      <c r="J46" s="2"/>
      <c r="K46" s="2"/>
      <c r="L46" s="2"/>
      <c r="M46" s="2"/>
      <c r="N46" s="2"/>
      <c r="O46" s="2"/>
      <c r="P46" s="2"/>
      <c r="Q46" s="2"/>
      <c r="R46" s="2"/>
      <c r="S46" s="2"/>
      <c r="T46" s="2"/>
      <c r="U46" s="2"/>
      <c r="V46" s="2"/>
    </row>
    <row r="47" spans="2:41" ht="30.5" thickBot="1" x14ac:dyDescent="0.35">
      <c r="B47" s="2"/>
      <c r="C47" s="104" t="s">
        <v>40</v>
      </c>
      <c r="D47" s="105" t="s">
        <v>48</v>
      </c>
      <c r="E47" s="106" t="s">
        <v>49</v>
      </c>
      <c r="F47" s="2"/>
      <c r="G47" s="2"/>
      <c r="H47" s="2"/>
      <c r="I47" s="2"/>
      <c r="J47" s="104" t="s">
        <v>40</v>
      </c>
      <c r="K47" s="105" t="s">
        <v>50</v>
      </c>
      <c r="L47" s="106" t="s">
        <v>51</v>
      </c>
      <c r="M47" s="2"/>
      <c r="N47" s="2"/>
      <c r="O47" s="2"/>
      <c r="P47" s="2"/>
      <c r="Q47" s="104" t="s">
        <v>40</v>
      </c>
      <c r="R47" s="105" t="s">
        <v>52</v>
      </c>
      <c r="S47" s="106" t="s">
        <v>53</v>
      </c>
      <c r="T47" s="2"/>
      <c r="U47" s="2"/>
      <c r="V47" s="2"/>
    </row>
    <row r="48" spans="2:41" x14ac:dyDescent="0.3">
      <c r="B48" s="2"/>
      <c r="C48" s="107">
        <v>2020</v>
      </c>
      <c r="D48" s="108">
        <v>3</v>
      </c>
      <c r="E48" s="117">
        <v>45</v>
      </c>
      <c r="F48" s="2"/>
      <c r="G48" s="2"/>
      <c r="H48" s="2"/>
      <c r="I48" s="2"/>
      <c r="J48" s="107">
        <v>2020</v>
      </c>
      <c r="K48" s="115">
        <v>0.08</v>
      </c>
      <c r="L48" s="109">
        <v>0.03</v>
      </c>
      <c r="M48" s="2"/>
      <c r="N48" s="2"/>
      <c r="O48" s="2"/>
      <c r="P48" s="2"/>
      <c r="Q48" s="107">
        <v>2020</v>
      </c>
      <c r="R48" s="108">
        <v>90</v>
      </c>
      <c r="S48" s="117">
        <v>150</v>
      </c>
      <c r="T48" s="2"/>
      <c r="U48" s="2"/>
      <c r="V48" s="2"/>
    </row>
    <row r="49" spans="2:22" x14ac:dyDescent="0.3">
      <c r="B49" s="2"/>
      <c r="C49" s="110">
        <v>2021</v>
      </c>
      <c r="D49" s="56">
        <v>5</v>
      </c>
      <c r="E49" s="118">
        <v>45</v>
      </c>
      <c r="F49" s="2"/>
      <c r="G49" s="2"/>
      <c r="H49" s="2"/>
      <c r="I49" s="2"/>
      <c r="J49" s="110">
        <v>2021</v>
      </c>
      <c r="K49" s="103">
        <v>0.06</v>
      </c>
      <c r="L49" s="111">
        <v>0.03</v>
      </c>
      <c r="M49" s="2"/>
      <c r="N49" s="2"/>
      <c r="O49" s="2"/>
      <c r="P49" s="2"/>
      <c r="Q49" s="110">
        <v>2021</v>
      </c>
      <c r="R49" s="56">
        <v>90</v>
      </c>
      <c r="S49" s="118">
        <v>150</v>
      </c>
      <c r="T49" s="2"/>
      <c r="U49" s="2"/>
      <c r="V49" s="2"/>
    </row>
    <row r="50" spans="2:22" x14ac:dyDescent="0.3">
      <c r="B50" s="2"/>
      <c r="C50" s="110">
        <v>2022</v>
      </c>
      <c r="D50" s="56">
        <v>15</v>
      </c>
      <c r="E50" s="118">
        <v>46</v>
      </c>
      <c r="F50" s="2"/>
      <c r="G50" s="2"/>
      <c r="H50" s="2"/>
      <c r="I50" s="2"/>
      <c r="J50" s="110">
        <v>2022</v>
      </c>
      <c r="K50" s="103">
        <v>0.04</v>
      </c>
      <c r="L50" s="111">
        <v>2.5000000000000001E-2</v>
      </c>
      <c r="M50" s="2"/>
      <c r="N50" s="2"/>
      <c r="O50" s="2"/>
      <c r="P50" s="2"/>
      <c r="Q50" s="110">
        <v>2022</v>
      </c>
      <c r="R50" s="56">
        <v>95</v>
      </c>
      <c r="S50" s="118">
        <v>150</v>
      </c>
      <c r="T50" s="2"/>
      <c r="U50" s="2"/>
      <c r="V50" s="2"/>
    </row>
    <row r="51" spans="2:22" x14ac:dyDescent="0.3">
      <c r="B51" s="2"/>
      <c r="C51" s="110">
        <v>2023</v>
      </c>
      <c r="D51" s="56">
        <v>35</v>
      </c>
      <c r="E51" s="118">
        <v>48</v>
      </c>
      <c r="F51" s="2"/>
      <c r="G51" s="2"/>
      <c r="H51" s="2"/>
      <c r="I51" s="2"/>
      <c r="J51" s="110">
        <v>2023</v>
      </c>
      <c r="K51" s="103">
        <v>0.04</v>
      </c>
      <c r="L51" s="111">
        <v>2.5000000000000001E-2</v>
      </c>
      <c r="M51" s="2"/>
      <c r="N51" s="2"/>
      <c r="O51" s="2"/>
      <c r="P51" s="2"/>
      <c r="Q51" s="110">
        <v>2023</v>
      </c>
      <c r="R51" s="56">
        <v>102</v>
      </c>
      <c r="S51" s="118">
        <v>150</v>
      </c>
      <c r="T51" s="2"/>
      <c r="U51" s="2"/>
      <c r="V51" s="2"/>
    </row>
    <row r="52" spans="2:22" ht="14.5" thickBot="1" x14ac:dyDescent="0.35">
      <c r="B52" s="2"/>
      <c r="C52" s="112">
        <v>2024</v>
      </c>
      <c r="D52" s="113">
        <v>30</v>
      </c>
      <c r="E52" s="119">
        <v>50</v>
      </c>
      <c r="F52" s="2"/>
      <c r="G52" s="2"/>
      <c r="H52" s="2"/>
      <c r="I52" s="2"/>
      <c r="J52" s="112">
        <v>2024</v>
      </c>
      <c r="K52" s="116">
        <v>2.5000000000000001E-2</v>
      </c>
      <c r="L52" s="114">
        <v>0.02</v>
      </c>
      <c r="M52" s="2"/>
      <c r="N52" s="2"/>
      <c r="O52" s="2"/>
      <c r="P52" s="2"/>
      <c r="Q52" s="112">
        <v>2024</v>
      </c>
      <c r="R52" s="113">
        <v>115</v>
      </c>
      <c r="S52" s="119">
        <v>150</v>
      </c>
      <c r="T52" s="2"/>
      <c r="U52" s="2"/>
      <c r="V52" s="2"/>
    </row>
    <row r="53" spans="2:22" x14ac:dyDescent="0.3">
      <c r="B53" s="2"/>
      <c r="C53" s="2"/>
      <c r="D53" s="2"/>
      <c r="E53" s="2"/>
      <c r="F53" s="2"/>
      <c r="G53" s="2"/>
      <c r="H53" s="2"/>
      <c r="I53" s="2"/>
      <c r="J53" s="2"/>
      <c r="K53" s="2"/>
      <c r="L53" s="2"/>
      <c r="M53" s="2"/>
      <c r="N53" s="2"/>
      <c r="O53" s="2"/>
      <c r="P53" s="2"/>
      <c r="Q53" s="2"/>
      <c r="R53" s="2"/>
      <c r="S53" s="2"/>
      <c r="T53" s="2"/>
      <c r="U53" s="2"/>
      <c r="V53" s="2"/>
    </row>
    <row r="54" spans="2:22" x14ac:dyDescent="0.3">
      <c r="B54" s="2"/>
      <c r="C54" s="2"/>
      <c r="D54" s="2"/>
      <c r="E54" s="2"/>
      <c r="F54" s="2"/>
      <c r="G54" s="2"/>
      <c r="H54" s="2"/>
      <c r="I54" s="2"/>
      <c r="J54" s="2"/>
      <c r="K54" s="2"/>
      <c r="L54" s="2"/>
      <c r="M54" s="2"/>
      <c r="N54" s="2"/>
      <c r="O54" s="2"/>
      <c r="P54" s="2"/>
      <c r="Q54" s="2"/>
      <c r="R54" s="2"/>
      <c r="S54" s="2"/>
      <c r="T54" s="2"/>
      <c r="U54" s="2"/>
      <c r="V54" s="2"/>
    </row>
    <row r="55" spans="2:22" x14ac:dyDescent="0.3">
      <c r="B55" s="2"/>
      <c r="C55" s="2"/>
      <c r="D55" s="2"/>
      <c r="E55" s="2"/>
      <c r="F55" s="2"/>
      <c r="G55" s="2"/>
      <c r="H55" s="2"/>
      <c r="I55" s="2"/>
      <c r="J55" s="2"/>
      <c r="K55" s="2"/>
      <c r="L55" s="2"/>
      <c r="M55" s="2"/>
      <c r="N55" s="2"/>
      <c r="O55" s="2"/>
      <c r="P55" s="2"/>
      <c r="Q55" s="2"/>
      <c r="R55" s="2"/>
      <c r="S55" s="2"/>
      <c r="T55" s="2"/>
      <c r="U55" s="2"/>
      <c r="V55" s="2"/>
    </row>
    <row r="56" spans="2:22" x14ac:dyDescent="0.3">
      <c r="B56" s="2"/>
      <c r="C56" s="2"/>
      <c r="D56" s="2"/>
      <c r="E56" s="2"/>
      <c r="F56" s="2"/>
      <c r="G56" s="2"/>
      <c r="H56" s="2"/>
      <c r="I56" s="62"/>
      <c r="J56" s="62"/>
      <c r="K56" s="62"/>
      <c r="L56" s="62"/>
      <c r="M56" s="2"/>
      <c r="N56" s="2"/>
      <c r="O56" s="2"/>
      <c r="P56" s="2"/>
      <c r="Q56" s="2"/>
      <c r="R56" s="2"/>
      <c r="S56" s="2"/>
      <c r="T56" s="2"/>
      <c r="U56" s="2"/>
      <c r="V56" s="2"/>
    </row>
    <row r="57" spans="2:22" x14ac:dyDescent="0.3">
      <c r="B57" s="2"/>
      <c r="C57" s="2"/>
      <c r="D57" s="2"/>
      <c r="E57" s="2"/>
      <c r="F57" s="2"/>
      <c r="G57" s="2"/>
      <c r="H57" s="2"/>
      <c r="I57" s="62"/>
      <c r="J57" s="62"/>
      <c r="K57" s="62"/>
      <c r="L57" s="62"/>
      <c r="M57" s="2"/>
      <c r="N57" s="2"/>
      <c r="O57" s="2"/>
      <c r="P57" s="2"/>
      <c r="Q57" s="2"/>
      <c r="R57" s="2"/>
      <c r="S57" s="2"/>
      <c r="T57" s="2"/>
      <c r="U57" s="2"/>
      <c r="V57" s="2"/>
    </row>
    <row r="58" spans="2:22" x14ac:dyDescent="0.3">
      <c r="B58" s="2"/>
      <c r="C58" s="2"/>
      <c r="D58" s="2"/>
      <c r="E58" s="2"/>
      <c r="F58" s="2"/>
      <c r="G58" s="2"/>
      <c r="H58" s="2"/>
      <c r="I58" s="62"/>
      <c r="J58" s="62"/>
      <c r="K58" s="62"/>
      <c r="L58" s="62"/>
      <c r="M58" s="2"/>
      <c r="N58" s="2"/>
      <c r="O58" s="2"/>
      <c r="P58" s="2"/>
      <c r="Q58" s="2"/>
      <c r="R58" s="2"/>
      <c r="S58" s="2"/>
      <c r="T58" s="2"/>
      <c r="U58" s="2"/>
      <c r="V58" s="2"/>
    </row>
    <row r="59" spans="2:22" x14ac:dyDescent="0.3">
      <c r="B59" s="2"/>
      <c r="C59" s="2"/>
      <c r="D59" s="2"/>
      <c r="E59" s="2"/>
      <c r="F59" s="2"/>
      <c r="G59" s="2"/>
      <c r="H59" s="2"/>
      <c r="I59" s="2"/>
      <c r="J59" s="2"/>
      <c r="K59" s="2"/>
      <c r="L59" s="2"/>
      <c r="M59" s="2"/>
      <c r="N59" s="2"/>
      <c r="O59" s="2"/>
      <c r="P59" s="2"/>
      <c r="Q59" s="2"/>
      <c r="R59" s="2"/>
      <c r="S59" s="2"/>
      <c r="T59" s="2"/>
      <c r="U59" s="2"/>
      <c r="V59" s="2"/>
    </row>
    <row r="60" spans="2:22" x14ac:dyDescent="0.3">
      <c r="B60" s="2"/>
      <c r="C60" s="2"/>
      <c r="D60" s="2"/>
      <c r="E60" s="2"/>
      <c r="F60" s="2"/>
      <c r="G60" s="2"/>
      <c r="H60" s="2"/>
      <c r="I60" s="2"/>
      <c r="J60" s="2"/>
      <c r="K60" s="2"/>
      <c r="L60" s="2"/>
      <c r="M60" s="2"/>
      <c r="N60" s="2"/>
      <c r="O60" s="2"/>
      <c r="P60" s="2"/>
      <c r="Q60" s="2"/>
      <c r="R60" s="2"/>
      <c r="S60" s="2"/>
      <c r="T60" s="2"/>
      <c r="U60" s="2"/>
      <c r="V60" s="2"/>
    </row>
    <row r="61" spans="2:22" x14ac:dyDescent="0.3">
      <c r="B61" s="2"/>
      <c r="C61" s="2"/>
      <c r="D61" s="2"/>
      <c r="E61" s="2"/>
      <c r="F61" s="2"/>
      <c r="G61" s="2"/>
      <c r="H61" s="2"/>
      <c r="I61" s="2"/>
      <c r="J61" s="2"/>
      <c r="K61" s="2"/>
      <c r="L61" s="2"/>
      <c r="M61" s="2"/>
      <c r="N61" s="2"/>
      <c r="O61" s="2"/>
      <c r="P61" s="2"/>
      <c r="Q61" s="2"/>
      <c r="R61" s="2"/>
      <c r="S61" s="2"/>
      <c r="T61" s="2"/>
      <c r="U61" s="2"/>
      <c r="V61" s="2"/>
    </row>
    <row r="62" spans="2:22" x14ac:dyDescent="0.3">
      <c r="B62" s="2"/>
      <c r="C62" s="2"/>
      <c r="D62" s="2"/>
      <c r="E62" s="2"/>
      <c r="F62" s="2"/>
      <c r="G62" s="2"/>
      <c r="H62" s="2"/>
      <c r="I62" s="2"/>
      <c r="J62" s="2"/>
      <c r="K62" s="2"/>
      <c r="L62" s="2"/>
      <c r="M62" s="2"/>
      <c r="N62" s="2"/>
      <c r="O62" s="2"/>
      <c r="P62" s="2"/>
      <c r="Q62" s="2"/>
      <c r="R62" s="2"/>
      <c r="S62" s="2"/>
      <c r="T62" s="2"/>
      <c r="U62" s="2"/>
      <c r="V62" s="2"/>
    </row>
    <row r="63" spans="2:22" x14ac:dyDescent="0.3">
      <c r="B63" s="2"/>
      <c r="C63" s="2"/>
      <c r="D63" s="2"/>
      <c r="E63" s="2"/>
      <c r="F63" s="2"/>
      <c r="G63" s="2"/>
      <c r="H63" s="2"/>
      <c r="I63" s="2"/>
      <c r="J63" s="2"/>
      <c r="K63" s="2"/>
      <c r="L63" s="2"/>
      <c r="M63" s="2"/>
      <c r="N63" s="2"/>
      <c r="O63" s="2"/>
      <c r="P63" s="2"/>
      <c r="Q63" s="2"/>
      <c r="R63" s="2"/>
      <c r="S63" s="2"/>
      <c r="T63" s="2"/>
      <c r="U63" s="2"/>
      <c r="V63" s="2"/>
    </row>
    <row r="64" spans="2:22" x14ac:dyDescent="0.3">
      <c r="B64" s="2"/>
      <c r="C64" s="2"/>
      <c r="D64" s="2"/>
      <c r="E64" s="2"/>
      <c r="F64" s="2"/>
      <c r="G64" s="2"/>
      <c r="H64" s="2"/>
      <c r="I64" s="2"/>
      <c r="J64" s="2"/>
      <c r="K64" s="2"/>
      <c r="L64" s="2"/>
      <c r="M64" s="2"/>
      <c r="N64" s="2"/>
      <c r="O64" s="2"/>
      <c r="P64" s="2"/>
      <c r="Q64" s="2"/>
      <c r="R64" s="2"/>
      <c r="S64" s="2"/>
      <c r="T64" s="2"/>
      <c r="U64" s="2"/>
      <c r="V64" s="2"/>
    </row>
  </sheetData>
  <mergeCells count="3">
    <mergeCell ref="C27:F29"/>
    <mergeCell ref="D4:S4"/>
    <mergeCell ref="D3:S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C638-479A-4CA6-B9A2-3B994B67D8DC}">
  <sheetPr>
    <tabColor theme="3"/>
    <pageSetUpPr fitToPage="1"/>
  </sheetPr>
  <dimension ref="A1:N66"/>
  <sheetViews>
    <sheetView topLeftCell="G24" zoomScale="40" zoomScaleNormal="98" workbookViewId="0">
      <selection activeCell="D5" sqref="D5:F6"/>
    </sheetView>
  </sheetViews>
  <sheetFormatPr defaultColWidth="9.23046875" defaultRowHeight="14" x14ac:dyDescent="0.3"/>
  <cols>
    <col min="1" max="1" width="9.23046875" style="1"/>
    <col min="2" max="2" width="6.07421875" style="1" customWidth="1"/>
    <col min="3" max="3" width="4.07421875" style="1" customWidth="1"/>
    <col min="4" max="4" width="68.4609375" style="1" customWidth="1"/>
    <col min="5" max="5" width="39.23046875" style="1" customWidth="1"/>
    <col min="6" max="6" width="25.3046875" style="1" customWidth="1"/>
    <col min="7" max="7" width="31.69140625" style="1" customWidth="1"/>
    <col min="8" max="8" width="57.23046875" style="1" customWidth="1"/>
    <col min="9" max="9" width="23.765625" style="1" customWidth="1"/>
    <col min="10" max="10" width="37.3046875" style="1" customWidth="1"/>
    <col min="11" max="11" width="15.84375" style="1" customWidth="1"/>
    <col min="12" max="12" width="54.3046875" style="1" customWidth="1"/>
    <col min="13" max="13" width="49.765625" style="1" customWidth="1"/>
    <col min="14" max="16384" width="9.23046875" style="1"/>
  </cols>
  <sheetData>
    <row r="1" spans="1:14" x14ac:dyDescent="0.3">
      <c r="A1" s="1" t="s">
        <v>54</v>
      </c>
    </row>
    <row r="3" spans="1:14" ht="14.5" thickBot="1" x14ac:dyDescent="0.35">
      <c r="B3" s="2"/>
      <c r="C3" s="2"/>
      <c r="D3" s="2"/>
      <c r="E3" s="2"/>
      <c r="F3" s="2"/>
      <c r="G3" s="2"/>
      <c r="H3" s="2"/>
      <c r="I3" s="2"/>
      <c r="J3" s="2"/>
      <c r="K3" s="2"/>
      <c r="L3" s="2"/>
      <c r="M3" s="2"/>
      <c r="N3" s="2"/>
    </row>
    <row r="4" spans="1:14" ht="22.5" x14ac:dyDescent="0.3">
      <c r="B4" s="2"/>
      <c r="C4" s="2"/>
      <c r="D4" s="298" t="s">
        <v>21</v>
      </c>
      <c r="E4" s="299"/>
      <c r="F4" s="300"/>
      <c r="G4" s="2"/>
      <c r="H4" s="2"/>
      <c r="I4" s="2"/>
      <c r="J4" s="2"/>
      <c r="K4" s="2"/>
      <c r="L4" s="2"/>
      <c r="M4" s="2"/>
      <c r="N4" s="2"/>
    </row>
    <row r="5" spans="1:14" x14ac:dyDescent="0.3">
      <c r="B5" s="2"/>
      <c r="C5" s="2"/>
      <c r="D5" s="301" t="s">
        <v>55</v>
      </c>
      <c r="E5" s="281"/>
      <c r="F5" s="302"/>
      <c r="G5" s="2"/>
      <c r="H5" s="2"/>
      <c r="I5" s="2"/>
      <c r="J5" s="2"/>
      <c r="K5" s="2"/>
      <c r="L5" s="2"/>
      <c r="M5" s="2"/>
      <c r="N5" s="2"/>
    </row>
    <row r="6" spans="1:14" ht="192" customHeight="1" thickBot="1" x14ac:dyDescent="0.35">
      <c r="B6" s="2"/>
      <c r="C6" s="2"/>
      <c r="D6" s="303"/>
      <c r="E6" s="304"/>
      <c r="F6" s="305"/>
      <c r="G6" s="2"/>
      <c r="H6" s="2"/>
      <c r="I6" s="2"/>
      <c r="J6" s="2"/>
      <c r="K6" s="2"/>
      <c r="L6" s="2"/>
      <c r="M6" s="2"/>
      <c r="N6" s="2"/>
    </row>
    <row r="7" spans="1:14" ht="35.5" customHeight="1" x14ac:dyDescent="0.3">
      <c r="B7" s="2"/>
      <c r="C7" s="2"/>
      <c r="D7" s="70"/>
      <c r="E7" s="70"/>
      <c r="F7" s="70"/>
      <c r="G7" s="2"/>
      <c r="H7" s="2"/>
      <c r="I7" s="2"/>
      <c r="J7" s="2"/>
      <c r="K7" s="2"/>
      <c r="L7" s="2"/>
      <c r="M7" s="2"/>
      <c r="N7" s="2"/>
    </row>
    <row r="8" spans="1:14" ht="14.5" thickBot="1" x14ac:dyDescent="0.35">
      <c r="B8" s="2"/>
      <c r="C8" s="2"/>
      <c r="D8" s="2"/>
      <c r="E8" s="2"/>
      <c r="F8" s="2"/>
      <c r="G8" s="2"/>
      <c r="H8" s="2"/>
      <c r="I8" s="2"/>
      <c r="J8" s="2"/>
      <c r="K8" s="2"/>
      <c r="L8" s="2"/>
      <c r="M8" s="2"/>
      <c r="N8" s="2"/>
    </row>
    <row r="9" spans="1:14" ht="23" thickBot="1" x14ac:dyDescent="0.35">
      <c r="B9" s="2"/>
      <c r="C9" s="2"/>
      <c r="D9" s="8" t="s">
        <v>56</v>
      </c>
      <c r="E9" s="89"/>
      <c r="F9" s="9"/>
      <c r="G9" s="2"/>
      <c r="H9" s="19" t="s">
        <v>57</v>
      </c>
      <c r="I9" s="2"/>
      <c r="J9" s="2"/>
      <c r="K9" s="2"/>
      <c r="L9" s="2"/>
      <c r="M9" s="2"/>
      <c r="N9" s="2"/>
    </row>
    <row r="10" spans="1:14" ht="20.5" thickBot="1" x14ac:dyDescent="0.35">
      <c r="B10" s="2"/>
      <c r="C10" s="2"/>
      <c r="D10" s="12" t="s">
        <v>58</v>
      </c>
      <c r="E10" s="90"/>
      <c r="F10" s="182" t="s">
        <v>59</v>
      </c>
      <c r="G10" s="2"/>
      <c r="H10" s="26" t="e" cm="1" vm="1">
        <f t="array" ref="H10">_xlfn.IFS(H11&lt;Methodology!G30,"Low maturity",H11&lt;Methodology!G29,"Mid maturity",H11&gt;=Methodology!G29,"High maturity")</f>
        <v>#VALUE!</v>
      </c>
      <c r="I10" s="2"/>
      <c r="J10" s="2"/>
      <c r="K10" s="2"/>
      <c r="L10" s="2"/>
      <c r="M10" s="2"/>
      <c r="N10" s="2"/>
    </row>
    <row r="11" spans="1:14" x14ac:dyDescent="0.3">
      <c r="B11" s="2"/>
      <c r="C11" s="2"/>
      <c r="D11" s="6" t="s">
        <v>60</v>
      </c>
      <c r="E11" s="11"/>
      <c r="F11" s="10"/>
      <c r="G11" s="2"/>
      <c r="H11" s="27" cm="1">
        <f t="array" ref="H11">_xlfn.LET(_xlpm.scores, _xlfn._xlws.FILTER(F19:F105, F19:F105&lt;&gt;""),SUMPRODUCT((_xlpm.scores="High")*Methodology!F15+(_xlpm.scores="Medium")*Methodology!F16+((_xlpm.scores="Low") + (_xlpm.scores="No data"))*Methodology!F17+(_xlpm.scores="Yes")*Methodology!I15+(_xlpm.scores="No")*Methodology!I16))</f>
        <v>128</v>
      </c>
      <c r="I11" s="27"/>
      <c r="J11" s="2"/>
      <c r="K11" s="2"/>
      <c r="L11" s="2"/>
      <c r="M11" s="2"/>
      <c r="N11" s="2"/>
    </row>
    <row r="12" spans="1:14" ht="14.5" thickBot="1" x14ac:dyDescent="0.35">
      <c r="B12" s="2"/>
      <c r="C12" s="2"/>
      <c r="D12" s="7" t="s">
        <v>61</v>
      </c>
      <c r="E12" s="91"/>
      <c r="F12" s="14"/>
      <c r="G12" s="2"/>
      <c r="H12" s="2"/>
      <c r="I12" s="2"/>
      <c r="J12" s="2"/>
      <c r="K12" s="2"/>
      <c r="L12" s="2"/>
      <c r="M12" s="2"/>
      <c r="N12" s="2"/>
    </row>
    <row r="13" spans="1:14" x14ac:dyDescent="0.3">
      <c r="B13" s="2"/>
      <c r="C13" s="2"/>
      <c r="D13" s="11"/>
      <c r="E13" s="11"/>
      <c r="F13" s="2"/>
      <c r="G13" s="2"/>
      <c r="H13" s="2"/>
      <c r="I13" s="2"/>
      <c r="J13" s="2"/>
      <c r="K13" s="2"/>
      <c r="L13" s="2"/>
      <c r="M13" s="2"/>
      <c r="N13" s="2"/>
    </row>
    <row r="14" spans="1:14" x14ac:dyDescent="0.3">
      <c r="B14" s="2"/>
      <c r="C14" s="2"/>
      <c r="D14" s="11"/>
      <c r="E14" s="11"/>
      <c r="F14" s="2"/>
      <c r="G14" s="2"/>
      <c r="H14" s="2"/>
      <c r="I14" s="2"/>
      <c r="J14" s="2"/>
      <c r="K14" s="2"/>
      <c r="L14" s="2"/>
      <c r="M14" s="2"/>
      <c r="N14" s="2"/>
    </row>
    <row r="15" spans="1:14" ht="14.5" thickBot="1" x14ac:dyDescent="0.35">
      <c r="B15" s="2"/>
      <c r="C15" s="2"/>
      <c r="D15" s="2"/>
      <c r="E15" s="2"/>
      <c r="F15" s="2"/>
      <c r="G15" s="2"/>
      <c r="H15" s="2"/>
      <c r="I15" s="2"/>
      <c r="J15" s="2"/>
      <c r="K15" s="2"/>
      <c r="L15" s="2"/>
      <c r="M15" s="2"/>
      <c r="N15" s="2"/>
    </row>
    <row r="16" spans="1:14" ht="15" x14ac:dyDescent="0.3">
      <c r="B16" s="2"/>
      <c r="C16" s="2"/>
      <c r="D16" s="156" t="s">
        <v>62</v>
      </c>
      <c r="E16" s="276" t="s">
        <v>63</v>
      </c>
      <c r="F16" s="238" t="s">
        <v>64</v>
      </c>
      <c r="G16" s="238" t="s">
        <v>65</v>
      </c>
      <c r="H16" s="238" t="s">
        <v>66</v>
      </c>
      <c r="I16" s="238" t="s">
        <v>67</v>
      </c>
      <c r="J16" s="238" t="s">
        <v>68</v>
      </c>
      <c r="K16" s="238" t="s">
        <v>69</v>
      </c>
      <c r="L16" s="238" t="s">
        <v>70</v>
      </c>
      <c r="M16" s="239" t="s">
        <v>71</v>
      </c>
      <c r="N16" s="2"/>
    </row>
    <row r="17" spans="2:14" ht="15" x14ac:dyDescent="0.3">
      <c r="B17" s="2"/>
      <c r="C17" s="2"/>
      <c r="D17" s="266" t="s">
        <v>72</v>
      </c>
      <c r="E17" s="267"/>
      <c r="F17" s="267"/>
      <c r="G17" s="267"/>
      <c r="H17" s="267"/>
      <c r="I17" s="267"/>
      <c r="J17" s="267"/>
      <c r="K17" s="267"/>
      <c r="L17" s="267"/>
      <c r="M17" s="268"/>
      <c r="N17" s="2"/>
    </row>
    <row r="18" spans="2:14" ht="15" x14ac:dyDescent="0.3">
      <c r="B18" s="2"/>
      <c r="C18" s="186" t="s">
        <v>73</v>
      </c>
      <c r="D18" s="152" t="s">
        <v>74</v>
      </c>
      <c r="E18" s="184"/>
      <c r="F18" s="153"/>
      <c r="G18" s="153"/>
      <c r="H18" s="153"/>
      <c r="I18" s="153"/>
      <c r="J18" s="153"/>
      <c r="K18" s="153"/>
      <c r="L18" s="153"/>
      <c r="M18" s="240"/>
      <c r="N18" s="2"/>
    </row>
    <row r="19" spans="2:14" ht="106" customHeight="1" x14ac:dyDescent="0.3">
      <c r="B19" s="2"/>
      <c r="C19" s="186">
        <v>1.1000000000000001</v>
      </c>
      <c r="D19" s="241" t="s">
        <v>75</v>
      </c>
      <c r="E19" s="227" t="s">
        <v>76</v>
      </c>
      <c r="F19" s="165" t="s">
        <v>77</v>
      </c>
      <c r="G19" s="163"/>
      <c r="H19" s="157" t="s">
        <v>78</v>
      </c>
      <c r="I19" s="157" t="s">
        <v>79</v>
      </c>
      <c r="J19" s="158" t="s">
        <v>80</v>
      </c>
      <c r="K19" s="164" t="s">
        <v>81</v>
      </c>
      <c r="L19" s="163"/>
      <c r="M19" s="306" t="s">
        <v>82</v>
      </c>
      <c r="N19" s="2"/>
    </row>
    <row r="20" spans="2:14" ht="97" customHeight="1" x14ac:dyDescent="0.3">
      <c r="B20" s="2"/>
      <c r="C20" s="186">
        <v>1.2</v>
      </c>
      <c r="D20" s="243" t="s">
        <v>83</v>
      </c>
      <c r="E20" s="187" t="s">
        <v>84</v>
      </c>
      <c r="F20" s="92" t="s">
        <v>85</v>
      </c>
      <c r="G20" s="97"/>
      <c r="H20" s="94" t="s">
        <v>86</v>
      </c>
      <c r="I20" s="94" t="s">
        <v>87</v>
      </c>
      <c r="J20" s="95" t="s">
        <v>80</v>
      </c>
      <c r="K20" s="96" t="s">
        <v>81</v>
      </c>
      <c r="L20" s="97"/>
      <c r="M20" s="306"/>
      <c r="N20" s="2"/>
    </row>
    <row r="21" spans="2:14" ht="15" x14ac:dyDescent="0.3">
      <c r="B21" s="2"/>
      <c r="C21" s="186">
        <v>1.3</v>
      </c>
      <c r="D21" s="245" t="s">
        <v>88</v>
      </c>
      <c r="E21" s="184"/>
      <c r="F21" s="153"/>
      <c r="G21" s="153"/>
      <c r="H21" s="153"/>
      <c r="I21" s="153"/>
      <c r="J21" s="153"/>
      <c r="K21" s="153"/>
      <c r="L21" s="185"/>
      <c r="M21" s="307"/>
      <c r="N21" s="2"/>
    </row>
    <row r="22" spans="2:14" ht="82" customHeight="1" x14ac:dyDescent="0.3">
      <c r="B22" s="2"/>
      <c r="C22" s="186">
        <v>1.3</v>
      </c>
      <c r="D22" s="246" t="s">
        <v>89</v>
      </c>
      <c r="E22" s="225" t="s">
        <v>90</v>
      </c>
      <c r="F22" s="165" t="s">
        <v>85</v>
      </c>
      <c r="G22" s="183"/>
      <c r="H22" s="163" t="s">
        <v>91</v>
      </c>
      <c r="I22" s="163" t="s">
        <v>92</v>
      </c>
      <c r="J22" s="157" t="s">
        <v>93</v>
      </c>
      <c r="K22" s="164" t="s">
        <v>94</v>
      </c>
      <c r="L22" s="183"/>
      <c r="M22" s="306"/>
      <c r="N22" s="2"/>
    </row>
    <row r="23" spans="2:14" ht="80.150000000000006" customHeight="1" x14ac:dyDescent="0.3">
      <c r="B23" s="2"/>
      <c r="C23" s="186">
        <v>1.4</v>
      </c>
      <c r="D23" s="247" t="s">
        <v>95</v>
      </c>
      <c r="E23" s="188" t="s">
        <v>96</v>
      </c>
      <c r="F23" s="92" t="s">
        <v>97</v>
      </c>
      <c r="G23" s="93"/>
      <c r="H23" s="93" t="s">
        <v>98</v>
      </c>
      <c r="I23" s="93" t="s">
        <v>99</v>
      </c>
      <c r="J23" s="95" t="s">
        <v>100</v>
      </c>
      <c r="K23" s="96" t="s">
        <v>81</v>
      </c>
      <c r="L23" s="93" t="s">
        <v>101</v>
      </c>
      <c r="M23" s="306"/>
      <c r="N23" s="2"/>
    </row>
    <row r="24" spans="2:14" ht="90" customHeight="1" x14ac:dyDescent="0.3">
      <c r="B24" s="2"/>
      <c r="C24" s="186">
        <v>1.5</v>
      </c>
      <c r="D24" s="247" t="s">
        <v>102</v>
      </c>
      <c r="E24" s="188" t="s">
        <v>103</v>
      </c>
      <c r="F24" s="92" t="s">
        <v>85</v>
      </c>
      <c r="G24" s="97"/>
      <c r="H24" s="93" t="s">
        <v>104</v>
      </c>
      <c r="I24" s="93" t="s">
        <v>105</v>
      </c>
      <c r="J24" s="95" t="s">
        <v>106</v>
      </c>
      <c r="K24" s="96" t="s">
        <v>81</v>
      </c>
      <c r="L24" s="93" t="s">
        <v>107</v>
      </c>
      <c r="M24" s="306"/>
      <c r="N24" s="2"/>
    </row>
    <row r="25" spans="2:14" ht="99" customHeight="1" x14ac:dyDescent="0.3">
      <c r="B25" s="2"/>
      <c r="C25" s="186">
        <v>1.6</v>
      </c>
      <c r="D25" s="248" t="s">
        <v>108</v>
      </c>
      <c r="E25" s="187" t="s">
        <v>109</v>
      </c>
      <c r="F25" s="92" t="s">
        <v>85</v>
      </c>
      <c r="G25" s="93"/>
      <c r="H25" s="94" t="s">
        <v>110</v>
      </c>
      <c r="I25" s="94" t="s">
        <v>111</v>
      </c>
      <c r="J25" s="95" t="s">
        <v>112</v>
      </c>
      <c r="K25" s="96" t="s">
        <v>81</v>
      </c>
      <c r="L25" s="93" t="s">
        <v>113</v>
      </c>
      <c r="M25" s="306"/>
      <c r="N25" s="2"/>
    </row>
    <row r="26" spans="2:14" ht="75" customHeight="1" x14ac:dyDescent="0.3">
      <c r="B26" s="2"/>
      <c r="C26" s="186">
        <v>1.7</v>
      </c>
      <c r="D26" s="247" t="s">
        <v>114</v>
      </c>
      <c r="E26" s="188" t="s">
        <v>115</v>
      </c>
      <c r="F26" s="92" t="s">
        <v>97</v>
      </c>
      <c r="G26" s="97"/>
      <c r="H26" s="93" t="s">
        <v>116</v>
      </c>
      <c r="I26" s="93" t="s">
        <v>117</v>
      </c>
      <c r="J26" s="94" t="s">
        <v>118</v>
      </c>
      <c r="K26" s="96" t="s">
        <v>94</v>
      </c>
      <c r="L26" s="97" t="s">
        <v>119</v>
      </c>
      <c r="M26" s="306"/>
      <c r="N26" s="2"/>
    </row>
    <row r="27" spans="2:14" ht="70" customHeight="1" x14ac:dyDescent="0.3">
      <c r="B27" s="2"/>
      <c r="C27" s="186">
        <v>1.8</v>
      </c>
      <c r="D27" s="249" t="s">
        <v>120</v>
      </c>
      <c r="E27" s="188" t="s">
        <v>121</v>
      </c>
      <c r="F27" s="92" t="s">
        <v>85</v>
      </c>
      <c r="G27" s="93"/>
      <c r="H27" s="98" t="s">
        <v>122</v>
      </c>
      <c r="I27" s="93" t="s">
        <v>123</v>
      </c>
      <c r="J27" s="95" t="s">
        <v>124</v>
      </c>
      <c r="K27" s="96" t="s">
        <v>81</v>
      </c>
      <c r="L27" s="93" t="s">
        <v>125</v>
      </c>
      <c r="M27" s="306"/>
      <c r="N27" s="2"/>
    </row>
    <row r="28" spans="2:14" ht="15" x14ac:dyDescent="0.3">
      <c r="B28" s="2"/>
      <c r="C28" s="186"/>
      <c r="D28" s="266" t="s">
        <v>126</v>
      </c>
      <c r="E28" s="269"/>
      <c r="F28" s="267"/>
      <c r="G28" s="267"/>
      <c r="H28" s="267"/>
      <c r="I28" s="267"/>
      <c r="J28" s="267"/>
      <c r="K28" s="267"/>
      <c r="L28" s="270"/>
      <c r="M28" s="268"/>
      <c r="N28" s="2"/>
    </row>
    <row r="29" spans="2:14" ht="105.65" customHeight="1" x14ac:dyDescent="0.3">
      <c r="B29" s="2"/>
      <c r="C29" s="186">
        <v>2.1</v>
      </c>
      <c r="D29" s="246" t="s">
        <v>127</v>
      </c>
      <c r="E29" s="225" t="s">
        <v>128</v>
      </c>
      <c r="F29" s="165" t="s">
        <v>97</v>
      </c>
      <c r="G29" s="163"/>
      <c r="H29" s="163" t="s">
        <v>129</v>
      </c>
      <c r="I29" s="163" t="s">
        <v>130</v>
      </c>
      <c r="J29" s="158" t="s">
        <v>131</v>
      </c>
      <c r="K29" s="164" t="s">
        <v>94</v>
      </c>
      <c r="L29" s="163" t="s">
        <v>132</v>
      </c>
      <c r="M29" s="308" t="s">
        <v>133</v>
      </c>
      <c r="N29" s="2"/>
    </row>
    <row r="30" spans="2:14" ht="57.5" x14ac:dyDescent="0.3">
      <c r="B30" s="2"/>
      <c r="C30" s="186">
        <v>2.2000000000000002</v>
      </c>
      <c r="D30" s="247" t="s">
        <v>134</v>
      </c>
      <c r="E30" s="188" t="s">
        <v>135</v>
      </c>
      <c r="F30" s="92" t="s">
        <v>85</v>
      </c>
      <c r="G30" s="93"/>
      <c r="H30" s="93" t="s">
        <v>136</v>
      </c>
      <c r="I30" s="93" t="s">
        <v>137</v>
      </c>
      <c r="J30" s="94" t="s">
        <v>138</v>
      </c>
      <c r="K30" s="96" t="s">
        <v>81</v>
      </c>
      <c r="L30" s="97"/>
      <c r="M30" s="308"/>
      <c r="N30" s="2"/>
    </row>
    <row r="31" spans="2:14" ht="82.5" customHeight="1" x14ac:dyDescent="0.3">
      <c r="B31" s="2"/>
      <c r="C31" s="186">
        <v>2.4</v>
      </c>
      <c r="D31" s="249" t="s">
        <v>139</v>
      </c>
      <c r="E31" s="188" t="s">
        <v>140</v>
      </c>
      <c r="F31" s="92" t="s">
        <v>85</v>
      </c>
      <c r="G31" s="97"/>
      <c r="H31" s="97" t="s">
        <v>141</v>
      </c>
      <c r="I31" s="97" t="s">
        <v>142</v>
      </c>
      <c r="J31" s="94" t="s">
        <v>138</v>
      </c>
      <c r="K31" s="96" t="s">
        <v>81</v>
      </c>
      <c r="L31" s="97"/>
      <c r="M31" s="308"/>
      <c r="N31" s="2"/>
    </row>
    <row r="32" spans="2:14" ht="15" x14ac:dyDescent="0.3">
      <c r="B32" s="2"/>
      <c r="C32" s="186"/>
      <c r="D32" s="266" t="s">
        <v>143</v>
      </c>
      <c r="E32" s="269"/>
      <c r="F32" s="267"/>
      <c r="G32" s="267"/>
      <c r="H32" s="267"/>
      <c r="I32" s="267"/>
      <c r="J32" s="267"/>
      <c r="K32" s="267"/>
      <c r="L32" s="270"/>
      <c r="M32" s="268"/>
      <c r="N32" s="2"/>
    </row>
    <row r="33" spans="2:14" ht="119.5" customHeight="1" x14ac:dyDescent="0.3">
      <c r="B33" s="2"/>
      <c r="C33" s="186">
        <v>3.1</v>
      </c>
      <c r="D33" s="246" t="s">
        <v>144</v>
      </c>
      <c r="E33" s="225" t="s">
        <v>145</v>
      </c>
      <c r="F33" s="165" t="s">
        <v>85</v>
      </c>
      <c r="G33" s="183"/>
      <c r="H33" s="183" t="s">
        <v>146</v>
      </c>
      <c r="I33" s="183" t="s">
        <v>147</v>
      </c>
      <c r="J33" s="157" t="s">
        <v>138</v>
      </c>
      <c r="K33" s="164" t="s">
        <v>81</v>
      </c>
      <c r="L33" s="183"/>
      <c r="M33" s="309" t="s">
        <v>148</v>
      </c>
      <c r="N33" s="2"/>
    </row>
    <row r="34" spans="2:14" ht="94.5" customHeight="1" x14ac:dyDescent="0.3">
      <c r="B34" s="2"/>
      <c r="C34" s="186">
        <v>3.2</v>
      </c>
      <c r="D34" s="247" t="s">
        <v>149</v>
      </c>
      <c r="E34" s="188" t="s">
        <v>150</v>
      </c>
      <c r="F34" s="92" t="s">
        <v>97</v>
      </c>
      <c r="G34" s="93"/>
      <c r="H34" s="93" t="s">
        <v>151</v>
      </c>
      <c r="I34" s="93" t="s">
        <v>152</v>
      </c>
      <c r="J34" s="94" t="s">
        <v>138</v>
      </c>
      <c r="K34" s="96" t="s">
        <v>81</v>
      </c>
      <c r="L34" s="93"/>
      <c r="M34" s="310"/>
      <c r="N34" s="2"/>
    </row>
    <row r="35" spans="2:14" ht="81" thickBot="1" x14ac:dyDescent="0.35">
      <c r="B35" s="2"/>
      <c r="C35" s="186">
        <v>3.3</v>
      </c>
      <c r="D35" s="249" t="s">
        <v>153</v>
      </c>
      <c r="E35" s="189" t="s">
        <v>154</v>
      </c>
      <c r="F35" s="100" t="s">
        <v>85</v>
      </c>
      <c r="G35" s="97"/>
      <c r="H35" s="166" t="s">
        <v>155</v>
      </c>
      <c r="I35" s="97" t="s">
        <v>156</v>
      </c>
      <c r="J35" s="167" t="s">
        <v>157</v>
      </c>
      <c r="K35" s="96" t="s">
        <v>158</v>
      </c>
      <c r="L35" s="97"/>
      <c r="M35" s="310"/>
      <c r="N35" s="2"/>
    </row>
    <row r="36" spans="2:14" ht="69.5" thickBot="1" x14ac:dyDescent="0.35">
      <c r="B36" s="2"/>
      <c r="C36" s="186">
        <v>3.4</v>
      </c>
      <c r="D36" s="252" t="s">
        <v>159</v>
      </c>
      <c r="E36" s="190" t="s">
        <v>160</v>
      </c>
      <c r="F36" s="169" t="s">
        <v>77</v>
      </c>
      <c r="G36" s="170"/>
      <c r="H36" s="170" t="s">
        <v>161</v>
      </c>
      <c r="I36" s="171" t="s">
        <v>162</v>
      </c>
      <c r="J36" s="171" t="s">
        <v>163</v>
      </c>
      <c r="K36" s="172" t="s">
        <v>81</v>
      </c>
      <c r="L36" s="173"/>
      <c r="M36" s="312"/>
      <c r="N36" s="2"/>
    </row>
    <row r="37" spans="2:14" ht="15" x14ac:dyDescent="0.3">
      <c r="B37" s="2"/>
      <c r="C37" s="186"/>
      <c r="D37" s="271" t="s">
        <v>164</v>
      </c>
      <c r="E37" s="272"/>
      <c r="F37" s="273"/>
      <c r="G37" s="273"/>
      <c r="H37" s="273"/>
      <c r="I37" s="273"/>
      <c r="J37" s="273"/>
      <c r="K37" s="273"/>
      <c r="L37" s="274"/>
      <c r="M37" s="268"/>
      <c r="N37" s="2"/>
    </row>
    <row r="38" spans="2:14" ht="109" customHeight="1" x14ac:dyDescent="0.3">
      <c r="B38" s="2"/>
      <c r="C38" s="186">
        <v>4.0999999999999996</v>
      </c>
      <c r="D38" s="246" t="s">
        <v>165</v>
      </c>
      <c r="E38" s="225" t="s">
        <v>166</v>
      </c>
      <c r="F38" s="165" t="s">
        <v>77</v>
      </c>
      <c r="G38" s="183"/>
      <c r="H38" s="183" t="s">
        <v>167</v>
      </c>
      <c r="I38" s="183" t="s">
        <v>168</v>
      </c>
      <c r="J38" s="157" t="s">
        <v>169</v>
      </c>
      <c r="K38" s="164" t="s">
        <v>81</v>
      </c>
      <c r="L38" s="183"/>
      <c r="M38" s="309" t="s">
        <v>170</v>
      </c>
      <c r="N38" s="2"/>
    </row>
    <row r="39" spans="2:14" ht="80.5" x14ac:dyDescent="0.3">
      <c r="B39" s="2"/>
      <c r="C39" s="186">
        <v>4.2</v>
      </c>
      <c r="D39" s="247" t="s">
        <v>171</v>
      </c>
      <c r="E39" s="188" t="s">
        <v>172</v>
      </c>
      <c r="F39" s="92" t="s">
        <v>85</v>
      </c>
      <c r="G39" s="93"/>
      <c r="H39" s="93" t="s">
        <v>173</v>
      </c>
      <c r="I39" s="93" t="s">
        <v>174</v>
      </c>
      <c r="J39" s="94" t="s">
        <v>175</v>
      </c>
      <c r="K39" s="96" t="s">
        <v>81</v>
      </c>
      <c r="L39" s="93"/>
      <c r="M39" s="310"/>
      <c r="N39" s="2"/>
    </row>
    <row r="40" spans="2:14" ht="101.15" customHeight="1" x14ac:dyDescent="0.3">
      <c r="B40" s="2"/>
      <c r="C40" s="186">
        <v>4.3</v>
      </c>
      <c r="D40" s="248" t="s">
        <v>176</v>
      </c>
      <c r="E40" s="187" t="s">
        <v>177</v>
      </c>
      <c r="F40" s="92" t="s">
        <v>77</v>
      </c>
      <c r="G40" s="97"/>
      <c r="H40" s="97" t="s">
        <v>178</v>
      </c>
      <c r="I40" s="97" t="s">
        <v>179</v>
      </c>
      <c r="J40" s="94" t="s">
        <v>180</v>
      </c>
      <c r="K40" s="96" t="s">
        <v>81</v>
      </c>
      <c r="L40" s="97"/>
      <c r="M40" s="310"/>
      <c r="N40" s="2"/>
    </row>
    <row r="41" spans="2:14" ht="101.15" customHeight="1" x14ac:dyDescent="0.3">
      <c r="B41" s="2"/>
      <c r="C41" s="186"/>
      <c r="D41" s="243" t="s">
        <v>181</v>
      </c>
      <c r="E41" s="187" t="s">
        <v>182</v>
      </c>
      <c r="F41" s="92" t="s">
        <v>77</v>
      </c>
      <c r="G41" s="97"/>
      <c r="H41" s="97" t="s">
        <v>183</v>
      </c>
      <c r="I41" s="97" t="s">
        <v>184</v>
      </c>
      <c r="J41" s="94" t="s">
        <v>138</v>
      </c>
      <c r="K41" s="96"/>
      <c r="L41" s="97"/>
      <c r="M41" s="310"/>
      <c r="N41" s="2"/>
    </row>
    <row r="42" spans="2:14" ht="99" customHeight="1" thickBot="1" x14ac:dyDescent="0.35">
      <c r="B42" s="2"/>
      <c r="C42" s="186">
        <v>4.4000000000000004</v>
      </c>
      <c r="D42" s="249" t="s">
        <v>185</v>
      </c>
      <c r="E42" s="188" t="s">
        <v>186</v>
      </c>
      <c r="F42" s="92" t="s">
        <v>85</v>
      </c>
      <c r="G42" s="93"/>
      <c r="H42" s="93" t="s">
        <v>187</v>
      </c>
      <c r="I42" s="93" t="s">
        <v>188</v>
      </c>
      <c r="J42" s="95" t="s">
        <v>189</v>
      </c>
      <c r="K42" s="96" t="s">
        <v>81</v>
      </c>
      <c r="L42" s="93"/>
      <c r="M42" s="310"/>
      <c r="N42" s="2"/>
    </row>
    <row r="43" spans="2:14" ht="99" customHeight="1" thickBot="1" x14ac:dyDescent="0.35">
      <c r="B43" s="2"/>
      <c r="C43" s="186">
        <v>4.5</v>
      </c>
      <c r="D43" s="252" t="s">
        <v>190</v>
      </c>
      <c r="E43" s="190" t="s">
        <v>191</v>
      </c>
      <c r="F43" s="169" t="s">
        <v>85</v>
      </c>
      <c r="G43" s="170"/>
      <c r="H43" s="170" t="s">
        <v>192</v>
      </c>
      <c r="I43" s="171" t="s">
        <v>193</v>
      </c>
      <c r="J43" s="171" t="s">
        <v>163</v>
      </c>
      <c r="K43" s="172" t="s">
        <v>81</v>
      </c>
      <c r="L43" s="173"/>
      <c r="M43" s="311"/>
      <c r="N43" s="2"/>
    </row>
    <row r="44" spans="2:14" ht="99" customHeight="1" thickBot="1" x14ac:dyDescent="0.35">
      <c r="B44" s="2"/>
      <c r="C44" s="186">
        <v>4.5999999999999996</v>
      </c>
      <c r="D44" s="252" t="s">
        <v>194</v>
      </c>
      <c r="E44" s="190" t="s">
        <v>195</v>
      </c>
      <c r="F44" s="169" t="s">
        <v>85</v>
      </c>
      <c r="G44" s="170"/>
      <c r="H44" s="170" t="s">
        <v>196</v>
      </c>
      <c r="I44" s="171" t="s">
        <v>197</v>
      </c>
      <c r="J44" s="171" t="s">
        <v>163</v>
      </c>
      <c r="K44" s="172" t="s">
        <v>81</v>
      </c>
      <c r="L44" s="173"/>
      <c r="M44" s="311"/>
      <c r="N44" s="2"/>
    </row>
    <row r="45" spans="2:14" ht="99" customHeight="1" thickBot="1" x14ac:dyDescent="0.35">
      <c r="B45" s="2"/>
      <c r="C45" s="186">
        <v>4.7</v>
      </c>
      <c r="D45" s="252" t="s">
        <v>198</v>
      </c>
      <c r="E45" s="190" t="s">
        <v>199</v>
      </c>
      <c r="F45" s="169" t="s">
        <v>97</v>
      </c>
      <c r="G45" s="174"/>
      <c r="H45" s="170" t="s">
        <v>200</v>
      </c>
      <c r="I45" s="171" t="s">
        <v>201</v>
      </c>
      <c r="J45" s="171" t="s">
        <v>163</v>
      </c>
      <c r="K45" s="172" t="s">
        <v>81</v>
      </c>
      <c r="L45" s="173"/>
      <c r="M45" s="311"/>
      <c r="N45" s="2"/>
    </row>
    <row r="46" spans="2:14" ht="99" customHeight="1" thickBot="1" x14ac:dyDescent="0.35">
      <c r="B46" s="2"/>
      <c r="C46" s="186">
        <v>4.8</v>
      </c>
      <c r="D46" s="252" t="s">
        <v>202</v>
      </c>
      <c r="E46" s="190" t="s">
        <v>203</v>
      </c>
      <c r="F46" s="169" t="s">
        <v>204</v>
      </c>
      <c r="G46" s="174"/>
      <c r="H46" s="170" t="s">
        <v>205</v>
      </c>
      <c r="I46" s="171" t="s">
        <v>206</v>
      </c>
      <c r="J46" s="171" t="s">
        <v>163</v>
      </c>
      <c r="K46" s="172" t="s">
        <v>81</v>
      </c>
      <c r="L46" s="173"/>
      <c r="M46" s="312"/>
      <c r="N46" s="2"/>
    </row>
    <row r="47" spans="2:14" ht="15" x14ac:dyDescent="0.3">
      <c r="B47" s="2"/>
      <c r="C47" s="186"/>
      <c r="D47" s="271" t="s">
        <v>207</v>
      </c>
      <c r="E47" s="272"/>
      <c r="F47" s="273"/>
      <c r="G47" s="273"/>
      <c r="H47" s="273"/>
      <c r="I47" s="273"/>
      <c r="J47" s="273"/>
      <c r="K47" s="273"/>
      <c r="L47" s="274"/>
      <c r="M47" s="268"/>
      <c r="N47" s="2"/>
    </row>
    <row r="48" spans="2:14" ht="15" x14ac:dyDescent="0.3">
      <c r="B48" s="2"/>
      <c r="C48" s="186"/>
      <c r="D48" s="154" t="s">
        <v>208</v>
      </c>
      <c r="E48" s="235"/>
      <c r="F48" s="155"/>
      <c r="G48" s="155"/>
      <c r="H48" s="155"/>
      <c r="I48" s="155"/>
      <c r="J48" s="155"/>
      <c r="K48" s="155"/>
      <c r="L48" s="236"/>
      <c r="M48" s="254"/>
      <c r="N48" s="2"/>
    </row>
    <row r="49" spans="2:14" ht="133.5" customHeight="1" x14ac:dyDescent="0.3">
      <c r="B49" s="2"/>
      <c r="C49" s="186">
        <v>5.0999999999999996</v>
      </c>
      <c r="D49" s="246" t="s">
        <v>209</v>
      </c>
      <c r="E49" s="225" t="s">
        <v>210</v>
      </c>
      <c r="F49" s="165" t="s">
        <v>77</v>
      </c>
      <c r="G49" s="183"/>
      <c r="H49" s="163" t="s">
        <v>211</v>
      </c>
      <c r="I49" s="163" t="s">
        <v>212</v>
      </c>
      <c r="J49" s="157" t="s">
        <v>213</v>
      </c>
      <c r="K49" s="164" t="s">
        <v>94</v>
      </c>
      <c r="L49" s="183"/>
      <c r="M49" s="295" t="s">
        <v>214</v>
      </c>
      <c r="N49" s="2"/>
    </row>
    <row r="50" spans="2:14" ht="133.5" customHeight="1" x14ac:dyDescent="0.3">
      <c r="B50" s="2"/>
      <c r="C50" s="186"/>
      <c r="D50" s="249" t="s">
        <v>215</v>
      </c>
      <c r="E50" s="188" t="s">
        <v>216</v>
      </c>
      <c r="F50" s="92" t="s">
        <v>77</v>
      </c>
      <c r="G50" s="97"/>
      <c r="H50" s="93" t="s">
        <v>217</v>
      </c>
      <c r="I50" s="93" t="s">
        <v>218</v>
      </c>
      <c r="J50" s="94" t="s">
        <v>213</v>
      </c>
      <c r="K50" s="96" t="s">
        <v>94</v>
      </c>
      <c r="L50" s="97"/>
      <c r="M50" s="295"/>
      <c r="N50" s="2"/>
    </row>
    <row r="51" spans="2:14" ht="104.15" customHeight="1" thickBot="1" x14ac:dyDescent="0.35">
      <c r="B51" s="2"/>
      <c r="C51" s="186">
        <v>5.2</v>
      </c>
      <c r="D51" s="249" t="s">
        <v>219</v>
      </c>
      <c r="E51" s="188" t="s">
        <v>220</v>
      </c>
      <c r="F51" s="92" t="s">
        <v>85</v>
      </c>
      <c r="G51" s="93"/>
      <c r="H51" s="93" t="s">
        <v>221</v>
      </c>
      <c r="I51" s="93" t="s">
        <v>222</v>
      </c>
      <c r="J51" s="94" t="s">
        <v>213</v>
      </c>
      <c r="K51" s="96" t="s">
        <v>94</v>
      </c>
      <c r="L51" s="93"/>
      <c r="M51" s="295"/>
      <c r="N51" s="2"/>
    </row>
    <row r="52" spans="2:14" ht="104.15" customHeight="1" thickBot="1" x14ac:dyDescent="0.35">
      <c r="B52" s="2"/>
      <c r="C52" s="186"/>
      <c r="D52" s="252" t="s">
        <v>223</v>
      </c>
      <c r="E52" s="190" t="s">
        <v>224</v>
      </c>
      <c r="F52" s="169" t="s">
        <v>85</v>
      </c>
      <c r="G52" s="174"/>
      <c r="H52" s="170" t="s">
        <v>225</v>
      </c>
      <c r="I52" s="171" t="s">
        <v>226</v>
      </c>
      <c r="J52" s="171" t="s">
        <v>163</v>
      </c>
      <c r="K52" s="172" t="s">
        <v>81</v>
      </c>
      <c r="L52" s="173"/>
      <c r="M52" s="296"/>
      <c r="N52" s="2"/>
    </row>
    <row r="53" spans="2:14" ht="104.15" customHeight="1" thickBot="1" x14ac:dyDescent="0.35">
      <c r="B53" s="2"/>
      <c r="C53" s="186">
        <v>5.3</v>
      </c>
      <c r="D53" s="252" t="s">
        <v>227</v>
      </c>
      <c r="E53" s="190" t="s">
        <v>228</v>
      </c>
      <c r="F53" s="169" t="s">
        <v>77</v>
      </c>
      <c r="G53" s="174"/>
      <c r="H53" s="170" t="s">
        <v>229</v>
      </c>
      <c r="I53" s="171" t="s">
        <v>230</v>
      </c>
      <c r="J53" s="171" t="s">
        <v>163</v>
      </c>
      <c r="K53" s="172" t="s">
        <v>81</v>
      </c>
      <c r="L53" s="173"/>
      <c r="M53" s="296"/>
      <c r="N53" s="2"/>
    </row>
    <row r="54" spans="2:14" ht="104.15" customHeight="1" x14ac:dyDescent="0.3">
      <c r="B54" s="2"/>
      <c r="C54" s="186">
        <v>5.4</v>
      </c>
      <c r="D54" s="250" t="s">
        <v>231</v>
      </c>
      <c r="E54" s="228" t="s">
        <v>232</v>
      </c>
      <c r="F54" s="229" t="s">
        <v>85</v>
      </c>
      <c r="G54" s="234"/>
      <c r="H54" s="230" t="s">
        <v>233</v>
      </c>
      <c r="I54" s="231" t="s">
        <v>234</v>
      </c>
      <c r="J54" s="231" t="s">
        <v>163</v>
      </c>
      <c r="K54" s="232" t="s">
        <v>81</v>
      </c>
      <c r="L54" s="233"/>
      <c r="M54" s="296"/>
      <c r="N54" s="2"/>
    </row>
    <row r="55" spans="2:14" ht="25.5" customHeight="1" x14ac:dyDescent="0.3">
      <c r="B55" s="2"/>
      <c r="C55" s="186"/>
      <c r="D55" s="154" t="s">
        <v>18</v>
      </c>
      <c r="E55" s="235"/>
      <c r="F55" s="155"/>
      <c r="G55" s="155"/>
      <c r="H55" s="155"/>
      <c r="I55" s="155"/>
      <c r="J55" s="155"/>
      <c r="K55" s="155"/>
      <c r="L55" s="237"/>
      <c r="M55" s="296"/>
      <c r="N55" s="2"/>
    </row>
    <row r="56" spans="2:14" ht="80.150000000000006" customHeight="1" x14ac:dyDescent="0.3">
      <c r="B56" s="2"/>
      <c r="C56" s="186">
        <v>5.6</v>
      </c>
      <c r="D56" s="246" t="s">
        <v>235</v>
      </c>
      <c r="E56" s="225" t="s">
        <v>236</v>
      </c>
      <c r="F56" s="165" t="s">
        <v>77</v>
      </c>
      <c r="G56" s="163"/>
      <c r="H56" s="163" t="s">
        <v>237</v>
      </c>
      <c r="I56" s="163" t="s">
        <v>238</v>
      </c>
      <c r="J56" s="157" t="s">
        <v>239</v>
      </c>
      <c r="K56" s="164" t="s">
        <v>81</v>
      </c>
      <c r="L56" s="163" t="s">
        <v>240</v>
      </c>
      <c r="M56" s="295"/>
      <c r="N56" s="2"/>
    </row>
    <row r="57" spans="2:14" ht="63.65" customHeight="1" x14ac:dyDescent="0.3">
      <c r="B57" s="2"/>
      <c r="C57" s="186">
        <v>5.7</v>
      </c>
      <c r="D57" s="247" t="s">
        <v>241</v>
      </c>
      <c r="E57" s="188" t="s">
        <v>242</v>
      </c>
      <c r="F57" s="92" t="s">
        <v>85</v>
      </c>
      <c r="G57" s="93"/>
      <c r="H57" s="93" t="s">
        <v>243</v>
      </c>
      <c r="I57" s="93" t="s">
        <v>244</v>
      </c>
      <c r="J57" s="94" t="s">
        <v>169</v>
      </c>
      <c r="K57" s="96" t="s">
        <v>81</v>
      </c>
      <c r="L57" s="93" t="s">
        <v>245</v>
      </c>
      <c r="M57" s="295"/>
      <c r="N57" s="2"/>
    </row>
    <row r="58" spans="2:14" ht="101.15" customHeight="1" x14ac:dyDescent="0.3">
      <c r="B58" s="2"/>
      <c r="C58" s="186">
        <v>5.8</v>
      </c>
      <c r="D58" s="248" t="s">
        <v>246</v>
      </c>
      <c r="E58" s="187" t="s">
        <v>247</v>
      </c>
      <c r="F58" s="92" t="s">
        <v>97</v>
      </c>
      <c r="G58" s="93"/>
      <c r="H58" s="93" t="s">
        <v>248</v>
      </c>
      <c r="I58" s="93" t="s">
        <v>249</v>
      </c>
      <c r="J58" s="94" t="s">
        <v>138</v>
      </c>
      <c r="K58" s="96" t="s">
        <v>81</v>
      </c>
      <c r="L58" s="93"/>
      <c r="M58" s="295"/>
      <c r="N58" s="2"/>
    </row>
    <row r="59" spans="2:14" ht="83.15" customHeight="1" thickBot="1" x14ac:dyDescent="0.35">
      <c r="B59" s="2"/>
      <c r="C59" s="186">
        <v>5.9</v>
      </c>
      <c r="D59" s="255" t="s">
        <v>250</v>
      </c>
      <c r="E59" s="261" t="s">
        <v>251</v>
      </c>
      <c r="F59" s="256" t="s">
        <v>85</v>
      </c>
      <c r="G59" s="257"/>
      <c r="H59" s="258" t="s">
        <v>252</v>
      </c>
      <c r="I59" s="258" t="s">
        <v>253</v>
      </c>
      <c r="J59" s="259" t="s">
        <v>254</v>
      </c>
      <c r="K59" s="262" t="s">
        <v>81</v>
      </c>
      <c r="L59" s="257"/>
      <c r="M59" s="297"/>
      <c r="N59" s="2"/>
    </row>
    <row r="60" spans="2:14" x14ac:dyDescent="0.3">
      <c r="B60" s="2"/>
      <c r="C60" s="2"/>
      <c r="D60" s="2"/>
      <c r="E60" s="2"/>
      <c r="F60" s="2"/>
      <c r="G60" s="2"/>
      <c r="H60" s="2"/>
      <c r="I60" s="2"/>
      <c r="J60" s="2"/>
      <c r="K60" s="2"/>
      <c r="L60" s="2"/>
      <c r="M60" s="2"/>
      <c r="N60" s="2"/>
    </row>
    <row r="61" spans="2:14" x14ac:dyDescent="0.3">
      <c r="B61" s="2"/>
      <c r="C61" s="2"/>
      <c r="D61" s="2"/>
      <c r="E61" s="2"/>
      <c r="F61" s="2"/>
      <c r="G61" s="2"/>
      <c r="H61" s="2"/>
      <c r="I61" s="2"/>
      <c r="J61" s="2"/>
      <c r="K61" s="2"/>
      <c r="L61" s="2"/>
      <c r="M61" s="2"/>
      <c r="N61" s="2"/>
    </row>
    <row r="66" spans="5:5" x14ac:dyDescent="0.3">
      <c r="E66" s="191"/>
    </row>
  </sheetData>
  <mergeCells count="7">
    <mergeCell ref="M49:M59"/>
    <mergeCell ref="D4:F4"/>
    <mergeCell ref="D5:F6"/>
    <mergeCell ref="M19:M27"/>
    <mergeCell ref="M29:M31"/>
    <mergeCell ref="M38:M46"/>
    <mergeCell ref="M33:M36"/>
  </mergeCells>
  <conditionalFormatting sqref="F19:F20">
    <cfRule type="containsText" dxfId="197" priority="70" operator="containsText" text="Low">
      <formula>NOT(ISERROR(SEARCH("Low",F19)))</formula>
    </cfRule>
    <cfRule type="containsText" dxfId="196" priority="69" operator="containsText" text="Medium">
      <formula>NOT(ISERROR(SEARCH("Medium",F19)))</formula>
    </cfRule>
    <cfRule type="containsText" dxfId="195" priority="67" operator="containsText" text="No data">
      <formula>NOT(ISERROR(SEARCH("No data",F19)))</formula>
    </cfRule>
    <cfRule type="cellIs" dxfId="194" priority="68" operator="equal">
      <formula>"High"</formula>
    </cfRule>
  </conditionalFormatting>
  <conditionalFormatting sqref="F22:F27">
    <cfRule type="containsText" dxfId="193" priority="1" operator="containsText" text="No data">
      <formula>NOT(ISERROR(SEARCH("No data",F22)))</formula>
    </cfRule>
    <cfRule type="cellIs" dxfId="192" priority="2" operator="equal">
      <formula>"High"</formula>
    </cfRule>
    <cfRule type="containsText" dxfId="191" priority="3" operator="containsText" text="Medium">
      <formula>NOT(ISERROR(SEARCH("Medium",F22)))</formula>
    </cfRule>
    <cfRule type="containsText" dxfId="190" priority="4" operator="containsText" text="Low">
      <formula>NOT(ISERROR(SEARCH("Low",F22)))</formula>
    </cfRule>
  </conditionalFormatting>
  <conditionalFormatting sqref="F29:F31 F49:F51">
    <cfRule type="containsText" dxfId="189" priority="93" operator="containsText" text="Low">
      <formula>NOT(ISERROR(SEARCH("Low",F29)))</formula>
    </cfRule>
    <cfRule type="cellIs" dxfId="188" priority="86" operator="equal">
      <formula>"No data"</formula>
    </cfRule>
    <cfRule type="containsText" dxfId="187" priority="92" operator="containsText" text="Medium">
      <formula>NOT(ISERROR(SEARCH("Medium",F29)))</formula>
    </cfRule>
  </conditionalFormatting>
  <conditionalFormatting sqref="F29:F31">
    <cfRule type="cellIs" dxfId="186" priority="91" operator="equal">
      <formula>"High"</formula>
    </cfRule>
  </conditionalFormatting>
  <conditionalFormatting sqref="F33:F35">
    <cfRule type="containsText" dxfId="185" priority="84" operator="containsText" text="Medium">
      <formula>NOT(ISERROR(SEARCH("Medium",F33)))</formula>
    </cfRule>
    <cfRule type="cellIs" dxfId="184" priority="82" operator="equal">
      <formula>"No data"</formula>
    </cfRule>
    <cfRule type="containsText" dxfId="183" priority="85" operator="containsText" text="Low">
      <formula>NOT(ISERROR(SEARCH("Low",F33)))</formula>
    </cfRule>
  </conditionalFormatting>
  <conditionalFormatting sqref="F33:F36">
    <cfRule type="cellIs" dxfId="182" priority="60" operator="equal">
      <formula>"High"</formula>
    </cfRule>
  </conditionalFormatting>
  <conditionalFormatting sqref="F36">
    <cfRule type="containsText" dxfId="181" priority="62" operator="containsText" text="Low">
      <formula>NOT(ISERROR(SEARCH("Low",F36)))</formula>
    </cfRule>
    <cfRule type="containsText" dxfId="180" priority="61" operator="containsText" text="Medium">
      <formula>NOT(ISERROR(SEARCH("Medium",F36)))</formula>
    </cfRule>
    <cfRule type="containsText" dxfId="179" priority="59" operator="containsText" text="No data">
      <formula>NOT(ISERROR(SEARCH("No data",F36)))</formula>
    </cfRule>
  </conditionalFormatting>
  <conditionalFormatting sqref="F38:F42">
    <cfRule type="containsText" dxfId="178" priority="81" operator="containsText" text="Low">
      <formula>NOT(ISERROR(SEARCH("Low",F38)))</formula>
    </cfRule>
    <cfRule type="containsText" dxfId="177" priority="80" operator="containsText" text="Medium">
      <formula>NOT(ISERROR(SEARCH("Medium",F38)))</formula>
    </cfRule>
    <cfRule type="cellIs" dxfId="176" priority="78" operator="equal">
      <formula>"No data"</formula>
    </cfRule>
  </conditionalFormatting>
  <conditionalFormatting sqref="F38:F44">
    <cfRule type="cellIs" dxfId="175" priority="23" operator="equal">
      <formula>"High"</formula>
    </cfRule>
  </conditionalFormatting>
  <conditionalFormatting sqref="F43:F44">
    <cfRule type="containsText" dxfId="174" priority="22" operator="containsText" text="No data">
      <formula>NOT(ISERROR(SEARCH("No data",F43)))</formula>
    </cfRule>
    <cfRule type="containsText" dxfId="173" priority="24" operator="containsText" text="Medium">
      <formula>NOT(ISERROR(SEARCH("Medium",F43)))</formula>
    </cfRule>
    <cfRule type="containsText" dxfId="172" priority="25" operator="containsText" text="Low">
      <formula>NOT(ISERROR(SEARCH("Low",F43)))</formula>
    </cfRule>
  </conditionalFormatting>
  <conditionalFormatting sqref="F45:F46">
    <cfRule type="containsText" dxfId="171" priority="35" operator="containsText" text="No data">
      <formula>NOT(ISERROR(SEARCH("No data",F45)))</formula>
    </cfRule>
    <cfRule type="cellIs" dxfId="170" priority="36" operator="equal">
      <formula>"High"</formula>
    </cfRule>
    <cfRule type="containsText" dxfId="169" priority="37" operator="containsText" text="Medium">
      <formula>NOT(ISERROR(SEARCH("Medium",F45)))</formula>
    </cfRule>
    <cfRule type="containsText" dxfId="168" priority="38" operator="containsText" text="Low">
      <formula>NOT(ISERROR(SEARCH("Low",F45)))</formula>
    </cfRule>
  </conditionalFormatting>
  <conditionalFormatting sqref="F46">
    <cfRule type="containsText" dxfId="167" priority="32" operator="containsText" text="Yes">
      <formula>NOT(ISERROR(SEARCH("Yes",F46)))</formula>
    </cfRule>
    <cfRule type="cellIs" dxfId="166" priority="34" operator="equal">
      <formula>Yes</formula>
    </cfRule>
    <cfRule type="cellIs" dxfId="165" priority="33" operator="equal">
      <formula>"No"</formula>
    </cfRule>
    <cfRule type="containsText" dxfId="164" priority="31" operator="containsText" text="No">
      <formula>NOT(ISERROR(SEARCH("No",F46)))</formula>
    </cfRule>
    <cfRule type="containsText" dxfId="163" priority="30" operator="containsText" text="No data">
      <formula>NOT(ISERROR(SEARCH("No data",F46)))</formula>
    </cfRule>
  </conditionalFormatting>
  <conditionalFormatting sqref="F49:F54">
    <cfRule type="cellIs" dxfId="162" priority="19" operator="equal">
      <formula>"High"</formula>
    </cfRule>
  </conditionalFormatting>
  <conditionalFormatting sqref="F52:F54">
    <cfRule type="containsText" dxfId="161" priority="20" operator="containsText" text="Medium">
      <formula>NOT(ISERROR(SEARCH("Medium",F52)))</formula>
    </cfRule>
    <cfRule type="containsText" dxfId="160" priority="18" operator="containsText" text="No data">
      <formula>NOT(ISERROR(SEARCH("No data",F52)))</formula>
    </cfRule>
    <cfRule type="containsText" dxfId="159" priority="21" operator="containsText" text="Low">
      <formula>NOT(ISERROR(SEARCH("Low",F52)))</formula>
    </cfRule>
  </conditionalFormatting>
  <conditionalFormatting sqref="F53">
    <cfRule type="containsText" dxfId="158" priority="15" operator="containsText" text="Yes">
      <formula>NOT(ISERROR(SEARCH("Yes",F53)))</formula>
    </cfRule>
    <cfRule type="cellIs" dxfId="157" priority="17" operator="equal">
      <formula>Yes</formula>
    </cfRule>
    <cfRule type="cellIs" dxfId="156" priority="16" operator="equal">
      <formula>"No"</formula>
    </cfRule>
    <cfRule type="containsText" dxfId="155" priority="14" operator="containsText" text="No">
      <formula>NOT(ISERROR(SEARCH("No",F53)))</formula>
    </cfRule>
    <cfRule type="containsText" dxfId="154" priority="13" operator="containsText" text="No data">
      <formula>NOT(ISERROR(SEARCH("No data",F53)))</formula>
    </cfRule>
  </conditionalFormatting>
  <conditionalFormatting sqref="F56:F59">
    <cfRule type="cellIs" dxfId="153" priority="74" operator="equal">
      <formula>"No data"</formula>
    </cfRule>
    <cfRule type="containsText" dxfId="152" priority="76" operator="containsText" text="Medium">
      <formula>NOT(ISERROR(SEARCH("Medium",F56)))</formula>
    </cfRule>
    <cfRule type="containsText" dxfId="151" priority="77" operator="containsText" text="Low">
      <formula>NOT(ISERROR(SEARCH("Low",F56)))</formula>
    </cfRule>
    <cfRule type="cellIs" dxfId="150" priority="75" operator="equal">
      <formula>"High"</formula>
    </cfRule>
  </conditionalFormatting>
  <conditionalFormatting sqref="H10">
    <cfRule type="cellIs" dxfId="149" priority="71" operator="equal">
      <formula>"Mid maturity"</formula>
    </cfRule>
    <cfRule type="containsText" dxfId="148" priority="72" operator="containsText" text="High maturity">
      <formula>NOT(ISERROR(SEARCH("High maturity",H10)))</formula>
    </cfRule>
    <cfRule type="cellIs" dxfId="147" priority="73" operator="equal">
      <formula>"Low maturity"</formula>
    </cfRule>
  </conditionalFormatting>
  <dataValidations count="4">
    <dataValidation type="list" allowBlank="1" showInputMessage="1" showErrorMessage="1" sqref="F12" xr:uid="{FF47C3BF-FEC8-4745-B4FD-370FCEE8401F}">
      <formula1>"Tier 1, Tier 2, Tier 3"</formula1>
    </dataValidation>
    <dataValidation type="list" allowBlank="1" showInputMessage="1" showErrorMessage="1" sqref="K19:K20 K38:K46 K33:K36 K56:K59 K22:K27 K29:K31 K49:K54" xr:uid="{3F58DD74-27FF-4815-ABE4-8FAE32913E5D}">
      <formula1>"Primary,Secondary, Both"</formula1>
    </dataValidation>
    <dataValidation type="list" allowBlank="1" showInputMessage="1" showErrorMessage="1" sqref="F19:F20 F29:F31 F33:F36 F56:F59 F38:F45 F22:F27 F49:F54" xr:uid="{B9101880-32D3-4189-8606-DC8760BF9077}">
      <formula1>"High,Medium,Low, No data"</formula1>
    </dataValidation>
    <dataValidation type="list" allowBlank="1" showInputMessage="1" showErrorMessage="1" sqref="F46" xr:uid="{1D64DA0A-1FFA-47F6-A397-3C15A3FB5812}">
      <formula1>"Yes, No, No data"</formula1>
    </dataValidation>
  </dataValidations>
  <hyperlinks>
    <hyperlink ref="E16" r:id="rId1" display="Interview questions" xr:uid="{295D253F-5669-4886-A7D0-15B3D5E5C4AB}"/>
  </hyperlinks>
  <pageMargins left="0.7" right="0.7" top="0.75" bottom="0.75" header="0.3" footer="0.3"/>
  <pageSetup scale="16"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F6FD7C6-30A1-4C7F-B62F-830D5C2AA13E}">
          <x14:formula1>
            <xm:f>References!$C$3:$C$221</xm:f>
          </x14:formula1>
          <xm:sqref>F11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B08F-8959-4FB0-8512-4D07E2B5C28F}">
  <sheetPr>
    <tabColor theme="3"/>
    <pageSetUpPr fitToPage="1"/>
  </sheetPr>
  <dimension ref="B3:K61"/>
  <sheetViews>
    <sheetView topLeftCell="A27" zoomScale="44" zoomScaleNormal="75" workbookViewId="0">
      <selection activeCell="E16" sqref="E16"/>
    </sheetView>
  </sheetViews>
  <sheetFormatPr defaultColWidth="9.23046875" defaultRowHeight="14" x14ac:dyDescent="0.3"/>
  <cols>
    <col min="1" max="1" width="9.23046875" style="1"/>
    <col min="2" max="2" width="6.07421875" style="1" customWidth="1"/>
    <col min="3" max="3" width="4.07421875" style="1" customWidth="1"/>
    <col min="4" max="4" width="68.4609375" style="1" customWidth="1"/>
    <col min="5" max="5" width="25.3046875" style="1" customWidth="1"/>
    <col min="6" max="6" width="31.69140625" style="1" customWidth="1"/>
    <col min="7" max="7" width="57.23046875" style="1" customWidth="1"/>
    <col min="8" max="8" width="23.765625" style="1" customWidth="1"/>
    <col min="9" max="9" width="37.3046875" style="1" customWidth="1"/>
    <col min="10" max="10" width="15.84375" style="1" customWidth="1"/>
    <col min="11" max="16384" width="9.23046875" style="1"/>
  </cols>
  <sheetData>
    <row r="3" spans="2:11" ht="14.5" thickBot="1" x14ac:dyDescent="0.35">
      <c r="B3" s="2"/>
      <c r="C3" s="2"/>
      <c r="D3" s="2"/>
      <c r="E3" s="2"/>
      <c r="F3" s="2"/>
      <c r="G3" s="2"/>
      <c r="H3" s="2"/>
      <c r="I3" s="2"/>
      <c r="J3" s="2"/>
      <c r="K3" s="2"/>
    </row>
    <row r="4" spans="2:11" ht="22.5" x14ac:dyDescent="0.3">
      <c r="B4" s="2"/>
      <c r="C4" s="2"/>
      <c r="D4" s="313" t="s">
        <v>21</v>
      </c>
      <c r="E4" s="314"/>
      <c r="F4" s="2"/>
      <c r="G4" s="2"/>
      <c r="H4" s="2"/>
      <c r="I4" s="2"/>
      <c r="J4" s="2"/>
      <c r="K4" s="2"/>
    </row>
    <row r="5" spans="2:11" x14ac:dyDescent="0.3">
      <c r="B5" s="2"/>
      <c r="C5" s="2"/>
      <c r="D5" s="315" t="s">
        <v>255</v>
      </c>
      <c r="E5" s="316"/>
      <c r="F5" s="2"/>
      <c r="G5" s="2"/>
      <c r="H5" s="2"/>
      <c r="I5" s="2"/>
      <c r="J5" s="2"/>
      <c r="K5" s="2"/>
    </row>
    <row r="6" spans="2:11" ht="62.5" customHeight="1" thickBot="1" x14ac:dyDescent="0.35">
      <c r="B6" s="2"/>
      <c r="C6" s="2"/>
      <c r="D6" s="317"/>
      <c r="E6" s="318"/>
      <c r="F6" s="2"/>
      <c r="G6" s="2"/>
      <c r="H6" s="2"/>
      <c r="I6" s="2"/>
      <c r="J6" s="2"/>
      <c r="K6" s="2"/>
    </row>
    <row r="7" spans="2:11" ht="35.5" customHeight="1" x14ac:dyDescent="0.3">
      <c r="B7" s="2"/>
      <c r="C7" s="2"/>
      <c r="D7" s="70"/>
      <c r="E7" s="70"/>
      <c r="F7" s="2"/>
      <c r="G7" s="2"/>
      <c r="H7" s="2"/>
      <c r="I7" s="2"/>
      <c r="J7" s="2"/>
      <c r="K7" s="2"/>
    </row>
    <row r="8" spans="2:11" ht="14.5" thickBot="1" x14ac:dyDescent="0.35">
      <c r="B8" s="2"/>
      <c r="C8" s="2"/>
      <c r="D8" s="2"/>
      <c r="E8" s="2"/>
      <c r="F8" s="2"/>
      <c r="G8" s="2"/>
      <c r="H8" s="2"/>
      <c r="I8" s="2"/>
      <c r="J8" s="2"/>
      <c r="K8" s="2"/>
    </row>
    <row r="9" spans="2:11" ht="23" thickBot="1" x14ac:dyDescent="0.35">
      <c r="B9" s="2"/>
      <c r="C9" s="2"/>
      <c r="D9" s="8" t="s">
        <v>56</v>
      </c>
      <c r="E9" s="9"/>
      <c r="F9" s="2"/>
      <c r="G9" s="19" t="s">
        <v>57</v>
      </c>
      <c r="H9" s="2"/>
      <c r="I9" s="2"/>
      <c r="J9" s="2"/>
      <c r="K9" s="2"/>
    </row>
    <row r="10" spans="2:11" ht="20.5" thickBot="1" x14ac:dyDescent="0.35">
      <c r="B10" s="2"/>
      <c r="C10" s="2"/>
      <c r="D10" s="12" t="s">
        <v>58</v>
      </c>
      <c r="E10" s="13" t="s">
        <v>256</v>
      </c>
      <c r="F10" s="2"/>
      <c r="G10" s="26" t="e" cm="1" vm="1">
        <f t="array" ref="G10">_xlfn.IFS(G11&lt;Methodology!G30,"Low maturity",G11&lt;Methodology!G29,"Mid maturity",G11&gt;=Methodology!G29,"High maturity")</f>
        <v>#VALUE!</v>
      </c>
      <c r="H10" s="2"/>
      <c r="I10" s="2"/>
      <c r="J10" s="2"/>
      <c r="K10" s="2"/>
    </row>
    <row r="11" spans="2:11" x14ac:dyDescent="0.3">
      <c r="B11" s="2"/>
      <c r="C11" s="2"/>
      <c r="D11" s="6" t="s">
        <v>60</v>
      </c>
      <c r="E11" s="10" t="s">
        <v>257</v>
      </c>
      <c r="F11" s="2"/>
      <c r="G11" s="27" cm="1">
        <f t="array" ref="G11">_xlfn.LET(_xlpm.scores, _xlfn._xlws.FILTER(E19:E105, E19:E105&lt;&gt;""),SUMPRODUCT((_xlpm.scores="High")*Methodology!F15+(_xlpm.scores="Medium")*Methodology!F16+((_xlpm.scores="Low") + (_xlpm.scores="No data"))*Methodology!F17+(_xlpm.scores="Yes")*Methodology!I15+(_xlpm.scores="No")*Methodology!I16))</f>
        <v>102</v>
      </c>
      <c r="H11" s="27"/>
      <c r="I11" s="2"/>
      <c r="J11" s="2"/>
      <c r="K11" s="2"/>
    </row>
    <row r="12" spans="2:11" ht="14.5" thickBot="1" x14ac:dyDescent="0.35">
      <c r="B12" s="2"/>
      <c r="C12" s="2"/>
      <c r="D12" s="7" t="s">
        <v>61</v>
      </c>
      <c r="E12" s="14" t="s">
        <v>258</v>
      </c>
      <c r="F12" s="2"/>
      <c r="G12" s="2"/>
      <c r="H12" s="2"/>
      <c r="I12" s="2"/>
      <c r="J12" s="2"/>
      <c r="K12" s="2"/>
    </row>
    <row r="13" spans="2:11" x14ac:dyDescent="0.3">
      <c r="B13" s="2"/>
      <c r="C13" s="2"/>
      <c r="D13" s="11"/>
      <c r="E13" s="2"/>
      <c r="F13" s="2"/>
      <c r="G13" s="2"/>
      <c r="H13" s="2"/>
      <c r="I13" s="2"/>
      <c r="J13" s="2"/>
      <c r="K13" s="2"/>
    </row>
    <row r="14" spans="2:11" x14ac:dyDescent="0.3">
      <c r="B14" s="2"/>
      <c r="C14" s="2"/>
      <c r="D14" s="11"/>
      <c r="E14" s="2"/>
      <c r="F14" s="2"/>
      <c r="G14" s="2"/>
      <c r="H14" s="2"/>
      <c r="I14" s="2"/>
      <c r="J14" s="2"/>
      <c r="K14" s="2"/>
    </row>
    <row r="15" spans="2:11" ht="14.5" thickBot="1" x14ac:dyDescent="0.35">
      <c r="B15" s="2"/>
      <c r="C15" s="2"/>
      <c r="D15" s="2"/>
      <c r="E15" s="2"/>
      <c r="F15" s="2"/>
      <c r="G15" s="2"/>
      <c r="H15" s="2"/>
      <c r="I15" s="2"/>
      <c r="J15" s="2"/>
      <c r="K15" s="2"/>
    </row>
    <row r="16" spans="2:11" ht="15" x14ac:dyDescent="0.3">
      <c r="B16" s="2"/>
      <c r="C16" s="2"/>
      <c r="D16" s="156" t="s">
        <v>62</v>
      </c>
      <c r="E16" s="238" t="s">
        <v>64</v>
      </c>
      <c r="F16" s="238" t="s">
        <v>65</v>
      </c>
      <c r="G16" s="238" t="s">
        <v>66</v>
      </c>
      <c r="H16" s="238" t="s">
        <v>67</v>
      </c>
      <c r="I16" s="238" t="s">
        <v>68</v>
      </c>
      <c r="J16" s="239" t="s">
        <v>69</v>
      </c>
      <c r="K16" s="2"/>
    </row>
    <row r="17" spans="2:11" ht="15" x14ac:dyDescent="0.3">
      <c r="B17" s="2"/>
      <c r="C17" s="2"/>
      <c r="D17" s="266" t="s">
        <v>72</v>
      </c>
      <c r="E17" s="267"/>
      <c r="F17" s="267"/>
      <c r="G17" s="267"/>
      <c r="H17" s="267"/>
      <c r="I17" s="267"/>
      <c r="J17" s="268"/>
      <c r="K17" s="2"/>
    </row>
    <row r="18" spans="2:11" ht="15" x14ac:dyDescent="0.3">
      <c r="B18" s="2"/>
      <c r="C18" s="186" t="s">
        <v>73</v>
      </c>
      <c r="D18" s="152" t="s">
        <v>74</v>
      </c>
      <c r="E18" s="153"/>
      <c r="F18" s="153"/>
      <c r="G18" s="153"/>
      <c r="H18" s="153"/>
      <c r="I18" s="153"/>
      <c r="J18" s="240"/>
      <c r="K18" s="2"/>
    </row>
    <row r="19" spans="2:11" ht="106" customHeight="1" x14ac:dyDescent="0.3">
      <c r="B19" s="2"/>
      <c r="C19" s="186">
        <v>1.1000000000000001</v>
      </c>
      <c r="D19" s="241" t="s">
        <v>75</v>
      </c>
      <c r="E19" s="101" t="s">
        <v>259</v>
      </c>
      <c r="F19" s="5" t="s">
        <v>260</v>
      </c>
      <c r="G19" s="157" t="s">
        <v>78</v>
      </c>
      <c r="H19" s="157" t="s">
        <v>79</v>
      </c>
      <c r="I19" s="158" t="s">
        <v>80</v>
      </c>
      <c r="J19" s="242" t="s">
        <v>81</v>
      </c>
      <c r="K19" s="2"/>
    </row>
    <row r="20" spans="2:11" ht="97" customHeight="1" x14ac:dyDescent="0.3">
      <c r="B20" s="2"/>
      <c r="C20" s="186">
        <v>1.2</v>
      </c>
      <c r="D20" s="243" t="s">
        <v>83</v>
      </c>
      <c r="E20" s="18" t="s">
        <v>259</v>
      </c>
      <c r="F20" s="5" t="s">
        <v>260</v>
      </c>
      <c r="G20" s="94" t="s">
        <v>86</v>
      </c>
      <c r="H20" s="94" t="s">
        <v>87</v>
      </c>
      <c r="I20" s="95" t="s">
        <v>80</v>
      </c>
      <c r="J20" s="244" t="s">
        <v>81</v>
      </c>
      <c r="K20" s="2"/>
    </row>
    <row r="21" spans="2:11" ht="15" x14ac:dyDescent="0.3">
      <c r="B21" s="2"/>
      <c r="C21" s="186">
        <v>1.3</v>
      </c>
      <c r="D21" s="245" t="s">
        <v>88</v>
      </c>
      <c r="E21" s="153"/>
      <c r="F21" s="153"/>
      <c r="G21" s="153"/>
      <c r="H21" s="153"/>
      <c r="I21" s="153"/>
      <c r="J21" s="240"/>
      <c r="K21" s="2"/>
    </row>
    <row r="22" spans="2:11" ht="82" customHeight="1" x14ac:dyDescent="0.3">
      <c r="B22" s="2"/>
      <c r="C22" s="186">
        <v>1.3</v>
      </c>
      <c r="D22" s="246" t="s">
        <v>89</v>
      </c>
      <c r="E22" s="18" t="s">
        <v>85</v>
      </c>
      <c r="F22" s="4" t="s">
        <v>261</v>
      </c>
      <c r="G22" s="163" t="s">
        <v>91</v>
      </c>
      <c r="H22" s="163" t="s">
        <v>92</v>
      </c>
      <c r="I22" s="157" t="s">
        <v>93</v>
      </c>
      <c r="J22" s="242" t="s">
        <v>94</v>
      </c>
      <c r="K22" s="2"/>
    </row>
    <row r="23" spans="2:11" ht="80.150000000000006" customHeight="1" x14ac:dyDescent="0.3">
      <c r="B23" s="2"/>
      <c r="C23" s="186">
        <v>1.4</v>
      </c>
      <c r="D23" s="247" t="s">
        <v>95</v>
      </c>
      <c r="E23" s="18" t="s">
        <v>77</v>
      </c>
      <c r="F23" s="4" t="s">
        <v>262</v>
      </c>
      <c r="G23" s="93" t="s">
        <v>98</v>
      </c>
      <c r="H23" s="93" t="s">
        <v>99</v>
      </c>
      <c r="I23" s="95" t="s">
        <v>100</v>
      </c>
      <c r="J23" s="244" t="s">
        <v>81</v>
      </c>
      <c r="K23" s="2"/>
    </row>
    <row r="24" spans="2:11" ht="90" customHeight="1" x14ac:dyDescent="0.3">
      <c r="B24" s="2"/>
      <c r="C24" s="186">
        <v>1.5</v>
      </c>
      <c r="D24" s="247" t="s">
        <v>102</v>
      </c>
      <c r="E24" s="18" t="s">
        <v>77</v>
      </c>
      <c r="F24" s="4" t="s">
        <v>263</v>
      </c>
      <c r="G24" s="93" t="s">
        <v>104</v>
      </c>
      <c r="H24" s="93" t="s">
        <v>105</v>
      </c>
      <c r="I24" s="95" t="s">
        <v>106</v>
      </c>
      <c r="J24" s="244" t="s">
        <v>81</v>
      </c>
      <c r="K24" s="2"/>
    </row>
    <row r="25" spans="2:11" ht="99" customHeight="1" x14ac:dyDescent="0.3">
      <c r="B25" s="2"/>
      <c r="C25" s="186">
        <v>1.6</v>
      </c>
      <c r="D25" s="248" t="s">
        <v>108</v>
      </c>
      <c r="E25" s="18" t="s">
        <v>77</v>
      </c>
      <c r="F25" s="4" t="s">
        <v>264</v>
      </c>
      <c r="G25" s="94" t="s">
        <v>110</v>
      </c>
      <c r="H25" s="94" t="s">
        <v>111</v>
      </c>
      <c r="I25" s="95" t="s">
        <v>112</v>
      </c>
      <c r="J25" s="244" t="s">
        <v>81</v>
      </c>
      <c r="K25" s="2"/>
    </row>
    <row r="26" spans="2:11" ht="75" customHeight="1" x14ac:dyDescent="0.3">
      <c r="B26" s="2"/>
      <c r="C26" s="186">
        <v>1.7</v>
      </c>
      <c r="D26" s="247" t="s">
        <v>114</v>
      </c>
      <c r="E26" s="18" t="s">
        <v>85</v>
      </c>
      <c r="F26" s="4" t="s">
        <v>265</v>
      </c>
      <c r="G26" s="93" t="s">
        <v>116</v>
      </c>
      <c r="H26" s="93" t="s">
        <v>117</v>
      </c>
      <c r="I26" s="94" t="s">
        <v>118</v>
      </c>
      <c r="J26" s="244" t="s">
        <v>94</v>
      </c>
      <c r="K26" s="2"/>
    </row>
    <row r="27" spans="2:11" ht="70" customHeight="1" x14ac:dyDescent="0.3">
      <c r="B27" s="2"/>
      <c r="C27" s="186">
        <v>1.8</v>
      </c>
      <c r="D27" s="249" t="s">
        <v>120</v>
      </c>
      <c r="E27" s="18" t="s">
        <v>85</v>
      </c>
      <c r="F27" s="4" t="s">
        <v>266</v>
      </c>
      <c r="G27" s="98" t="s">
        <v>122</v>
      </c>
      <c r="H27" s="93" t="s">
        <v>123</v>
      </c>
      <c r="I27" s="95" t="s">
        <v>124</v>
      </c>
      <c r="J27" s="244" t="s">
        <v>81</v>
      </c>
      <c r="K27" s="2"/>
    </row>
    <row r="28" spans="2:11" ht="15" x14ac:dyDescent="0.3">
      <c r="B28" s="2"/>
      <c r="C28" s="186"/>
      <c r="D28" s="266" t="s">
        <v>126</v>
      </c>
      <c r="E28" s="267"/>
      <c r="F28" s="267"/>
      <c r="G28" s="267"/>
      <c r="H28" s="267"/>
      <c r="I28" s="267"/>
      <c r="J28" s="268"/>
      <c r="K28" s="2"/>
    </row>
    <row r="29" spans="2:11" ht="105.65" customHeight="1" x14ac:dyDescent="0.3">
      <c r="B29" s="2"/>
      <c r="C29" s="186">
        <v>2.1</v>
      </c>
      <c r="D29" s="246" t="s">
        <v>127</v>
      </c>
      <c r="E29" s="18" t="s">
        <v>85</v>
      </c>
      <c r="F29" s="4" t="s">
        <v>267</v>
      </c>
      <c r="G29" s="163" t="s">
        <v>129</v>
      </c>
      <c r="H29" s="163" t="s">
        <v>130</v>
      </c>
      <c r="I29" s="158" t="s">
        <v>131</v>
      </c>
      <c r="J29" s="242" t="s">
        <v>94</v>
      </c>
      <c r="K29" s="2"/>
    </row>
    <row r="30" spans="2:11" ht="57.5" x14ac:dyDescent="0.3">
      <c r="B30" s="2"/>
      <c r="C30" s="186">
        <v>2.2000000000000002</v>
      </c>
      <c r="D30" s="247" t="s">
        <v>134</v>
      </c>
      <c r="E30" s="18" t="s">
        <v>259</v>
      </c>
      <c r="F30" s="4" t="s">
        <v>268</v>
      </c>
      <c r="G30" s="93" t="s">
        <v>136</v>
      </c>
      <c r="H30" s="93" t="s">
        <v>269</v>
      </c>
      <c r="I30" s="94" t="s">
        <v>138</v>
      </c>
      <c r="J30" s="244" t="s">
        <v>81</v>
      </c>
      <c r="K30" s="2"/>
    </row>
    <row r="31" spans="2:11" ht="82.5" customHeight="1" x14ac:dyDescent="0.3">
      <c r="B31" s="2"/>
      <c r="C31" s="186">
        <v>2.4</v>
      </c>
      <c r="D31" s="249" t="s">
        <v>139</v>
      </c>
      <c r="E31" s="18" t="s">
        <v>77</v>
      </c>
      <c r="F31" s="4" t="s">
        <v>270</v>
      </c>
      <c r="G31" s="97" t="s">
        <v>141</v>
      </c>
      <c r="H31" s="97" t="s">
        <v>142</v>
      </c>
      <c r="I31" s="94" t="s">
        <v>138</v>
      </c>
      <c r="J31" s="244" t="s">
        <v>81</v>
      </c>
      <c r="K31" s="2"/>
    </row>
    <row r="32" spans="2:11" ht="15" x14ac:dyDescent="0.3">
      <c r="B32" s="2"/>
      <c r="C32" s="186"/>
      <c r="D32" s="266" t="s">
        <v>143</v>
      </c>
      <c r="E32" s="267"/>
      <c r="F32" s="267"/>
      <c r="G32" s="267"/>
      <c r="H32" s="267"/>
      <c r="I32" s="267"/>
      <c r="J32" s="268"/>
      <c r="K32" s="2"/>
    </row>
    <row r="33" spans="2:11" ht="119.5" customHeight="1" x14ac:dyDescent="0.3">
      <c r="B33" s="2"/>
      <c r="C33" s="186">
        <v>3.1</v>
      </c>
      <c r="D33" s="246" t="s">
        <v>144</v>
      </c>
      <c r="E33" s="18" t="s">
        <v>85</v>
      </c>
      <c r="F33" s="4" t="s">
        <v>271</v>
      </c>
      <c r="G33" s="183" t="s">
        <v>146</v>
      </c>
      <c r="H33" s="183" t="s">
        <v>147</v>
      </c>
      <c r="I33" s="157" t="s">
        <v>138</v>
      </c>
      <c r="J33" s="242" t="s">
        <v>81</v>
      </c>
      <c r="K33" s="2"/>
    </row>
    <row r="34" spans="2:11" ht="94.5" customHeight="1" x14ac:dyDescent="0.3">
      <c r="B34" s="2"/>
      <c r="C34" s="186">
        <v>3.2</v>
      </c>
      <c r="D34" s="247" t="s">
        <v>149</v>
      </c>
      <c r="E34" s="18" t="s">
        <v>85</v>
      </c>
      <c r="F34" s="4" t="s">
        <v>272</v>
      </c>
      <c r="G34" s="93" t="s">
        <v>151</v>
      </c>
      <c r="H34" s="93" t="s">
        <v>152</v>
      </c>
      <c r="I34" s="94" t="s">
        <v>138</v>
      </c>
      <c r="J34" s="244" t="s">
        <v>81</v>
      </c>
      <c r="K34" s="2"/>
    </row>
    <row r="35" spans="2:11" ht="81" thickBot="1" x14ac:dyDescent="0.35">
      <c r="B35" s="2"/>
      <c r="C35" s="186">
        <v>3.3</v>
      </c>
      <c r="D35" s="249" t="s">
        <v>153</v>
      </c>
      <c r="E35" s="100" t="s">
        <v>85</v>
      </c>
      <c r="F35" s="166" t="s">
        <v>273</v>
      </c>
      <c r="G35" s="166" t="s">
        <v>155</v>
      </c>
      <c r="H35" s="97" t="s">
        <v>156</v>
      </c>
      <c r="I35" s="167" t="s">
        <v>157</v>
      </c>
      <c r="J35" s="244" t="s">
        <v>158</v>
      </c>
      <c r="K35" s="2"/>
    </row>
    <row r="36" spans="2:11" ht="69.5" thickBot="1" x14ac:dyDescent="0.35">
      <c r="B36" s="2"/>
      <c r="C36" s="186">
        <v>3.4</v>
      </c>
      <c r="D36" s="252" t="s">
        <v>159</v>
      </c>
      <c r="E36" s="192" t="s">
        <v>259</v>
      </c>
      <c r="F36" s="170" t="s">
        <v>268</v>
      </c>
      <c r="G36" s="170" t="s">
        <v>161</v>
      </c>
      <c r="H36" s="171" t="s">
        <v>274</v>
      </c>
      <c r="I36" s="171" t="s">
        <v>163</v>
      </c>
      <c r="J36" s="193" t="s">
        <v>81</v>
      </c>
      <c r="K36" s="2"/>
    </row>
    <row r="37" spans="2:11" ht="15" x14ac:dyDescent="0.3">
      <c r="B37" s="2"/>
      <c r="C37" s="186"/>
      <c r="D37" s="271" t="s">
        <v>164</v>
      </c>
      <c r="E37" s="273"/>
      <c r="F37" s="273"/>
      <c r="G37" s="273"/>
      <c r="H37" s="273"/>
      <c r="I37" s="273"/>
      <c r="J37" s="275"/>
      <c r="K37" s="2"/>
    </row>
    <row r="38" spans="2:11" ht="109" customHeight="1" x14ac:dyDescent="0.3">
      <c r="B38" s="2"/>
      <c r="C38" s="186">
        <v>4.0999999999999996</v>
      </c>
      <c r="D38" s="246" t="s">
        <v>165</v>
      </c>
      <c r="E38" s="18" t="s">
        <v>85</v>
      </c>
      <c r="F38" s="4" t="s">
        <v>275</v>
      </c>
      <c r="G38" s="183" t="s">
        <v>167</v>
      </c>
      <c r="H38" s="183" t="s">
        <v>168</v>
      </c>
      <c r="I38" s="157" t="s">
        <v>169</v>
      </c>
      <c r="J38" s="242" t="s">
        <v>81</v>
      </c>
      <c r="K38" s="2"/>
    </row>
    <row r="39" spans="2:11" ht="80.5" x14ac:dyDescent="0.3">
      <c r="B39" s="2"/>
      <c r="C39" s="186">
        <v>4.2</v>
      </c>
      <c r="D39" s="247" t="s">
        <v>171</v>
      </c>
      <c r="E39" s="18" t="s">
        <v>85</v>
      </c>
      <c r="F39" s="4" t="s">
        <v>276</v>
      </c>
      <c r="G39" s="93" t="s">
        <v>173</v>
      </c>
      <c r="H39" s="93" t="s">
        <v>174</v>
      </c>
      <c r="I39" s="94" t="s">
        <v>175</v>
      </c>
      <c r="J39" s="244" t="s">
        <v>81</v>
      </c>
      <c r="K39" s="2"/>
    </row>
    <row r="40" spans="2:11" ht="101.15" customHeight="1" x14ac:dyDescent="0.3">
      <c r="B40" s="2"/>
      <c r="C40" s="186">
        <v>4.3</v>
      </c>
      <c r="D40" s="248" t="s">
        <v>176</v>
      </c>
      <c r="E40" s="18" t="s">
        <v>85</v>
      </c>
      <c r="F40" s="4" t="s">
        <v>277</v>
      </c>
      <c r="G40" s="97" t="s">
        <v>178</v>
      </c>
      <c r="H40" s="97" t="s">
        <v>179</v>
      </c>
      <c r="I40" s="94" t="s">
        <v>180</v>
      </c>
      <c r="J40" s="244" t="s">
        <v>81</v>
      </c>
      <c r="K40" s="2"/>
    </row>
    <row r="41" spans="2:11" ht="101.15" customHeight="1" x14ac:dyDescent="0.3">
      <c r="B41" s="2"/>
      <c r="C41" s="186"/>
      <c r="D41" s="243" t="s">
        <v>181</v>
      </c>
      <c r="E41" s="92" t="s">
        <v>259</v>
      </c>
      <c r="F41" s="4" t="s">
        <v>268</v>
      </c>
      <c r="G41" s="97" t="s">
        <v>183</v>
      </c>
      <c r="H41" s="97" t="s">
        <v>184</v>
      </c>
      <c r="I41" s="94" t="s">
        <v>138</v>
      </c>
      <c r="J41" s="244"/>
      <c r="K41" s="2"/>
    </row>
    <row r="42" spans="2:11" ht="99" customHeight="1" thickBot="1" x14ac:dyDescent="0.35">
      <c r="B42" s="2"/>
      <c r="C42" s="186">
        <v>4.4000000000000004</v>
      </c>
      <c r="D42" s="249" t="s">
        <v>185</v>
      </c>
      <c r="E42" s="100" t="s">
        <v>85</v>
      </c>
      <c r="F42" s="166" t="s">
        <v>278</v>
      </c>
      <c r="G42" s="93" t="s">
        <v>187</v>
      </c>
      <c r="H42" s="93" t="s">
        <v>188</v>
      </c>
      <c r="I42" s="95" t="s">
        <v>189</v>
      </c>
      <c r="J42" s="244" t="s">
        <v>81</v>
      </c>
      <c r="K42" s="2"/>
    </row>
    <row r="43" spans="2:11" ht="99" customHeight="1" thickBot="1" x14ac:dyDescent="0.35">
      <c r="B43" s="2"/>
      <c r="C43" s="186">
        <v>4.5</v>
      </c>
      <c r="D43" s="252" t="s">
        <v>190</v>
      </c>
      <c r="E43" s="192" t="s">
        <v>259</v>
      </c>
      <c r="F43" s="170" t="s">
        <v>268</v>
      </c>
      <c r="G43" s="170" t="s">
        <v>192</v>
      </c>
      <c r="H43" s="171" t="s">
        <v>193</v>
      </c>
      <c r="I43" s="171" t="s">
        <v>163</v>
      </c>
      <c r="J43" s="253" t="s">
        <v>81</v>
      </c>
      <c r="K43" s="2"/>
    </row>
    <row r="44" spans="2:11" ht="99" customHeight="1" thickBot="1" x14ac:dyDescent="0.35">
      <c r="B44" s="2"/>
      <c r="C44" s="186">
        <v>4.5999999999999996</v>
      </c>
      <c r="D44" s="252" t="s">
        <v>194</v>
      </c>
      <c r="E44" s="192" t="s">
        <v>259</v>
      </c>
      <c r="F44" s="170" t="s">
        <v>268</v>
      </c>
      <c r="G44" s="170" t="s">
        <v>196</v>
      </c>
      <c r="H44" s="171" t="s">
        <v>197</v>
      </c>
      <c r="I44" s="171" t="s">
        <v>163</v>
      </c>
      <c r="J44" s="253" t="s">
        <v>81</v>
      </c>
      <c r="K44" s="2"/>
    </row>
    <row r="45" spans="2:11" ht="99" customHeight="1" thickBot="1" x14ac:dyDescent="0.35">
      <c r="B45" s="2"/>
      <c r="C45" s="186">
        <v>4.7</v>
      </c>
      <c r="D45" s="252" t="s">
        <v>198</v>
      </c>
      <c r="E45" s="192" t="s">
        <v>259</v>
      </c>
      <c r="F45" s="170" t="s">
        <v>268</v>
      </c>
      <c r="G45" s="170" t="s">
        <v>200</v>
      </c>
      <c r="H45" s="171" t="s">
        <v>201</v>
      </c>
      <c r="I45" s="171" t="s">
        <v>163</v>
      </c>
      <c r="J45" s="253" t="s">
        <v>81</v>
      </c>
      <c r="K45" s="2"/>
    </row>
    <row r="46" spans="2:11" ht="99" customHeight="1" thickBot="1" x14ac:dyDescent="0.35">
      <c r="B46" s="2"/>
      <c r="C46" s="186">
        <v>4.8</v>
      </c>
      <c r="D46" s="168" t="s">
        <v>202</v>
      </c>
      <c r="E46" s="192" t="s">
        <v>259</v>
      </c>
      <c r="F46" s="170" t="s">
        <v>268</v>
      </c>
      <c r="G46" s="170" t="s">
        <v>205</v>
      </c>
      <c r="H46" s="171" t="s">
        <v>206</v>
      </c>
      <c r="I46" s="171" t="s">
        <v>163</v>
      </c>
      <c r="J46" s="193" t="s">
        <v>81</v>
      </c>
      <c r="K46" s="2"/>
    </row>
    <row r="47" spans="2:11" ht="15" x14ac:dyDescent="0.3">
      <c r="B47" s="2"/>
      <c r="C47" s="186"/>
      <c r="D47" s="271" t="s">
        <v>207</v>
      </c>
      <c r="E47" s="273"/>
      <c r="F47" s="273"/>
      <c r="G47" s="273"/>
      <c r="H47" s="273"/>
      <c r="I47" s="273"/>
      <c r="J47" s="275"/>
      <c r="K47" s="2"/>
    </row>
    <row r="48" spans="2:11" ht="15" x14ac:dyDescent="0.3">
      <c r="B48" s="2"/>
      <c r="C48" s="186"/>
      <c r="D48" s="154" t="s">
        <v>208</v>
      </c>
      <c r="E48" s="155"/>
      <c r="F48" s="155"/>
      <c r="G48" s="155"/>
      <c r="H48" s="155"/>
      <c r="I48" s="155"/>
      <c r="J48" s="254"/>
      <c r="K48" s="2"/>
    </row>
    <row r="49" spans="2:11" ht="133.5" customHeight="1" x14ac:dyDescent="0.3">
      <c r="B49" s="2"/>
      <c r="C49" s="186">
        <v>5.0999999999999996</v>
      </c>
      <c r="D49" s="246" t="s">
        <v>209</v>
      </c>
      <c r="E49" s="18" t="s">
        <v>77</v>
      </c>
      <c r="F49" s="4" t="s">
        <v>279</v>
      </c>
      <c r="G49" s="163" t="s">
        <v>211</v>
      </c>
      <c r="H49" s="163" t="s">
        <v>212</v>
      </c>
      <c r="I49" s="157" t="s">
        <v>213</v>
      </c>
      <c r="J49" s="242" t="s">
        <v>94</v>
      </c>
      <c r="K49" s="2"/>
    </row>
    <row r="50" spans="2:11" ht="133.5" customHeight="1" x14ac:dyDescent="0.3">
      <c r="B50" s="2"/>
      <c r="C50" s="186"/>
      <c r="D50" s="249" t="s">
        <v>215</v>
      </c>
      <c r="E50" s="100" t="s">
        <v>85</v>
      </c>
      <c r="F50" s="4" t="s">
        <v>280</v>
      </c>
      <c r="G50" s="93" t="s">
        <v>217</v>
      </c>
      <c r="H50" s="93" t="s">
        <v>218</v>
      </c>
      <c r="I50" s="94" t="s">
        <v>213</v>
      </c>
      <c r="J50" s="244" t="s">
        <v>94</v>
      </c>
      <c r="K50" s="2"/>
    </row>
    <row r="51" spans="2:11" ht="104.15" customHeight="1" thickBot="1" x14ac:dyDescent="0.35">
      <c r="B51" s="2"/>
      <c r="C51" s="186">
        <v>5.2</v>
      </c>
      <c r="D51" s="249" t="s">
        <v>219</v>
      </c>
      <c r="E51" s="100" t="s">
        <v>77</v>
      </c>
      <c r="F51" s="166" t="s">
        <v>281</v>
      </c>
      <c r="G51" s="93" t="s">
        <v>221</v>
      </c>
      <c r="H51" s="93" t="s">
        <v>222</v>
      </c>
      <c r="I51" s="94" t="s">
        <v>213</v>
      </c>
      <c r="J51" s="244" t="s">
        <v>94</v>
      </c>
      <c r="K51" s="2"/>
    </row>
    <row r="52" spans="2:11" ht="104.15" customHeight="1" thickBot="1" x14ac:dyDescent="0.35">
      <c r="B52" s="2"/>
      <c r="C52" s="186"/>
      <c r="D52" s="252" t="s">
        <v>223</v>
      </c>
      <c r="E52" s="192" t="s">
        <v>259</v>
      </c>
      <c r="F52" s="170" t="s">
        <v>268</v>
      </c>
      <c r="G52" s="170" t="s">
        <v>225</v>
      </c>
      <c r="H52" s="171" t="s">
        <v>226</v>
      </c>
      <c r="I52" s="171" t="s">
        <v>163</v>
      </c>
      <c r="J52" s="253" t="s">
        <v>81</v>
      </c>
      <c r="K52" s="2"/>
    </row>
    <row r="53" spans="2:11" ht="104.15" customHeight="1" thickBot="1" x14ac:dyDescent="0.35">
      <c r="B53" s="2"/>
      <c r="C53" s="186">
        <v>5.3</v>
      </c>
      <c r="D53" s="252" t="s">
        <v>227</v>
      </c>
      <c r="E53" s="192" t="s">
        <v>259</v>
      </c>
      <c r="F53" s="170" t="s">
        <v>268</v>
      </c>
      <c r="G53" s="170" t="s">
        <v>229</v>
      </c>
      <c r="H53" s="171" t="s">
        <v>230</v>
      </c>
      <c r="I53" s="171" t="s">
        <v>163</v>
      </c>
      <c r="J53" s="253" t="s">
        <v>81</v>
      </c>
      <c r="K53" s="2"/>
    </row>
    <row r="54" spans="2:11" ht="104.15" customHeight="1" thickBot="1" x14ac:dyDescent="0.35">
      <c r="B54" s="2"/>
      <c r="C54" s="186">
        <v>5.4</v>
      </c>
      <c r="D54" s="250" t="s">
        <v>231</v>
      </c>
      <c r="E54" s="192" t="s">
        <v>259</v>
      </c>
      <c r="F54" s="170" t="s">
        <v>268</v>
      </c>
      <c r="G54" s="230" t="s">
        <v>233</v>
      </c>
      <c r="H54" s="231" t="s">
        <v>234</v>
      </c>
      <c r="I54" s="231" t="s">
        <v>163</v>
      </c>
      <c r="J54" s="251" t="s">
        <v>81</v>
      </c>
      <c r="K54" s="2"/>
    </row>
    <row r="55" spans="2:11" ht="25.5" customHeight="1" x14ac:dyDescent="0.3">
      <c r="B55" s="2"/>
      <c r="C55" s="186"/>
      <c r="D55" s="154" t="s">
        <v>18</v>
      </c>
      <c r="E55" s="155"/>
      <c r="F55" s="155"/>
      <c r="G55" s="155"/>
      <c r="H55" s="155"/>
      <c r="I55" s="155"/>
      <c r="J55" s="254"/>
      <c r="K55" s="2"/>
    </row>
    <row r="56" spans="2:11" ht="80.150000000000006" customHeight="1" x14ac:dyDescent="0.3">
      <c r="B56" s="2"/>
      <c r="C56" s="186">
        <v>5.6</v>
      </c>
      <c r="D56" s="246" t="s">
        <v>235</v>
      </c>
      <c r="E56" s="18" t="s">
        <v>85</v>
      </c>
      <c r="F56" s="4" t="s">
        <v>282</v>
      </c>
      <c r="G56" s="163" t="s">
        <v>237</v>
      </c>
      <c r="H56" s="163" t="s">
        <v>238</v>
      </c>
      <c r="I56" s="157" t="s">
        <v>239</v>
      </c>
      <c r="J56" s="242" t="s">
        <v>81</v>
      </c>
      <c r="K56" s="2"/>
    </row>
    <row r="57" spans="2:11" ht="63.65" customHeight="1" x14ac:dyDescent="0.3">
      <c r="B57" s="2"/>
      <c r="C57" s="186">
        <v>5.7</v>
      </c>
      <c r="D57" s="247" t="s">
        <v>241</v>
      </c>
      <c r="E57" s="18" t="s">
        <v>259</v>
      </c>
      <c r="F57" s="4" t="s">
        <v>283</v>
      </c>
      <c r="G57" s="93" t="s">
        <v>243</v>
      </c>
      <c r="H57" s="93" t="s">
        <v>244</v>
      </c>
      <c r="I57" s="94" t="s">
        <v>169</v>
      </c>
      <c r="J57" s="244" t="s">
        <v>81</v>
      </c>
      <c r="K57" s="2"/>
    </row>
    <row r="58" spans="2:11" ht="101.15" customHeight="1" x14ac:dyDescent="0.3">
      <c r="B58" s="2"/>
      <c r="C58" s="186">
        <v>5.8</v>
      </c>
      <c r="D58" s="248" t="s">
        <v>246</v>
      </c>
      <c r="E58" s="100" t="s">
        <v>259</v>
      </c>
      <c r="F58" s="166" t="s">
        <v>284</v>
      </c>
      <c r="G58" s="93" t="s">
        <v>248</v>
      </c>
      <c r="H58" s="93" t="s">
        <v>249</v>
      </c>
      <c r="I58" s="94" t="s">
        <v>138</v>
      </c>
      <c r="J58" s="244" t="s">
        <v>81</v>
      </c>
      <c r="K58" s="2"/>
    </row>
    <row r="59" spans="2:11" ht="83.15" customHeight="1" thickBot="1" x14ac:dyDescent="0.35">
      <c r="B59" s="2"/>
      <c r="C59" s="186">
        <v>5.9</v>
      </c>
      <c r="D59" s="255" t="s">
        <v>250</v>
      </c>
      <c r="E59" s="194" t="s">
        <v>85</v>
      </c>
      <c r="F59" s="195" t="s">
        <v>285</v>
      </c>
      <c r="G59" s="258" t="s">
        <v>252</v>
      </c>
      <c r="H59" s="258" t="s">
        <v>253</v>
      </c>
      <c r="I59" s="259" t="s">
        <v>254</v>
      </c>
      <c r="J59" s="260" t="s">
        <v>81</v>
      </c>
      <c r="K59" s="2"/>
    </row>
    <row r="60" spans="2:11" x14ac:dyDescent="0.3">
      <c r="B60" s="2"/>
      <c r="C60" s="2"/>
      <c r="D60" s="2"/>
      <c r="E60" s="2"/>
      <c r="F60" s="2"/>
      <c r="G60" s="2"/>
      <c r="H60" s="2"/>
      <c r="I60" s="2"/>
      <c r="J60" s="2"/>
      <c r="K60" s="2"/>
    </row>
    <row r="61" spans="2:11" x14ac:dyDescent="0.3">
      <c r="B61" s="2"/>
      <c r="C61" s="2"/>
      <c r="D61" s="2"/>
      <c r="E61" s="2"/>
      <c r="F61" s="2"/>
      <c r="G61" s="2"/>
      <c r="H61" s="2"/>
      <c r="I61" s="2"/>
      <c r="J61" s="2"/>
      <c r="K61" s="2"/>
    </row>
  </sheetData>
  <mergeCells count="2">
    <mergeCell ref="D4:E4"/>
    <mergeCell ref="D5:E6"/>
  </mergeCells>
  <conditionalFormatting sqref="E19:E20">
    <cfRule type="containsText" dxfId="146" priority="52" operator="containsText" text="Low">
      <formula>NOT(ISERROR(SEARCH("Low",E19)))</formula>
    </cfRule>
    <cfRule type="containsText" dxfId="145" priority="51" operator="containsText" text="Medium">
      <formula>NOT(ISERROR(SEARCH("Medium",E19)))</formula>
    </cfRule>
    <cfRule type="containsText" dxfId="144" priority="49" operator="containsText" text="No data">
      <formula>NOT(ISERROR(SEARCH("No data",E19)))</formula>
    </cfRule>
    <cfRule type="cellIs" dxfId="143" priority="50" operator="equal">
      <formula>"High"</formula>
    </cfRule>
  </conditionalFormatting>
  <conditionalFormatting sqref="E22:E27">
    <cfRule type="containsText" dxfId="142" priority="45" operator="containsText" text="No data">
      <formula>NOT(ISERROR(SEARCH("No data",E22)))</formula>
    </cfRule>
    <cfRule type="containsText" dxfId="141" priority="48" operator="containsText" text="Low">
      <formula>NOT(ISERROR(SEARCH("Low",E22)))</formula>
    </cfRule>
    <cfRule type="containsText" dxfId="140" priority="47" operator="containsText" text="Medium">
      <formula>NOT(ISERROR(SEARCH("Medium",E22)))</formula>
    </cfRule>
    <cfRule type="cellIs" dxfId="139" priority="46" operator="equal">
      <formula>"High"</formula>
    </cfRule>
  </conditionalFormatting>
  <conditionalFormatting sqref="E29:E31">
    <cfRule type="containsText" dxfId="138" priority="40" operator="containsText" text="Low">
      <formula>NOT(ISERROR(SEARCH("Low",E29)))</formula>
    </cfRule>
    <cfRule type="containsText" dxfId="137" priority="39" operator="containsText" text="Medium">
      <formula>NOT(ISERROR(SEARCH("Medium",E29)))</formula>
    </cfRule>
    <cfRule type="cellIs" dxfId="136" priority="38" operator="equal">
      <formula>"High"</formula>
    </cfRule>
    <cfRule type="cellIs" dxfId="135" priority="37" operator="equal">
      <formula>"No data"</formula>
    </cfRule>
  </conditionalFormatting>
  <conditionalFormatting sqref="E33:E36">
    <cfRule type="containsText" dxfId="134" priority="35" operator="containsText" text="Medium">
      <formula>NOT(ISERROR(SEARCH("Medium",E33)))</formula>
    </cfRule>
    <cfRule type="containsText" dxfId="133" priority="36" operator="containsText" text="Low">
      <formula>NOT(ISERROR(SEARCH("Low",E33)))</formula>
    </cfRule>
    <cfRule type="cellIs" dxfId="132" priority="34" operator="equal">
      <formula>"High"</formula>
    </cfRule>
    <cfRule type="cellIs" dxfId="131" priority="33" operator="equal">
      <formula>"No data"</formula>
    </cfRule>
  </conditionalFormatting>
  <conditionalFormatting sqref="E38:E46">
    <cfRule type="cellIs" dxfId="130" priority="25" operator="equal">
      <formula>"No data"</formula>
    </cfRule>
    <cfRule type="cellIs" dxfId="129" priority="26" operator="equal">
      <formula>"High"</formula>
    </cfRule>
    <cfRule type="containsText" dxfId="128" priority="27" operator="containsText" text="Medium">
      <formula>NOT(ISERROR(SEARCH("Medium",E38)))</formula>
    </cfRule>
    <cfRule type="containsText" dxfId="127" priority="28" operator="containsText" text="Low">
      <formula>NOT(ISERROR(SEARCH("Low",E38)))</formula>
    </cfRule>
  </conditionalFormatting>
  <conditionalFormatting sqref="E49">
    <cfRule type="containsText" dxfId="126" priority="21" operator="containsText" text="Low">
      <formula>NOT(ISERROR(SEARCH("Low",E49)))</formula>
    </cfRule>
    <cfRule type="containsText" dxfId="125" priority="20" operator="containsText" text="Medium">
      <formula>NOT(ISERROR(SEARCH("Medium",E49)))</formula>
    </cfRule>
    <cfRule type="cellIs" dxfId="124" priority="19" operator="equal">
      <formula>"High"</formula>
    </cfRule>
  </conditionalFormatting>
  <conditionalFormatting sqref="E49:E51">
    <cfRule type="containsText" dxfId="123" priority="24" operator="containsText" text="Low">
      <formula>NOT(ISERROR(SEARCH("Low",E49)))</formula>
    </cfRule>
    <cfRule type="containsText" dxfId="122" priority="23" operator="containsText" text="Medium">
      <formula>NOT(ISERROR(SEARCH("Medium",E49)))</formula>
    </cfRule>
    <cfRule type="cellIs" dxfId="121" priority="22" operator="equal">
      <formula>"High"</formula>
    </cfRule>
  </conditionalFormatting>
  <conditionalFormatting sqref="E49:E54">
    <cfRule type="cellIs" dxfId="120" priority="11" operator="equal">
      <formula>"No data"</formula>
    </cfRule>
  </conditionalFormatting>
  <conditionalFormatting sqref="E52:E54">
    <cfRule type="containsText" dxfId="119" priority="14" operator="containsText" text="Low">
      <formula>NOT(ISERROR(SEARCH("Low",E52)))</formula>
    </cfRule>
    <cfRule type="containsText" dxfId="118" priority="13" operator="containsText" text="Medium">
      <formula>NOT(ISERROR(SEARCH("Medium",E52)))</formula>
    </cfRule>
    <cfRule type="cellIs" dxfId="117" priority="12" operator="equal">
      <formula>"High"</formula>
    </cfRule>
  </conditionalFormatting>
  <conditionalFormatting sqref="E56:E57">
    <cfRule type="containsText" dxfId="116" priority="10" operator="containsText" text="Low">
      <formula>NOT(ISERROR(SEARCH("Low",E56)))</formula>
    </cfRule>
    <cfRule type="containsText" dxfId="115" priority="9" operator="containsText" text="Medium">
      <formula>NOT(ISERROR(SEARCH("Medium",E56)))</formula>
    </cfRule>
    <cfRule type="cellIs" dxfId="114" priority="8" operator="equal">
      <formula>"High"</formula>
    </cfRule>
  </conditionalFormatting>
  <conditionalFormatting sqref="E56:E59">
    <cfRule type="cellIs" dxfId="113" priority="2" operator="equal">
      <formula>"High"</formula>
    </cfRule>
    <cfRule type="containsText" dxfId="112" priority="3" operator="containsText" text="Medium">
      <formula>NOT(ISERROR(SEARCH("Medium",E56)))</formula>
    </cfRule>
    <cfRule type="containsText" dxfId="111" priority="4" operator="containsText" text="Low">
      <formula>NOT(ISERROR(SEARCH("Low",E56)))</formula>
    </cfRule>
    <cfRule type="cellIs" dxfId="110" priority="1" operator="equal">
      <formula>"No data"</formula>
    </cfRule>
  </conditionalFormatting>
  <conditionalFormatting sqref="E59">
    <cfRule type="containsText" dxfId="109" priority="6" operator="containsText" text="Medium">
      <formula>NOT(ISERROR(SEARCH("Medium",E59)))</formula>
    </cfRule>
    <cfRule type="containsText" dxfId="108" priority="7" operator="containsText" text="Low">
      <formula>NOT(ISERROR(SEARCH("Low",E59)))</formula>
    </cfRule>
    <cfRule type="cellIs" dxfId="107" priority="5" operator="equal">
      <formula>"High"</formula>
    </cfRule>
  </conditionalFormatting>
  <conditionalFormatting sqref="G10">
    <cfRule type="cellIs" dxfId="106" priority="87" operator="equal">
      <formula>"Mid maturity"</formula>
    </cfRule>
    <cfRule type="containsText" dxfId="105" priority="88" operator="containsText" text="High maturity">
      <formula>NOT(ISERROR(SEARCH("High maturity",G10)))</formula>
    </cfRule>
    <cfRule type="cellIs" dxfId="104" priority="89" operator="equal">
      <formula>"Low maturity"</formula>
    </cfRule>
  </conditionalFormatting>
  <dataValidations count="4">
    <dataValidation type="list" allowBlank="1" showInputMessage="1" showErrorMessage="1" sqref="E38:E46 E26:E27 E29:E31 E52:E54 E33:E36 E19:E20 E22 E49 E56:E59" xr:uid="{AA56CEE8-8E42-4834-8452-AC90286185E4}">
      <formula1>"High,Medium,Low, No data"</formula1>
    </dataValidation>
    <dataValidation type="list" allowBlank="1" showInputMessage="1" showErrorMessage="1" sqref="J19:J20 J38:J46 J33:J36 J56:J59 J22:J27 J29:J31 J49:J54" xr:uid="{83F9EA5E-CD0A-47E1-A1CF-D7CDB82E0830}">
      <formula1>"Primary,Secondary, Both"</formula1>
    </dataValidation>
    <dataValidation type="list" allowBlank="1" showInputMessage="1" showErrorMessage="1" sqref="E12" xr:uid="{D15E2762-8204-4500-B582-B3816EE46B44}">
      <formula1>"Tier 1, Tier 2, Tier 3"</formula1>
    </dataValidation>
    <dataValidation type="list" allowBlank="1" showInputMessage="1" showErrorMessage="1" sqref="E23:E25 E50:E51" xr:uid="{350657AB-D657-4890-B99E-6113A8151441}">
      <formula1>"High,Medium,Low"</formula1>
    </dataValidation>
  </dataValidations>
  <pageMargins left="0.7" right="0.7" top="0.75" bottom="0.75" header="0.3" footer="0.3"/>
  <pageSetup scale="17"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947629A-240D-44C1-8EE0-0254F0EFED21}">
          <x14:formula1>
            <xm:f>References!$C$3:$C$221</xm:f>
          </x14:formula1>
          <xm:sqref>E11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F1671-B290-4A97-99FB-7EC9080E628D}">
  <sheetPr>
    <tabColor theme="3"/>
    <pageSetUpPr fitToPage="1"/>
  </sheetPr>
  <dimension ref="B3:K61"/>
  <sheetViews>
    <sheetView topLeftCell="A56" zoomScale="46" zoomScaleNormal="75" workbookViewId="0">
      <selection activeCell="F19" sqref="F19"/>
    </sheetView>
  </sheetViews>
  <sheetFormatPr defaultColWidth="9.23046875" defaultRowHeight="14" x14ac:dyDescent="0.3"/>
  <cols>
    <col min="1" max="1" width="9.23046875" style="1"/>
    <col min="2" max="2" width="6.07421875" style="1" customWidth="1"/>
    <col min="3" max="3" width="4.07421875" style="1" customWidth="1"/>
    <col min="4" max="4" width="68.4609375" style="1" customWidth="1"/>
    <col min="5" max="5" width="25.3046875" style="1" customWidth="1"/>
    <col min="6" max="6" width="31.69140625" style="1" customWidth="1"/>
    <col min="7" max="7" width="57.23046875" style="1" customWidth="1"/>
    <col min="8" max="8" width="23.765625" style="1" customWidth="1"/>
    <col min="9" max="9" width="37.3046875" style="1" customWidth="1"/>
    <col min="10" max="10" width="15.84375" style="1" customWidth="1"/>
    <col min="11" max="16384" width="9.23046875" style="1"/>
  </cols>
  <sheetData>
    <row r="3" spans="2:11" ht="14.5" thickBot="1" x14ac:dyDescent="0.35">
      <c r="B3" s="2"/>
      <c r="C3" s="2"/>
      <c r="D3" s="2"/>
      <c r="E3" s="2"/>
      <c r="F3" s="2"/>
      <c r="G3" s="2"/>
      <c r="H3" s="2"/>
      <c r="I3" s="2"/>
      <c r="J3" s="2"/>
      <c r="K3" s="2"/>
    </row>
    <row r="4" spans="2:11" ht="22.5" x14ac:dyDescent="0.3">
      <c r="B4" s="2"/>
      <c r="C4" s="2"/>
      <c r="D4" s="313" t="s">
        <v>21</v>
      </c>
      <c r="E4" s="314"/>
      <c r="F4" s="2"/>
      <c r="G4" s="2"/>
      <c r="H4" s="2"/>
      <c r="I4" s="2"/>
      <c r="J4" s="2"/>
      <c r="K4" s="2"/>
    </row>
    <row r="5" spans="2:11" x14ac:dyDescent="0.3">
      <c r="B5" s="2"/>
      <c r="C5" s="2"/>
      <c r="D5" s="315" t="s">
        <v>255</v>
      </c>
      <c r="E5" s="316"/>
      <c r="F5" s="2"/>
      <c r="G5" s="2"/>
      <c r="H5" s="2"/>
      <c r="I5" s="2"/>
      <c r="J5" s="2"/>
      <c r="K5" s="2"/>
    </row>
    <row r="6" spans="2:11" ht="62.5" customHeight="1" thickBot="1" x14ac:dyDescent="0.35">
      <c r="B6" s="2"/>
      <c r="C6" s="2"/>
      <c r="D6" s="317"/>
      <c r="E6" s="318"/>
      <c r="F6" s="2"/>
      <c r="G6" s="2"/>
      <c r="H6" s="2"/>
      <c r="I6" s="2"/>
      <c r="J6" s="2"/>
      <c r="K6" s="2"/>
    </row>
    <row r="7" spans="2:11" ht="35.5" customHeight="1" x14ac:dyDescent="0.3">
      <c r="B7" s="2"/>
      <c r="C7" s="2"/>
      <c r="D7" s="70"/>
      <c r="E7" s="70"/>
      <c r="F7" s="2"/>
      <c r="G7" s="2"/>
      <c r="H7" s="2"/>
      <c r="I7" s="2"/>
      <c r="J7" s="2"/>
      <c r="K7" s="2"/>
    </row>
    <row r="8" spans="2:11" ht="14.5" thickBot="1" x14ac:dyDescent="0.35">
      <c r="B8" s="2"/>
      <c r="C8" s="2"/>
      <c r="D8" s="2"/>
      <c r="E8" s="2"/>
      <c r="F8" s="2"/>
      <c r="G8" s="2"/>
      <c r="H8" s="2"/>
      <c r="I8" s="2"/>
      <c r="J8" s="2"/>
      <c r="K8" s="2"/>
    </row>
    <row r="9" spans="2:11" ht="23" thickBot="1" x14ac:dyDescent="0.35">
      <c r="B9" s="2"/>
      <c r="C9" s="2"/>
      <c r="D9" s="8" t="s">
        <v>56</v>
      </c>
      <c r="E9" s="9"/>
      <c r="F9" s="2"/>
      <c r="G9" s="19" t="s">
        <v>57</v>
      </c>
      <c r="H9" s="2"/>
      <c r="I9" s="2"/>
      <c r="J9" s="2"/>
      <c r="K9" s="2"/>
    </row>
    <row r="10" spans="2:11" ht="20.5" thickBot="1" x14ac:dyDescent="0.35">
      <c r="B10" s="2"/>
      <c r="C10" s="2"/>
      <c r="D10" s="12" t="s">
        <v>58</v>
      </c>
      <c r="E10" s="13" t="s">
        <v>286</v>
      </c>
      <c r="F10" s="2"/>
      <c r="G10" s="26" t="e" cm="1" vm="1">
        <f t="array" ref="G10">_xlfn.IFS(G11&lt;Methodology!G30,"Low maturity",G11&lt;Methodology!G29,"Mid maturity",G11&gt;=Methodology!G29,"High maturity")</f>
        <v>#VALUE!</v>
      </c>
      <c r="H10" s="2"/>
      <c r="I10" s="2"/>
      <c r="J10" s="2"/>
      <c r="K10" s="2"/>
    </row>
    <row r="11" spans="2:11" x14ac:dyDescent="0.3">
      <c r="B11" s="2"/>
      <c r="C11" s="2"/>
      <c r="D11" s="6" t="s">
        <v>60</v>
      </c>
      <c r="E11" s="10" t="s">
        <v>287</v>
      </c>
      <c r="F11" s="2"/>
      <c r="G11" s="27" cm="1">
        <f t="array" ref="G11">_xlfn.LET(_xlpm.scores, _xlfn._xlws.FILTER(E19:E105, E19:E105&lt;&gt;""),SUMPRODUCT((_xlpm.scores="High")*Methodology!F15+(_xlpm.scores="Medium")*Methodology!F16+((_xlpm.scores="Low") + (_xlpm.scores="No data"))*Methodology!F17+(_xlpm.scores="Yes")*Methodology!I15+(_xlpm.scores="No")*Methodology!I16))</f>
        <v>60</v>
      </c>
      <c r="H11" s="27"/>
      <c r="I11" s="2"/>
      <c r="J11" s="2"/>
      <c r="K11" s="2"/>
    </row>
    <row r="12" spans="2:11" ht="14.5" thickBot="1" x14ac:dyDescent="0.35">
      <c r="B12" s="2"/>
      <c r="C12" s="2"/>
      <c r="D12" s="7" t="s">
        <v>61</v>
      </c>
      <c r="E12" s="14" t="s">
        <v>258</v>
      </c>
      <c r="F12" s="2"/>
      <c r="G12" s="2"/>
      <c r="H12" s="2"/>
      <c r="I12" s="2"/>
      <c r="J12" s="2"/>
      <c r="K12" s="2"/>
    </row>
    <row r="13" spans="2:11" x14ac:dyDescent="0.3">
      <c r="B13" s="2"/>
      <c r="C13" s="2"/>
      <c r="D13" s="11"/>
      <c r="E13" s="2"/>
      <c r="F13" s="2"/>
      <c r="G13" s="2"/>
      <c r="H13" s="2"/>
      <c r="I13" s="2"/>
      <c r="J13" s="2"/>
      <c r="K13" s="2"/>
    </row>
    <row r="14" spans="2:11" x14ac:dyDescent="0.3">
      <c r="B14" s="2"/>
      <c r="C14" s="2"/>
      <c r="D14" s="11"/>
      <c r="E14" s="2"/>
      <c r="F14" s="2"/>
      <c r="G14" s="2"/>
      <c r="H14" s="2"/>
      <c r="I14" s="2"/>
      <c r="J14" s="2"/>
      <c r="K14" s="2"/>
    </row>
    <row r="15" spans="2:11" ht="14.5" thickBot="1" x14ac:dyDescent="0.35">
      <c r="B15" s="2"/>
      <c r="C15" s="2"/>
      <c r="D15" s="2"/>
      <c r="E15" s="2"/>
      <c r="F15" s="2"/>
      <c r="G15" s="2"/>
      <c r="H15" s="2"/>
      <c r="I15" s="2"/>
      <c r="J15" s="2"/>
      <c r="K15" s="2"/>
    </row>
    <row r="16" spans="2:11" ht="15" x14ac:dyDescent="0.3">
      <c r="B16" s="2"/>
      <c r="C16" s="2"/>
      <c r="D16" s="156" t="s">
        <v>62</v>
      </c>
      <c r="E16" s="238" t="s">
        <v>64</v>
      </c>
      <c r="F16" s="238" t="s">
        <v>65</v>
      </c>
      <c r="G16" s="238" t="s">
        <v>66</v>
      </c>
      <c r="H16" s="238" t="s">
        <v>67</v>
      </c>
      <c r="I16" s="238" t="s">
        <v>68</v>
      </c>
      <c r="J16" s="239" t="s">
        <v>69</v>
      </c>
      <c r="K16" s="2"/>
    </row>
    <row r="17" spans="2:11" ht="15" x14ac:dyDescent="0.3">
      <c r="B17" s="2"/>
      <c r="C17" s="2"/>
      <c r="D17" s="266" t="s">
        <v>72</v>
      </c>
      <c r="E17" s="267"/>
      <c r="F17" s="267"/>
      <c r="G17" s="267"/>
      <c r="H17" s="267"/>
      <c r="I17" s="267"/>
      <c r="J17" s="268"/>
      <c r="K17" s="2"/>
    </row>
    <row r="18" spans="2:11" ht="15" x14ac:dyDescent="0.3">
      <c r="B18" s="2"/>
      <c r="C18" s="186" t="s">
        <v>73</v>
      </c>
      <c r="D18" s="152" t="s">
        <v>74</v>
      </c>
      <c r="E18" s="153"/>
      <c r="F18" s="153"/>
      <c r="G18" s="153"/>
      <c r="H18" s="153"/>
      <c r="I18" s="153"/>
      <c r="J18" s="240"/>
      <c r="K18" s="2"/>
    </row>
    <row r="19" spans="2:11" ht="106" customHeight="1" x14ac:dyDescent="0.3">
      <c r="B19" s="2"/>
      <c r="C19" s="186">
        <v>1.1000000000000001</v>
      </c>
      <c r="D19" s="241" t="s">
        <v>75</v>
      </c>
      <c r="E19" s="101" t="s">
        <v>259</v>
      </c>
      <c r="F19" s="5" t="s">
        <v>260</v>
      </c>
      <c r="G19" s="157" t="s">
        <v>78</v>
      </c>
      <c r="H19" s="157" t="s">
        <v>79</v>
      </c>
      <c r="I19" s="158" t="s">
        <v>80</v>
      </c>
      <c r="J19" s="242" t="s">
        <v>81</v>
      </c>
      <c r="K19" s="2"/>
    </row>
    <row r="20" spans="2:11" ht="97" customHeight="1" x14ac:dyDescent="0.3">
      <c r="B20" s="2"/>
      <c r="C20" s="186">
        <v>1.2</v>
      </c>
      <c r="D20" s="243" t="s">
        <v>83</v>
      </c>
      <c r="E20" s="18" t="s">
        <v>259</v>
      </c>
      <c r="F20" s="5" t="s">
        <v>260</v>
      </c>
      <c r="G20" s="94" t="s">
        <v>86</v>
      </c>
      <c r="H20" s="94" t="s">
        <v>87</v>
      </c>
      <c r="I20" s="95" t="s">
        <v>80</v>
      </c>
      <c r="J20" s="244" t="s">
        <v>81</v>
      </c>
      <c r="K20" s="2"/>
    </row>
    <row r="21" spans="2:11" ht="15" x14ac:dyDescent="0.3">
      <c r="B21" s="2"/>
      <c r="C21" s="186">
        <v>1.3</v>
      </c>
      <c r="D21" s="245" t="s">
        <v>88</v>
      </c>
      <c r="E21" s="153"/>
      <c r="F21" s="153"/>
      <c r="G21" s="153"/>
      <c r="H21" s="153"/>
      <c r="I21" s="153"/>
      <c r="J21" s="240"/>
      <c r="K21" s="2"/>
    </row>
    <row r="22" spans="2:11" ht="82" customHeight="1" x14ac:dyDescent="0.3">
      <c r="B22" s="2"/>
      <c r="C22" s="186">
        <v>1.3</v>
      </c>
      <c r="D22" s="246" t="s">
        <v>89</v>
      </c>
      <c r="E22" s="18" t="s">
        <v>97</v>
      </c>
      <c r="F22" s="21" t="s">
        <v>288</v>
      </c>
      <c r="G22" s="163" t="s">
        <v>91</v>
      </c>
      <c r="H22" s="163" t="s">
        <v>92</v>
      </c>
      <c r="I22" s="157" t="s">
        <v>93</v>
      </c>
      <c r="J22" s="242" t="s">
        <v>94</v>
      </c>
      <c r="K22" s="2"/>
    </row>
    <row r="23" spans="2:11" ht="80.150000000000006" customHeight="1" x14ac:dyDescent="0.3">
      <c r="B23" s="2"/>
      <c r="C23" s="186">
        <v>1.4</v>
      </c>
      <c r="D23" s="247" t="s">
        <v>95</v>
      </c>
      <c r="E23" s="18" t="s">
        <v>259</v>
      </c>
      <c r="F23" s="4" t="s">
        <v>289</v>
      </c>
      <c r="G23" s="93" t="s">
        <v>98</v>
      </c>
      <c r="H23" s="93" t="s">
        <v>99</v>
      </c>
      <c r="I23" s="95" t="s">
        <v>100</v>
      </c>
      <c r="J23" s="244" t="s">
        <v>81</v>
      </c>
      <c r="K23" s="2"/>
    </row>
    <row r="24" spans="2:11" ht="90" customHeight="1" x14ac:dyDescent="0.3">
      <c r="B24" s="2"/>
      <c r="C24" s="186">
        <v>1.5</v>
      </c>
      <c r="D24" s="247" t="s">
        <v>102</v>
      </c>
      <c r="E24" s="18" t="s">
        <v>97</v>
      </c>
      <c r="F24" s="4" t="s">
        <v>290</v>
      </c>
      <c r="G24" s="93" t="s">
        <v>104</v>
      </c>
      <c r="H24" s="93" t="s">
        <v>105</v>
      </c>
      <c r="I24" s="95" t="s">
        <v>106</v>
      </c>
      <c r="J24" s="244" t="s">
        <v>81</v>
      </c>
      <c r="K24" s="2"/>
    </row>
    <row r="25" spans="2:11" ht="99" customHeight="1" x14ac:dyDescent="0.3">
      <c r="B25" s="2"/>
      <c r="C25" s="186">
        <v>1.6</v>
      </c>
      <c r="D25" s="248" t="s">
        <v>108</v>
      </c>
      <c r="E25" s="18" t="s">
        <v>77</v>
      </c>
      <c r="F25" s="3" t="s">
        <v>291</v>
      </c>
      <c r="G25" s="94" t="s">
        <v>110</v>
      </c>
      <c r="H25" s="94" t="s">
        <v>111</v>
      </c>
      <c r="I25" s="95" t="s">
        <v>112</v>
      </c>
      <c r="J25" s="244" t="s">
        <v>81</v>
      </c>
      <c r="K25" s="2"/>
    </row>
    <row r="26" spans="2:11" ht="75" customHeight="1" x14ac:dyDescent="0.3">
      <c r="B26" s="2"/>
      <c r="C26" s="186">
        <v>1.7</v>
      </c>
      <c r="D26" s="247" t="s">
        <v>114</v>
      </c>
      <c r="E26" s="18" t="s">
        <v>77</v>
      </c>
      <c r="F26" s="20" t="s">
        <v>292</v>
      </c>
      <c r="G26" s="93" t="s">
        <v>116</v>
      </c>
      <c r="H26" s="93" t="s">
        <v>117</v>
      </c>
      <c r="I26" s="94" t="s">
        <v>118</v>
      </c>
      <c r="J26" s="244" t="s">
        <v>94</v>
      </c>
      <c r="K26" s="2"/>
    </row>
    <row r="27" spans="2:11" ht="70" customHeight="1" x14ac:dyDescent="0.3">
      <c r="B27" s="2"/>
      <c r="C27" s="186">
        <v>1.8</v>
      </c>
      <c r="D27" s="249" t="s">
        <v>120</v>
      </c>
      <c r="E27" s="18" t="s">
        <v>85</v>
      </c>
      <c r="F27" s="4" t="s">
        <v>293</v>
      </c>
      <c r="G27" s="98" t="s">
        <v>122</v>
      </c>
      <c r="H27" s="93" t="s">
        <v>123</v>
      </c>
      <c r="I27" s="95" t="s">
        <v>124</v>
      </c>
      <c r="J27" s="244" t="s">
        <v>81</v>
      </c>
      <c r="K27" s="2"/>
    </row>
    <row r="28" spans="2:11" ht="15" x14ac:dyDescent="0.3">
      <c r="B28" s="2"/>
      <c r="C28" s="186"/>
      <c r="D28" s="266" t="s">
        <v>126</v>
      </c>
      <c r="E28" s="267"/>
      <c r="F28" s="267"/>
      <c r="G28" s="267"/>
      <c r="H28" s="267"/>
      <c r="I28" s="267"/>
      <c r="J28" s="268"/>
      <c r="K28" s="2"/>
    </row>
    <row r="29" spans="2:11" ht="105.65" customHeight="1" x14ac:dyDescent="0.3">
      <c r="B29" s="2"/>
      <c r="C29" s="186">
        <v>2.1</v>
      </c>
      <c r="D29" s="246" t="s">
        <v>127</v>
      </c>
      <c r="E29" s="18" t="s">
        <v>77</v>
      </c>
      <c r="F29" s="4" t="s">
        <v>294</v>
      </c>
      <c r="G29" s="163" t="s">
        <v>129</v>
      </c>
      <c r="H29" s="163" t="s">
        <v>130</v>
      </c>
      <c r="I29" s="158" t="s">
        <v>131</v>
      </c>
      <c r="J29" s="242" t="s">
        <v>94</v>
      </c>
      <c r="K29" s="2"/>
    </row>
    <row r="30" spans="2:11" ht="57.5" x14ac:dyDescent="0.3">
      <c r="B30" s="2"/>
      <c r="C30" s="186">
        <v>2.2000000000000002</v>
      </c>
      <c r="D30" s="247" t="s">
        <v>134</v>
      </c>
      <c r="E30" s="18" t="s">
        <v>259</v>
      </c>
      <c r="F30" s="4" t="s">
        <v>268</v>
      </c>
      <c r="G30" s="93" t="s">
        <v>136</v>
      </c>
      <c r="H30" s="93" t="s">
        <v>137</v>
      </c>
      <c r="I30" s="94" t="s">
        <v>138</v>
      </c>
      <c r="J30" s="244" t="s">
        <v>81</v>
      </c>
      <c r="K30" s="2"/>
    </row>
    <row r="31" spans="2:11" ht="82.5" customHeight="1" x14ac:dyDescent="0.3">
      <c r="B31" s="2"/>
      <c r="C31" s="186">
        <v>2.4</v>
      </c>
      <c r="D31" s="249" t="s">
        <v>139</v>
      </c>
      <c r="E31" s="18" t="s">
        <v>77</v>
      </c>
      <c r="F31" s="4" t="s">
        <v>295</v>
      </c>
      <c r="G31" s="97" t="s">
        <v>141</v>
      </c>
      <c r="H31" s="97" t="s">
        <v>142</v>
      </c>
      <c r="I31" s="94" t="s">
        <v>138</v>
      </c>
      <c r="J31" s="244" t="s">
        <v>81</v>
      </c>
      <c r="K31" s="2"/>
    </row>
    <row r="32" spans="2:11" ht="15" x14ac:dyDescent="0.3">
      <c r="B32" s="2"/>
      <c r="C32" s="186"/>
      <c r="D32" s="266" t="s">
        <v>143</v>
      </c>
      <c r="E32" s="267"/>
      <c r="F32" s="267"/>
      <c r="G32" s="267"/>
      <c r="H32" s="267"/>
      <c r="I32" s="267"/>
      <c r="J32" s="268"/>
      <c r="K32" s="2"/>
    </row>
    <row r="33" spans="2:11" ht="119.5" customHeight="1" x14ac:dyDescent="0.3">
      <c r="B33" s="2"/>
      <c r="C33" s="186">
        <v>3.1</v>
      </c>
      <c r="D33" s="246" t="s">
        <v>144</v>
      </c>
      <c r="E33" s="18" t="s">
        <v>77</v>
      </c>
      <c r="F33" s="4" t="s">
        <v>296</v>
      </c>
      <c r="G33" s="183" t="s">
        <v>146</v>
      </c>
      <c r="H33" s="183" t="s">
        <v>147</v>
      </c>
      <c r="I33" s="157" t="s">
        <v>138</v>
      </c>
      <c r="J33" s="242" t="s">
        <v>81</v>
      </c>
      <c r="K33" s="2"/>
    </row>
    <row r="34" spans="2:11" ht="94.5" customHeight="1" x14ac:dyDescent="0.3">
      <c r="B34" s="2"/>
      <c r="C34" s="186">
        <v>3.2</v>
      </c>
      <c r="D34" s="247" t="s">
        <v>149</v>
      </c>
      <c r="E34" s="18" t="s">
        <v>85</v>
      </c>
      <c r="F34" s="4" t="s">
        <v>297</v>
      </c>
      <c r="G34" s="93" t="s">
        <v>151</v>
      </c>
      <c r="H34" s="93" t="s">
        <v>152</v>
      </c>
      <c r="I34" s="94" t="s">
        <v>138</v>
      </c>
      <c r="J34" s="244" t="s">
        <v>81</v>
      </c>
      <c r="K34" s="2"/>
    </row>
    <row r="35" spans="2:11" ht="81" thickBot="1" x14ac:dyDescent="0.35">
      <c r="B35" s="2"/>
      <c r="C35" s="186">
        <v>3.3</v>
      </c>
      <c r="D35" s="249" t="s">
        <v>153</v>
      </c>
      <c r="E35" s="18" t="s">
        <v>97</v>
      </c>
      <c r="F35" s="4" t="s">
        <v>298</v>
      </c>
      <c r="G35" s="166" t="s">
        <v>155</v>
      </c>
      <c r="H35" s="97" t="s">
        <v>156</v>
      </c>
      <c r="I35" s="167" t="s">
        <v>157</v>
      </c>
      <c r="J35" s="244" t="s">
        <v>158</v>
      </c>
      <c r="K35" s="2"/>
    </row>
    <row r="36" spans="2:11" ht="69.5" thickBot="1" x14ac:dyDescent="0.35">
      <c r="B36" s="2"/>
      <c r="C36" s="186">
        <v>3.4</v>
      </c>
      <c r="D36" s="252" t="s">
        <v>159</v>
      </c>
      <c r="E36" s="192" t="s">
        <v>259</v>
      </c>
      <c r="F36" s="170" t="s">
        <v>268</v>
      </c>
      <c r="G36" s="170" t="s">
        <v>161</v>
      </c>
      <c r="H36" s="171" t="s">
        <v>274</v>
      </c>
      <c r="I36" s="171" t="s">
        <v>163</v>
      </c>
      <c r="J36" s="253" t="s">
        <v>81</v>
      </c>
      <c r="K36" s="2"/>
    </row>
    <row r="37" spans="2:11" ht="15" x14ac:dyDescent="0.3">
      <c r="B37" s="2"/>
      <c r="C37" s="186"/>
      <c r="D37" s="271" t="s">
        <v>164</v>
      </c>
      <c r="E37" s="273"/>
      <c r="F37" s="273"/>
      <c r="G37" s="273"/>
      <c r="H37" s="273"/>
      <c r="I37" s="273"/>
      <c r="J37" s="275"/>
      <c r="K37" s="2"/>
    </row>
    <row r="38" spans="2:11" ht="109" customHeight="1" x14ac:dyDescent="0.3">
      <c r="B38" s="2"/>
      <c r="C38" s="186">
        <v>4.0999999999999996</v>
      </c>
      <c r="D38" s="246" t="s">
        <v>165</v>
      </c>
      <c r="E38" s="18" t="s">
        <v>259</v>
      </c>
      <c r="F38" s="4" t="s">
        <v>299</v>
      </c>
      <c r="G38" s="183" t="s">
        <v>167</v>
      </c>
      <c r="H38" s="183" t="s">
        <v>168</v>
      </c>
      <c r="I38" s="157" t="s">
        <v>169</v>
      </c>
      <c r="J38" s="242" t="s">
        <v>81</v>
      </c>
      <c r="K38" s="2"/>
    </row>
    <row r="39" spans="2:11" ht="80.5" x14ac:dyDescent="0.3">
      <c r="B39" s="2"/>
      <c r="C39" s="186">
        <v>4.2</v>
      </c>
      <c r="D39" s="247" t="s">
        <v>171</v>
      </c>
      <c r="E39" s="18" t="s">
        <v>77</v>
      </c>
      <c r="F39" s="20" t="s">
        <v>300</v>
      </c>
      <c r="G39" s="93" t="s">
        <v>173</v>
      </c>
      <c r="H39" s="93" t="s">
        <v>174</v>
      </c>
      <c r="I39" s="94" t="s">
        <v>175</v>
      </c>
      <c r="J39" s="244" t="s">
        <v>81</v>
      </c>
      <c r="K39" s="2"/>
    </row>
    <row r="40" spans="2:11" ht="101.15" customHeight="1" x14ac:dyDescent="0.3">
      <c r="B40" s="2"/>
      <c r="C40" s="186">
        <v>4.3</v>
      </c>
      <c r="D40" s="248" t="s">
        <v>176</v>
      </c>
      <c r="E40" s="18" t="s">
        <v>97</v>
      </c>
      <c r="F40" s="4" t="s">
        <v>301</v>
      </c>
      <c r="G40" s="97" t="s">
        <v>178</v>
      </c>
      <c r="H40" s="97" t="s">
        <v>179</v>
      </c>
      <c r="I40" s="94" t="s">
        <v>180</v>
      </c>
      <c r="J40" s="244" t="s">
        <v>81</v>
      </c>
      <c r="K40" s="2"/>
    </row>
    <row r="41" spans="2:11" ht="101.15" customHeight="1" x14ac:dyDescent="0.3">
      <c r="B41" s="2"/>
      <c r="C41" s="186"/>
      <c r="D41" s="243" t="s">
        <v>181</v>
      </c>
      <c r="E41" s="92" t="s">
        <v>259</v>
      </c>
      <c r="F41" s="4" t="s">
        <v>268</v>
      </c>
      <c r="G41" s="97" t="s">
        <v>183</v>
      </c>
      <c r="H41" s="97" t="s">
        <v>184</v>
      </c>
      <c r="I41" s="94" t="s">
        <v>138</v>
      </c>
      <c r="J41" s="244"/>
      <c r="K41" s="2"/>
    </row>
    <row r="42" spans="2:11" ht="99" customHeight="1" thickBot="1" x14ac:dyDescent="0.35">
      <c r="B42" s="2"/>
      <c r="C42" s="186">
        <v>4.4000000000000004</v>
      </c>
      <c r="D42" s="249" t="s">
        <v>185</v>
      </c>
      <c r="E42" s="18" t="s">
        <v>77</v>
      </c>
      <c r="F42" s="4" t="s">
        <v>302</v>
      </c>
      <c r="G42" s="93" t="s">
        <v>187</v>
      </c>
      <c r="H42" s="93" t="s">
        <v>188</v>
      </c>
      <c r="I42" s="95" t="s">
        <v>189</v>
      </c>
      <c r="J42" s="244" t="s">
        <v>81</v>
      </c>
      <c r="K42" s="2"/>
    </row>
    <row r="43" spans="2:11" ht="99" customHeight="1" thickBot="1" x14ac:dyDescent="0.35">
      <c r="B43" s="2"/>
      <c r="C43" s="186">
        <v>4.5</v>
      </c>
      <c r="D43" s="252" t="s">
        <v>190</v>
      </c>
      <c r="E43" s="192" t="s">
        <v>259</v>
      </c>
      <c r="F43" s="170" t="s">
        <v>268</v>
      </c>
      <c r="G43" s="170" t="s">
        <v>192</v>
      </c>
      <c r="H43" s="171" t="s">
        <v>193</v>
      </c>
      <c r="I43" s="171" t="s">
        <v>163</v>
      </c>
      <c r="J43" s="253" t="s">
        <v>81</v>
      </c>
      <c r="K43" s="2"/>
    </row>
    <row r="44" spans="2:11" ht="99" customHeight="1" thickBot="1" x14ac:dyDescent="0.35">
      <c r="B44" s="2"/>
      <c r="C44" s="186">
        <v>4.5999999999999996</v>
      </c>
      <c r="D44" s="252" t="s">
        <v>194</v>
      </c>
      <c r="E44" s="192" t="s">
        <v>259</v>
      </c>
      <c r="F44" s="170" t="s">
        <v>268</v>
      </c>
      <c r="G44" s="170" t="s">
        <v>196</v>
      </c>
      <c r="H44" s="171" t="s">
        <v>197</v>
      </c>
      <c r="I44" s="171" t="s">
        <v>163</v>
      </c>
      <c r="J44" s="253" t="s">
        <v>81</v>
      </c>
      <c r="K44" s="2"/>
    </row>
    <row r="45" spans="2:11" ht="99" customHeight="1" thickBot="1" x14ac:dyDescent="0.35">
      <c r="B45" s="2"/>
      <c r="C45" s="186">
        <v>4.7</v>
      </c>
      <c r="D45" s="252" t="s">
        <v>198</v>
      </c>
      <c r="E45" s="192" t="s">
        <v>259</v>
      </c>
      <c r="F45" s="170" t="s">
        <v>268</v>
      </c>
      <c r="G45" s="170" t="s">
        <v>200</v>
      </c>
      <c r="H45" s="171" t="s">
        <v>201</v>
      </c>
      <c r="I45" s="171" t="s">
        <v>163</v>
      </c>
      <c r="J45" s="253" t="s">
        <v>81</v>
      </c>
      <c r="K45" s="2"/>
    </row>
    <row r="46" spans="2:11" ht="99" customHeight="1" thickBot="1" x14ac:dyDescent="0.35">
      <c r="B46" s="2"/>
      <c r="C46" s="186">
        <v>4.8</v>
      </c>
      <c r="D46" s="252" t="s">
        <v>202</v>
      </c>
      <c r="E46" s="192" t="s">
        <v>259</v>
      </c>
      <c r="F46" s="170" t="s">
        <v>268</v>
      </c>
      <c r="G46" s="170" t="s">
        <v>205</v>
      </c>
      <c r="H46" s="171" t="s">
        <v>206</v>
      </c>
      <c r="I46" s="171" t="s">
        <v>163</v>
      </c>
      <c r="J46" s="253" t="s">
        <v>81</v>
      </c>
      <c r="K46" s="2"/>
    </row>
    <row r="47" spans="2:11" ht="15" x14ac:dyDescent="0.3">
      <c r="B47" s="2"/>
      <c r="C47" s="186"/>
      <c r="D47" s="271" t="s">
        <v>207</v>
      </c>
      <c r="E47" s="273"/>
      <c r="F47" s="273"/>
      <c r="G47" s="273"/>
      <c r="H47" s="273"/>
      <c r="I47" s="273"/>
      <c r="J47" s="275"/>
      <c r="K47" s="2"/>
    </row>
    <row r="48" spans="2:11" ht="15" x14ac:dyDescent="0.3">
      <c r="B48" s="2"/>
      <c r="C48" s="186"/>
      <c r="D48" s="154" t="s">
        <v>208</v>
      </c>
      <c r="E48" s="155"/>
      <c r="F48" s="155"/>
      <c r="G48" s="155"/>
      <c r="H48" s="155"/>
      <c r="I48" s="155"/>
      <c r="J48" s="254"/>
      <c r="K48" s="2"/>
    </row>
    <row r="49" spans="2:11" ht="133.5" customHeight="1" x14ac:dyDescent="0.3">
      <c r="B49" s="2"/>
      <c r="C49" s="186">
        <v>5.0999999999999996</v>
      </c>
      <c r="D49" s="246" t="s">
        <v>209</v>
      </c>
      <c r="E49" s="18" t="s">
        <v>77</v>
      </c>
      <c r="F49" s="4" t="s">
        <v>303</v>
      </c>
      <c r="G49" s="163" t="s">
        <v>211</v>
      </c>
      <c r="H49" s="163" t="s">
        <v>212</v>
      </c>
      <c r="I49" s="157" t="s">
        <v>213</v>
      </c>
      <c r="J49" s="242" t="s">
        <v>94</v>
      </c>
      <c r="K49" s="2"/>
    </row>
    <row r="50" spans="2:11" ht="133.5" customHeight="1" x14ac:dyDescent="0.3">
      <c r="B50" s="2"/>
      <c r="C50" s="186"/>
      <c r="D50" s="249" t="s">
        <v>215</v>
      </c>
      <c r="E50" s="100" t="s">
        <v>97</v>
      </c>
      <c r="F50" s="4" t="s">
        <v>304</v>
      </c>
      <c r="G50" s="93" t="s">
        <v>217</v>
      </c>
      <c r="H50" s="93" t="s">
        <v>218</v>
      </c>
      <c r="I50" s="94" t="s">
        <v>213</v>
      </c>
      <c r="J50" s="244" t="s">
        <v>94</v>
      </c>
      <c r="K50" s="2"/>
    </row>
    <row r="51" spans="2:11" ht="104.15" customHeight="1" thickBot="1" x14ac:dyDescent="0.35">
      <c r="B51" s="2"/>
      <c r="C51" s="186">
        <v>5.2</v>
      </c>
      <c r="D51" s="249" t="s">
        <v>219</v>
      </c>
      <c r="E51" s="18" t="s">
        <v>77</v>
      </c>
      <c r="F51" s="4" t="s">
        <v>305</v>
      </c>
      <c r="G51" s="93" t="s">
        <v>221</v>
      </c>
      <c r="H51" s="93" t="s">
        <v>222</v>
      </c>
      <c r="I51" s="94" t="s">
        <v>213</v>
      </c>
      <c r="J51" s="244" t="s">
        <v>94</v>
      </c>
      <c r="K51" s="2"/>
    </row>
    <row r="52" spans="2:11" ht="104.15" customHeight="1" thickBot="1" x14ac:dyDescent="0.35">
      <c r="B52" s="2"/>
      <c r="C52" s="186"/>
      <c r="D52" s="252" t="s">
        <v>223</v>
      </c>
      <c r="E52" s="192" t="s">
        <v>259</v>
      </c>
      <c r="F52" s="170" t="s">
        <v>268</v>
      </c>
      <c r="G52" s="170" t="s">
        <v>225</v>
      </c>
      <c r="H52" s="171" t="s">
        <v>226</v>
      </c>
      <c r="I52" s="171" t="s">
        <v>163</v>
      </c>
      <c r="J52" s="253" t="s">
        <v>81</v>
      </c>
      <c r="K52" s="2"/>
    </row>
    <row r="53" spans="2:11" ht="104.15" customHeight="1" thickBot="1" x14ac:dyDescent="0.35">
      <c r="B53" s="2"/>
      <c r="C53" s="186">
        <v>5.3</v>
      </c>
      <c r="D53" s="252" t="s">
        <v>227</v>
      </c>
      <c r="E53" s="192" t="s">
        <v>259</v>
      </c>
      <c r="F53" s="170" t="s">
        <v>268</v>
      </c>
      <c r="G53" s="170" t="s">
        <v>229</v>
      </c>
      <c r="H53" s="171" t="s">
        <v>230</v>
      </c>
      <c r="I53" s="171" t="s">
        <v>163</v>
      </c>
      <c r="J53" s="253" t="s">
        <v>81</v>
      </c>
      <c r="K53" s="2"/>
    </row>
    <row r="54" spans="2:11" ht="104.15" customHeight="1" thickBot="1" x14ac:dyDescent="0.35">
      <c r="B54" s="2"/>
      <c r="C54" s="186">
        <v>5.4</v>
      </c>
      <c r="D54" s="250" t="s">
        <v>231</v>
      </c>
      <c r="E54" s="192" t="s">
        <v>259</v>
      </c>
      <c r="F54" s="170" t="s">
        <v>268</v>
      </c>
      <c r="G54" s="230" t="s">
        <v>233</v>
      </c>
      <c r="H54" s="231" t="s">
        <v>234</v>
      </c>
      <c r="I54" s="231" t="s">
        <v>163</v>
      </c>
      <c r="J54" s="251" t="s">
        <v>81</v>
      </c>
      <c r="K54" s="2"/>
    </row>
    <row r="55" spans="2:11" ht="25.5" customHeight="1" x14ac:dyDescent="0.3">
      <c r="B55" s="2"/>
      <c r="C55" s="186"/>
      <c r="D55" s="154" t="s">
        <v>18</v>
      </c>
      <c r="E55" s="155"/>
      <c r="F55" s="155"/>
      <c r="G55" s="155"/>
      <c r="H55" s="155"/>
      <c r="I55" s="155"/>
      <c r="J55" s="254"/>
      <c r="K55" s="2"/>
    </row>
    <row r="56" spans="2:11" ht="80.150000000000006" customHeight="1" x14ac:dyDescent="0.3">
      <c r="B56" s="2"/>
      <c r="C56" s="186">
        <v>5.6</v>
      </c>
      <c r="D56" s="246" t="s">
        <v>235</v>
      </c>
      <c r="E56" s="18" t="s">
        <v>259</v>
      </c>
      <c r="F56" s="4" t="s">
        <v>268</v>
      </c>
      <c r="G56" s="163" t="s">
        <v>237</v>
      </c>
      <c r="H56" s="163" t="s">
        <v>238</v>
      </c>
      <c r="I56" s="157" t="s">
        <v>239</v>
      </c>
      <c r="J56" s="242" t="s">
        <v>81</v>
      </c>
      <c r="K56" s="2"/>
    </row>
    <row r="57" spans="2:11" ht="63.65" customHeight="1" x14ac:dyDescent="0.3">
      <c r="B57" s="2"/>
      <c r="C57" s="186">
        <v>5.7</v>
      </c>
      <c r="D57" s="247" t="s">
        <v>241</v>
      </c>
      <c r="E57" s="18" t="s">
        <v>259</v>
      </c>
      <c r="F57" s="4" t="s">
        <v>268</v>
      </c>
      <c r="G57" s="93" t="s">
        <v>243</v>
      </c>
      <c r="H57" s="93" t="s">
        <v>244</v>
      </c>
      <c r="I57" s="94" t="s">
        <v>169</v>
      </c>
      <c r="J57" s="244" t="s">
        <v>81</v>
      </c>
      <c r="K57" s="2"/>
    </row>
    <row r="58" spans="2:11" ht="101.15" customHeight="1" x14ac:dyDescent="0.3">
      <c r="B58" s="2"/>
      <c r="C58" s="186">
        <v>5.8</v>
      </c>
      <c r="D58" s="248" t="s">
        <v>246</v>
      </c>
      <c r="E58" s="100" t="s">
        <v>259</v>
      </c>
      <c r="F58" s="166" t="s">
        <v>268</v>
      </c>
      <c r="G58" s="93" t="s">
        <v>248</v>
      </c>
      <c r="H58" s="93" t="s">
        <v>249</v>
      </c>
      <c r="I58" s="94" t="s">
        <v>138</v>
      </c>
      <c r="J58" s="244" t="s">
        <v>81</v>
      </c>
      <c r="K58" s="2"/>
    </row>
    <row r="59" spans="2:11" ht="83.15" customHeight="1" thickBot="1" x14ac:dyDescent="0.35">
      <c r="B59" s="2"/>
      <c r="C59" s="186">
        <v>5.9</v>
      </c>
      <c r="D59" s="255" t="s">
        <v>250</v>
      </c>
      <c r="E59" s="263" t="s">
        <v>259</v>
      </c>
      <c r="F59" s="264" t="s">
        <v>268</v>
      </c>
      <c r="G59" s="258" t="s">
        <v>252</v>
      </c>
      <c r="H59" s="258" t="s">
        <v>253</v>
      </c>
      <c r="I59" s="259" t="s">
        <v>254</v>
      </c>
      <c r="J59" s="260" t="s">
        <v>81</v>
      </c>
      <c r="K59" s="2"/>
    </row>
    <row r="60" spans="2:11" x14ac:dyDescent="0.3">
      <c r="B60" s="2"/>
      <c r="C60" s="2"/>
      <c r="D60" s="2"/>
      <c r="E60" s="2"/>
      <c r="F60" s="2"/>
      <c r="G60" s="2"/>
      <c r="H60" s="2"/>
      <c r="I60" s="2"/>
      <c r="J60" s="2"/>
      <c r="K60" s="2"/>
    </row>
    <row r="61" spans="2:11" x14ac:dyDescent="0.3">
      <c r="B61" s="2"/>
      <c r="C61" s="2"/>
      <c r="D61" s="2"/>
      <c r="E61" s="2"/>
      <c r="F61" s="2"/>
      <c r="G61" s="2"/>
      <c r="H61" s="2"/>
      <c r="I61" s="2"/>
      <c r="J61" s="2"/>
      <c r="K61" s="2"/>
    </row>
  </sheetData>
  <mergeCells count="2">
    <mergeCell ref="D4:E4"/>
    <mergeCell ref="D5:E6"/>
  </mergeCells>
  <conditionalFormatting sqref="E19:E20">
    <cfRule type="containsText" dxfId="103" priority="49" operator="containsText" text="Low">
      <formula>NOT(ISERROR(SEARCH("Low",E19)))</formula>
    </cfRule>
    <cfRule type="containsText" dxfId="102" priority="48" operator="containsText" text="Medium">
      <formula>NOT(ISERROR(SEARCH("Medium",E19)))</formula>
    </cfRule>
    <cfRule type="containsText" dxfId="101" priority="46" operator="containsText" text="No data">
      <formula>NOT(ISERROR(SEARCH("No data",E19)))</formula>
    </cfRule>
    <cfRule type="cellIs" dxfId="100" priority="47" operator="equal">
      <formula>"High"</formula>
    </cfRule>
  </conditionalFormatting>
  <conditionalFormatting sqref="E22:E27">
    <cfRule type="containsText" dxfId="99" priority="42" operator="containsText" text="No data">
      <formula>NOT(ISERROR(SEARCH("No data",E22)))</formula>
    </cfRule>
    <cfRule type="containsText" dxfId="98" priority="45" operator="containsText" text="Low">
      <formula>NOT(ISERROR(SEARCH("Low",E22)))</formula>
    </cfRule>
    <cfRule type="containsText" dxfId="97" priority="44" operator="containsText" text="Medium">
      <formula>NOT(ISERROR(SEARCH("Medium",E22)))</formula>
    </cfRule>
    <cfRule type="cellIs" dxfId="96" priority="43" operator="equal">
      <formula>"High"</formula>
    </cfRule>
  </conditionalFormatting>
  <conditionalFormatting sqref="E29:E31">
    <cfRule type="containsText" dxfId="95" priority="37" operator="containsText" text="Low">
      <formula>NOT(ISERROR(SEARCH("Low",E29)))</formula>
    </cfRule>
    <cfRule type="containsText" dxfId="94" priority="36" operator="containsText" text="Medium">
      <formula>NOT(ISERROR(SEARCH("Medium",E29)))</formula>
    </cfRule>
    <cfRule type="cellIs" dxfId="93" priority="35" operator="equal">
      <formula>"High"</formula>
    </cfRule>
    <cfRule type="cellIs" dxfId="92" priority="34" operator="equal">
      <formula>"No data"</formula>
    </cfRule>
  </conditionalFormatting>
  <conditionalFormatting sqref="E33:E36">
    <cfRule type="containsText" dxfId="91" priority="32" operator="containsText" text="Medium">
      <formula>NOT(ISERROR(SEARCH("Medium",E33)))</formula>
    </cfRule>
    <cfRule type="containsText" dxfId="90" priority="33" operator="containsText" text="Low">
      <formula>NOT(ISERROR(SEARCH("Low",E33)))</formula>
    </cfRule>
    <cfRule type="cellIs" dxfId="89" priority="31" operator="equal">
      <formula>"High"</formula>
    </cfRule>
    <cfRule type="cellIs" dxfId="88" priority="30" operator="equal">
      <formula>"No data"</formula>
    </cfRule>
  </conditionalFormatting>
  <conditionalFormatting sqref="E38:E46">
    <cfRule type="cellIs" dxfId="87" priority="22" operator="equal">
      <formula>"No data"</formula>
    </cfRule>
    <cfRule type="cellIs" dxfId="86" priority="23" operator="equal">
      <formula>"High"</formula>
    </cfRule>
    <cfRule type="containsText" dxfId="85" priority="24" operator="containsText" text="Medium">
      <formula>NOT(ISERROR(SEARCH("Medium",E38)))</formula>
    </cfRule>
    <cfRule type="containsText" dxfId="84" priority="25" operator="containsText" text="Low">
      <formula>NOT(ISERROR(SEARCH("Low",E38)))</formula>
    </cfRule>
  </conditionalFormatting>
  <conditionalFormatting sqref="E49">
    <cfRule type="containsText" dxfId="83" priority="18" operator="containsText" text="Low">
      <formula>NOT(ISERROR(SEARCH("Low",E49)))</formula>
    </cfRule>
    <cfRule type="containsText" dxfId="82" priority="17" operator="containsText" text="Medium">
      <formula>NOT(ISERROR(SEARCH("Medium",E49)))</formula>
    </cfRule>
    <cfRule type="cellIs" dxfId="81" priority="16" operator="equal">
      <formula>"High"</formula>
    </cfRule>
  </conditionalFormatting>
  <conditionalFormatting sqref="E49:E50">
    <cfRule type="containsText" dxfId="80" priority="21" operator="containsText" text="Low">
      <formula>NOT(ISERROR(SEARCH("Low",E49)))</formula>
    </cfRule>
    <cfRule type="containsText" dxfId="79" priority="20" operator="containsText" text="Medium">
      <formula>NOT(ISERROR(SEARCH("Medium",E49)))</formula>
    </cfRule>
    <cfRule type="cellIs" dxfId="78" priority="19" operator="equal">
      <formula>"High"</formula>
    </cfRule>
  </conditionalFormatting>
  <conditionalFormatting sqref="E49:E54">
    <cfRule type="cellIs" dxfId="77" priority="1" operator="equal">
      <formula>"No data"</formula>
    </cfRule>
  </conditionalFormatting>
  <conditionalFormatting sqref="E51:E54">
    <cfRule type="cellIs" dxfId="76" priority="2" operator="equal">
      <formula>"High"</formula>
    </cfRule>
    <cfRule type="containsText" dxfId="75" priority="3" operator="containsText" text="Medium">
      <formula>NOT(ISERROR(SEARCH("Medium",E51)))</formula>
    </cfRule>
    <cfRule type="containsText" dxfId="74" priority="4" operator="containsText" text="Low">
      <formula>NOT(ISERROR(SEARCH("Low",E51)))</formula>
    </cfRule>
  </conditionalFormatting>
  <conditionalFormatting sqref="E56:E57">
    <cfRule type="containsText" dxfId="73" priority="14" operator="containsText" text="Low">
      <formula>NOT(ISERROR(SEARCH("Low",E56)))</formula>
    </cfRule>
    <cfRule type="containsText" dxfId="72" priority="13" operator="containsText" text="Medium">
      <formula>NOT(ISERROR(SEARCH("Medium",E56)))</formula>
    </cfRule>
    <cfRule type="cellIs" dxfId="71" priority="12" operator="equal">
      <formula>"High"</formula>
    </cfRule>
  </conditionalFormatting>
  <conditionalFormatting sqref="E56:E59">
    <cfRule type="containsText" dxfId="70" priority="8" operator="containsText" text="Low">
      <formula>NOT(ISERROR(SEARCH("Low",E56)))</formula>
    </cfRule>
    <cfRule type="cellIs" dxfId="69" priority="6" operator="equal">
      <formula>"High"</formula>
    </cfRule>
    <cfRule type="containsText" dxfId="68" priority="7" operator="containsText" text="Medium">
      <formula>NOT(ISERROR(SEARCH("Medium",E56)))</formula>
    </cfRule>
    <cfRule type="cellIs" dxfId="67" priority="5" operator="equal">
      <formula>"No data"</formula>
    </cfRule>
  </conditionalFormatting>
  <conditionalFormatting sqref="E59">
    <cfRule type="containsText" dxfId="66" priority="11" operator="containsText" text="Low">
      <formula>NOT(ISERROR(SEARCH("Low",E59)))</formula>
    </cfRule>
    <cfRule type="containsText" dxfId="65" priority="10" operator="containsText" text="Medium">
      <formula>NOT(ISERROR(SEARCH("Medium",E59)))</formula>
    </cfRule>
    <cfRule type="cellIs" dxfId="64" priority="9" operator="equal">
      <formula>"High"</formula>
    </cfRule>
  </conditionalFormatting>
  <conditionalFormatting sqref="G10">
    <cfRule type="cellIs" dxfId="63" priority="100" operator="equal">
      <formula>"Mid maturity"</formula>
    </cfRule>
    <cfRule type="containsText" dxfId="62" priority="101" operator="containsText" text="High maturity">
      <formula>NOT(ISERROR(SEARCH("High maturity",G10)))</formula>
    </cfRule>
    <cfRule type="cellIs" dxfId="61" priority="102" operator="equal">
      <formula>"Low maturity"</formula>
    </cfRule>
  </conditionalFormatting>
  <dataValidations count="4">
    <dataValidation type="list" allowBlank="1" showInputMessage="1" showErrorMessage="1" sqref="E22 E24 E50" xr:uid="{32AD3071-ABDC-4A4B-8670-BF2EC55BC6E9}">
      <formula1>"High,Medium,Low"</formula1>
    </dataValidation>
    <dataValidation type="list" allowBlank="1" showInputMessage="1" showErrorMessage="1" sqref="E12" xr:uid="{898ED463-823B-4230-987B-69386E4136F6}">
      <formula1>"Tier 1, Tier 2, Tier 3"</formula1>
    </dataValidation>
    <dataValidation type="list" allowBlank="1" showInputMessage="1" showErrorMessage="1" sqref="J19:J20 J38:J46 J33:J36 J56:J59 J22:J27 J29:J31 J49:J54" xr:uid="{7F0D4FCD-7E04-4DD4-BBBC-F6B2ACD10E09}">
      <formula1>"Primary,Secondary, Both"</formula1>
    </dataValidation>
    <dataValidation type="list" allowBlank="1" showInputMessage="1" showErrorMessage="1" sqref="E33:E36 E38:E46 E25:E27 E51:E54 E29:E31 E49 E19:E20 E23 E56:E59" xr:uid="{E684C7B2-D25A-4EB0-A68A-CFFE194D5C2C}">
      <formula1>"High,Medium,Low, No data"</formula1>
    </dataValidation>
  </dataValidations>
  <hyperlinks>
    <hyperlink ref="F22" r:id="rId1" display="Fincandina has no published specific SME targets or segment-specific indicators. Its published reports do not prioritize SME portfolios or targets" xr:uid="{0C5EF694-F884-4C5A-9BA6-938ECDF7E9D9}"/>
    <hyperlink ref="F26" r:id="rId2" location=":~:text=%E2%9C%94%20Administraci%C3%B3n%20de%20los%20fondos,un%20plazo%20de%20seis%20meses" display="Finandina has set measurable impact goals for relevant development areas, such as green trasnportation. However, green projects are not tailored to SME needs and don't have time-bound KPIs but more generalized goals" xr:uid="{1F59784E-D422-4631-875A-ED7F66B1F38F}"/>
    <hyperlink ref="F39" r:id="rId3" location=":~:text=%E2%9C%94%20Administraci%C3%B3n%20de%20los%20fondos,un%20plazo%20de%20seis%20meses" display="Finandina’s broadly identifies SME segments, such as women-led enterprises and SMEs located in vulnerable locations. The bank also recognizes the key segments in which SMEs operate (E.g., services, commerce, and retail). However, there is no evidence that products and services are tailored according to these segments" xr:uid="{C3CC90CA-E69D-4517-ADD4-8D30110505EC}"/>
  </hyperlinks>
  <pageMargins left="0.7" right="0.7" top="0.75" bottom="0.75" header="0.3" footer="0.3"/>
  <pageSetup scale="17" orientation="portrait" r:id="rId4"/>
  <extLst>
    <ext xmlns:x14="http://schemas.microsoft.com/office/spreadsheetml/2009/9/main" uri="{CCE6A557-97BC-4b89-ADB6-D9C93CAAB3DF}">
      <x14:dataValidations xmlns:xm="http://schemas.microsoft.com/office/excel/2006/main" count="1">
        <x14:dataValidation type="list" allowBlank="1" showInputMessage="1" showErrorMessage="1" xr:uid="{F199EC13-27A4-496E-A906-64CDDF0280F6}">
          <x14:formula1>
            <xm:f>References!$C$3:$C$221</xm:f>
          </x14:formula1>
          <xm:sqref>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6CBA-7E30-46DA-810A-92C9343DDDA0}">
  <sheetPr>
    <tabColor theme="2" tint="-9.9978637043366805E-2"/>
    <pageSetUpPr fitToPage="1"/>
  </sheetPr>
  <dimension ref="C1:P81"/>
  <sheetViews>
    <sheetView topLeftCell="A60" zoomScale="53" zoomScaleNormal="106" workbookViewId="0"/>
  </sheetViews>
  <sheetFormatPr defaultColWidth="9.23046875" defaultRowHeight="12.5" x14ac:dyDescent="0.25"/>
  <cols>
    <col min="1" max="1" width="12.4609375" style="63" customWidth="1"/>
    <col min="2" max="3" width="6" style="63" customWidth="1"/>
    <col min="4" max="4" width="6.07421875" style="69" customWidth="1"/>
    <col min="5" max="5" width="29.07421875" style="63" customWidth="1"/>
    <col min="6" max="6" width="31.3046875" style="63" customWidth="1"/>
    <col min="7" max="7" width="24.84375" style="63" customWidth="1"/>
    <col min="8" max="8" width="28.07421875" style="136" customWidth="1"/>
    <col min="9" max="9" width="22.23046875" style="63" customWidth="1"/>
    <col min="10" max="10" width="26.07421875" style="63" customWidth="1"/>
    <col min="11" max="11" width="12.23046875" style="63" customWidth="1"/>
    <col min="12" max="12" width="38.07421875" style="63" hidden="1" customWidth="1"/>
    <col min="13" max="13" width="33.3046875" style="142" customWidth="1"/>
    <col min="14" max="16384" width="9.23046875" style="63"/>
  </cols>
  <sheetData>
    <row r="1" spans="3:11" x14ac:dyDescent="0.3">
      <c r="D1" s="63"/>
      <c r="H1" s="63"/>
    </row>
    <row r="2" spans="3:11" x14ac:dyDescent="0.3">
      <c r="D2" s="63"/>
      <c r="H2" s="63"/>
    </row>
    <row r="3" spans="3:11" ht="13" thickBot="1" x14ac:dyDescent="0.35">
      <c r="C3" s="51"/>
      <c r="D3" s="51"/>
      <c r="E3" s="51"/>
      <c r="F3" s="51"/>
      <c r="G3" s="51"/>
      <c r="H3" s="51"/>
      <c r="I3" s="51"/>
      <c r="J3" s="51"/>
      <c r="K3" s="51"/>
    </row>
    <row r="4" spans="3:11" ht="23" thickBot="1" x14ac:dyDescent="0.35">
      <c r="C4" s="51"/>
      <c r="D4" s="51"/>
      <c r="E4" s="320" t="s">
        <v>27</v>
      </c>
      <c r="F4" s="320"/>
      <c r="G4" s="320"/>
      <c r="H4" s="321"/>
      <c r="I4" s="51"/>
      <c r="J4" s="51"/>
      <c r="K4" s="51"/>
    </row>
    <row r="5" spans="3:11" ht="18" customHeight="1" thickBot="1" x14ac:dyDescent="0.35">
      <c r="C5" s="51"/>
      <c r="D5" s="51"/>
      <c r="E5" s="322" t="s">
        <v>306</v>
      </c>
      <c r="F5" s="322"/>
      <c r="G5" s="322"/>
      <c r="H5" s="323"/>
      <c r="I5" s="51"/>
      <c r="J5" s="51"/>
      <c r="K5" s="51"/>
    </row>
    <row r="6" spans="3:11" ht="18.649999999999999" customHeight="1" thickBot="1" x14ac:dyDescent="0.35">
      <c r="C6" s="51"/>
      <c r="D6" s="51"/>
      <c r="E6" s="322"/>
      <c r="F6" s="322"/>
      <c r="G6" s="322"/>
      <c r="H6" s="323"/>
      <c r="I6" s="51"/>
      <c r="J6" s="51"/>
      <c r="K6" s="51"/>
    </row>
    <row r="7" spans="3:11" ht="22" customHeight="1" thickBot="1" x14ac:dyDescent="0.35">
      <c r="C7" s="51"/>
      <c r="D7" s="51"/>
      <c r="E7" s="322"/>
      <c r="F7" s="322"/>
      <c r="G7" s="322"/>
      <c r="H7" s="323"/>
      <c r="I7" s="51"/>
      <c r="J7" s="51"/>
      <c r="K7" s="51"/>
    </row>
    <row r="8" spans="3:11" ht="83.5" customHeight="1" thickBot="1" x14ac:dyDescent="0.35">
      <c r="C8" s="51"/>
      <c r="D8" s="51"/>
      <c r="E8" s="324"/>
      <c r="F8" s="324"/>
      <c r="G8" s="324"/>
      <c r="H8" s="325"/>
      <c r="I8" s="51"/>
      <c r="J8" s="51"/>
      <c r="K8" s="51"/>
    </row>
    <row r="9" spans="3:11" ht="27" customHeight="1" x14ac:dyDescent="0.3">
      <c r="C9" s="51"/>
      <c r="D9" s="51"/>
      <c r="E9" s="70"/>
      <c r="F9" s="70"/>
      <c r="G9" s="70"/>
      <c r="H9" s="70"/>
      <c r="I9" s="51"/>
      <c r="J9" s="51"/>
      <c r="K9" s="51"/>
    </row>
    <row r="10" spans="3:11" ht="20.149999999999999" customHeight="1" x14ac:dyDescent="0.3">
      <c r="C10" s="51"/>
      <c r="D10" s="51"/>
      <c r="E10" s="126" t="s">
        <v>307</v>
      </c>
      <c r="F10" s="125"/>
      <c r="G10" s="125"/>
      <c r="H10" s="125"/>
      <c r="I10" s="51"/>
      <c r="J10" s="51"/>
      <c r="K10" s="51"/>
    </row>
    <row r="11" spans="3:11" x14ac:dyDescent="0.3">
      <c r="C11" s="51"/>
      <c r="D11" s="51"/>
      <c r="E11" s="51"/>
      <c r="F11" s="51"/>
      <c r="G11" s="51"/>
      <c r="H11" s="51"/>
      <c r="I11" s="51"/>
      <c r="J11" s="51"/>
      <c r="K11" s="51"/>
    </row>
    <row r="12" spans="3:11" ht="20" x14ac:dyDescent="0.3">
      <c r="C12" s="51"/>
      <c r="D12" s="51"/>
      <c r="E12" s="124" t="s">
        <v>308</v>
      </c>
      <c r="F12" s="51"/>
      <c r="G12" s="51"/>
      <c r="H12" s="51"/>
      <c r="I12" s="51"/>
      <c r="J12" s="51"/>
      <c r="K12" s="51"/>
    </row>
    <row r="13" spans="3:11" x14ac:dyDescent="0.3">
      <c r="C13" s="51"/>
      <c r="D13" s="51"/>
      <c r="E13" s="51"/>
      <c r="F13" s="51"/>
      <c r="G13" s="51"/>
      <c r="H13" s="51"/>
      <c r="I13" s="51"/>
      <c r="J13" s="51"/>
      <c r="K13" s="51"/>
    </row>
    <row r="14" spans="3:11" x14ac:dyDescent="0.3">
      <c r="C14" s="51"/>
      <c r="D14" s="51"/>
      <c r="E14" s="22" t="s">
        <v>309</v>
      </c>
      <c r="F14" s="22" t="s">
        <v>310</v>
      </c>
      <c r="G14" s="51"/>
      <c r="H14" s="22" t="s">
        <v>309</v>
      </c>
      <c r="I14" s="22" t="s">
        <v>310</v>
      </c>
      <c r="J14" s="51"/>
      <c r="K14" s="51"/>
    </row>
    <row r="15" spans="3:11" x14ac:dyDescent="0.3">
      <c r="C15" s="51"/>
      <c r="D15" s="51"/>
      <c r="E15" s="23" t="s">
        <v>85</v>
      </c>
      <c r="F15" s="23">
        <v>5</v>
      </c>
      <c r="G15" s="51"/>
      <c r="H15" s="23" t="s">
        <v>204</v>
      </c>
      <c r="I15" s="23">
        <v>5</v>
      </c>
      <c r="J15" s="51"/>
      <c r="K15" s="51"/>
    </row>
    <row r="16" spans="3:11" x14ac:dyDescent="0.3">
      <c r="C16" s="51"/>
      <c r="D16" s="51"/>
      <c r="E16" s="23" t="s">
        <v>77</v>
      </c>
      <c r="F16" s="23">
        <v>3</v>
      </c>
      <c r="G16" s="51"/>
      <c r="H16" s="23" t="s">
        <v>311</v>
      </c>
      <c r="I16" s="23">
        <v>0</v>
      </c>
      <c r="J16" s="51"/>
      <c r="K16" s="51"/>
    </row>
    <row r="17" spans="3:11" x14ac:dyDescent="0.3">
      <c r="C17" s="51"/>
      <c r="D17" s="51"/>
      <c r="E17" s="23" t="s">
        <v>97</v>
      </c>
      <c r="F17" s="23">
        <v>1</v>
      </c>
      <c r="G17" s="51"/>
      <c r="H17" s="23" t="s">
        <v>259</v>
      </c>
      <c r="I17" s="23">
        <v>1</v>
      </c>
      <c r="J17" s="51"/>
      <c r="K17" s="51"/>
    </row>
    <row r="18" spans="3:11" ht="15.65" customHeight="1" x14ac:dyDescent="0.3">
      <c r="C18" s="51"/>
      <c r="D18" s="51"/>
      <c r="E18" s="51"/>
      <c r="F18" s="51"/>
      <c r="G18" s="319"/>
      <c r="H18" s="319"/>
      <c r="I18" s="51"/>
      <c r="J18" s="51"/>
      <c r="K18" s="51"/>
    </row>
    <row r="19" spans="3:11" x14ac:dyDescent="0.3">
      <c r="C19" s="51"/>
      <c r="D19" s="51"/>
      <c r="E19" s="22" t="s">
        <v>312</v>
      </c>
      <c r="F19" s="22" t="s">
        <v>313</v>
      </c>
      <c r="G19" s="22" t="s">
        <v>97</v>
      </c>
      <c r="H19" s="22" t="s">
        <v>77</v>
      </c>
      <c r="I19" s="22" t="s">
        <v>85</v>
      </c>
      <c r="J19" s="51"/>
      <c r="K19" s="51"/>
    </row>
    <row r="20" spans="3:11" x14ac:dyDescent="0.3">
      <c r="C20" s="51"/>
      <c r="D20" s="51"/>
      <c r="E20" s="24" t="str">
        <f>'Bank diagnostic'!D17</f>
        <v>1. Strategy</v>
      </c>
      <c r="F20" s="23" t="e" cm="1" vm="2">
        <f t="array" ref="F20">_xlfn.LET(_xlpm.range, 'Bank diagnostic'!D:D,_xlpm.startRow, MATCH(E20, _xlpm.range, 0) + 1,_xlpm.endRow, MATCH(E21, _xlpm.range, 0) - 1,_xlpm.section, INDEX(_xlpm.range, _xlpm.startRow):INDEX(_xlpm.range, _xlpm.endRow),_xlpm.indicators, _xlfn._xlws.FILTER(_xlpm.section, ISNUMBER(--LEFT(_xlpm.section,3)) * ISNUMBER(VALUE(MID(_xlpm.section,3,1))) * ISERROR(SEARCH("[Digital]", _xlpm.section))),ROWS(_xlpm.indicators))</f>
        <v>#VALUE!</v>
      </c>
      <c r="G20" s="23" t="e" vm="1">
        <f t="shared" ref="G20:G25" si="0">F20*$F$17</f>
        <v>#VALUE!</v>
      </c>
      <c r="H20" s="23" t="e" vm="1">
        <f>F20*$F$16</f>
        <v>#VALUE!</v>
      </c>
      <c r="I20" s="23" t="e" vm="1">
        <f t="shared" ref="I20:I24" si="1">$F$15*F20</f>
        <v>#VALUE!</v>
      </c>
      <c r="J20" s="51"/>
      <c r="K20" s="51"/>
    </row>
    <row r="21" spans="3:11" x14ac:dyDescent="0.3">
      <c r="C21" s="51"/>
      <c r="D21" s="51"/>
      <c r="E21" s="24" t="str">
        <f>'Bank diagnostic'!D28</f>
        <v>2. Talent and organizational structure</v>
      </c>
      <c r="F21" s="23" t="e" cm="1" vm="2">
        <f t="array" ref="F21">_xlfn.LET(_xlpm.range, 'Bank diagnostic'!D:D,_xlpm.startRow, MATCH(E21, _xlpm.range, 0) + 1,_xlpm.endRow, MATCH(E22, _xlpm.range, 0) - 1,_xlpm.section, INDEX(_xlpm.range, _xlpm.startRow):INDEX(_xlpm.range, _xlpm.endRow),_xlpm.indicators, _xlfn._xlws.FILTER(_xlpm.section, ISNUMBER(--LEFT(_xlpm.section,3)) * ISNUMBER(VALUE(MID(_xlpm.section,3,1))) * ISERROR(SEARCH("[Digital]", _xlpm.section))),ROWS(_xlpm.indicators))</f>
        <v>#VALUE!</v>
      </c>
      <c r="G21" s="23" t="e" vm="1">
        <f t="shared" si="0"/>
        <v>#VALUE!</v>
      </c>
      <c r="H21" s="23" t="e" vm="1">
        <f t="shared" ref="H21:H23" si="2">F21*$F$16</f>
        <v>#VALUE!</v>
      </c>
      <c r="I21" s="23" t="e" vm="1">
        <f t="shared" si="1"/>
        <v>#VALUE!</v>
      </c>
      <c r="J21" s="51"/>
      <c r="K21" s="51"/>
    </row>
    <row r="22" spans="3:11" x14ac:dyDescent="0.3">
      <c r="C22" s="51"/>
      <c r="D22" s="51"/>
      <c r="E22" s="24" t="str">
        <f>'Bank diagnostic'!D32</f>
        <v>3. Competitive positioning</v>
      </c>
      <c r="F22" s="23" t="e" cm="1" vm="2">
        <f t="array" ref="F22">_xlfn.LET(_xlpm.range, 'Bank diagnostic'!D:D,_xlpm.startRow, MATCH(E22, _xlpm.range, 0) + 1,_xlpm.endRow, MATCH(E23, _xlpm.range, 0) - 1,_xlpm.section, INDEX(_xlpm.range, _xlpm.startRow):INDEX(_xlpm.range, _xlpm.endRow),_xlpm.indicators, _xlfn._xlws.FILTER(_xlpm.section, ISNUMBER(--LEFT(_xlpm.section,3)) * ISNUMBER(VALUE(MID(_xlpm.section,3,1))) * ISERROR(SEARCH("[Digital]", _xlpm.section))),ROWS(_xlpm.indicators))</f>
        <v>#VALUE!</v>
      </c>
      <c r="G22" s="23" t="e" vm="1">
        <f t="shared" si="0"/>
        <v>#VALUE!</v>
      </c>
      <c r="H22" s="23" t="e" vm="1">
        <f t="shared" si="2"/>
        <v>#VALUE!</v>
      </c>
      <c r="I22" s="23" t="e" vm="1">
        <f t="shared" si="1"/>
        <v>#VALUE!</v>
      </c>
      <c r="J22" s="51"/>
      <c r="K22" s="51"/>
    </row>
    <row r="23" spans="3:11" x14ac:dyDescent="0.3">
      <c r="C23" s="51"/>
      <c r="D23" s="51"/>
      <c r="E23" s="24" t="str">
        <f>'Bank diagnostic'!D37</f>
        <v>4. Operational processes</v>
      </c>
      <c r="F23" s="23" t="e" cm="1" vm="2">
        <f t="array" ref="F23">_xlfn.LET(_xlpm.range, 'Bank diagnostic'!D:D,_xlpm.startRow, MATCH(E23, _xlpm.range, 0) + 1,_xlpm.endRow, MATCH(E24, _xlpm.range, 0) - 1,_xlpm.section, INDEX(_xlpm.range, _xlpm.startRow):INDEX(_xlpm.range, _xlpm.endRow),_xlpm.indicators, _xlfn._xlws.FILTER(_xlpm.section, ISNUMBER(--LEFT(_xlpm.section,3)) * ISNUMBER(VALUE(MID(_xlpm.section,3,1))) * ISERROR(SEARCH("[Digital]", _xlpm.section))),ROWS(_xlpm.indicators))</f>
        <v>#VALUE!</v>
      </c>
      <c r="G23" s="23" t="e" vm="1">
        <f t="shared" si="0"/>
        <v>#VALUE!</v>
      </c>
      <c r="H23" s="23" t="e" vm="1">
        <f t="shared" si="2"/>
        <v>#VALUE!</v>
      </c>
      <c r="I23" s="23" t="e" vm="1">
        <f t="shared" si="1"/>
        <v>#VALUE!</v>
      </c>
      <c r="J23" s="51"/>
      <c r="K23" s="51"/>
    </row>
    <row r="24" spans="3:11" x14ac:dyDescent="0.3">
      <c r="C24" s="51"/>
      <c r="D24" s="51"/>
      <c r="E24" s="24" t="str">
        <f>'Bank diagnostic'!D47</f>
        <v>5. Products and value proposition</v>
      </c>
      <c r="F24" s="23" t="e" cm="1" vm="2">
        <f t="array" ref="F24">_xlfn.LET(
  _xlpm.range, 'Bank diagnostic'!D:D,
  _xlpm.startRow, MATCH(E24, _xlpm.range, 0) + 1,
  _xlpm.endRow, IFERROR(MATCH(E25, _xlpm.range, 0) - 1, LOOKUP(2, 1/(_xlpm.range&lt;&gt;""), ROW(_xlpm.range))),
  _xlpm.section, INDEX(_xlpm.range, _xlpm.startRow):INDEX(_xlpm.range, _xlpm.endRow),
  _xlpm.indicators, _xlfn._xlws.FILTER(_xlpm.section, ISNUMBER(--LEFT(_xlpm.section,3)) * ISNUMBER(VALUE(MID(_xlpm.section,3,1))) * ISERROR(SEARCH("[Digital]", _xlpm.section))),
  ROWS(_xlpm.indicators)
)</f>
        <v>#VALUE!</v>
      </c>
      <c r="G24" s="23" t="e" vm="1">
        <f t="shared" si="0"/>
        <v>#VALUE!</v>
      </c>
      <c r="H24" s="23" t="e" vm="1">
        <f>F24*$F$16</f>
        <v>#VALUE!</v>
      </c>
      <c r="I24" s="23" t="e" vm="1">
        <f t="shared" si="1"/>
        <v>#VALUE!</v>
      </c>
      <c r="J24" s="51"/>
      <c r="K24" s="51"/>
    </row>
    <row r="25" spans="3:11" x14ac:dyDescent="0.3">
      <c r="C25" s="51"/>
      <c r="D25" s="51"/>
      <c r="E25" s="24" t="s">
        <v>314</v>
      </c>
      <c r="F25" s="23">
        <f>COUNTIF('Bank diagnostic'!D:D, "*[Digital]*")</f>
        <v>8</v>
      </c>
      <c r="G25" s="23">
        <f t="shared" si="0"/>
        <v>8</v>
      </c>
      <c r="H25" s="23">
        <f>F25*$F$16</f>
        <v>24</v>
      </c>
      <c r="I25" s="23">
        <f>$F$15*F25</f>
        <v>40</v>
      </c>
      <c r="J25" s="51"/>
      <c r="K25" s="51"/>
    </row>
    <row r="26" spans="3:11" x14ac:dyDescent="0.3">
      <c r="C26" s="51"/>
      <c r="D26" s="51"/>
      <c r="E26" s="25" t="s">
        <v>315</v>
      </c>
      <c r="F26" s="25" t="e" vm="1">
        <f>SUM(F20:F25)</f>
        <v>#VALUE!</v>
      </c>
      <c r="G26" s="25" t="e" vm="1">
        <f>SUM(G20:G25)</f>
        <v>#VALUE!</v>
      </c>
      <c r="H26" s="25" t="e" vm="1">
        <f>SUM(H20:H25)</f>
        <v>#VALUE!</v>
      </c>
      <c r="I26" s="25" t="e" vm="1">
        <f>SUM(I20:I25)</f>
        <v>#VALUE!</v>
      </c>
      <c r="J26" s="51"/>
      <c r="K26" s="51"/>
    </row>
    <row r="27" spans="3:11" x14ac:dyDescent="0.3">
      <c r="C27" s="51"/>
      <c r="D27" s="51"/>
      <c r="E27" s="51"/>
      <c r="F27" s="51"/>
      <c r="G27" s="51"/>
      <c r="H27" s="51"/>
      <c r="I27" s="51"/>
      <c r="J27" s="51"/>
      <c r="K27" s="51"/>
    </row>
    <row r="28" spans="3:11" ht="13" thickBot="1" x14ac:dyDescent="0.35">
      <c r="C28" s="51"/>
      <c r="D28" s="51"/>
      <c r="E28" s="22" t="s">
        <v>316</v>
      </c>
      <c r="F28" s="58" t="s">
        <v>317</v>
      </c>
      <c r="G28" s="22" t="s">
        <v>318</v>
      </c>
      <c r="H28" s="22" t="s">
        <v>319</v>
      </c>
      <c r="I28" s="51"/>
      <c r="J28" s="51"/>
      <c r="K28" s="51"/>
    </row>
    <row r="29" spans="3:11" x14ac:dyDescent="0.3">
      <c r="C29" s="51"/>
      <c r="D29" s="51"/>
      <c r="E29" s="57" t="s">
        <v>320</v>
      </c>
      <c r="F29" s="60">
        <v>0.8</v>
      </c>
      <c r="G29" s="52" t="e" vm="1">
        <f>H29*F29</f>
        <v>#VALUE!</v>
      </c>
      <c r="H29" s="23" t="e" vm="1">
        <f>I26</f>
        <v>#VALUE!</v>
      </c>
      <c r="I29" s="51"/>
      <c r="J29" s="51"/>
      <c r="K29" s="51"/>
    </row>
    <row r="30" spans="3:11" ht="13" thickBot="1" x14ac:dyDescent="0.35">
      <c r="C30" s="51"/>
      <c r="D30" s="51"/>
      <c r="E30" s="57" t="s">
        <v>321</v>
      </c>
      <c r="F30" s="61">
        <v>0.6</v>
      </c>
      <c r="G30" s="52" t="e" vm="1">
        <f>H29*F30</f>
        <v>#VALUE!</v>
      </c>
      <c r="H30" s="23" t="e" vm="1">
        <f>G29-1</f>
        <v>#VALUE!</v>
      </c>
      <c r="I30" s="51"/>
      <c r="J30" s="51"/>
      <c r="K30" s="51"/>
    </row>
    <row r="31" spans="3:11" x14ac:dyDescent="0.3">
      <c r="C31" s="51"/>
      <c r="D31" s="51"/>
      <c r="E31" s="24" t="s">
        <v>322</v>
      </c>
      <c r="F31" s="59" t="s">
        <v>323</v>
      </c>
      <c r="G31" s="23" t="e" vm="1">
        <f>G26</f>
        <v>#VALUE!</v>
      </c>
      <c r="H31" s="23" t="e" vm="1">
        <f>G30-1</f>
        <v>#VALUE!</v>
      </c>
      <c r="I31" s="51"/>
      <c r="J31" s="51"/>
      <c r="K31" s="51"/>
    </row>
    <row r="32" spans="3:11" x14ac:dyDescent="0.3">
      <c r="C32" s="51"/>
      <c r="D32" s="51"/>
      <c r="E32" s="62"/>
      <c r="F32" s="51"/>
      <c r="G32" s="51"/>
      <c r="H32" s="51"/>
      <c r="I32" s="51"/>
      <c r="J32" s="51"/>
      <c r="K32" s="51"/>
    </row>
    <row r="33" spans="3:12" x14ac:dyDescent="0.3">
      <c r="C33" s="51"/>
      <c r="D33" s="51"/>
      <c r="E33" s="62"/>
      <c r="F33" s="51"/>
      <c r="G33" s="51"/>
      <c r="H33" s="51"/>
      <c r="I33" s="51"/>
      <c r="J33" s="51"/>
      <c r="K33" s="51"/>
    </row>
    <row r="34" spans="3:12" ht="20" x14ac:dyDescent="0.3">
      <c r="C34" s="51"/>
      <c r="D34" s="51"/>
      <c r="E34" s="124" t="s">
        <v>324</v>
      </c>
      <c r="F34" s="51"/>
      <c r="G34" s="51"/>
      <c r="H34" s="51"/>
      <c r="I34" s="51"/>
      <c r="J34" s="51"/>
      <c r="K34" s="51"/>
    </row>
    <row r="35" spans="3:12" x14ac:dyDescent="0.3">
      <c r="C35" s="51"/>
      <c r="D35" s="51"/>
      <c r="E35" s="51"/>
      <c r="F35" s="51"/>
      <c r="G35" s="51"/>
      <c r="H35" s="51"/>
      <c r="I35" s="51"/>
      <c r="J35" s="51"/>
      <c r="K35" s="51"/>
    </row>
    <row r="36" spans="3:12" x14ac:dyDescent="0.3">
      <c r="C36" s="51"/>
      <c r="D36" s="138"/>
      <c r="E36" s="127" t="s">
        <v>325</v>
      </c>
      <c r="F36" s="127" t="s">
        <v>326</v>
      </c>
      <c r="G36" s="127" t="s">
        <v>327</v>
      </c>
      <c r="H36" s="128" t="s">
        <v>328</v>
      </c>
      <c r="I36" s="128" t="s">
        <v>326</v>
      </c>
      <c r="J36" s="128" t="s">
        <v>329</v>
      </c>
      <c r="K36" s="51"/>
    </row>
    <row r="37" spans="3:12" ht="13" customHeight="1" x14ac:dyDescent="0.3">
      <c r="C37" s="51"/>
      <c r="D37" s="137" t="s">
        <v>73</v>
      </c>
      <c r="E37" s="131" t="str">
        <f>'Bank diagnostic'!D17</f>
        <v>1. Strategy</v>
      </c>
      <c r="F37" s="132"/>
      <c r="G37" s="132"/>
      <c r="H37" s="132"/>
      <c r="I37" s="132"/>
      <c r="J37" s="133"/>
      <c r="K37" s="51"/>
      <c r="L37" s="99"/>
    </row>
    <row r="38" spans="3:12" ht="80.5" customHeight="1" x14ac:dyDescent="0.2">
      <c r="C38" s="51"/>
      <c r="D38" s="140">
        <f>VALUE(LEFT('Bank diagnostic'!D19,FIND(" ",'Bank diagnostic'!D19)-1))</f>
        <v>1.1000000000000001</v>
      </c>
      <c r="E38" s="129" t="str" cm="1">
        <f t="array" ref="E38">IFERROR(_xlfn.TEXTAFTER(INDEX('Bank diagnostic'!H:H, MATCH(TRUE, ISNUMBER(SEARCH(D38, 'Bank diagnostic'!D:D)), 0)),"Low:"), "Not Found")</f>
        <v xml:space="preserve"> SME banking is not clearly reflected among the bank's top strategic priorities or is absent from current strategy documentation</v>
      </c>
      <c r="F38" s="130" t="s">
        <v>330</v>
      </c>
      <c r="G38" s="130" t="s">
        <v>331</v>
      </c>
      <c r="H38" s="134" t="str" cm="1">
        <f t="array" ref="H38">IFERROR(_xlfn.TEXTBEFORE(_xlfn.TEXTAFTER(INDEX('Bank diagnostic'!H:H, MATCH(TRUE, ISNUMBER(SEARCH(D38, 'Bank diagnostic'!D:D)), 0)),"Medium: "),"Low:"),"Not Found")</f>
        <v xml:space="preserve">SME banking is listed among the top 4–10 strategic priorities
</v>
      </c>
      <c r="I38" s="130" t="s">
        <v>330</v>
      </c>
      <c r="J38" s="130" t="s">
        <v>332</v>
      </c>
      <c r="K38" s="51"/>
      <c r="L38" s="99"/>
    </row>
    <row r="39" spans="3:12" ht="80.5" customHeight="1" x14ac:dyDescent="0.2">
      <c r="C39" s="51"/>
      <c r="D39" s="140">
        <f>VALUE(LEFT('Bank diagnostic'!D20,FIND(" ",'Bank diagnostic'!D20)-1))</f>
        <v>1.2</v>
      </c>
      <c r="E39" s="129" t="str" cm="1">
        <f t="array" ref="E39">IFERROR(_xlfn.TEXTAFTER(INDEX('Bank diagnostic'!H:H, MATCH(TRUE, ISNUMBER(SEARCH(D39, 'Bank diagnostic'!D:D)), 0)),"Low:"), "Not Found")</f>
        <v xml:space="preserve"> SMEs represent less than 10% of the bank’s lending</v>
      </c>
      <c r="F39" s="55" t="s">
        <v>333</v>
      </c>
      <c r="G39" s="55" t="s">
        <v>334</v>
      </c>
      <c r="H39" s="134" t="str" cm="1">
        <f t="array" ref="H39">IFERROR(_xlfn.TEXTBEFORE(_xlfn.TEXTAFTER(INDEX('Bank diagnostic'!H:H, MATCH(TRUE, ISNUMBER(SEARCH(D39, 'Bank diagnostic'!D:D)), 0)),"Medium: "),"Low:"),"Not Found")</f>
        <v xml:space="preserve">SMEs represent 10–19% of the bank’s lending
</v>
      </c>
      <c r="I39" s="55" t="s">
        <v>335</v>
      </c>
      <c r="J39" s="55" t="s">
        <v>336</v>
      </c>
      <c r="K39" s="51"/>
      <c r="L39" s="99"/>
    </row>
    <row r="40" spans="3:12" ht="22" customHeight="1" x14ac:dyDescent="0.2">
      <c r="C40" s="51"/>
      <c r="D40" s="140"/>
      <c r="E40" s="129" t="s">
        <v>88</v>
      </c>
      <c r="F40" s="55"/>
      <c r="G40" s="55"/>
      <c r="H40" s="134"/>
      <c r="I40" s="55"/>
      <c r="J40" s="55"/>
      <c r="K40" s="51"/>
      <c r="L40" s="99"/>
    </row>
    <row r="41" spans="3:12" ht="80.150000000000006" customHeight="1" x14ac:dyDescent="0.2">
      <c r="C41" s="51"/>
      <c r="D41" s="140">
        <f>VALUE(LEFT('Bank diagnostic'!D22,FIND(" ",'Bank diagnostic'!D22)-1))</f>
        <v>1.3</v>
      </c>
      <c r="E41" s="129" t="str" cm="1">
        <f t="array" ref="E41">IFERROR(_xlfn.TEXTAFTER(INDEX('Bank diagnostic'!H:H, MATCH(TRUE, ISNUMBER(SEARCH(D41, 'Bank diagnostic'!D:D)), 0)),"Low:"), "Not Found")</f>
        <v xml:space="preserve"> SME-related goals are vague or aspirational, with no actionable framework</v>
      </c>
      <c r="F41" s="55" t="s">
        <v>337</v>
      </c>
      <c r="G41" s="55" t="s">
        <v>338</v>
      </c>
      <c r="H41" s="134" t="str" cm="1">
        <f t="array" ref="H41">IFERROR(_xlfn.TEXTBEFORE(_xlfn.TEXTAFTER(INDEX('Bank diagnostic'!H:H, MATCH(TRUE, ISNUMBER(SEARCH(D41, 'Bank diagnostic'!D:D)), 0)),"Medium: "),"Low:"),"Not Found")</f>
        <v xml:space="preserve">SME goals exist but are not concrete, time-bound, or lack consistent tracking and updating 
</v>
      </c>
      <c r="I41" s="55" t="s">
        <v>339</v>
      </c>
      <c r="J41" s="55" t="s">
        <v>340</v>
      </c>
      <c r="K41" s="51"/>
      <c r="L41" s="64" t="s">
        <v>341</v>
      </c>
    </row>
    <row r="42" spans="3:12" ht="80.150000000000006" customHeight="1" x14ac:dyDescent="0.2">
      <c r="C42" s="51"/>
      <c r="D42" s="140">
        <f>VALUE(LEFT('Bank diagnostic'!D23,FIND(" ",'Bank diagnostic'!D23)-1))</f>
        <v>1.4</v>
      </c>
      <c r="E42" s="129" t="str" cm="1">
        <f t="array" ref="E42">IFERROR(_xlfn.TEXTAFTER(INDEX('Bank diagnostic'!H:H, MATCH(TRUE, ISNUMBER(SEARCH(D42, 'Bank diagnostic'!D:D)), 0)),"Low:"), "Not Found")</f>
        <v xml:space="preserve"> No structured oversight or accountability is limited to middle management staff</v>
      </c>
      <c r="F42" s="55" t="s">
        <v>342</v>
      </c>
      <c r="G42" s="55" t="s">
        <v>343</v>
      </c>
      <c r="H42" s="134" t="str" cm="1">
        <f t="array" ref="H42">IFERROR(_xlfn.TEXTBEFORE(_xlfn.TEXTAFTER(INDEX('Bank diagnostic'!H:H, MATCH(TRUE, ISNUMBER(SEARCH(D42, 'Bank diagnostic'!D:D)), 0)),"Medium: "),"Low:"),"Not Found")</f>
        <v xml:space="preserve">SME operations are monitored but not reviewed as frequently by senior leadership (e.g., only annually)
</v>
      </c>
      <c r="I42" s="55" t="s">
        <v>344</v>
      </c>
      <c r="J42" s="55" t="s">
        <v>345</v>
      </c>
      <c r="K42" s="51"/>
      <c r="L42" s="64" t="s">
        <v>346</v>
      </c>
    </row>
    <row r="43" spans="3:12" ht="79.5" customHeight="1" x14ac:dyDescent="0.2">
      <c r="C43" s="51"/>
      <c r="D43" s="140">
        <f>VALUE(LEFT('Bank diagnostic'!D24,FIND(" ",'Bank diagnostic'!D24)-1))</f>
        <v>1.5</v>
      </c>
      <c r="E43" s="129" t="str" cm="1">
        <f t="array" ref="E43">IFERROR(_xlfn.TEXTAFTER(INDEX('Bank diagnostic'!H:H, MATCH(TRUE, ISNUMBER(SEARCH(D43, 'Bank diagnostic'!D:D)), 0)),"Low:"), "Not Found")</f>
        <v xml:space="preserve"> There are no investment plans or if present these lack clear resource allocation and timelines for execution</v>
      </c>
      <c r="F43" s="55" t="s">
        <v>347</v>
      </c>
      <c r="G43" s="55" t="s">
        <v>348</v>
      </c>
      <c r="H43" s="134" t="str" cm="1">
        <f t="array" ref="H43">IFERROR(_xlfn.TEXTBEFORE(_xlfn.TEXTAFTER(INDEX('Bank diagnostic'!H:H, MATCH(TRUE, ISNUMBER(SEARCH(D43, 'Bank diagnostic'!D:D)), 0)),"Medium: "),"Low:"),"Not Found")</f>
        <v xml:space="preserve">There is an investment plan, but resource allocation or execution timelines are not as clearly defined (e.g., very long term)
</v>
      </c>
      <c r="I43" s="55" t="s">
        <v>349</v>
      </c>
      <c r="J43" s="55" t="s">
        <v>350</v>
      </c>
      <c r="K43" s="51"/>
      <c r="L43" s="64" t="s">
        <v>351</v>
      </c>
    </row>
    <row r="44" spans="3:12" ht="79.5" customHeight="1" x14ac:dyDescent="0.2">
      <c r="C44" s="51"/>
      <c r="D44" s="140">
        <f>VALUE(LEFT('Bank diagnostic'!D25,FIND(" ",'Bank diagnostic'!D25)-1))</f>
        <v>1.6</v>
      </c>
      <c r="E44" s="129" t="str" cm="1">
        <f t="array" ref="E44">IFERROR(_xlfn.TEXTAFTER(INDEX('Bank diagnostic'!H:H, MATCH(TRUE, ISNUMBER(SEARCH(D44, 'Bank diagnostic'!D:D)), 0)),"Low:"), "Not Found")</f>
        <v xml:space="preserve"> There is not an SME strategy in place or there is little awareness or alignment on the SME strategy </v>
      </c>
      <c r="F44" s="55" t="s">
        <v>352</v>
      </c>
      <c r="G44" s="55" t="s">
        <v>353</v>
      </c>
      <c r="H44" s="134" t="str" cm="1">
        <f t="array" ref="H44">IFERROR(_xlfn.TEXTBEFORE(_xlfn.TEXTAFTER(INDEX('Bank diagnostic'!H:H, MATCH(TRUE, ISNUMBER(SEARCH(D44, 'Bank diagnostic'!D:D)), 0)),"Medium: "),"Low:"),"Not Found")</f>
        <v xml:space="preserve">SME priorities are partially reflected in support departments but weakly cascaded to delivery channels; some staff are aware, but ownership is uneven
</v>
      </c>
      <c r="I44" s="55" t="s">
        <v>354</v>
      </c>
      <c r="J44" s="55" t="s">
        <v>355</v>
      </c>
      <c r="K44" s="51"/>
      <c r="L44" s="64"/>
    </row>
    <row r="45" spans="3:12" ht="79.5" customHeight="1" x14ac:dyDescent="0.2">
      <c r="C45" s="51"/>
      <c r="D45" s="140">
        <f>VALUE(LEFT('Bank diagnostic'!D26,FIND(" ",'Bank diagnostic'!D26)-1))</f>
        <v>1.7</v>
      </c>
      <c r="E45" s="129" t="str" cm="1">
        <f t="array" ref="E45">IFERROR(_xlfn.TEXTAFTER(INDEX('Bank diagnostic'!H:H, MATCH(TRUE, ISNUMBER(SEARCH(D45, 'Bank diagnostic'!D:D)), 0)),"Low:"), "Not Found")</f>
        <v xml:space="preserve"> Inclusion KPIs are not defined or tracked throughout the organization</v>
      </c>
      <c r="F45" s="55" t="s">
        <v>356</v>
      </c>
      <c r="G45" s="55" t="s">
        <v>357</v>
      </c>
      <c r="H45" s="134" t="str" cm="1">
        <f t="array" ref="H45">IFERROR(_xlfn.TEXTBEFORE(_xlfn.TEXTAFTER(INDEX('Bank diagnostic'!H:H, MATCH(TRUE, ISNUMBER(SEARCH(D45, 'Bank diagnostic'!D:D)), 0)),"Medium: "),"Low:"),"Not Found")</f>
        <v xml:space="preserve">Inclusion KPIs are defined but not tracked periodically or at the SME level
</v>
      </c>
      <c r="I45" s="55" t="s">
        <v>358</v>
      </c>
      <c r="J45" s="55" t="s">
        <v>359</v>
      </c>
      <c r="K45" s="51"/>
      <c r="L45" s="64" t="s">
        <v>360</v>
      </c>
    </row>
    <row r="46" spans="3:12" ht="80.150000000000006" customHeight="1" x14ac:dyDescent="0.25">
      <c r="C46" s="51"/>
      <c r="D46" s="140">
        <f>VALUE(LEFT('Bank diagnostic'!D27,FIND(" ",'Bank diagnostic'!D27)-1))</f>
        <v>1.8</v>
      </c>
      <c r="E46" s="129" t="str" cm="1">
        <f t="array" ref="E46">IFERROR(_xlfn.TEXTAFTER(INDEX('Bank diagnostic'!H:H, MATCH(TRUE, ISNUMBER(SEARCH(D46, 'Bank diagnostic'!D:D)), 0)),"Low:"), "Not Found")</f>
        <v xml:space="preserve"> Limited or no record of executing structured change beyond business-as-usual operations</v>
      </c>
      <c r="F46" s="141" t="s">
        <v>361</v>
      </c>
      <c r="G46" s="141" t="s">
        <v>362</v>
      </c>
      <c r="H46" s="134" t="str" cm="1">
        <f t="array" ref="H46">IFERROR(_xlfn.TEXTBEFORE(_xlfn.TEXTAFTER(INDEX('Bank diagnostic'!H:H, MATCH(TRUE, ISNUMBER(SEARCH(D46, 'Bank diagnostic'!D:D)), 0)),"Medium: "),"Low:"),"Not Found")</f>
        <v xml:space="preserve">Some change initiatives were implemented but with delays, limited scale, or unclear outcomes
</v>
      </c>
      <c r="I46" s="141" t="s">
        <v>363</v>
      </c>
      <c r="J46" s="141" t="s">
        <v>364</v>
      </c>
      <c r="K46" s="51"/>
      <c r="L46" s="65" t="s">
        <v>365</v>
      </c>
    </row>
    <row r="47" spans="3:12" ht="15" x14ac:dyDescent="0.3">
      <c r="C47" s="51"/>
      <c r="D47" s="139"/>
      <c r="E47" s="143" t="str">
        <f>'Bank diagnostic'!D28</f>
        <v>2. Talent and organizational structure</v>
      </c>
      <c r="F47" s="144"/>
      <c r="G47" s="144"/>
      <c r="H47" s="145"/>
      <c r="I47" s="144"/>
      <c r="J47" s="146"/>
      <c r="K47" s="51"/>
      <c r="L47" s="66"/>
    </row>
    <row r="48" spans="3:12" ht="80.150000000000006" customHeight="1" x14ac:dyDescent="0.2">
      <c r="C48" s="51"/>
      <c r="D48" s="140">
        <f>VALUE(LEFT('Bank diagnostic'!D29,FIND(" ",'Bank diagnostic'!D29)-1))</f>
        <v>2.1</v>
      </c>
      <c r="E48" s="129" t="str" cm="1">
        <f t="array" ref="E48">IFERROR(_xlfn.TEXTAFTER(INDEX('Bank diagnostic'!H:H, MATCH(TRUE, ISNUMBER(SEARCH(D48, 'Bank diagnostic'!D:D)), 0)),"Low:"), "Not Found")</f>
        <v xml:space="preserve"> No SME-specific staff or execution roles exist</v>
      </c>
      <c r="F48" s="130" t="s">
        <v>366</v>
      </c>
      <c r="G48" s="130" t="s">
        <v>367</v>
      </c>
      <c r="H48" s="134" t="str" cm="1">
        <f t="array" ref="H48">IFERROR(_xlfn.TEXTBEFORE(_xlfn.TEXTAFTER(INDEX('Bank diagnostic'!H:H, MATCH(TRUE, ISNUMBER(SEARCH(D48, 'Bank diagnostic'!D:D)), 0)),"Medium: "),"Low:"),"Not Found")</f>
        <v xml:space="preserve">The bank has 1-2 designated staff members, but SME is one of many responsibilities or roles that they hold in the bank
</v>
      </c>
      <c r="I48" s="130" t="s">
        <v>368</v>
      </c>
      <c r="J48" s="130" t="s">
        <v>369</v>
      </c>
      <c r="K48" s="51"/>
      <c r="L48" s="67" t="s">
        <v>370</v>
      </c>
    </row>
    <row r="49" spans="3:16" ht="80.150000000000006" customHeight="1" x14ac:dyDescent="0.2">
      <c r="C49" s="51"/>
      <c r="D49" s="140">
        <f>VALUE(LEFT('Bank diagnostic'!D30,FIND(" ",'Bank diagnostic'!D30)-1))</f>
        <v>2.2000000000000002</v>
      </c>
      <c r="E49" s="129" t="str" cm="1">
        <f t="array" ref="E49">IFERROR(_xlfn.TEXTAFTER(INDEX('Bank diagnostic'!H:H, MATCH(TRUE, ISNUMBER(SEARCH(D49, 'Bank diagnostic'!D:D)), 0)),"Low:"), "Not Found")</f>
        <v xml:space="preserve"> There are no clearly defined SME KPIs or incentives</v>
      </c>
      <c r="F49" s="55" t="s">
        <v>371</v>
      </c>
      <c r="G49" s="55" t="s">
        <v>372</v>
      </c>
      <c r="H49" s="134" t="str" cm="1">
        <f t="array" ref="H49">IFERROR(_xlfn.TEXTBEFORE(_xlfn.TEXTAFTER(INDEX('Bank diagnostic'!H:H, MATCH(TRUE, ISNUMBER(SEARCH(D49, 'Bank diagnostic'!D:D)), 0)),"Medium: "),"Low:"),"Not Found")</f>
        <v xml:space="preserve">SME KPIs exist but only for front-line or business development staff, or incentives are not sufficiently encouraging performance
</v>
      </c>
      <c r="I49" s="55" t="s">
        <v>373</v>
      </c>
      <c r="J49" s="55" t="s">
        <v>374</v>
      </c>
      <c r="K49" s="51"/>
      <c r="L49" s="67" t="s">
        <v>375</v>
      </c>
    </row>
    <row r="50" spans="3:16" ht="80.150000000000006" customHeight="1" x14ac:dyDescent="0.2">
      <c r="C50" s="51"/>
      <c r="D50" s="140">
        <f>VALUE(LEFT('Bank diagnostic'!D31,FIND(" ",'Bank diagnostic'!D31)-1))</f>
        <v>2.2999999999999998</v>
      </c>
      <c r="E50" s="129" t="str" cm="1">
        <f t="array" ref="E50">IFERROR(_xlfn.TEXTAFTER(INDEX('Bank diagnostic'!H:H, MATCH(TRUE, ISNUMBER(SEARCH(D50, 'Bank diagnostic'!D:D)), 0)),"Low:"), "Not Found")</f>
        <v xml:space="preserve"> No SME-specific training or technical capacity-building is available</v>
      </c>
      <c r="F50" s="141" t="s">
        <v>376</v>
      </c>
      <c r="G50" s="141" t="s">
        <v>377</v>
      </c>
      <c r="H50" s="134" t="str" cm="1">
        <f t="array" ref="H50">IFERROR(_xlfn.TEXTBEFORE(_xlfn.TEXTAFTER(INDEX('Bank diagnostic'!H:H, MATCH(TRUE, ISNUMBER(SEARCH(D50, 'Bank diagnostic'!D:D)), 0)),"Medium: "),"Low:"),"Not Found")</f>
        <v xml:space="preserve">SME specific training is not sufficiently provided, or is only provided to some staff 
</v>
      </c>
      <c r="I50" s="141" t="s">
        <v>378</v>
      </c>
      <c r="J50" s="141" t="s">
        <v>379</v>
      </c>
      <c r="K50" s="51"/>
      <c r="L50" s="64" t="s">
        <v>380</v>
      </c>
    </row>
    <row r="51" spans="3:16" ht="15" x14ac:dyDescent="0.3">
      <c r="C51" s="51"/>
      <c r="D51" s="139"/>
      <c r="E51" s="143" t="str">
        <f>'Bank diagnostic'!D32</f>
        <v>3. Competitive positioning</v>
      </c>
      <c r="F51" s="144"/>
      <c r="G51" s="144"/>
      <c r="H51" s="145"/>
      <c r="I51" s="144"/>
      <c r="J51" s="146"/>
      <c r="K51" s="51"/>
      <c r="L51" s="68"/>
    </row>
    <row r="52" spans="3:16" ht="80.150000000000006" customHeight="1" x14ac:dyDescent="0.2">
      <c r="C52" s="51"/>
      <c r="D52" s="140">
        <f>VALUE(LEFT('Bank diagnostic'!D33,FIND(" ",'Bank diagnostic'!D33)-1))</f>
        <v>3.1</v>
      </c>
      <c r="E52" s="129" t="str" cm="1">
        <f t="array" ref="E52">IFERROR(_xlfn.TEXTAFTER(INDEX('Bank diagnostic'!H:H, MATCH(TRUE, ISNUMBER(SEARCH(D52, 'Bank diagnostic'!D:D)), 0)),"Low:"), "Not Found")</f>
        <v xml:space="preserve"> No SME-specific research has been conducted, or insights are not used to shape strategy or service design</v>
      </c>
      <c r="F52" s="130" t="s">
        <v>381</v>
      </c>
      <c r="G52" s="130" t="s">
        <v>382</v>
      </c>
      <c r="H52" s="134" t="str" cm="1">
        <f t="array" ref="H52">IFERROR(_xlfn.TEXTBEFORE(_xlfn.TEXTAFTER(INDEX('Bank diagnostic'!H:H, MATCH(TRUE, ISNUMBER(SEARCH(D52, 'Bank diagnostic'!D:D)), 0)),"Medium: "),"Low:"),"Not Found")</f>
        <v xml:space="preserve">Some SME-related research exists (e.g., old market studies or internal data analysis), but is not consistently updated or has limited influence on decision-making
</v>
      </c>
      <c r="I52" s="130" t="s">
        <v>383</v>
      </c>
      <c r="J52" s="130" t="s">
        <v>384</v>
      </c>
      <c r="K52" s="51"/>
      <c r="L52" s="64" t="s">
        <v>385</v>
      </c>
    </row>
    <row r="53" spans="3:16" ht="80.150000000000006" customHeight="1" x14ac:dyDescent="0.2">
      <c r="C53" s="51"/>
      <c r="D53" s="140">
        <f>VALUE(LEFT('Bank diagnostic'!D34,FIND(" ",'Bank diagnostic'!D34)-1))</f>
        <v>3.2</v>
      </c>
      <c r="E53" s="129" t="str" cm="1">
        <f t="array" ref="E53">IFERROR(_xlfn.TEXTAFTER(INDEX('Bank diagnostic'!H:H, MATCH(TRUE, ISNUMBER(SEARCH(D53, 'Bank diagnostic'!D:D)), 0)),"Low:"), "Not Found")</f>
        <v xml:space="preserve"> The bank serves SMEs broadly without segment-specific targeting or consideration of competitive saturation</v>
      </c>
      <c r="F53" s="55" t="s">
        <v>386</v>
      </c>
      <c r="G53" s="55" t="s">
        <v>387</v>
      </c>
      <c r="H53" s="134" t="str" cm="1">
        <f t="array" ref="H53">IFERROR(_xlfn.TEXTBEFORE(_xlfn.TEXTAFTER(INDEX('Bank diagnostic'!H:H, MATCH(TRUE, ISNUMBER(SEARCH(D53, 'Bank diagnostic'!D:D)), 0)),"Medium: "),"Low:"),"Not Found")</f>
        <v xml:space="preserve">The bank segments and targets SMEs, but selection is not clearly based on an untapped opportunity
</v>
      </c>
      <c r="I53" s="141" t="s">
        <v>388</v>
      </c>
      <c r="J53" s="141" t="s">
        <v>389</v>
      </c>
      <c r="K53" s="51"/>
      <c r="L53" s="64" t="s">
        <v>390</v>
      </c>
    </row>
    <row r="54" spans="3:16" ht="80.150000000000006" customHeight="1" x14ac:dyDescent="0.2">
      <c r="C54" s="51"/>
      <c r="D54" s="140">
        <f>VALUE(LEFT('Bank diagnostic'!D35,FIND(" ",'Bank diagnostic'!D35)-1))</f>
        <v>3.3</v>
      </c>
      <c r="E54" s="129" t="str" cm="1">
        <f t="array" ref="E54">IFERROR(_xlfn.TEXTAFTER(INDEX('Bank diagnostic'!H:H, MATCH(TRUE, ISNUMBER(SEARCH(D54, 'Bank diagnostic'!D:D)), 0)),"Low:"), "Not Found")</f>
        <v xml:space="preserve"> SME offerings are not visibly positioned or promoted. There is no SME-specific branding, value proposition, or messaging </v>
      </c>
      <c r="F54" s="141" t="s">
        <v>391</v>
      </c>
      <c r="G54" s="176" t="s">
        <v>392</v>
      </c>
      <c r="H54" s="134" t="str" cm="1">
        <f t="array" ref="H54">IFERROR(_xlfn.TEXTBEFORE(_xlfn.TEXTAFTER(INDEX('Bank diagnostic'!H:H, MATCH(TRUE, ISNUMBER(SEARCH(D54, 'Bank diagnostic'!D:D)), 0)),"Medium: "),"Low:"),"Not Found")</f>
        <v xml:space="preserve">The bank offers SME services and may reference SMEs in its materials, but lacks a clear value proposition or consistent branding that differentiates it from competitors
</v>
      </c>
      <c r="I54" s="55" t="s">
        <v>393</v>
      </c>
      <c r="J54" s="55" t="s">
        <v>394</v>
      </c>
      <c r="K54" s="51"/>
      <c r="L54" s="64" t="s">
        <v>395</v>
      </c>
    </row>
    <row r="55" spans="3:16" ht="80.150000000000006" customHeight="1" x14ac:dyDescent="0.2">
      <c r="C55" s="51"/>
      <c r="D55" s="140">
        <f>VALUE(LEFT('Bank diagnostic'!D36,FIND(" ",'Bank diagnostic'!D36)-1))</f>
        <v>3.4</v>
      </c>
      <c r="E55" s="129" t="str" cm="1">
        <f t="array" ref="E55">IFERROR(_xlfn.TEXTAFTER(INDEX('Bank diagnostic'!H:H, MATCH(TRUE, ISNUMBER(SEARCH(D55, 'Bank diagnostic'!D:D)), 0)),"Low:"), "Not Found")</f>
        <v xml:space="preserve"> SME offerings are rarely or never shaped by data analytics or digital tools</v>
      </c>
      <c r="F55" s="55" t="s">
        <v>396</v>
      </c>
      <c r="G55" s="55" t="s">
        <v>397</v>
      </c>
      <c r="H55" s="134" t="str" cm="1">
        <f t="array" ref="H55">IFERROR(_xlfn.TEXTBEFORE(_xlfn.TEXTAFTER(INDEX('Bank diagnostic'!H:H, MATCH(TRUE, ISNUMBER(SEARCH(D55, 'Bank diagnostic'!D:D)), 0)),"Medium: "),"Low:"),"Not Found")</f>
        <v xml:space="preserve">Some SME initiatives are informed by data or enhanced through digital strategies, but this is applied inconsistently or on a limited basis
</v>
      </c>
      <c r="I55" s="55" t="s">
        <v>398</v>
      </c>
      <c r="J55" s="55" t="s">
        <v>399</v>
      </c>
      <c r="K55" s="51"/>
      <c r="L55" s="175"/>
    </row>
    <row r="56" spans="3:16" ht="15" x14ac:dyDescent="0.2">
      <c r="C56" s="51"/>
      <c r="D56" s="139"/>
      <c r="E56" s="143" t="str">
        <f>'Bank diagnostic'!D37</f>
        <v>4. Operational processes</v>
      </c>
      <c r="F56" s="144"/>
      <c r="G56" s="144"/>
      <c r="H56" s="179"/>
      <c r="I56" s="177"/>
      <c r="J56" s="178"/>
      <c r="K56" s="51"/>
      <c r="L56" s="68"/>
    </row>
    <row r="57" spans="3:16" ht="80.150000000000006" customHeight="1" x14ac:dyDescent="0.2">
      <c r="C57" s="51"/>
      <c r="D57" s="140">
        <f>VALUE(LEFT('Bank diagnostic'!D38,FIND(" ",'Bank diagnostic'!D38)-1))</f>
        <v>4.0999999999999996</v>
      </c>
      <c r="E57" s="129" t="str" cm="1">
        <f t="array" ref="E57">IFERROR(_xlfn.TEXTAFTER(INDEX('Bank diagnostic'!H:H, MATCH(TRUE, ISNUMBER(SEARCH(D57, 'Bank diagnostic'!D:D)), 0)),"Low:"), "Not Found")</f>
        <v xml:space="preserve"> SME credit follows standard corporate models with no tailored features</v>
      </c>
      <c r="F57" s="130" t="s">
        <v>400</v>
      </c>
      <c r="G57" s="130" t="s">
        <v>401</v>
      </c>
      <c r="H57" s="134" t="str" cm="1">
        <f t="array" ref="H57">IFERROR(_xlfn.TEXTBEFORE(_xlfn.TEXTAFTER(INDEX('Bank diagnostic'!H:H, MATCH(TRUE, ISNUMBER(SEARCH(D57, 'Bank diagnostic'!D:D)), 0)),"Medium: "),"Low:"),"Not Found")</f>
        <v xml:space="preserve">Some SME-appropriate credit practices exist but are applied inconsistently or are not institutionalized
</v>
      </c>
      <c r="I57" s="130" t="s">
        <v>402</v>
      </c>
      <c r="J57" s="130" t="s">
        <v>403</v>
      </c>
      <c r="K57" s="51"/>
      <c r="L57" s="64" t="s">
        <v>404</v>
      </c>
    </row>
    <row r="58" spans="3:16" ht="79.5" customHeight="1" x14ac:dyDescent="0.2">
      <c r="C58" s="51"/>
      <c r="D58" s="140">
        <f>VALUE(LEFT('Bank diagnostic'!D39,FIND(" ",'Bank diagnostic'!D39)-1))</f>
        <v>4.2</v>
      </c>
      <c r="E58" s="129" t="str" cm="1">
        <f t="array" ref="E58">IFERROR(_xlfn.TEXTAFTER(INDEX('Bank diagnostic'!H:H, MATCH(TRUE, ISNUMBER(SEARCH(D58, 'Bank diagnostic'!D:D)), 0)),"Low:"), "Not Found")</f>
        <v xml:space="preserve"> There is no clear SME segmentation, or segmentation exists but has no influence on product or service decisions</v>
      </c>
      <c r="F58" s="55" t="s">
        <v>405</v>
      </c>
      <c r="G58" s="55" t="s">
        <v>406</v>
      </c>
      <c r="H58" s="134" t="str" cm="1">
        <f t="array" ref="H58">IFERROR(_xlfn.TEXTBEFORE(_xlfn.TEXTAFTER(INDEX('Bank diagnostic'!H:H, MATCH(TRUE, ISNUMBER(SEARCH(D58, 'Bank diagnostic'!D:D)), 0)),"Medium: "),"Low:"),"Not Found")</f>
        <v xml:space="preserve">Key SME segments are identified but used only superficially in some aspects of product and service design
</v>
      </c>
      <c r="I58" s="55" t="s">
        <v>407</v>
      </c>
      <c r="J58" s="55" t="s">
        <v>408</v>
      </c>
      <c r="K58" s="51"/>
      <c r="L58" s="64" t="s">
        <v>409</v>
      </c>
    </row>
    <row r="59" spans="3:16" ht="79.5" customHeight="1" x14ac:dyDescent="0.2">
      <c r="C59" s="51"/>
      <c r="D59" s="140">
        <f>VALUE(LEFT('Bank diagnostic'!D40,FIND(" ",'Bank diagnostic'!D40)-1))</f>
        <v>4.3</v>
      </c>
      <c r="E59" s="129" t="str" cm="1">
        <f t="array" ref="E59">IFERROR(_xlfn.TEXTAFTER(INDEX('Bank diagnostic'!H:H, MATCH(TRUE, ISNUMBER(SEARCH(D59, 'Bank diagnostic'!D:D)), 0)),"Low:"), "Not Found")</f>
        <v xml:space="preserve"> There is no relationship management model for SMEs, or interactions are reactive or handled by generalist staff</v>
      </c>
      <c r="F59" s="55" t="s">
        <v>410</v>
      </c>
      <c r="G59" s="55" t="s">
        <v>411</v>
      </c>
      <c r="H59" s="134" t="str" cm="1">
        <f t="array" ref="H59">IFERROR(_xlfn.TEXTBEFORE(_xlfn.TEXTAFTER(INDEX('Bank diagnostic'!H:H, MATCH(TRUE, ISNUMBER(SEARCH(D59, 'Bank diagnostic'!D:D)), 0)),"Medium: "),"Low:"),"Not Found")</f>
        <v xml:space="preserve">There are SME focused staff who engage clients, but there are no consistent or standardized engagement practices
</v>
      </c>
      <c r="I59" s="55" t="s">
        <v>412</v>
      </c>
      <c r="J59" s="55" t="s">
        <v>413</v>
      </c>
      <c r="K59" s="51"/>
      <c r="L59" s="64" t="s">
        <v>414</v>
      </c>
    </row>
    <row r="60" spans="3:16" ht="79.5" customHeight="1" x14ac:dyDescent="0.2">
      <c r="C60" s="51"/>
      <c r="D60" s="140">
        <f>VALUE(LEFT('Bank diagnostic'!D41,FIND(" ",'Bank diagnostic'!D41)-1))</f>
        <v>4.4000000000000004</v>
      </c>
      <c r="E60" s="129" t="str" cm="1">
        <f t="array" ref="E60">IFERROR(_xlfn.TEXTAFTER(INDEX('Bank diagnostic'!H:H, MATCH(TRUE, ISNUMBER(SEARCH(D60, 'Bank diagnostic'!D:D)), 0)),"Low:"), "Not Found")</f>
        <v xml:space="preserve"> The bank does not analyze or use client data to expand its SME portfolio</v>
      </c>
      <c r="F60" s="55" t="s">
        <v>415</v>
      </c>
      <c r="G60" s="55" t="s">
        <v>416</v>
      </c>
      <c r="H60" s="134" t="str" cm="1">
        <f t="array" ref="H60">IFERROR(_xlfn.TEXTBEFORE(_xlfn.TEXTAFTER(INDEX('Bank diagnostic'!H:H, MATCH(TRUE, ISNUMBER(SEARCH(D60, 'Bank diagnostic'!D:D)), 0)),"Medium: "),"Low:"),"Not Found")</f>
        <v xml:space="preserve">The bank occasionally or partially uses broad client data to identify SME owners in other segments, but this is not systematic, and the insights not commonly used to support cross-selling or credit evaluation
</v>
      </c>
      <c r="I60" s="141" t="s">
        <v>417</v>
      </c>
      <c r="J60" s="141" t="s">
        <v>418</v>
      </c>
      <c r="K60" s="51"/>
      <c r="L60" s="180"/>
    </row>
    <row r="61" spans="3:16" ht="80.150000000000006" customHeight="1" x14ac:dyDescent="0.2">
      <c r="C61" s="51"/>
      <c r="D61" s="140">
        <f>VALUE(LEFT('Bank diagnostic'!D42,FIND(" ",'Bank diagnostic'!D42)-1))</f>
        <v>4.5</v>
      </c>
      <c r="E61" s="129" t="str" cm="1">
        <f t="array" ref="E61">IFERROR(_xlfn.TEXTAFTER(INDEX('Bank diagnostic'!H:H, MATCH(TRUE, ISNUMBER(SEARCH(D61, 'Bank diagnostic'!D:D)), 0)),"Low:"), "Not Found")</f>
        <v xml:space="preserve"> SME is not embedded into reporting systems, or there is no regular SME performance tracking</v>
      </c>
      <c r="F61" s="55" t="s">
        <v>419</v>
      </c>
      <c r="G61" s="55" t="s">
        <v>420</v>
      </c>
      <c r="H61" s="134" t="str" cm="1">
        <f t="array" ref="H61">IFERROR(_xlfn.TEXTBEFORE(_xlfn.TEXTAFTER(INDEX('Bank diagnostic'!H:H, MATCH(TRUE, ISNUMBER(SEARCH(D61, 'Bank diagnostic'!D:D)), 0)),"Medium: "),"Low:"),"Not Found")</f>
        <v xml:space="preserve">SME data is tracked in core reporting systems but not disaggregated, periodically updated, or reviewed
</v>
      </c>
      <c r="I61" s="141" t="s">
        <v>421</v>
      </c>
      <c r="J61" s="141" t="s">
        <v>422</v>
      </c>
      <c r="K61" s="51"/>
      <c r="L61" s="180" t="s">
        <v>423</v>
      </c>
    </row>
    <row r="62" spans="3:16" ht="80.150000000000006" customHeight="1" x14ac:dyDescent="0.2">
      <c r="C62" s="51"/>
      <c r="D62" s="140">
        <f>VALUE(LEFT('Bank diagnostic'!D43,FIND(" ",'Bank diagnostic'!D43)-1))</f>
        <v>4.5999999999999996</v>
      </c>
      <c r="E62" s="129" t="str" cm="1">
        <f t="array" ref="E62">IFERROR(_xlfn.TEXTAFTER(INDEX('Bank diagnostic'!H:H, MATCH(TRUE, ISNUMBER(SEARCH(D62, 'Bank diagnostic'!D:D)), 0)),"Low:"), "Not Found")</f>
        <v xml:space="preserve"> Most systems are separate, requiring staff to manually move information between them, which slows down processes and increases the risk of errors</v>
      </c>
      <c r="F62" s="55" t="s">
        <v>424</v>
      </c>
      <c r="G62" s="55" t="s">
        <v>425</v>
      </c>
      <c r="H62" s="134" t="str" cm="1">
        <f t="array" ref="H62">IFERROR(_xlfn.TEXTBEFORE(_xlfn.TEXTAFTER(INDEX('Bank diagnostic'!H:H, MATCH(TRUE, ISNUMBER(SEARCH(D62, 'Bank diagnostic'!D:D)), 0)),"Medium: "),"Low:"),"Not Found")</f>
        <v xml:space="preserve">Some systems are connected, but others (like credit or customer information) still require manual steps or data transfers
</v>
      </c>
      <c r="I62" s="55" t="s">
        <v>426</v>
      </c>
      <c r="J62" s="55" t="s">
        <v>427</v>
      </c>
      <c r="K62" s="51"/>
      <c r="L62" s="175"/>
      <c r="M62" s="181"/>
      <c r="N62" s="181"/>
      <c r="O62" s="181"/>
      <c r="P62" s="181"/>
    </row>
    <row r="63" spans="3:16" ht="80.150000000000006" customHeight="1" x14ac:dyDescent="0.2">
      <c r="C63" s="51"/>
      <c r="D63" s="140">
        <f>VALUE(LEFT('Bank diagnostic'!D44,FIND(" ",'Bank diagnostic'!D44)-1))</f>
        <v>4.7</v>
      </c>
      <c r="E63" s="129" t="str" cm="1">
        <f t="array" ref="E63">IFERROR(_xlfn.TEXTAFTER(INDEX('Bank diagnostic'!H:H, MATCH(TRUE, ISNUMBER(SEARCH(D63, 'Bank diagnostic'!D:D)), 0)),"Low:"), "Not Found")</f>
        <v xml:space="preserve"> Support for SME digital services is mostly informal. Issues are handled on an ad hoc basis</v>
      </c>
      <c r="F63" s="55" t="s">
        <v>428</v>
      </c>
      <c r="G63" s="55" t="s">
        <v>429</v>
      </c>
      <c r="H63" s="134" t="str" cm="1">
        <f t="array" ref="H63">IFERROR(_xlfn.TEXTBEFORE(_xlfn.TEXTAFTER(INDEX('Bank diagnostic'!H:H, MATCH(TRUE, ISNUMBER(SEARCH(D63, 'Bank diagnostic'!D:D)), 0)),"Medium: "),"Low:"),"Not Found")</f>
        <v xml:space="preserve">Some practices are in place (like issue tracking or support teams), but there's no single, consistent approach
</v>
      </c>
      <c r="I63" s="55" t="s">
        <v>430</v>
      </c>
      <c r="J63" s="55" t="s">
        <v>431</v>
      </c>
      <c r="K63" s="51"/>
      <c r="L63" s="175"/>
    </row>
    <row r="64" spans="3:16" ht="80.150000000000006" customHeight="1" x14ac:dyDescent="0.2">
      <c r="C64" s="51"/>
      <c r="D64" s="140">
        <f>VALUE(LEFT('Bank diagnostic'!D45,FIND(" ",'Bank diagnostic'!D45)-1))</f>
        <v>4.8</v>
      </c>
      <c r="E64" s="129" t="str" cm="1">
        <f t="array" ref="E64">IFERROR(_xlfn.TEXTAFTER(INDEX('Bank diagnostic'!H:H, MATCH(TRUE, ISNUMBER(SEARCH(D64, 'Bank diagnostic'!D:D)), 0)),"Low:"), "Not Found")</f>
        <v xml:space="preserve"> Launching a new SME digital feature takes 6+ months, or timelines are unpredictable</v>
      </c>
      <c r="F64" s="55" t="s">
        <v>432</v>
      </c>
      <c r="G64" s="55" t="s">
        <v>433</v>
      </c>
      <c r="H64" s="134" t="str" cm="1">
        <f t="array" ref="H64">IFERROR(_xlfn.TEXTBEFORE(_xlfn.TEXTAFTER(INDEX('Bank diagnostic'!H:H, MATCH(TRUE, ISNUMBER(SEARCH(D64, 'Bank diagnostic'!D:D)), 0)),"Medium: "),"Low:"),"Not Found")</f>
        <v xml:space="preserve">The typical time to launch is 3–6 months, with some internal delays or dependencies
</v>
      </c>
      <c r="I64" s="55" t="s">
        <v>434</v>
      </c>
      <c r="J64" s="55" t="s">
        <v>435</v>
      </c>
      <c r="K64" s="51"/>
      <c r="L64" s="175"/>
    </row>
    <row r="65" spans="3:12" ht="80.150000000000006" customHeight="1" x14ac:dyDescent="0.2">
      <c r="C65" s="51"/>
      <c r="D65" s="140">
        <f>VALUE(LEFT('Bank diagnostic'!D46,FIND(" ",'Bank diagnostic'!D46)-1))</f>
        <v>4.9000000000000004</v>
      </c>
      <c r="E65" s="129" t="str" cm="1">
        <f t="array" ref="E65">IFERROR(_xlfn.TEXTAFTER(INDEX('Bank diagnostic'!H:H, MATCH(TRUE, ISNUMBER(SEARCH(D65, 'Bank diagnostic'!D:D)), 0)),"No:"), "Not Found")</f>
        <v xml:space="preserve"> No evidence of privacy protections or regulatory alignment</v>
      </c>
      <c r="F65" s="55" t="s">
        <v>436</v>
      </c>
      <c r="G65" s="55" t="s">
        <v>437</v>
      </c>
      <c r="H65" s="134"/>
      <c r="I65" s="55"/>
      <c r="J65" s="55"/>
      <c r="K65" s="51"/>
      <c r="L65" s="175"/>
    </row>
    <row r="66" spans="3:12" ht="15" x14ac:dyDescent="0.3">
      <c r="C66" s="51"/>
      <c r="D66" s="147"/>
      <c r="E66" s="148" t="str">
        <f>'Bank diagnostic'!D47</f>
        <v>5. Products and value proposition</v>
      </c>
      <c r="F66" s="149"/>
      <c r="G66" s="149"/>
      <c r="H66" s="150"/>
      <c r="I66" s="149"/>
      <c r="J66" s="151"/>
      <c r="K66" s="51"/>
      <c r="L66" s="68"/>
    </row>
    <row r="67" spans="3:12" ht="15" x14ac:dyDescent="0.3">
      <c r="C67" s="51"/>
      <c r="D67" s="139"/>
      <c r="E67" s="143" t="str">
        <f>'Bank diagnostic'!D48</f>
        <v>SME offerings</v>
      </c>
      <c r="F67" s="144"/>
      <c r="G67" s="144"/>
      <c r="H67" s="145"/>
      <c r="I67" s="144"/>
      <c r="J67" s="146"/>
      <c r="K67" s="51"/>
      <c r="L67" s="68"/>
    </row>
    <row r="68" spans="3:12" ht="80.150000000000006" customHeight="1" x14ac:dyDescent="0.2">
      <c r="C68" s="51"/>
      <c r="D68" s="140">
        <f>VALUE(LEFT('Bank diagnostic'!D49,FIND(" ",'Bank diagnostic'!D49)-1))</f>
        <v>5.0999999999999996</v>
      </c>
      <c r="E68" s="129" t="str" cm="1">
        <f t="array" ref="E68">IFERROR(_xlfn.TEXTAFTER(INDEX('Bank diagnostic'!H:H, MATCH(TRUE, ISNUMBER(SEARCH(D68, 'Bank diagnostic'!D:D)), 0)),"Low:"), "Not Found")</f>
        <v xml:space="preserve"> The SME product offering is standardized and mostly limited to basic loan structures</v>
      </c>
      <c r="F68" s="130" t="s">
        <v>438</v>
      </c>
      <c r="G68" s="130" t="s">
        <v>439</v>
      </c>
      <c r="H68" s="134" t="str" cm="1">
        <f t="array" ref="H68">IFERROR(_xlfn.TEXTBEFORE(_xlfn.TEXTAFTER(INDEX('Bank diagnostic'!H:H, MATCH(TRUE, ISNUMBER(SEARCH(D68, 'Bank diagnostic'!D:D)), 0)),"Medium: "),"Low:"),"Not Found")</f>
        <v xml:space="preserve">The bank offers a broad range of standard SME products (e.g., overdrafts, term loans) and partially addresses some lifecycle needs, but products are not explicitly differentiated across lifecycle stages
</v>
      </c>
      <c r="I68" s="130" t="s">
        <v>440</v>
      </c>
      <c r="J68" s="130" t="s">
        <v>441</v>
      </c>
      <c r="K68" s="51"/>
      <c r="L68" s="64" t="s">
        <v>442</v>
      </c>
    </row>
    <row r="69" spans="3:12" ht="80.150000000000006" customHeight="1" x14ac:dyDescent="0.2">
      <c r="C69" s="51"/>
      <c r="D69" s="140">
        <f>VALUE(LEFT('Bank diagnostic'!D50,FIND(" ",'Bank diagnostic'!D50)-1))</f>
        <v>5.2</v>
      </c>
      <c r="E69" s="129" t="str" cm="1">
        <f t="array" ref="E69">IFERROR(_xlfn.TEXTAFTER(INDEX('Bank diagnostic'!H:H, MATCH(TRUE, ISNUMBER(SEARCH(D69, 'Bank diagnostic'!D:D)), 0)),"Low:"), "Not Found")</f>
        <v xml:space="preserve"> The bank treats SMEs as a uniform group with no differentiation or sector-specific offerings</v>
      </c>
      <c r="F69" s="130" t="s">
        <v>443</v>
      </c>
      <c r="G69" s="130" t="s">
        <v>444</v>
      </c>
      <c r="H69" s="134" t="str" cm="1">
        <f t="array" ref="H69">IFERROR(_xlfn.TEXTBEFORE(_xlfn.TEXTAFTER(INDEX('Bank diagnostic'!H:H, MATCH(TRUE, ISNUMBER(SEARCH(D69, 'Bank diagnostic'!D:D)), 0)),"Medium: "),"Low:"),"Not Found")</f>
        <v xml:space="preserve">The bank has some products tailored to SME segments, but mostly offers standardized products with slight adjustments
</v>
      </c>
      <c r="I69" s="226" t="s">
        <v>445</v>
      </c>
      <c r="J69" s="226" t="s">
        <v>446</v>
      </c>
      <c r="K69" s="51"/>
      <c r="L69" s="64"/>
    </row>
    <row r="70" spans="3:12" ht="80.150000000000006" customHeight="1" x14ac:dyDescent="0.2">
      <c r="C70" s="51"/>
      <c r="D70" s="140">
        <f>VALUE(LEFT('Bank diagnostic'!D51,FIND(" ",'Bank diagnostic'!D51)-1))</f>
        <v>5.3</v>
      </c>
      <c r="E70" s="129" t="str" cm="1">
        <f t="array" ref="E70">IFERROR(_xlfn.TEXTAFTER(INDEX('Bank diagnostic'!H:H, MATCH(TRUE, ISNUMBER(SEARCH(D70, 'Bank diagnostic'!D:D)), 0)),"Low:"), "Not Found")</f>
        <v xml:space="preserve"> There are no structured non-financial services offered to SMEs</v>
      </c>
      <c r="F70" s="141" t="s">
        <v>447</v>
      </c>
      <c r="G70" s="141" t="s">
        <v>448</v>
      </c>
      <c r="H70" s="134" t="str" cm="1">
        <f t="array" ref="H70">IFERROR(_xlfn.TEXTBEFORE(_xlfn.TEXTAFTER(INDEX('Bank diagnostic'!H:H, MATCH(TRUE, ISNUMBER(SEARCH(D70, 'Bank diagnostic'!D:D)), 0)),"Medium: "),"Low:"),"Not Found")</f>
        <v xml:space="preserve">Some non-financial services are offered (e.g., financial literacy), but they are generic, lightly delivered, or not tailored to SME segments
</v>
      </c>
      <c r="I70" s="141" t="s">
        <v>449</v>
      </c>
      <c r="J70" s="141" t="s">
        <v>450</v>
      </c>
      <c r="K70" s="51"/>
      <c r="L70" s="64" t="s">
        <v>451</v>
      </c>
    </row>
    <row r="71" spans="3:12" ht="80.150000000000006" customHeight="1" x14ac:dyDescent="0.2">
      <c r="C71" s="51"/>
      <c r="D71" s="140">
        <f>VALUE(LEFT('Bank diagnostic'!D52,FIND(" ",'Bank diagnostic'!D52)-1))</f>
        <v>5.4</v>
      </c>
      <c r="E71" s="129" t="str" cm="1">
        <f t="array" ref="E71">IFERROR(_xlfn.TEXTAFTER(INDEX('Bank diagnostic'!H:H, MATCH(TRUE, ISNUMBER(SEARCH(D71, 'Bank diagnostic'!D:D)), 0)),"Low:"), "Not Found")</f>
        <v xml:space="preserve"> Key services are unavailable digitally or frequently fail</v>
      </c>
      <c r="F71" s="55" t="s">
        <v>452</v>
      </c>
      <c r="G71" s="55" t="s">
        <v>453</v>
      </c>
      <c r="H71" s="134" t="str" cm="1">
        <f t="array" ref="H71">IFERROR(_xlfn.TEXTBEFORE(_xlfn.TEXTAFTER(INDEX('Bank diagnostic'!H:H, MATCH(TRUE, ISNUMBER(SEARCH(D71, 'Bank diagnostic'!D:D)), 0)),"Medium: "),"Low:"),"Not Found")</f>
        <v xml:space="preserve">Some services are digitally available, but others are incomplete or require offline support
</v>
      </c>
      <c r="I71" s="55" t="s">
        <v>454</v>
      </c>
      <c r="J71" s="55" t="s">
        <v>455</v>
      </c>
      <c r="K71" s="51"/>
      <c r="L71" s="175"/>
    </row>
    <row r="72" spans="3:12" ht="80.150000000000006" customHeight="1" x14ac:dyDescent="0.2">
      <c r="C72" s="51"/>
      <c r="D72" s="140">
        <f>VALUE(LEFT('Bank diagnostic'!D53,FIND(" ",'Bank diagnostic'!D53)-1))</f>
        <v>5.5</v>
      </c>
      <c r="E72" s="129" t="str" cm="1">
        <f t="array" ref="E72">IFERROR(_xlfn.TEXTAFTER(INDEX('Bank diagnostic'!H:H, MATCH(TRUE, ISNUMBER(SEARCH(D72, 'Bank diagnostic'!D:D)), 0)),"Low:"), "Not Found")</f>
        <v xml:space="preserve"> No digital  non-financial services are available</v>
      </c>
      <c r="F72" s="55" t="s">
        <v>456</v>
      </c>
      <c r="G72" s="55" t="s">
        <v>457</v>
      </c>
      <c r="H72" s="134" t="str" cm="1">
        <f t="array" ref="H72">IFERROR(_xlfn.TEXTBEFORE(_xlfn.TEXTAFTER(INDEX('Bank diagnostic'!H:H, MATCH(TRUE, ISNUMBER(SEARCH(D72, 'Bank diagnostic'!D:D)), 0)),"Medium: "),"Low:"),"Not Found")</f>
        <v xml:space="preserve">Some basic, digital non-financial services are offered (e.g., invoice templates or simple calculators)
</v>
      </c>
      <c r="I72" s="55" t="s">
        <v>458</v>
      </c>
      <c r="J72" s="55" t="s">
        <v>459</v>
      </c>
      <c r="K72" s="51"/>
      <c r="L72" s="175"/>
    </row>
    <row r="73" spans="3:12" ht="80.150000000000006" customHeight="1" x14ac:dyDescent="0.2">
      <c r="C73" s="51"/>
      <c r="D73" s="140">
        <f>VALUE(LEFT('Bank diagnostic'!D54,FIND(" ",'Bank diagnostic'!D54)-1))</f>
        <v>5.6</v>
      </c>
      <c r="E73" s="129" t="str" cm="1">
        <f t="array" ref="E73">IFERROR(_xlfn.TEXTAFTER(INDEX('Bank diagnostic'!H:H, MATCH(TRUE, ISNUMBER(SEARCH(D73, 'Bank diagnostic'!D:D)), 0)),"Low:"), "Not Found")</f>
        <v xml:space="preserve"> SME feedback highlights frequent frustration with the digital channels' interface, speed, or mobile performance</v>
      </c>
      <c r="F73" s="130" t="s">
        <v>460</v>
      </c>
      <c r="G73" s="130" t="s">
        <v>461</v>
      </c>
      <c r="H73" s="134" t="str" cm="1">
        <f t="array" ref="H73">IFERROR(_xlfn.TEXTBEFORE(_xlfn.TEXTAFTER(INDEX('Bank diagnostic'!H:H, MATCH(TRUE, ISNUMBER(SEARCH(D73, 'Bank diagnostic'!D:D)), 0)),"Medium: "),"Low:"),"Not Found")</f>
        <v xml:space="preserve">SME users report a generally functional experience, but with occasional complaints about usability, navigation, or mobile optimization
</v>
      </c>
      <c r="I73" s="130" t="s">
        <v>462</v>
      </c>
      <c r="J73" s="130" t="s">
        <v>463</v>
      </c>
      <c r="K73" s="51"/>
      <c r="L73" s="175"/>
    </row>
    <row r="74" spans="3:12" ht="15" x14ac:dyDescent="0.3">
      <c r="C74" s="51"/>
      <c r="D74" s="139"/>
      <c r="E74" s="143" t="str">
        <f>'Bank diagnostic'!D55</f>
        <v>Financial performance</v>
      </c>
      <c r="F74" s="144"/>
      <c r="G74" s="144"/>
      <c r="H74" s="145"/>
      <c r="I74" s="144"/>
      <c r="J74" s="146"/>
      <c r="K74" s="51"/>
      <c r="L74" s="68"/>
    </row>
    <row r="75" spans="3:12" ht="80.150000000000006" customHeight="1" x14ac:dyDescent="0.2">
      <c r="C75" s="51"/>
      <c r="D75" s="140">
        <f>VALUE(LEFT('Bank diagnostic'!D56,FIND(" ",'Bank diagnostic'!D56)-1))</f>
        <v>5.7</v>
      </c>
      <c r="E75" s="129" t="str" cm="1">
        <f t="array" ref="E75">IFERROR(_xlfn.TEXTAFTER(INDEX('Bank diagnostic'!H:H, MATCH(TRUE, ISNUMBER(SEARCH(D75, 'Bank diagnostic'!D:D)), 0)),"Low:"), "Not Found")</f>
        <v xml:space="preserve"> Flat or declining SME portfolio over the past three years</v>
      </c>
      <c r="F75" s="130" t="s">
        <v>464</v>
      </c>
      <c r="G75" s="130" t="s">
        <v>465</v>
      </c>
      <c r="H75" s="134" t="str" cm="1">
        <f t="array" ref="H75">IFERROR(_xlfn.TEXTBEFORE(_xlfn.TEXTAFTER(INDEX('Bank diagnostic'!H:H, MATCH(TRUE, ISNUMBER(SEARCH(D75, 'Bank diagnostic'!D:D)), 0)),"Medium: "),"Low:"),"Not Found")</f>
        <v xml:space="preserve">Portfolio has grown, but inconsistently, over the past 3 years (ups and downs but net positive)
</v>
      </c>
      <c r="I75" s="130" t="s">
        <v>466</v>
      </c>
      <c r="J75" s="130" t="s">
        <v>467</v>
      </c>
      <c r="K75" s="51"/>
      <c r="L75" s="64" t="s">
        <v>468</v>
      </c>
    </row>
    <row r="76" spans="3:12" ht="80.150000000000006" customHeight="1" x14ac:dyDescent="0.2">
      <c r="C76" s="51"/>
      <c r="D76" s="140">
        <f>VALUE(LEFT('Bank diagnostic'!D57,FIND(" ",'Bank diagnostic'!D57)-1))</f>
        <v>5.8</v>
      </c>
      <c r="E76" s="129" t="str" cm="1">
        <f t="array" ref="E76">IFERROR(_xlfn.TEXTAFTER(INDEX('Bank diagnostic'!H:H, MATCH(TRUE, ISNUMBER(SEARCH(D76, 'Bank diagnostic'!D:D)), 0)),"Low:"), "Not Found")</f>
        <v xml:space="preserve"> SME NPLs are &gt;12% or worsening over time</v>
      </c>
      <c r="F76" s="55" t="s">
        <v>469</v>
      </c>
      <c r="G76" s="55" t="s">
        <v>470</v>
      </c>
      <c r="H76" s="134" t="str" cm="1">
        <f t="array" ref="H76">IFERROR(_xlfn.TEXTBEFORE(_xlfn.TEXTAFTER(INDEX('Bank diagnostic'!H:H, MATCH(TRUE, ISNUMBER(SEARCH(D76, 'Bank diagnostic'!D:D)), 0)),"Medium: "),"Low:"),"Not Found")</f>
        <v xml:space="preserve">SME NPLs are 5–12% 
</v>
      </c>
      <c r="I76" s="55" t="s">
        <v>471</v>
      </c>
      <c r="J76" s="55" t="s">
        <v>472</v>
      </c>
      <c r="K76" s="51"/>
      <c r="L76" s="64" t="s">
        <v>473</v>
      </c>
    </row>
    <row r="77" spans="3:12" ht="80.150000000000006" customHeight="1" x14ac:dyDescent="0.2">
      <c r="C77" s="51"/>
      <c r="D77" s="140">
        <f>VALUE(LEFT('Bank diagnostic'!D58,FIND(" ",'Bank diagnostic'!D58)-1))</f>
        <v>5.9</v>
      </c>
      <c r="E77" s="129" t="str" cm="1">
        <f t="array" ref="E77">IFERROR(_xlfn.TEXTAFTER(INDEX('Bank diagnostic'!H:H, MATCH(TRUE, ISNUMBER(SEARCH(D77, 'Bank diagnostic'!D:D)), 0)),"Low:"), "Not Found")</f>
        <v xml:space="preserve"> Most SME clients rely on a single product (typically credit), with minimal use of additional services</v>
      </c>
      <c r="F77" s="55" t="s">
        <v>474</v>
      </c>
      <c r="G77" s="55" t="s">
        <v>475</v>
      </c>
      <c r="H77" s="134" t="str" cm="1">
        <f t="array" ref="H77">IFERROR(_xlfn.TEXTBEFORE(_xlfn.TEXTAFTER(INDEX('Bank diagnostic'!H:H, MATCH(TRUE, ISNUMBER(SEARCH(D77, 'Bank diagnostic'!D:D)), 0)),"Medium: "),"Low:"),"Not Found")</f>
        <v xml:space="preserve">Most SME clients use more than one product (typically credit plus one), but product bundling is not proactively offered or acquired 
</v>
      </c>
      <c r="I77" s="55" t="s">
        <v>476</v>
      </c>
      <c r="J77" s="55" t="s">
        <v>477</v>
      </c>
      <c r="K77" s="51"/>
      <c r="L77" s="64" t="s">
        <v>478</v>
      </c>
    </row>
    <row r="78" spans="3:12" ht="80.150000000000006" customHeight="1" x14ac:dyDescent="0.2">
      <c r="C78" s="51"/>
      <c r="D78" s="140">
        <f>VALUE(LEFT('Bank diagnostic'!D59,FIND(" ",'Bank diagnostic'!D59)-1))</f>
        <v>5.0999999999999996</v>
      </c>
      <c r="E78" s="129" t="str" cm="1">
        <f t="array" ref="E78">IFERROR(_xlfn.TEXTAFTER(INDEX('Bank diagnostic'!H:H, MATCH(TRUE, ISNUMBER(SEARCH(D78, 'Bank diagnostic'!D:D)), 0)),"Low:"), "Not Found")</f>
        <v xml:space="preserve"> The SME product offering is standardized and mostly limited to basic loan structures</v>
      </c>
      <c r="F78" s="55" t="s">
        <v>479</v>
      </c>
      <c r="G78" s="55" t="s">
        <v>480</v>
      </c>
      <c r="H78" s="134" t="str" cm="1">
        <f t="array" ref="H78">IFERROR(_xlfn.TEXTBEFORE(_xlfn.TEXTAFTER(INDEX('Bank diagnostic'!H:H, MATCH(TRUE, ISNUMBER(SEARCH(D78, 'Bank diagnostic'!D:D)), 0)),"Medium: "),"Low:"),"Not Found")</f>
        <v xml:space="preserve">The bank offers a broad range of standard SME products (e.g., overdrafts, term loans) and partially addresses some lifecycle needs, but products are not explicitly differentiated across lifecycle stages
</v>
      </c>
      <c r="I78" s="55" t="s">
        <v>481</v>
      </c>
      <c r="J78" s="55" t="s">
        <v>482</v>
      </c>
      <c r="K78" s="51"/>
      <c r="L78" s="64" t="s">
        <v>483</v>
      </c>
    </row>
    <row r="79" spans="3:12" x14ac:dyDescent="0.3">
      <c r="C79" s="51"/>
      <c r="D79" s="51"/>
      <c r="E79" s="56"/>
      <c r="F79" s="51"/>
      <c r="G79" s="51"/>
      <c r="H79" s="51"/>
      <c r="I79" s="51"/>
      <c r="J79" s="51"/>
      <c r="K79" s="51"/>
    </row>
    <row r="80" spans="3:12" x14ac:dyDescent="0.25">
      <c r="C80" s="51"/>
      <c r="D80" s="56"/>
      <c r="E80" s="51"/>
      <c r="F80" s="51"/>
      <c r="G80" s="51"/>
      <c r="H80" s="135"/>
      <c r="I80" s="51"/>
      <c r="J80" s="51"/>
      <c r="K80" s="51"/>
    </row>
    <row r="81" spans="3:11" x14ac:dyDescent="0.25">
      <c r="C81" s="51"/>
      <c r="D81" s="56"/>
      <c r="E81" s="51"/>
      <c r="F81" s="51"/>
      <c r="G81" s="51"/>
      <c r="H81" s="135"/>
      <c r="I81" s="51"/>
      <c r="J81" s="51"/>
      <c r="K81" s="51"/>
    </row>
  </sheetData>
  <mergeCells count="3">
    <mergeCell ref="G18:H18"/>
    <mergeCell ref="E4:H4"/>
    <mergeCell ref="E5:H8"/>
  </mergeCells>
  <pageMargins left="0.7" right="0.7" top="0.75" bottom="0.75" header="0.3" footer="0.3"/>
  <pageSetup scale="1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0C29D-197F-4C2A-86D8-C4FF57FD7ACD}">
  <sheetPr>
    <tabColor theme="5" tint="0.39997558519241921"/>
    <pageSetUpPr fitToPage="1"/>
  </sheetPr>
  <dimension ref="A1:AL28"/>
  <sheetViews>
    <sheetView zoomScale="24" zoomScaleNormal="66" workbookViewId="0">
      <selection activeCell="C12" sqref="C12"/>
    </sheetView>
  </sheetViews>
  <sheetFormatPr defaultColWidth="9.23046875" defaultRowHeight="14" x14ac:dyDescent="0.3"/>
  <cols>
    <col min="1" max="2" width="9.23046875" style="29"/>
    <col min="3" max="3" width="37.07421875" style="29" bestFit="1" customWidth="1"/>
    <col min="4" max="4" width="29.23046875" style="29" customWidth="1"/>
    <col min="5" max="5" width="10.3046875" style="29" customWidth="1"/>
    <col min="6" max="6" width="35.3046875" style="29" customWidth="1"/>
    <col min="7" max="7" width="9" style="29" customWidth="1"/>
    <col min="8" max="8" width="3.3046875" style="209" customWidth="1"/>
    <col min="9" max="9" width="2.3046875" style="209" customWidth="1"/>
    <col min="10" max="10" width="32.3046875" style="29" customWidth="1"/>
    <col min="11" max="13" width="9.23046875" style="29"/>
    <col min="14" max="14" width="19.53515625" style="29" customWidth="1"/>
    <col min="15" max="15" width="92.84375" style="29" customWidth="1"/>
    <col min="16" max="16" width="66.765625" style="29" customWidth="1"/>
    <col min="17" max="17" width="69.4609375" style="29" customWidth="1"/>
    <col min="18" max="18" width="28" style="29" customWidth="1"/>
    <col min="19" max="16384" width="9.23046875" style="29"/>
  </cols>
  <sheetData>
    <row r="1" spans="1:38" ht="15" x14ac:dyDescent="0.3">
      <c r="A1" s="28" t="s">
        <v>484</v>
      </c>
      <c r="B1" s="28"/>
      <c r="C1" s="28"/>
      <c r="D1" s="28"/>
      <c r="E1" s="28"/>
      <c r="F1" s="28"/>
      <c r="G1" s="28"/>
      <c r="H1" s="200"/>
      <c r="I1" s="200"/>
      <c r="J1" s="28"/>
      <c r="K1" s="28"/>
      <c r="L1" s="28"/>
      <c r="M1" s="28"/>
    </row>
    <row r="2" spans="1:38" ht="15" x14ac:dyDescent="0.3">
      <c r="A2" s="28"/>
      <c r="B2" s="28"/>
      <c r="C2" s="28"/>
      <c r="D2" s="28"/>
      <c r="E2" s="28"/>
      <c r="F2" s="28"/>
      <c r="G2" s="28"/>
      <c r="H2" s="200"/>
      <c r="I2" s="200"/>
      <c r="J2" s="28"/>
      <c r="K2" s="28"/>
      <c r="L2" s="28"/>
      <c r="M2" s="28"/>
    </row>
    <row r="3" spans="1:38" ht="15" x14ac:dyDescent="0.3">
      <c r="A3" s="28"/>
      <c r="B3" s="30"/>
      <c r="C3" s="30"/>
      <c r="D3" s="30"/>
      <c r="E3" s="30"/>
      <c r="F3" s="30"/>
      <c r="G3" s="30"/>
      <c r="H3" s="44"/>
      <c r="I3" s="44"/>
      <c r="J3" s="30"/>
      <c r="K3" s="30"/>
      <c r="L3" s="30"/>
      <c r="M3" s="30"/>
      <c r="N3" s="2"/>
      <c r="O3" s="2"/>
      <c r="P3" s="2"/>
      <c r="Q3" s="2"/>
      <c r="R3" s="2"/>
      <c r="S3" s="2"/>
      <c r="T3" s="2"/>
      <c r="U3" s="2"/>
      <c r="V3" s="2"/>
      <c r="W3" s="2"/>
      <c r="X3" s="2"/>
      <c r="Y3" s="2"/>
      <c r="Z3" s="2"/>
      <c r="AA3" s="2"/>
      <c r="AB3" s="2"/>
      <c r="AC3" s="2"/>
      <c r="AD3" s="2"/>
      <c r="AE3" s="2"/>
      <c r="AF3" s="2"/>
      <c r="AG3" s="2"/>
      <c r="AH3" s="2"/>
      <c r="AI3" s="2"/>
      <c r="AJ3" s="2"/>
      <c r="AK3" s="2"/>
      <c r="AL3" s="2"/>
    </row>
    <row r="4" spans="1:38" ht="15" x14ac:dyDescent="0.3">
      <c r="A4" s="28"/>
      <c r="B4" s="30"/>
      <c r="C4" s="31"/>
      <c r="D4" s="31"/>
      <c r="E4" s="31"/>
      <c r="F4" s="31"/>
      <c r="G4" s="31"/>
      <c r="H4" s="49"/>
      <c r="I4" s="49"/>
      <c r="J4" s="31"/>
      <c r="K4" s="30"/>
      <c r="L4" s="30"/>
      <c r="M4" s="30"/>
      <c r="N4" s="2"/>
      <c r="O4" s="2"/>
      <c r="P4" s="2"/>
      <c r="Q4" s="2"/>
      <c r="R4" s="2"/>
      <c r="S4" s="2"/>
      <c r="T4" s="2"/>
      <c r="U4" s="2"/>
      <c r="V4" s="2"/>
      <c r="W4" s="2"/>
      <c r="X4" s="2"/>
      <c r="Y4" s="2"/>
      <c r="Z4" s="2"/>
      <c r="AA4" s="2"/>
      <c r="AB4" s="2"/>
      <c r="AC4" s="2"/>
      <c r="AD4" s="2"/>
      <c r="AE4" s="2"/>
      <c r="AF4" s="2"/>
      <c r="AG4" s="2"/>
      <c r="AH4" s="2"/>
      <c r="AI4" s="2"/>
      <c r="AJ4" s="2"/>
      <c r="AK4" s="2"/>
      <c r="AL4" s="2"/>
    </row>
    <row r="5" spans="1:38" ht="15" x14ac:dyDescent="0.3">
      <c r="A5" s="28"/>
      <c r="B5" s="30"/>
      <c r="C5" s="31"/>
      <c r="D5" s="31"/>
      <c r="E5" s="31"/>
      <c r="F5" s="31"/>
      <c r="G5" s="31"/>
      <c r="H5" s="49"/>
      <c r="I5" s="49"/>
      <c r="J5" s="31"/>
      <c r="K5" s="30"/>
      <c r="L5" s="30"/>
      <c r="M5" s="30"/>
      <c r="N5" s="2"/>
      <c r="O5" s="2"/>
      <c r="P5" s="2"/>
      <c r="Q5" s="2"/>
      <c r="R5" s="2"/>
      <c r="S5" s="2"/>
      <c r="T5" s="2"/>
      <c r="U5" s="2"/>
      <c r="V5" s="2"/>
      <c r="W5" s="2"/>
      <c r="X5" s="2"/>
      <c r="Y5" s="2"/>
      <c r="Z5" s="2"/>
      <c r="AA5" s="2"/>
      <c r="AB5" s="2"/>
      <c r="AC5" s="2"/>
      <c r="AD5" s="2"/>
      <c r="AE5" s="2"/>
      <c r="AF5" s="2"/>
      <c r="AG5" s="2"/>
      <c r="AH5" s="2"/>
      <c r="AI5" s="2"/>
      <c r="AJ5" s="2"/>
      <c r="AK5" s="2"/>
      <c r="AL5" s="2"/>
    </row>
    <row r="6" spans="1:38" ht="22.5" x14ac:dyDescent="0.3">
      <c r="A6" s="28"/>
      <c r="B6" s="30"/>
      <c r="C6" s="326" t="s">
        <v>485</v>
      </c>
      <c r="D6" s="326"/>
      <c r="E6" s="326"/>
      <c r="F6" s="326"/>
      <c r="G6" s="326"/>
      <c r="H6" s="326"/>
      <c r="I6" s="326"/>
      <c r="J6" s="326"/>
      <c r="K6" s="30"/>
      <c r="L6" s="30"/>
      <c r="M6" s="30"/>
      <c r="N6" s="2"/>
      <c r="O6" s="2"/>
      <c r="P6" s="2"/>
      <c r="Q6" s="2"/>
      <c r="R6" s="2"/>
      <c r="S6" s="2"/>
      <c r="T6" s="2"/>
      <c r="U6" s="2"/>
      <c r="V6" s="2"/>
      <c r="W6" s="2"/>
      <c r="X6" s="2"/>
      <c r="Y6" s="2"/>
      <c r="Z6" s="2"/>
      <c r="AA6" s="2"/>
      <c r="AB6" s="2"/>
      <c r="AC6" s="2"/>
      <c r="AD6" s="2"/>
      <c r="AE6" s="2"/>
      <c r="AF6" s="2"/>
      <c r="AG6" s="2"/>
      <c r="AH6" s="2"/>
      <c r="AI6" s="2"/>
      <c r="AJ6" s="2"/>
      <c r="AK6" s="2"/>
      <c r="AL6" s="2"/>
    </row>
    <row r="7" spans="1:38" ht="15" x14ac:dyDescent="0.3">
      <c r="A7" s="28"/>
      <c r="B7" s="30"/>
      <c r="C7" s="31"/>
      <c r="D7" s="31"/>
      <c r="E7" s="31"/>
      <c r="F7" s="31"/>
      <c r="G7" s="31"/>
      <c r="H7" s="49"/>
      <c r="I7" s="49"/>
      <c r="J7" s="31"/>
      <c r="K7" s="30"/>
      <c r="L7" s="30"/>
      <c r="M7" s="30"/>
      <c r="N7" s="2"/>
      <c r="O7" s="2"/>
      <c r="P7" s="2"/>
      <c r="Q7" s="2"/>
      <c r="R7" s="2"/>
      <c r="S7" s="2"/>
      <c r="T7" s="2"/>
      <c r="U7" s="2"/>
      <c r="V7" s="2"/>
      <c r="W7" s="2"/>
      <c r="X7" s="2"/>
      <c r="Y7" s="2"/>
      <c r="Z7" s="2"/>
      <c r="AA7" s="2"/>
      <c r="AB7" s="2"/>
      <c r="AC7" s="2"/>
      <c r="AD7" s="2"/>
      <c r="AE7" s="2"/>
      <c r="AF7" s="2"/>
      <c r="AG7" s="2"/>
      <c r="AH7" s="2"/>
      <c r="AI7" s="2"/>
      <c r="AJ7" s="2"/>
      <c r="AK7" s="2"/>
      <c r="AL7" s="2"/>
    </row>
    <row r="8" spans="1:38" ht="15" x14ac:dyDescent="0.3">
      <c r="A8" s="28"/>
      <c r="B8" s="30"/>
      <c r="C8" s="31"/>
      <c r="D8" s="31"/>
      <c r="E8" s="31"/>
      <c r="F8" s="31"/>
      <c r="G8" s="31"/>
      <c r="H8" s="49"/>
      <c r="I8" s="49"/>
      <c r="J8" s="31"/>
      <c r="K8" s="30"/>
      <c r="L8" s="30"/>
      <c r="M8" s="30"/>
      <c r="N8" s="2"/>
      <c r="O8" s="2"/>
      <c r="P8" s="2"/>
      <c r="Q8" s="2"/>
      <c r="R8" s="2"/>
      <c r="S8" s="2"/>
      <c r="T8" s="2"/>
      <c r="U8" s="2"/>
      <c r="V8" s="2"/>
      <c r="W8" s="2"/>
      <c r="X8" s="2"/>
      <c r="Y8" s="2"/>
      <c r="Z8" s="2"/>
      <c r="AA8" s="2"/>
      <c r="AB8" s="2"/>
      <c r="AC8" s="2"/>
      <c r="AD8" s="2"/>
      <c r="AE8" s="2"/>
      <c r="AF8" s="2"/>
      <c r="AG8" s="2"/>
      <c r="AH8" s="2"/>
      <c r="AI8" s="2"/>
      <c r="AJ8" s="2"/>
      <c r="AK8" s="2"/>
      <c r="AL8" s="2"/>
    </row>
    <row r="9" spans="1:38" ht="15" x14ac:dyDescent="0.3">
      <c r="A9" s="28"/>
      <c r="B9" s="30"/>
      <c r="C9" s="31"/>
      <c r="D9" s="31"/>
      <c r="E9" s="31"/>
      <c r="F9" s="31"/>
      <c r="G9" s="31"/>
      <c r="H9" s="49"/>
      <c r="I9" s="49"/>
      <c r="J9" s="31"/>
      <c r="K9" s="30"/>
      <c r="L9" s="30"/>
      <c r="M9" s="30"/>
      <c r="N9" s="2"/>
      <c r="O9" s="2"/>
      <c r="P9" s="2"/>
      <c r="Q9" s="2"/>
      <c r="R9" s="2"/>
      <c r="S9" s="2"/>
      <c r="T9" s="2"/>
      <c r="U9" s="2"/>
      <c r="V9" s="2"/>
      <c r="W9" s="2"/>
      <c r="X9" s="2"/>
      <c r="Y9" s="2"/>
      <c r="Z9" s="2"/>
      <c r="AA9" s="2"/>
      <c r="AB9" s="2"/>
      <c r="AC9" s="2"/>
      <c r="AD9" s="2"/>
      <c r="AE9" s="2"/>
      <c r="AF9" s="2"/>
      <c r="AG9" s="2"/>
      <c r="AH9" s="2"/>
      <c r="AI9" s="2"/>
      <c r="AJ9" s="2"/>
      <c r="AK9" s="2"/>
      <c r="AL9" s="2"/>
    </row>
    <row r="10" spans="1:38" ht="15" x14ac:dyDescent="0.3">
      <c r="A10" s="28"/>
      <c r="B10" s="30"/>
      <c r="C10" s="2"/>
      <c r="D10" s="2"/>
      <c r="E10" s="2"/>
      <c r="F10" s="2"/>
      <c r="G10" s="2"/>
      <c r="H10" s="186"/>
      <c r="I10" s="186"/>
      <c r="J10" s="2"/>
      <c r="K10" s="2"/>
      <c r="L10" s="30"/>
      <c r="M10" s="30"/>
      <c r="N10" s="2"/>
      <c r="O10" s="2"/>
      <c r="P10" s="2"/>
      <c r="Q10" s="2"/>
      <c r="R10" s="2"/>
      <c r="S10" s="2"/>
      <c r="T10" s="2"/>
      <c r="U10" s="2"/>
      <c r="V10" s="2"/>
      <c r="W10" s="2"/>
      <c r="X10" s="2"/>
      <c r="Y10" s="2"/>
      <c r="Z10" s="2"/>
      <c r="AA10" s="2"/>
      <c r="AB10" s="2"/>
      <c r="AC10" s="2"/>
      <c r="AD10" s="2"/>
      <c r="AE10" s="2"/>
      <c r="AF10" s="2"/>
      <c r="AG10" s="2"/>
      <c r="AH10" s="2"/>
      <c r="AI10" s="2"/>
      <c r="AJ10" s="2"/>
      <c r="AK10" s="2"/>
      <c r="AL10" s="2"/>
    </row>
    <row r="11" spans="1:38" ht="20" x14ac:dyDescent="0.3">
      <c r="A11" s="28"/>
      <c r="B11" s="30"/>
      <c r="C11" s="33" t="s">
        <v>486</v>
      </c>
      <c r="D11" s="32" t="str">
        <f>'Bank diagnostic'!F10</f>
        <v>Bank X</v>
      </c>
      <c r="E11" s="32"/>
      <c r="F11" s="32"/>
      <c r="G11" s="32"/>
      <c r="H11" s="201"/>
      <c r="I11" s="201"/>
      <c r="J11" s="32"/>
      <c r="K11" s="30"/>
      <c r="L11" s="30"/>
      <c r="M11" s="30"/>
      <c r="N11" s="2"/>
      <c r="O11" s="2"/>
      <c r="P11" s="2"/>
      <c r="Q11" s="2"/>
      <c r="R11" s="2"/>
      <c r="S11" s="2"/>
      <c r="T11" s="2"/>
      <c r="U11" s="2"/>
      <c r="V11" s="2"/>
      <c r="W11" s="2"/>
      <c r="X11" s="2"/>
      <c r="Y11" s="2"/>
      <c r="Z11" s="2"/>
      <c r="AA11" s="2"/>
      <c r="AB11" s="2"/>
      <c r="AC11" s="2"/>
      <c r="AD11" s="2"/>
      <c r="AE11" s="2"/>
      <c r="AF11" s="2"/>
      <c r="AG11" s="2"/>
      <c r="AH11" s="2"/>
      <c r="AI11" s="2"/>
      <c r="AJ11" s="2"/>
      <c r="AK11" s="2"/>
      <c r="AL11" s="2"/>
    </row>
    <row r="12" spans="1:38" ht="20" x14ac:dyDescent="0.3">
      <c r="A12" s="28"/>
      <c r="B12" s="30"/>
      <c r="C12" s="33" t="s">
        <v>487</v>
      </c>
      <c r="D12" s="196" t="e" vm="1">
        <f>_xlfn.CONCAT(TEXT('Bank diagnostic'!H11,"0")," / ",Methodology!I26)</f>
        <v>#VALUE!</v>
      </c>
      <c r="E12" s="196"/>
      <c r="F12" s="34"/>
      <c r="G12" s="35"/>
      <c r="H12" s="202"/>
      <c r="I12" s="202"/>
      <c r="J12" s="36"/>
      <c r="K12" s="36"/>
      <c r="L12" s="30"/>
      <c r="M12" s="30"/>
      <c r="N12" s="2"/>
      <c r="O12" s="2"/>
      <c r="P12" s="2"/>
      <c r="Q12" s="2"/>
      <c r="R12" s="2"/>
      <c r="S12" s="2"/>
      <c r="T12" s="2"/>
      <c r="U12" s="2"/>
      <c r="V12" s="2"/>
      <c r="W12" s="2"/>
      <c r="X12" s="2"/>
      <c r="Y12" s="2"/>
      <c r="Z12" s="2"/>
      <c r="AA12" s="2"/>
      <c r="AB12" s="2"/>
      <c r="AC12" s="2"/>
      <c r="AD12" s="2"/>
      <c r="AE12" s="2"/>
      <c r="AF12" s="2"/>
      <c r="AG12" s="2"/>
      <c r="AH12" s="2"/>
      <c r="AI12" s="2"/>
      <c r="AJ12" s="2"/>
      <c r="AK12" s="2"/>
      <c r="AL12" s="2"/>
    </row>
    <row r="13" spans="1:38" ht="25.5" customHeight="1" x14ac:dyDescent="0.3">
      <c r="A13" s="28"/>
      <c r="B13" s="30"/>
      <c r="C13" s="33" t="s">
        <v>488</v>
      </c>
      <c r="D13" s="36" t="e" vm="1">
        <f>'Bank diagnostic'!H10</f>
        <v>#VALUE!</v>
      </c>
      <c r="E13" s="36"/>
      <c r="F13" s="34"/>
      <c r="G13" s="35"/>
      <c r="H13" s="203"/>
      <c r="I13" s="203"/>
      <c r="J13" s="198"/>
      <c r="K13" s="36"/>
      <c r="L13" s="30"/>
      <c r="M13" s="30"/>
      <c r="N13" s="2"/>
      <c r="O13" s="2"/>
      <c r="P13" s="2"/>
      <c r="Q13" s="2"/>
      <c r="R13" s="2"/>
      <c r="S13" s="2"/>
      <c r="T13" s="2"/>
      <c r="U13" s="2"/>
      <c r="V13" s="2"/>
      <c r="W13" s="2"/>
      <c r="X13" s="2"/>
      <c r="Y13" s="2"/>
      <c r="Z13" s="2"/>
      <c r="AA13" s="2"/>
      <c r="AB13" s="2"/>
      <c r="AC13" s="2"/>
      <c r="AD13" s="2"/>
      <c r="AE13" s="2"/>
      <c r="AF13" s="2"/>
      <c r="AG13" s="2"/>
      <c r="AH13" s="2"/>
      <c r="AI13" s="2"/>
      <c r="AJ13" s="2"/>
      <c r="AK13" s="2"/>
      <c r="AL13" s="2"/>
    </row>
    <row r="14" spans="1:38" ht="20" x14ac:dyDescent="0.3">
      <c r="A14" s="28"/>
      <c r="B14" s="30"/>
      <c r="C14" s="33" t="s">
        <v>489</v>
      </c>
      <c r="D14" s="36" t="str">
        <f>COUNTIF(J20:J25, "High maturity") &amp; " / 6 areas ranked as high maturity"</f>
        <v>1 / 6 areas ranked as high maturity</v>
      </c>
      <c r="E14" s="38"/>
      <c r="F14" s="34"/>
      <c r="G14" s="35"/>
      <c r="H14" s="202"/>
      <c r="I14" s="202"/>
      <c r="J14" s="47"/>
      <c r="K14" s="36"/>
      <c r="L14" s="30"/>
      <c r="M14" s="30"/>
      <c r="N14" s="2"/>
      <c r="O14" s="2"/>
      <c r="P14" s="2"/>
      <c r="Q14" s="2"/>
      <c r="R14" s="2"/>
      <c r="S14" s="2"/>
      <c r="T14" s="2"/>
      <c r="U14" s="2"/>
      <c r="V14" s="2"/>
      <c r="W14" s="2"/>
      <c r="X14" s="2"/>
      <c r="Y14" s="2"/>
      <c r="Z14" s="2"/>
      <c r="AA14" s="2"/>
      <c r="AB14" s="2"/>
      <c r="AC14" s="2"/>
      <c r="AD14" s="2"/>
      <c r="AE14" s="2"/>
      <c r="AF14" s="2"/>
      <c r="AG14" s="2"/>
      <c r="AH14" s="2"/>
      <c r="AI14" s="2"/>
      <c r="AJ14" s="2"/>
      <c r="AK14" s="2"/>
      <c r="AL14" s="2"/>
    </row>
    <row r="15" spans="1:38" ht="37.5" customHeight="1" x14ac:dyDescent="0.3">
      <c r="A15" s="28"/>
      <c r="B15" s="30"/>
      <c r="C15" s="197" t="s">
        <v>490</v>
      </c>
      <c r="D15" s="197"/>
      <c r="E15" s="197"/>
      <c r="F15" s="197"/>
      <c r="G15" s="197"/>
      <c r="H15" s="204"/>
      <c r="I15" s="204"/>
      <c r="J15" s="197"/>
      <c r="K15" s="36"/>
      <c r="L15" s="30"/>
      <c r="M15" s="30"/>
      <c r="N15" s="2"/>
      <c r="O15" s="2"/>
      <c r="P15" s="2"/>
      <c r="Q15" s="2"/>
      <c r="R15" s="2"/>
      <c r="S15" s="2"/>
      <c r="T15" s="2"/>
      <c r="U15" s="2"/>
      <c r="V15" s="2"/>
      <c r="W15" s="2"/>
      <c r="X15" s="2"/>
      <c r="Y15" s="2"/>
      <c r="Z15" s="2"/>
      <c r="AA15" s="2"/>
      <c r="AB15" s="2"/>
      <c r="AC15" s="2"/>
      <c r="AD15" s="2"/>
      <c r="AE15" s="2"/>
      <c r="AF15" s="2"/>
      <c r="AG15" s="2"/>
      <c r="AH15" s="2"/>
      <c r="AI15" s="2"/>
      <c r="AJ15" s="2"/>
      <c r="AK15" s="2"/>
      <c r="AL15" s="2"/>
    </row>
    <row r="16" spans="1:38" ht="18" thickBot="1" x14ac:dyDescent="0.35">
      <c r="A16" s="28"/>
      <c r="B16" s="30"/>
      <c r="C16" s="39"/>
      <c r="D16" s="39"/>
      <c r="E16" s="39"/>
      <c r="F16" s="39"/>
      <c r="G16" s="39"/>
      <c r="H16" s="205"/>
      <c r="I16" s="205"/>
      <c r="J16" s="39"/>
      <c r="K16" s="36"/>
      <c r="L16" s="30"/>
      <c r="M16" s="30"/>
      <c r="N16" s="2"/>
      <c r="O16" s="2"/>
      <c r="P16" s="2"/>
      <c r="Q16" s="2"/>
      <c r="R16" s="2"/>
      <c r="S16" s="2"/>
      <c r="T16" s="2"/>
      <c r="U16" s="2"/>
      <c r="V16" s="2"/>
      <c r="W16" s="2"/>
      <c r="X16" s="2"/>
      <c r="Y16" s="2"/>
      <c r="Z16" s="2"/>
      <c r="AA16" s="2"/>
      <c r="AB16" s="2"/>
      <c r="AC16" s="2"/>
      <c r="AD16" s="2"/>
      <c r="AE16" s="2"/>
      <c r="AF16" s="2"/>
      <c r="AG16" s="2"/>
      <c r="AH16" s="2"/>
      <c r="AI16" s="2"/>
      <c r="AJ16" s="2"/>
      <c r="AK16" s="2"/>
      <c r="AL16" s="2"/>
    </row>
    <row r="17" spans="1:38" ht="21" thickTop="1" thickBot="1" x14ac:dyDescent="0.35">
      <c r="A17" s="28"/>
      <c r="B17" s="30"/>
      <c r="C17" s="40" t="s">
        <v>491</v>
      </c>
      <c r="D17" s="41"/>
      <c r="E17" s="41"/>
      <c r="F17" s="41"/>
      <c r="G17" s="41"/>
      <c r="H17" s="206"/>
      <c r="I17" s="206"/>
      <c r="J17" s="41"/>
      <c r="K17" s="30"/>
      <c r="L17" s="30"/>
      <c r="M17" s="30"/>
      <c r="N17" s="40" t="s">
        <v>492</v>
      </c>
      <c r="O17" s="41"/>
      <c r="P17" s="41"/>
      <c r="Q17" s="41"/>
      <c r="R17" s="2"/>
      <c r="S17" s="2"/>
      <c r="T17" s="2"/>
      <c r="U17" s="2"/>
      <c r="V17" s="2"/>
      <c r="W17" s="2"/>
      <c r="X17" s="2"/>
      <c r="Y17" s="2"/>
      <c r="Z17" s="2"/>
      <c r="AA17" s="2"/>
      <c r="AB17" s="2"/>
      <c r="AC17" s="2"/>
      <c r="AD17" s="2"/>
      <c r="AE17" s="2"/>
      <c r="AF17" s="2"/>
      <c r="AG17" s="2"/>
      <c r="AH17" s="2"/>
      <c r="AI17" s="2"/>
      <c r="AJ17" s="2"/>
      <c r="AK17" s="2"/>
      <c r="AL17" s="2"/>
    </row>
    <row r="18" spans="1:38" ht="20.5" thickTop="1" x14ac:dyDescent="0.3">
      <c r="A18" s="28"/>
      <c r="B18" s="30"/>
      <c r="C18" s="34"/>
      <c r="D18" s="34"/>
      <c r="E18" s="34"/>
      <c r="F18" s="34"/>
      <c r="G18" s="34"/>
      <c r="H18" s="207"/>
      <c r="I18" s="207"/>
      <c r="J18" s="34"/>
      <c r="K18" s="30"/>
      <c r="L18" s="30"/>
      <c r="M18" s="30"/>
      <c r="N18" s="2"/>
      <c r="O18" s="2"/>
      <c r="P18" s="2"/>
      <c r="Q18" s="2"/>
      <c r="R18" s="2"/>
      <c r="S18" s="2"/>
      <c r="T18" s="2"/>
      <c r="U18" s="2"/>
      <c r="V18" s="2"/>
      <c r="W18" s="2"/>
      <c r="X18" s="2"/>
      <c r="Y18" s="2"/>
      <c r="Z18" s="2"/>
      <c r="AA18" s="2"/>
      <c r="AB18" s="2"/>
      <c r="AC18" s="2"/>
      <c r="AD18" s="2"/>
      <c r="AE18" s="2"/>
      <c r="AF18" s="2"/>
      <c r="AG18" s="2"/>
      <c r="AH18" s="2"/>
      <c r="AI18" s="2"/>
      <c r="AJ18" s="2"/>
      <c r="AK18" s="2"/>
      <c r="AL18" s="2"/>
    </row>
    <row r="19" spans="1:38" ht="15" x14ac:dyDescent="0.3">
      <c r="A19" s="28"/>
      <c r="B19" s="30"/>
      <c r="C19" s="37"/>
      <c r="D19" s="37"/>
      <c r="E19" s="30"/>
      <c r="F19" s="37" t="s">
        <v>493</v>
      </c>
      <c r="G19" s="37" t="s">
        <v>64</v>
      </c>
      <c r="H19" s="46" t="s">
        <v>319</v>
      </c>
      <c r="I19" s="46"/>
      <c r="J19" s="42" t="s">
        <v>494</v>
      </c>
      <c r="K19" s="30"/>
      <c r="L19" s="30"/>
      <c r="M19" s="30"/>
      <c r="N19" s="50" t="s">
        <v>495</v>
      </c>
      <c r="O19" s="50" t="s">
        <v>496</v>
      </c>
      <c r="P19" s="50" t="s">
        <v>497</v>
      </c>
      <c r="Q19" s="50" t="s">
        <v>329</v>
      </c>
      <c r="R19" s="2"/>
      <c r="S19" s="2"/>
      <c r="T19" s="2"/>
      <c r="U19" s="2"/>
      <c r="V19" s="2"/>
      <c r="W19" s="2"/>
      <c r="X19" s="2"/>
      <c r="Y19" s="2"/>
      <c r="Z19" s="2"/>
      <c r="AA19" s="2"/>
      <c r="AB19" s="2"/>
      <c r="AC19" s="2"/>
      <c r="AD19" s="2"/>
      <c r="AE19" s="2"/>
      <c r="AF19" s="2"/>
      <c r="AG19" s="2"/>
      <c r="AH19" s="2"/>
      <c r="AI19" s="2"/>
      <c r="AJ19" s="2"/>
      <c r="AK19" s="2"/>
      <c r="AL19" s="2"/>
    </row>
    <row r="20" spans="1:38" ht="166" customHeight="1" x14ac:dyDescent="0.3">
      <c r="A20" s="28"/>
      <c r="B20" s="30"/>
      <c r="C20" s="30"/>
      <c r="D20" s="30"/>
      <c r="E20" s="30"/>
      <c r="F20" s="160" t="str">
        <f>'Bank diagnostic'!D17</f>
        <v>1. Strategy</v>
      </c>
      <c r="G20" s="86" cm="1">
        <f t="array" ref="G20">_xlfn.LET(_xlpm.range, 'Bank diagnostic'!D:D,_xlpm.values, 'Bank diagnostic'!F:F,_xlpm.startLabel, F20,_xlpm.nextLabel, F21,_xlpm.startRow, MATCH(_xlpm.startLabel, _xlpm.range, 0) + 1,_xlpm.endRow, IFERROR(MATCH(_xlpm.nextLabel, _xlpm.range, 0) - 1, LOOKUP(2,1/(_xlpm.range&lt;&gt;""), ROW(_xlpm.range))),_xlpm.indicatorRange, INDEX(_xlpm.range, _xlpm.startRow):INDEX(_xlpm.range, _xlpm.endRow),_xlpm.scores, INDEX(_xlpm.values, _xlpm.startRow):INDEX(_xlpm.values, _xlpm.endRow),_xlpm.filterMask, ISERROR(SEARCH("[Digital]", _xlpm.indicatorRange)),_xlpm.filteredScores, _xlfn._xlws.FILTER(_xlpm.scores, _xlpm.filterMask),SUMPRODUCT((_xlpm.filteredScores="High")*Methodology!$F$15+(_xlpm.filteredScores="Medium")*Methodology!$F$16+((_xlpm.filteredScores="Low")+(_xlpm.filteredScores="No data"))*Methodology!$F$17+(_xlpm.filteredScores="Yes")*Methodology!$I$15+(_xlpm.filteredScores="No")*Methodology!$I$16))</f>
        <v>30</v>
      </c>
      <c r="H20" s="208" t="e" vm="1">
        <f>G20/Methodology!I20</f>
        <v>#VALUE!</v>
      </c>
      <c r="I20" s="208">
        <v>1</v>
      </c>
      <c r="J20" s="43" t="e" cm="1" vm="1">
        <f t="array" ref="J20">_xlfn.IFS(G20&lt;=(Methodology!I20*Methodology!$F$30),"Low maturity", G20&lt;(Methodology!I20*Methodology!$F$29),"Mid maturity",G20&gt;=(Methodology!I20*Methodology!$F$29),"High maturity")</f>
        <v>#VALUE!</v>
      </c>
      <c r="K20" s="30"/>
      <c r="L20" s="30"/>
      <c r="M20" s="30"/>
      <c r="N20" s="54" t="str">
        <f>'Bank diagnostic'!D17</f>
        <v>1. Strategy</v>
      </c>
      <c r="O20" s="211" t="str">
        <f>"• " &amp; IFERROR(_xlfn.TEXTJOIN(CHAR(10) &amp; "• ", TRUE,
IF('Bank diagnostic'!F19="Low", Methodology!E38, IF('Bank diagnostic'!F19="Medium", Methodology!H38, "")),
IF('Bank diagnostic'!F20="Low", Methodology!E39, IF('Bank diagnostic'!F20="Medium", Methodology!H39, "")),
IF('Bank diagnostic'!F22="Low", Methodology!E41, IF('Bank diagnostic'!F22="Medium", Methodology!H41, "")),
IF('Bank diagnostic'!F23="Low", Methodology!E42, IF('Bank diagnostic'!F23="Medium", Methodology!H42, "")),
IF('Bank diagnostic'!F24="Low", Methodology!E43, IF('Bank diagnostic'!F24="Medium", Methodology!H43, "")),
IF('Bank diagnostic'!F25="Low", Methodology!E44, IF('Bank diagnostic'!F25="Medium", Methodology!H44, "")),
IF('Bank diagnostic'!F26="Low", Methodology!E45, IF('Bank diagnostic'!F26="Medium", Methodology!H45, "")),
IF('Bank diagnostic'!F27="Low", Methodology!E46, IF('Bank diagnostic'!F27="Medium", Methodology!H46, ""))
), "")</f>
        <v>• SME banking is listed among the top 4–10 strategic priorities
•  No structured oversight or accountability is limited to middle management staff
•  Inclusion KPIs are not defined or tracked throughout the organization</v>
      </c>
      <c r="P20" s="53" t="str">
        <f>"• " &amp; IFERROR(_xlfn.TEXTJOIN(CHAR(10) &amp; "• ", TRUE,
IF('Bank diagnostic'!F19="Low", Methodology!F38, IF('Bank diagnostic'!F19="Medium", Methodology!I38, "")),
IF('Bank diagnostic'!F20="Low", Methodology!F39, IF('Bank diagnostic'!F20="Medium", Methodology!I39, "")),
IF('Bank diagnostic'!F22="Low", Methodology!F41, IF('Bank diagnostic'!F22="Medium", Methodology!I41, "")),
IF('Bank diagnostic'!F23="Low", Methodology!F42, IF('Bank diagnostic'!F23="Medium", Methodology!I42, "")),
IF('Bank diagnostic'!F24="Low", Methodology!F43, IF('Bank diagnostic'!F24="Medium", Methodology!I43, "")),
IF('Bank diagnostic'!F25="Low", Methodology!F44, IF('Bank diagnostic'!F25="Medium", Methodology!I44, "")),
IF('Bank diagnostic'!F26="Low", Methodology!F45, IF('Bank diagnostic'!F26="Medium", Methodology!I45, "")),
IF('Bank diagnostic'!F27="Low", Methodology!F46, IF('Bank diagnostic'!F27="Medium", Methodology!I46, ""))
), "")</f>
        <v xml:space="preserve">• Engage senior-leadership to clarify the relevance of SME banking as a strategic priority
• Appoint senior leaders to oversee SME strategy execution and integrate accountability into management routines	
• Define SME inclusion priorities (e.g., women-led, youth, rural) and introduce basic KPIs	</v>
      </c>
      <c r="Q20" s="53" t="str">
        <f>"• " &amp; IFERROR(_xlfn.TEXTJOIN(CHAR(10) &amp; "• ", TRUE,
IF('Bank diagnostic'!F19="Low", Methodology!G38, IF('Bank diagnostic'!F19="Medium", Methodology!J38, "")),
IF('Bank diagnostic'!F20="Low", Methodology!G39, IF('Bank diagnostic'!F20="Medium", Methodology!J39, "")),
IF('Bank diagnostic'!F22="Low", Methodology!G41, IF('Bank diagnostic'!F22="Medium", Methodology!J41, "")),
IF('Bank diagnostic'!F23="Low", Methodology!G42, IF('Bank diagnostic'!F23="Medium", Methodology!J42, "")),
IF('Bank diagnostic'!F24="Low", Methodology!G43, IF('Bank diagnostic'!F24="Medium", Methodology!J43, "")),
IF('Bank diagnostic'!F25="Low", Methodology!G44, IF('Bank diagnostic'!F25="Medium", Methodology!J44, "")),
IF('Bank diagnostic'!F26="Low", Methodology!G45, IF('Bank diagnostic'!F26="Medium", Methodology!J45, "")),
IF('Bank diagnostic'!F27="Low", Methodology!G46, IF('Bank diagnostic'!F27="Medium", Methodology!J46, ""))
), "")</f>
        <v xml:space="preserve">• Provide a clear business case for the specific opportunity and an overview of the market enablers and market opportunity
• Designate at least one senior staff member with formal oversight of SME strategy and performance; define a simple accountability mechanism with quarterly reporting or dashboard updates	
• Hold workshops on KPI definition for inclusion priorities and integrate tracking through dashboards or monitoring tools	</v>
      </c>
      <c r="R20" s="2"/>
      <c r="S20" s="2"/>
      <c r="T20" s="2"/>
      <c r="U20" s="2"/>
      <c r="V20" s="2"/>
      <c r="W20" s="2"/>
      <c r="X20" s="2"/>
      <c r="Y20" s="2"/>
      <c r="Z20" s="2"/>
      <c r="AA20" s="2"/>
      <c r="AB20" s="2"/>
      <c r="AC20" s="2"/>
      <c r="AD20" s="2"/>
      <c r="AE20" s="2"/>
      <c r="AF20" s="2"/>
      <c r="AG20" s="2"/>
      <c r="AH20" s="2"/>
      <c r="AI20" s="2"/>
      <c r="AJ20" s="2"/>
      <c r="AK20" s="2"/>
      <c r="AL20" s="2"/>
    </row>
    <row r="21" spans="1:38" ht="106.5" customHeight="1" x14ac:dyDescent="0.3">
      <c r="B21" s="30"/>
      <c r="C21" s="30"/>
      <c r="D21" s="30"/>
      <c r="E21" s="30"/>
      <c r="F21" s="160" t="str">
        <f>'Bank diagnostic'!D28</f>
        <v>2. Talent and organizational structure</v>
      </c>
      <c r="G21" s="86" cm="1">
        <f t="array" ref="G21">_xlfn.LET(_xlpm.range, 'Bank diagnostic'!D:D,_xlpm.values, 'Bank diagnostic'!F:F,_xlpm.startLabel, F21,_xlpm.nextLabel, F22,_xlpm.startRow, MATCH(_xlpm.startLabel, _xlpm.range, 0) + 1,_xlpm.endRow, IFERROR(MATCH(_xlpm.nextLabel, _xlpm.range, 0) - 1, LOOKUP(2,1/(_xlpm.range&lt;&gt;""), ROW(_xlpm.range))),_xlpm.indicatorRange, INDEX(_xlpm.range, _xlpm.startRow):INDEX(_xlpm.range, _xlpm.endRow),_xlpm.scores, INDEX(_xlpm.values, _xlpm.startRow):INDEX(_xlpm.values, _xlpm.endRow),_xlpm.filterMask, ISERROR(SEARCH("[Digital]", _xlpm.indicatorRange)),_xlpm.filteredScores, _xlfn._xlws.FILTER(_xlpm.scores, _xlpm.filterMask),SUMPRODUCT((_xlpm.filteredScores="High")*Methodology!$F$15+(_xlpm.filteredScores="Medium")*Methodology!$F$16+((_xlpm.filteredScores="Low")+(_xlpm.filteredScores="No data"))*Methodology!$F$17+(_xlpm.filteredScores="Yes")*Methodology!$I$15+(_xlpm.filteredScores="No")*Methodology!$I$16))</f>
        <v>11</v>
      </c>
      <c r="H21" s="208" t="e" vm="1">
        <f>G21/Methodology!I21</f>
        <v>#VALUE!</v>
      </c>
      <c r="I21" s="208">
        <v>1</v>
      </c>
      <c r="J21" s="43" t="e" cm="1" vm="1">
        <f t="array" ref="J21">_xlfn.IFS(G21&lt;=(Methodology!I21*Methodology!$F$30),"Low maturity", G21&lt;(Methodology!I21*Methodology!$F$29),"Mid maturity",G21&gt;=(Methodology!I21*Methodology!$F$29),"High maturity")</f>
        <v>#VALUE!</v>
      </c>
      <c r="K21" s="30"/>
      <c r="L21" s="30"/>
      <c r="M21" s="30"/>
      <c r="N21" s="54" t="str">
        <f>'Bank diagnostic'!D28</f>
        <v>2. Talent and organizational structure</v>
      </c>
      <c r="O21" s="53" t="str" cm="1">
        <f t="array" ref="O21">"• " &amp; IFERROR(_xlfn.TEXTJOIN(CHAR(10) &amp; "• ", TRUE,
  IF('Bank diagnostic'!F28:F31="Low", Methodology!E47:E50,
     IF('Bank diagnostic'!F28:F31="Medium", Methodology!H47:H50, ""))
), "")</f>
        <v>•  No SME-specific staff or execution roles exist</v>
      </c>
      <c r="P21" s="53" t="str" cm="1">
        <f t="array" ref="P21">"• " &amp; IFERROR(_xlfn.TEXTJOIN(CHAR(10) &amp; "• ", TRUE,
  IF('Bank diagnostic'!F28:F31="Low", Methodology!F47:F50,
     IF('Bank diagnostic'!F28:F31="Medium", Methodology!I47:I50, ""))
), "")</f>
        <v>• Assign formal SME responsibilities to teams and specific individuals aligned with SME strategy and delivery needs</v>
      </c>
      <c r="Q21" s="53" t="str" cm="1">
        <f t="array" ref="Q21">"• " &amp; IFERROR(_xlfn.TEXTJOIN(CHAR(10) &amp; "• ", TRUE,
  IF('Bank diagnostic'!F28:F31="Low", Methodology!G47:G50,
     IF('Bank diagnostic'!F28:F31="Medium", Methodology!J47:J50, ""))
), "")</f>
        <v>• Designate SME focal points in core departments (e.g., credit, product, ops), with SME duties reflected in job descriptions and performance expectations</v>
      </c>
      <c r="R21" s="2"/>
      <c r="S21" s="2"/>
      <c r="T21" s="2"/>
      <c r="U21" s="2"/>
      <c r="V21" s="2"/>
      <c r="W21" s="2"/>
      <c r="X21" s="2"/>
      <c r="Y21" s="2"/>
      <c r="Z21" s="2"/>
      <c r="AA21" s="2"/>
      <c r="AB21" s="2"/>
      <c r="AC21" s="2"/>
      <c r="AD21" s="2"/>
      <c r="AE21" s="2"/>
      <c r="AF21" s="2"/>
      <c r="AG21" s="2"/>
      <c r="AH21" s="2"/>
      <c r="AI21" s="2"/>
      <c r="AJ21" s="2"/>
      <c r="AK21" s="2"/>
      <c r="AL21" s="2"/>
    </row>
    <row r="22" spans="1:38" ht="136.5" customHeight="1" x14ac:dyDescent="0.3">
      <c r="A22" s="28"/>
      <c r="B22" s="30"/>
      <c r="C22" s="45"/>
      <c r="D22" s="199"/>
      <c r="E22" s="30"/>
      <c r="F22" s="160" t="str">
        <f>'Bank diagnostic'!D32</f>
        <v>3. Competitive positioning</v>
      </c>
      <c r="G22" s="86" cm="1">
        <f t="array" ref="G22">_xlfn.LET(_xlpm.range, 'Bank diagnostic'!D:D,_xlpm.values, 'Bank diagnostic'!F:F,_xlpm.startLabel, F22,_xlpm.nextLabel, F23,_xlpm.startRow, MATCH(_xlpm.startLabel, _xlpm.range, 0) + 1,_xlpm.endRow, IFERROR(MATCH(_xlpm.nextLabel, _xlpm.range, 0) - 1, LOOKUP(2,1/(_xlpm.range&lt;&gt;""), ROW(_xlpm.range))),_xlpm.indicatorRange, INDEX(_xlpm.range, _xlpm.startRow):INDEX(_xlpm.range, _xlpm.endRow),_xlpm.scores, INDEX(_xlpm.values, _xlpm.startRow):INDEX(_xlpm.values, _xlpm.endRow),_xlpm.filterMask, ISERROR(SEARCH("[Digital]", _xlpm.indicatorRange)),_xlpm.filteredScores, _xlfn._xlws.FILTER(_xlpm.scores, _xlpm.filterMask),SUMPRODUCT((_xlpm.filteredScores="High")*Methodology!$F$15+(_xlpm.filteredScores="Medium")*Methodology!$F$16+((_xlpm.filteredScores="Low")+(_xlpm.filteredScores="No data"))*Methodology!$F$17+(_xlpm.filteredScores="Yes")*Methodology!$I$15+(_xlpm.filteredScores="No")*Methodology!$I$16))</f>
        <v>11</v>
      </c>
      <c r="H22" s="208" t="e" vm="1">
        <f>G22/Methodology!I22</f>
        <v>#VALUE!</v>
      </c>
      <c r="I22" s="208">
        <v>1</v>
      </c>
      <c r="J22" s="43" t="e" cm="1" vm="1">
        <f t="array" ref="J22">_xlfn.IFS(G22&lt;=(Methodology!I22*Methodology!$F$30),"Low maturity", G22&lt;(Methodology!I22*Methodology!$F$29),"Mid maturity",G22&gt;=(Methodology!I22*Methodology!$F$29),"High maturity")</f>
        <v>#VALUE!</v>
      </c>
      <c r="K22" s="30"/>
      <c r="L22" s="30"/>
      <c r="M22" s="30"/>
      <c r="N22" s="54" t="str">
        <f>'Bank diagnostic'!D32</f>
        <v>3. Competitive positioning</v>
      </c>
      <c r="O22" s="53" t="str" cm="1">
        <f t="array" ref="O22">"• " &amp; IFERROR(_xlfn.TEXTJOIN(CHAR(10) &amp; "• ", TRUE,
  IF('Bank diagnostic'!F33:F35="Low", Methodology!E52:E54,
     IF('Bank diagnostic'!F33:F35="Medium", Methodology!H52:H54, ""))
), "")</f>
        <v>•  The bank serves SMEs broadly without segment-specific targeting or consideration of competitive saturation</v>
      </c>
      <c r="P22" s="53" t="str" cm="1">
        <f t="array" ref="P22">"• " &amp; IFERROR(_xlfn.TEXTJOIN(CHAR(10) &amp; "• ", TRUE,
  IF('Bank diagnostic'!F33:F35="Low", Methodology!F52:F54,
     IF('Bank diagnostic'!F33:F35="Medium", Methodology!I52:I54, ""))
), "")</f>
        <v xml:space="preserve">• Launch targeted outreach and begin collecting demographic and segment data	</v>
      </c>
      <c r="Q22" s="53" t="str" cm="1">
        <f t="array" ref="Q22">"• " &amp; IFERROR(_xlfn.TEXTJOIN(CHAR(10) &amp; "• ", TRUE,
  IF('Bank diagnostic'!F33:F35="Low", Methodology!G52:G54,
     IF('Bank diagnostic'!F33:F35="Medium", Methodology!J52:J54, ""))
), "")</f>
        <v>• Launch targeted outreach campaigns for underserved SME segments (e.g., women-led, rural SMEs) and add demographic fields to client onboarding forms or CRM</v>
      </c>
      <c r="R22" s="2"/>
      <c r="S22" s="2"/>
      <c r="T22" s="2"/>
      <c r="U22" s="2"/>
      <c r="V22" s="2"/>
      <c r="W22" s="2"/>
      <c r="X22" s="2"/>
      <c r="Y22" s="2"/>
      <c r="Z22" s="2"/>
      <c r="AA22" s="2"/>
      <c r="AB22" s="2"/>
      <c r="AC22" s="2"/>
      <c r="AD22" s="2"/>
      <c r="AE22" s="2"/>
      <c r="AF22" s="2"/>
      <c r="AG22" s="2"/>
      <c r="AH22" s="2"/>
      <c r="AI22" s="2"/>
      <c r="AJ22" s="2"/>
      <c r="AK22" s="2"/>
      <c r="AL22" s="2"/>
    </row>
    <row r="23" spans="1:38" ht="90" customHeight="1" x14ac:dyDescent="0.3">
      <c r="A23" s="28"/>
      <c r="B23" s="30"/>
      <c r="C23" s="45"/>
      <c r="D23" s="199"/>
      <c r="E23" s="44"/>
      <c r="F23" s="160" t="str">
        <f>'Bank diagnostic'!D37</f>
        <v>4. Operational processes</v>
      </c>
      <c r="G23" s="86" cm="1">
        <f t="array" ref="G23">_xlfn.LET(_xlpm.range, 'Bank diagnostic'!D:D,_xlpm.values, 'Bank diagnostic'!F:F,_xlpm.startLabel, F23,_xlpm.nextLabel, F24,_xlpm.startRow, MATCH(_xlpm.startLabel, _xlpm.range, 0) + 1,_xlpm.endRow, IFERROR(MATCH(_xlpm.nextLabel, _xlpm.range, 0) - 1, LOOKUP(2,1/(_xlpm.range&lt;&gt;""), ROW(_xlpm.range))),_xlpm.indicatorRange, INDEX(_xlpm.range, _xlpm.startRow):INDEX(_xlpm.range, _xlpm.endRow),_xlpm.scores, INDEX(_xlpm.values, _xlpm.startRow):INDEX(_xlpm.values, _xlpm.endRow),_xlpm.filterMask, ISERROR(SEARCH("[Digital]", _xlpm.indicatorRange)),_xlpm.filteredScores, _xlfn._xlws.FILTER(_xlpm.scores, _xlpm.filterMask),SUMPRODUCT((_xlpm.filteredScores="High")*Methodology!$F$15+(_xlpm.filteredScores="Medium")*Methodology!$F$16+((_xlpm.filteredScores="Low")+(_xlpm.filteredScores="No data"))*Methodology!$F$17+(_xlpm.filteredScores="Yes")*Methodology!$I$15+(_xlpm.filteredScores="No")*Methodology!$I$16))</f>
        <v>19</v>
      </c>
      <c r="H23" s="208" t="e" vm="1">
        <f>G23/Methodology!I23</f>
        <v>#VALUE!</v>
      </c>
      <c r="I23" s="208">
        <v>1</v>
      </c>
      <c r="J23" s="43" t="e" cm="1" vm="1">
        <f t="array" ref="J23">_xlfn.IFS(G23&lt;=(Methodology!I23*Methodology!$F$30),"Low maturity", G23&lt;(Methodology!I23*Methodology!$F$29),"Mid maturity",G23&gt;=(Methodology!I23*Methodology!$F$29),"High maturity")</f>
        <v>#VALUE!</v>
      </c>
      <c r="K23" s="30"/>
      <c r="L23" s="30"/>
      <c r="M23" s="30"/>
      <c r="N23" s="54" t="str">
        <f>'Bank diagnostic'!D37</f>
        <v>4. Operational processes</v>
      </c>
      <c r="O23" s="53" t="str" cm="1">
        <f t="array" ref="O23">"• " &amp; IFERROR(_xlfn.TEXTJOIN(CHAR(10) &amp; "• ", TRUE,
  IF('Bank diagnostic'!F38:F42="Low", Methodology!E57:E61,
     IF('Bank diagnostic'!F38:F42="Medium", Methodology!H57:H61, ""))
), "")</f>
        <v xml:space="preserve">• Some SME-appropriate credit practices exist but are applied inconsistently or are not institutionalized
• There are SME focused staff who engage clients, but there are no consistent or standardized engagement practices
• The bank occasionally or partially uses broad client data to identify SME owners in other segments, but this is not systematic, and the insights not commonly used to support cross-selling or credit evaluation
</v>
      </c>
      <c r="P23" s="53" t="str" cm="1">
        <f t="array" ref="P23">"• " &amp; IFERROR(_xlfn.TEXTJOIN(CHAR(10) &amp; "• ", TRUE,
  IF('Bank diagnostic'!F38:F42="Low", Methodology!F57:F61,
     IF('Bank diagnostic'!F38:F42="Medium", Methodology!I57:I61, ""))
), "")</f>
        <v>• Standardize and embed SME-appropriate credit practices into core lending policies	
• Standardize SME relationship management processes
• Institutionalize client data analysis as a key process within the SME unit to support the expansion of the SME portfolio</v>
      </c>
      <c r="Q23" s="53" t="str" cm="1">
        <f t="array" ref="Q23">"• " &amp; IFERROR(_xlfn.TEXTJOIN(CHAR(10) &amp; "• ", TRUE,
  IF('Bank diagnostic'!F38:F42="Low", Methodology!G57:G61,
     IF('Bank diagnostic'!F38:F42="Medium", Methodology!J57:J61, ""))
), "")</f>
        <v xml:space="preserve">• Update credit policy manuals to reflect SME-specific practices and train credit staff to apply them consistently
• Develop an SME client management playbook with engagement cadence, documentation templates, and feedback loops
• Systematize the analysis of broad client data for SME cross-sell by deploying automated algorithms to detect SME ownership across all client segments and embedding formal internal process guidelines </v>
      </c>
      <c r="R23" s="2"/>
      <c r="S23" s="2"/>
      <c r="T23" s="2"/>
      <c r="U23" s="2"/>
      <c r="V23" s="2"/>
      <c r="W23" s="2"/>
      <c r="X23" s="2"/>
      <c r="Y23" s="2"/>
      <c r="Z23" s="2"/>
      <c r="AA23" s="2"/>
      <c r="AB23" s="2"/>
      <c r="AC23" s="2"/>
      <c r="AD23" s="2"/>
      <c r="AE23" s="2"/>
      <c r="AF23" s="2"/>
      <c r="AG23" s="2"/>
      <c r="AH23" s="2"/>
      <c r="AI23" s="2"/>
      <c r="AJ23" s="2"/>
      <c r="AK23" s="2"/>
      <c r="AL23" s="2"/>
    </row>
    <row r="24" spans="1:38" ht="115" customHeight="1" x14ac:dyDescent="0.3">
      <c r="A24" s="28"/>
      <c r="B24" s="30"/>
      <c r="C24" s="45"/>
      <c r="D24" s="199"/>
      <c r="E24" s="30"/>
      <c r="F24" s="160" t="str">
        <f>'Bank diagnostic'!D47</f>
        <v>5. Products and value proposition</v>
      </c>
      <c r="G24" s="86" cm="1">
        <f t="array" ref="G24">_xlfn.LET(_xlpm.range, 'Bank diagnostic'!D:D,_xlpm.values, 'Bank diagnostic'!F:F,_xlpm.startLabel, F24,_xlpm.nextLabel, F25,_xlpm.startRow, MATCH(_xlpm.startLabel, _xlpm.range, 0) + 1,_xlpm.endRow, IFERROR(MATCH(_xlpm.nextLabel, _xlpm.range, 0) - 1, LOOKUP(2,1/(_xlpm.range&lt;&gt;""), ROW(_xlpm.range))),
  _xlpm.indicatorRange, INDEX(_xlpm.range, _xlpm.startRow):INDEX(_xlpm.range, _xlpm.endRow),_xlpm.scores, INDEX(_xlpm.values, _xlpm.startRow):INDEX(_xlpm.values, _xlpm.endRow),_xlpm.filterMask, ISERROR(SEARCH("[Digital]", _xlpm.indicatorRange)),_xlpm.filteredScores, _xlfn._xlws.FILTER(_xlpm.scores, _xlpm.filterMask),SUMPRODUCT((_xlpm.filteredScores="High")*Methodology!$F$15 +(_xlpm.filteredScores="Medium")*Methodology!$F$16 +((_xlpm.filteredScores="Low")+(_xlpm.filteredScores="No data"))*Methodology!$F$17 +(_xlpm.filteredScores="Yes")*Methodology!$I$15 +(_xlpm.filteredScores="No")*Methodology!$I$16))</f>
        <v>25</v>
      </c>
      <c r="H24" s="208" t="e" vm="1">
        <f>G24/Methodology!I24</f>
        <v>#VALUE!</v>
      </c>
      <c r="I24" s="208">
        <v>1</v>
      </c>
      <c r="J24" s="43" t="e" cm="1" vm="1">
        <f t="array" ref="J24">_xlfn.IFS(G24&lt;=(Methodology!I24*Methodology!$F$30),"Low maturity", G24&lt;(Methodology!I24*Methodology!$F$29),"Mid maturity",G24&gt;=(Methodology!I24*Methodology!$F$29),"High maturity")</f>
        <v>#VALUE!</v>
      </c>
      <c r="K24" s="30"/>
      <c r="L24" s="30"/>
      <c r="M24" s="30"/>
      <c r="N24" s="54" t="str">
        <f>'Bank diagnostic'!D47</f>
        <v>5. Products and value proposition</v>
      </c>
      <c r="O24" s="53" t="str" cm="1">
        <f t="array" ref="O24">"• " &amp; IFERROR(_xlfn.TEXTJOIN(CHAR(10) &amp; "• ", TRUE,
  IF('Bank diagnostic'!F49:F51="Low", Methodology!E68:E70,
     IF('Bank diagnostic'!F49:F51="Medium", Methodology!H68:H70, "")),
  IF('Bank diagnostic'!F56:F59="Low", Methodology!E75:E78,
     IF('Bank diagnostic'!F56:F59="Medium", Methodology!H75:H78, ""))
), "")</f>
        <v>• The bank offers a broad range of standard SME products (e.g., overdrafts, term loans) and partially addresses some lifecycle needs, but products are not explicitly differentiated across lifecycle stages
• The bank has some products tailored to SME segments, but mostly offers standardized products with slight adjustments
• Portfolio has grown, but inconsistently, over the past 3 years (ups and downs but net positive)
•  Most SME clients rely on a single product (typically credit), with minimal use of additional services</v>
      </c>
      <c r="P24" s="53" t="str" cm="1">
        <f t="array" ref="P24">"• " &amp; IFERROR(_xlfn.TEXTJOIN(CHAR(10) &amp; "• ", TRUE,
  IF('Bank diagnostic'!F49:F51="Low", Methodology!F68:F70,
     IF('Bank diagnostic'!F49:F51="Medium", Methodology!I68:I70, "")),
  IF('Bank diagnostic'!F56:F59="Low", Methodology!F75:F78,
     IF('Bank diagnostic'!F56:F59="Medium", Methodology!I75:I78, ""))
), "")</f>
        <v>• Use client feedback and usage data to refine and tailor offerings according to key lifecycle stages (e.g., startup, growth, maturity)	
• Systematically track portfolio performance, product uptake, and repayment behaviors by sub-segment (e.g., women-led SMEs, agribusinesses)
• Sustain growth through targeted acquisition and channel discipline	
• Deepen SME client relationships by driving structured uptake of product bundles</v>
      </c>
      <c r="Q24" s="53" t="str" cm="1">
        <f t="array" ref="Q24">"• " &amp; IFERROR(_xlfn.TEXTJOIN(CHAR(10) &amp; "• ", TRUE,
  IF('Bank diagnostic'!F49:F51="Low", Methodology!G68:G70,
     IF('Bank diagnostic'!F49:F51="Medium", Methodology!J68:J70, "")),
  IF('Bank diagnostic'!F56:F59="Low", Methodology!G75:G78,
     IF('Bank diagnostic'!F56:F59="Medium", Methodology!J75:J78, ""))
), "")</f>
        <v xml:space="preserve">• Collect maturity-level SME usage data and validate product design through client workshops to refine features, pricing, and bundling
• Use data analytics to proactively offer tailored product and services based on transaction patterns, industry cycles, or client behavior within sub-segments
• Set quarterly SME growth targets by segment and run targeted campaigns linked to those segments’ preferred products or channels
• Conduct client-level wallet share analysis and launch targeted cross-sell campaigns for priority products </v>
      </c>
      <c r="R24" s="2"/>
      <c r="S24" s="2"/>
      <c r="T24" s="2"/>
      <c r="U24" s="2"/>
      <c r="V24" s="2"/>
      <c r="W24" s="2"/>
      <c r="X24" s="2"/>
      <c r="Y24" s="2"/>
      <c r="Z24" s="2"/>
      <c r="AA24" s="2"/>
      <c r="AB24" s="2"/>
      <c r="AC24" s="2"/>
      <c r="AD24" s="2"/>
      <c r="AE24" s="2"/>
      <c r="AF24" s="2"/>
      <c r="AG24" s="2"/>
      <c r="AH24" s="2"/>
      <c r="AI24" s="2"/>
      <c r="AJ24" s="2"/>
      <c r="AK24" s="2"/>
      <c r="AL24" s="2"/>
    </row>
    <row r="25" spans="1:38" ht="106.5" customHeight="1" x14ac:dyDescent="0.3">
      <c r="A25" s="28"/>
      <c r="B25" s="30"/>
      <c r="C25" s="30"/>
      <c r="D25" s="30"/>
      <c r="E25" s="45"/>
      <c r="F25" s="160" t="s">
        <v>314</v>
      </c>
      <c r="G25" s="86" cm="1">
        <f t="array" ref="G25">_xlfn.LET(
  _xlpm.indicators, 'Bank diagnostic'!D:D,
  _xlpm.values, 'Bank diagnostic'!F:F,
  _xlpm.isDigital, ISNUMBER(SEARCH("[Digital]", _xlpm.indicators)),
  _xlpm.digitalScores, _xlfn._xlws.FILTER(_xlpm.values, _xlpm.isDigital),
  SUMPRODUCT(
    (_xlpm.digitalScores="High")*Methodology!$F$15 +
    (_xlpm.digitalScores="Medium")*Methodology!$F$16 +
    ((_xlpm.digitalScores="Low")+(_xlpm.digitalScores="No data"))*Methodology!$F$17 +
    (_xlpm.digitalScores="Yes")*Methodology!$I$15 +
    (_xlpm.digitalScores="No")*Methodology!$I$16
  )
)</f>
        <v>32</v>
      </c>
      <c r="H25" s="208">
        <f>G25/Methodology!I25</f>
        <v>0.8</v>
      </c>
      <c r="I25" s="208">
        <v>1</v>
      </c>
      <c r="J25" s="43" t="str" cm="1">
        <f t="array" ref="J25">_xlfn.IFS(G25&lt;=(Methodology!I25*Methodology!$F$30),"Low maturity", G25&lt;(Methodology!I25*Methodology!$F$29),"Mid maturity",G25&gt;=(Methodology!I25*Methodology!$F$29),"High maturity")</f>
        <v>High maturity</v>
      </c>
      <c r="K25" s="30"/>
      <c r="L25" s="30"/>
      <c r="M25" s="30"/>
      <c r="N25" s="54" t="s">
        <v>314</v>
      </c>
      <c r="O25" s="24" t="str">
        <f>"• " &amp; IFERROR(_xlfn.TEXTJOIN(CHAR(10) &amp; "• ", TRUE,
IF('Bank diagnostic'!F36="Low", Methodology!E55, IF('Bank diagnostic'!F36="Medium", Methodology!H55, "")),
IF('Bank diagnostic'!F43="Low", Methodology!E62, IF('Bank diagnostic'!F43="Medium", Methodology!H62, "")),
IF('Bank diagnostic'!F44="Low", Methodology!E63, IF('Bank diagnostic'!F44="Medium", Methodology!H63, "")),
IF('Bank diagnostic'!F45="Low", Methodology!E64, IF('Bank diagnostic'!F45="Medium", Methodology!H64, "")),
IF('Bank diagnostic'!F46="Low", Methodology!E65, IF('Bank diagnostic'!F46="Medium", Methodology!H65, "")),
IF('Bank diagnostic'!F53="Low", Methodology!E72, IF('Bank diagnostic'!F53="Medium", Methodology!H72, "")),
IF('Bank diagnostic'!F54="Low", Methodology!E73, IF('Bank diagnostic'!F54="Medium", Methodology!H73, "")),
IF('Bank diagnostic'!#REF!="Low", Methodology!#REF!, IF('Bank diagnostic'!#REF!="Medium", Methodology!#REF!, ""))
), "")</f>
        <v xml:space="preserve">• </v>
      </c>
      <c r="P25" s="24" t="str">
        <f>"• " &amp; IFERROR(_xlfn.TEXTJOIN(CHAR(10) &amp; "• ", TRUE,
IF('Bank diagnostic'!F36="Low", Methodology!F55, IF('Bank diagnostic'!F36="Medium", Methodology!I55, "")),
IF('Bank diagnostic'!F43="Low", Methodology!F62, IF('Bank diagnostic'!F43="Medium", Methodology!I62, "")),
IF('Bank diagnostic'!F44="Low", Methodology!F63, IF('Bank diagnostic'!F44="Medium", Methodology!I63, "")),
IF('Bank diagnostic'!F45="Low", Methodology!F64, IF('Bank diagnostic'!F45="Medium", Methodology!I64, "")),
IF('Bank diagnostic'!F46="Low", Methodology!F65, IF('Bank diagnostic'!F46="Medium", Methodology!I65, "")),
IF('Bank diagnostic'!F53="Low", Methodology!F72, IF('Bank diagnostic'!F53="Medium", Methodology!I72, "")),
IF('Bank diagnostic'!F54="Low", Methodology!F73, IF('Bank diagnostic'!F54="Medium", Methodology!I73, "")),
IF('Bank diagnostic'!#REF!="Low", Methodology!#REF!, IF('Bank diagnostic'!#REF!="Medium", Methodology!#REF!, ""))
), "")</f>
        <v xml:space="preserve">• </v>
      </c>
      <c r="Q25" s="24" t="str">
        <f>"• " &amp; IFERROR(_xlfn.TEXTJOIN(CHAR(10) &amp; "• ", TRUE,
IF('Bank diagnostic'!F36="Low", Methodology!G55, IF('Bank diagnostic'!F36="Medium", Methodology!J55, "")),
IF('Bank diagnostic'!F43="Low", Methodology!G62, IF('Bank diagnostic'!F43="Medium", Methodology!J62, "")),
IF('Bank diagnostic'!F44="Low", Methodology!G63, IF('Bank diagnostic'!F44="Medium", Methodology!J63, "")),
IF('Bank diagnostic'!F45="Low", Methodology!G64, IF('Bank diagnostic'!F45="Medium", Methodology!J64, "")),
IF('Bank diagnostic'!F46="Low", Methodology!G65, IF('Bank diagnostic'!F46="Medium", Methodology!J65, "")),
IF('Bank diagnostic'!F53="Low", Methodology!G72, IF('Bank diagnostic'!F53="Medium", Methodology!J72, "")),
IF('Bank diagnostic'!F54="Low", Methodology!G73, IF('Bank diagnostic'!F54="Medium", Methodology!J73, "")),
IF('Bank diagnostic'!#REF!="Low", Methodology!#REF!, IF('Bank diagnostic'!#REF!="Medium", Methodology!#REF!, ""))
), "")</f>
        <v xml:space="preserve">• </v>
      </c>
      <c r="R25" s="2"/>
      <c r="S25" s="2"/>
      <c r="T25" s="2"/>
      <c r="U25" s="2"/>
      <c r="V25" s="2"/>
      <c r="W25" s="2"/>
      <c r="X25" s="2"/>
      <c r="Y25" s="2"/>
      <c r="Z25" s="2"/>
      <c r="AA25" s="2"/>
      <c r="AB25" s="2"/>
      <c r="AC25" s="2"/>
      <c r="AD25" s="2"/>
      <c r="AE25" s="2"/>
      <c r="AF25" s="2"/>
      <c r="AG25" s="2"/>
      <c r="AH25" s="2"/>
      <c r="AI25" s="2"/>
      <c r="AJ25" s="2"/>
      <c r="AK25" s="2"/>
      <c r="AL25" s="2"/>
    </row>
    <row r="26" spans="1:38" ht="36.65" customHeight="1" x14ac:dyDescent="0.3">
      <c r="A26" s="28"/>
      <c r="B26" s="30"/>
      <c r="C26" s="30"/>
      <c r="D26" s="30"/>
      <c r="E26" s="45"/>
      <c r="F26" s="46" t="s">
        <v>498</v>
      </c>
      <c r="G26" s="44">
        <v>0</v>
      </c>
      <c r="H26" s="44"/>
      <c r="I26" s="44"/>
      <c r="J26" s="30"/>
      <c r="K26" s="30"/>
      <c r="L26" s="30"/>
      <c r="M26" s="30"/>
      <c r="N26" s="2"/>
      <c r="O26" s="2"/>
      <c r="P26" s="2"/>
      <c r="Q26" s="2"/>
      <c r="R26" s="2"/>
      <c r="S26" s="2"/>
      <c r="T26" s="2"/>
      <c r="U26" s="2"/>
      <c r="V26" s="2"/>
      <c r="W26" s="2"/>
      <c r="X26" s="2"/>
      <c r="Y26" s="2"/>
      <c r="Z26" s="2"/>
      <c r="AA26" s="2"/>
      <c r="AB26" s="2"/>
      <c r="AC26" s="2"/>
      <c r="AD26" s="2"/>
      <c r="AE26" s="2"/>
      <c r="AF26" s="2"/>
      <c r="AG26" s="2"/>
      <c r="AH26" s="2"/>
      <c r="AI26" s="2"/>
      <c r="AJ26" s="2"/>
      <c r="AK26" s="2"/>
      <c r="AL26" s="2"/>
    </row>
    <row r="27" spans="1:38" x14ac:dyDescent="0.3">
      <c r="B27" s="2"/>
      <c r="C27" s="2"/>
      <c r="D27" s="2"/>
      <c r="E27" s="2"/>
      <c r="F27" s="2"/>
      <c r="G27" s="2"/>
      <c r="H27" s="186"/>
      <c r="I27" s="186"/>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row>
    <row r="28" spans="1:38" x14ac:dyDescent="0.3">
      <c r="B28" s="2"/>
      <c r="C28" s="2"/>
      <c r="D28" s="2"/>
      <c r="E28" s="2"/>
      <c r="F28" s="2"/>
      <c r="G28" s="2"/>
      <c r="H28" s="186"/>
      <c r="I28" s="186"/>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row>
  </sheetData>
  <mergeCells count="1">
    <mergeCell ref="C6:J6"/>
  </mergeCells>
  <conditionalFormatting sqref="C11">
    <cfRule type="cellIs" dxfId="60" priority="5" operator="equal">
      <formula>"Needs Attention"</formula>
    </cfRule>
    <cfRule type="cellIs" dxfId="59" priority="6" operator="equal">
      <formula>"Making Progress"</formula>
    </cfRule>
    <cfRule type="cellIs" dxfId="58" priority="7" operator="equal">
      <formula>"On Track"</formula>
    </cfRule>
  </conditionalFormatting>
  <conditionalFormatting sqref="C19:F19">
    <cfRule type="cellIs" dxfId="57" priority="103" operator="equal">
      <formula>"Criteria not met"</formula>
    </cfRule>
    <cfRule type="cellIs" dxfId="56" priority="104" operator="equal">
      <formula>"Criteria met"</formula>
    </cfRule>
  </conditionalFormatting>
  <conditionalFormatting sqref="D13:E13">
    <cfRule type="containsText" dxfId="55" priority="69" operator="containsText" text="Mid maturity">
      <formula>NOT(ISERROR(SEARCH("Mid maturity",D13)))</formula>
    </cfRule>
    <cfRule type="containsText" dxfId="54" priority="70" operator="containsText" text="High maturity">
      <formula>NOT(ISERROR(SEARCH("High maturity",D13)))</formula>
    </cfRule>
    <cfRule type="containsText" dxfId="53" priority="71" operator="containsText" text="Low maturity">
      <formula>NOT(ISERROR(SEARCH("Low maturity",D13)))</formula>
    </cfRule>
  </conditionalFormatting>
  <conditionalFormatting sqref="E1:E5 E7:E9 E19">
    <cfRule type="cellIs" dxfId="52" priority="110" operator="equal">
      <formula>"Needs Attention"</formula>
    </cfRule>
    <cfRule type="cellIs" dxfId="51" priority="111" operator="equal">
      <formula>"Making Progress"</formula>
    </cfRule>
    <cfRule type="cellIs" dxfId="50" priority="112" operator="equal">
      <formula>"On Track"</formula>
    </cfRule>
  </conditionalFormatting>
  <conditionalFormatting sqref="F12:F14 C17:J18">
    <cfRule type="cellIs" dxfId="49" priority="82" operator="equal">
      <formula>"Criteria not met"</formula>
    </cfRule>
    <cfRule type="cellIs" dxfId="48" priority="83" operator="equal">
      <formula>"Criteria met"</formula>
    </cfRule>
    <cfRule type="cellIs" dxfId="47" priority="84" operator="equal">
      <formula>"Needs Attention"</formula>
    </cfRule>
    <cfRule type="cellIs" dxfId="46" priority="85" operator="equal">
      <formula>"Making Progress"</formula>
    </cfRule>
    <cfRule type="cellIs" dxfId="45" priority="86" operator="equal">
      <formula>"On Track"</formula>
    </cfRule>
  </conditionalFormatting>
  <conditionalFormatting sqref="J12">
    <cfRule type="cellIs" dxfId="44" priority="88" operator="equal">
      <formula>"Aligned"</formula>
    </cfRule>
    <cfRule type="cellIs" dxfId="43" priority="89" operator="equal">
      <formula>"Not Aligned"</formula>
    </cfRule>
  </conditionalFormatting>
  <conditionalFormatting sqref="J15:J16">
    <cfRule type="cellIs" dxfId="42" priority="78" operator="equal">
      <formula>"Not Applicable"</formula>
    </cfRule>
  </conditionalFormatting>
  <conditionalFormatting sqref="J19:J26 J1:J5 J7:J9 J11">
    <cfRule type="cellIs" dxfId="41" priority="87" operator="equal">
      <formula>"Not Applicable"</formula>
    </cfRule>
  </conditionalFormatting>
  <conditionalFormatting sqref="J20:J25 C11:C14 F20:F25">
    <cfRule type="cellIs" dxfId="40" priority="95" operator="equal">
      <formula>"Criteria not met"</formula>
    </cfRule>
    <cfRule type="cellIs" dxfId="39" priority="96" operator="equal">
      <formula>"Criteria met"</formula>
    </cfRule>
  </conditionalFormatting>
  <conditionalFormatting sqref="J20:J25 C12:D12 C13:C14">
    <cfRule type="cellIs" dxfId="38" priority="81" operator="equal">
      <formula>"On Track"</formula>
    </cfRule>
    <cfRule type="cellIs" dxfId="37" priority="79" operator="equal">
      <formula>"Needs Attention"</formula>
    </cfRule>
    <cfRule type="cellIs" dxfId="36" priority="80" operator="equal">
      <formula>"Making Progress"</formula>
    </cfRule>
  </conditionalFormatting>
  <conditionalFormatting sqref="J20:J25">
    <cfRule type="containsText" dxfId="35" priority="72" operator="containsText" text="Mid maturity">
      <formula>NOT(ISERROR(SEARCH("Mid maturity",J20)))</formula>
    </cfRule>
    <cfRule type="containsText" dxfId="34" priority="74" operator="containsText" text="Low maturity">
      <formula>NOT(ISERROR(SEARCH("Low maturity",J20)))</formula>
    </cfRule>
    <cfRule type="containsText" dxfId="33" priority="73" operator="containsText" text="High maturity">
      <formula>NOT(ISERROR(SEARCH("High maturity",J20)))</formula>
    </cfRule>
  </conditionalFormatting>
  <conditionalFormatting sqref="N12:Q12">
    <cfRule type="cellIs" dxfId="32" priority="45" operator="equal">
      <formula>"Criteria not met"</formula>
    </cfRule>
    <cfRule type="cellIs" dxfId="31" priority="46" operator="equal">
      <formula>"Criteria met"</formula>
    </cfRule>
    <cfRule type="cellIs" dxfId="30" priority="47" operator="equal">
      <formula>"Needs Attention"</formula>
    </cfRule>
    <cfRule type="cellIs" dxfId="29" priority="48" operator="equal">
      <formula>"Making Progress"</formula>
    </cfRule>
    <cfRule type="cellIs" dxfId="28" priority="49" operator="equal">
      <formula>"On Track"</formula>
    </cfRule>
  </conditionalFormatting>
  <conditionalFormatting sqref="N17:Q17">
    <cfRule type="cellIs" dxfId="27" priority="40" operator="equal">
      <formula>"Criteria not met"</formula>
    </cfRule>
    <cfRule type="cellIs" dxfId="26" priority="41" operator="equal">
      <formula>"Criteria met"</formula>
    </cfRule>
    <cfRule type="cellIs" dxfId="25" priority="42" operator="equal">
      <formula>"Needs Attention"</formula>
    </cfRule>
    <cfRule type="cellIs" dxfId="24" priority="43" operator="equal">
      <formula>"Making Progress"</formula>
    </cfRule>
    <cfRule type="cellIs" dxfId="23" priority="44" operator="equal">
      <formula>"On Track"</formula>
    </cfRule>
  </conditionalFormatting>
  <hyperlinks>
    <hyperlink ref="C15:J15" location="Methodology!A1" display="Refer to the methodology tab to understand the scoring criteria" xr:uid="{1CAB0B37-7403-49E4-9E49-48CB154F4B9A}"/>
  </hyperlinks>
  <pageMargins left="0.7" right="0.7" top="0.75" bottom="0.75" header="0.3" footer="0.3"/>
  <pageSetup scale="1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14D5-0DB7-4AD7-952F-C4CB212D4FCE}">
  <dimension ref="B3:F14"/>
  <sheetViews>
    <sheetView showGridLines="0" tabSelected="1" zoomScale="34" workbookViewId="0">
      <selection activeCell="B18" sqref="B18:B19"/>
    </sheetView>
  </sheetViews>
  <sheetFormatPr defaultRowHeight="14" x14ac:dyDescent="0.3"/>
  <cols>
    <col min="2" max="2" width="37" bestFit="1" customWidth="1"/>
    <col min="3" max="3" width="26.69140625" bestFit="1" customWidth="1"/>
    <col min="4" max="4" width="18.84375" customWidth="1"/>
    <col min="5" max="5" width="20.3046875" customWidth="1"/>
  </cols>
  <sheetData>
    <row r="3" spans="2:6" ht="20.5" thickBot="1" x14ac:dyDescent="0.35">
      <c r="B3" s="33"/>
      <c r="C3" s="280" t="str">
        <f>'Bank diagnostic'!F10</f>
        <v>Bank X</v>
      </c>
      <c r="D3" s="280" t="str">
        <f>'Example 1'!E10</f>
        <v>Family Bank</v>
      </c>
      <c r="E3" s="280" t="str">
        <f>'Example 2'!E10</f>
        <v>Banco Finandina</v>
      </c>
      <c r="F3" s="277"/>
    </row>
    <row r="4" spans="2:6" ht="20" x14ac:dyDescent="0.3">
      <c r="B4" s="33" t="s">
        <v>487</v>
      </c>
      <c r="C4" s="279" t="e" vm="1">
        <f>Results!D12</f>
        <v>#VALUE!</v>
      </c>
    </row>
    <row r="5" spans="2:6" ht="20" x14ac:dyDescent="0.3">
      <c r="B5" s="33" t="s">
        <v>488</v>
      </c>
      <c r="C5" s="278" t="e" vm="1">
        <f>Results!D13</f>
        <v>#VALUE!</v>
      </c>
      <c r="D5" t="e" vm="1">
        <f>'Example 1'!G10</f>
        <v>#VALUE!</v>
      </c>
      <c r="E5" t="e" vm="1">
        <f>'Example 2'!G10</f>
        <v>#VALUE!</v>
      </c>
    </row>
    <row r="6" spans="2:6" ht="20" x14ac:dyDescent="0.3">
      <c r="B6" s="33" t="s">
        <v>489</v>
      </c>
      <c r="C6" t="str">
        <f>Results!D14</f>
        <v>1 / 6 areas ranked as high maturity</v>
      </c>
    </row>
    <row r="7" spans="2:6" ht="20" x14ac:dyDescent="0.3">
      <c r="B7" s="33" t="s">
        <v>499</v>
      </c>
    </row>
    <row r="8" spans="2:6" ht="15" x14ac:dyDescent="0.3">
      <c r="B8" s="86" t="s">
        <v>493</v>
      </c>
    </row>
    <row r="9" spans="2:6" ht="15" x14ac:dyDescent="0.3">
      <c r="B9" s="86" t="str">
        <f>Results!F20</f>
        <v>1. Strategy</v>
      </c>
      <c r="C9" s="278" t="e" vm="1">
        <f>Results!J20</f>
        <v>#VALUE!</v>
      </c>
    </row>
    <row r="10" spans="2:6" ht="15" x14ac:dyDescent="0.3">
      <c r="B10" s="86" t="str">
        <f>Results!F21</f>
        <v>2. Talent and organizational structure</v>
      </c>
      <c r="C10" s="278" t="e" vm="1">
        <f>Results!J21</f>
        <v>#VALUE!</v>
      </c>
    </row>
    <row r="11" spans="2:6" ht="15" x14ac:dyDescent="0.3">
      <c r="B11" s="86" t="str">
        <f>Results!F22</f>
        <v>3. Competitive positioning</v>
      </c>
      <c r="C11" s="278" t="e" vm="1">
        <f>Results!J22</f>
        <v>#VALUE!</v>
      </c>
    </row>
    <row r="12" spans="2:6" ht="15" x14ac:dyDescent="0.3">
      <c r="B12" s="86" t="str">
        <f>Results!F23</f>
        <v>4. Operational processes</v>
      </c>
      <c r="C12" s="278" t="e" vm="1">
        <f>Results!J23</f>
        <v>#VALUE!</v>
      </c>
    </row>
    <row r="13" spans="2:6" ht="15" x14ac:dyDescent="0.3">
      <c r="B13" s="86" t="str">
        <f>Results!F24</f>
        <v>5. Products and value proposition</v>
      </c>
      <c r="C13" s="278" t="e" vm="1">
        <f>Results!J24</f>
        <v>#VALUE!</v>
      </c>
    </row>
    <row r="14" spans="2:6" ht="15" x14ac:dyDescent="0.3">
      <c r="B14" s="86" t="str">
        <f>Results!F25</f>
        <v>6. Digital</v>
      </c>
      <c r="C14" s="278" t="str">
        <f>Results!J25</f>
        <v>High maturity</v>
      </c>
    </row>
  </sheetData>
  <conditionalFormatting sqref="B3:B14">
    <cfRule type="cellIs" dxfId="22" priority="19" operator="equal">
      <formula>"Needs Attention"</formula>
    </cfRule>
    <cfRule type="cellIs" dxfId="21" priority="20" operator="equal">
      <formula>"Making Progress"</formula>
    </cfRule>
    <cfRule type="cellIs" dxfId="20" priority="21" operator="equal">
      <formula>"On Track"</formula>
    </cfRule>
    <cfRule type="cellIs" dxfId="19" priority="22" operator="equal">
      <formula>"Criteria not met"</formula>
    </cfRule>
    <cfRule type="cellIs" dxfId="18" priority="23" operator="equal">
      <formula>"Criteria met"</formula>
    </cfRule>
  </conditionalFormatting>
  <conditionalFormatting sqref="C5">
    <cfRule type="containsText" dxfId="17" priority="1" operator="containsText" text="Mid maturity">
      <formula>NOT(ISERROR(SEARCH("Mid maturity",C5)))</formula>
    </cfRule>
    <cfRule type="containsText" dxfId="16" priority="2" operator="containsText" text="High maturity">
      <formula>NOT(ISERROR(SEARCH("High maturity",C5)))</formula>
    </cfRule>
    <cfRule type="containsText" dxfId="15" priority="3" operator="containsText" text="Low maturity">
      <formula>NOT(ISERROR(SEARCH("Low maturity",C5)))</formula>
    </cfRule>
    <cfRule type="cellIs" dxfId="14" priority="4" operator="equal">
      <formula>"Needs Attention"</formula>
    </cfRule>
    <cfRule type="cellIs" dxfId="13" priority="5" operator="equal">
      <formula>"Making Progress"</formula>
    </cfRule>
    <cfRule type="cellIs" dxfId="12" priority="6" operator="equal">
      <formula>"On Track"</formula>
    </cfRule>
    <cfRule type="cellIs" dxfId="11" priority="7" operator="equal">
      <formula>"Not Applicable"</formula>
    </cfRule>
    <cfRule type="cellIs" dxfId="10" priority="8" operator="equal">
      <formula>"Criteria not met"</formula>
    </cfRule>
    <cfRule type="cellIs" dxfId="9" priority="9" operator="equal">
      <formula>"Criteria met"</formula>
    </cfRule>
  </conditionalFormatting>
  <conditionalFormatting sqref="C9:C14">
    <cfRule type="containsText" dxfId="8" priority="10" operator="containsText" text="Mid maturity">
      <formula>NOT(ISERROR(SEARCH("Mid maturity",C9)))</formula>
    </cfRule>
    <cfRule type="containsText" dxfId="7" priority="11" operator="containsText" text="High maturity">
      <formula>NOT(ISERROR(SEARCH("High maturity",C9)))</formula>
    </cfRule>
    <cfRule type="containsText" dxfId="6" priority="12" operator="containsText" text="Low maturity">
      <formula>NOT(ISERROR(SEARCH("Low maturity",C9)))</formula>
    </cfRule>
    <cfRule type="cellIs" dxfId="5" priority="13" operator="equal">
      <formula>"Needs Attention"</formula>
    </cfRule>
    <cfRule type="cellIs" dxfId="4" priority="14" operator="equal">
      <formula>"Making Progress"</formula>
    </cfRule>
    <cfRule type="cellIs" dxfId="3" priority="15" operator="equal">
      <formula>"On Track"</formula>
    </cfRule>
    <cfRule type="cellIs" dxfId="2" priority="16" operator="equal">
      <formula>"Not Applicable"</formula>
    </cfRule>
    <cfRule type="cellIs" dxfId="1" priority="17" operator="equal">
      <formula>"Criteria not met"</formula>
    </cfRule>
    <cfRule type="cellIs" dxfId="0" priority="18" operator="equal">
      <formula>"Criteria met"</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1C4A8-8583-4472-BDFC-3A47147BC0F7}">
  <sheetPr>
    <tabColor theme="7"/>
  </sheetPr>
  <dimension ref="C2:C221"/>
  <sheetViews>
    <sheetView topLeftCell="A193" workbookViewId="0">
      <selection activeCell="C2" sqref="C2:C221"/>
    </sheetView>
  </sheetViews>
  <sheetFormatPr defaultRowHeight="14" x14ac:dyDescent="0.3"/>
  <cols>
    <col min="3" max="3" width="23.84375" customWidth="1"/>
  </cols>
  <sheetData>
    <row r="2" spans="3:3" x14ac:dyDescent="0.3">
      <c r="C2" s="17" t="s">
        <v>500</v>
      </c>
    </row>
    <row r="3" spans="3:3" x14ac:dyDescent="0.3">
      <c r="C3" s="15" t="s">
        <v>501</v>
      </c>
    </row>
    <row r="4" spans="3:3" x14ac:dyDescent="0.3">
      <c r="C4" s="15" t="s">
        <v>502</v>
      </c>
    </row>
    <row r="5" spans="3:3" x14ac:dyDescent="0.3">
      <c r="C5" s="15" t="s">
        <v>503</v>
      </c>
    </row>
    <row r="6" spans="3:3" x14ac:dyDescent="0.3">
      <c r="C6" s="15" t="s">
        <v>504</v>
      </c>
    </row>
    <row r="7" spans="3:3" x14ac:dyDescent="0.3">
      <c r="C7" s="15" t="s">
        <v>505</v>
      </c>
    </row>
    <row r="8" spans="3:3" x14ac:dyDescent="0.3">
      <c r="C8" s="15" t="s">
        <v>506</v>
      </c>
    </row>
    <row r="9" spans="3:3" x14ac:dyDescent="0.3">
      <c r="C9" s="15" t="s">
        <v>507</v>
      </c>
    </row>
    <row r="10" spans="3:3" x14ac:dyDescent="0.3">
      <c r="C10" s="15" t="s">
        <v>508</v>
      </c>
    </row>
    <row r="11" spans="3:3" x14ac:dyDescent="0.3">
      <c r="C11" s="15" t="s">
        <v>509</v>
      </c>
    </row>
    <row r="12" spans="3:3" x14ac:dyDescent="0.3">
      <c r="C12" s="15" t="s">
        <v>510</v>
      </c>
    </row>
    <row r="13" spans="3:3" x14ac:dyDescent="0.3">
      <c r="C13" s="15" t="s">
        <v>511</v>
      </c>
    </row>
    <row r="14" spans="3:3" x14ac:dyDescent="0.3">
      <c r="C14" s="15" t="s">
        <v>512</v>
      </c>
    </row>
    <row r="15" spans="3:3" x14ac:dyDescent="0.3">
      <c r="C15" s="15" t="s">
        <v>513</v>
      </c>
    </row>
    <row r="16" spans="3:3" x14ac:dyDescent="0.3">
      <c r="C16" s="15" t="s">
        <v>514</v>
      </c>
    </row>
    <row r="17" spans="3:3" x14ac:dyDescent="0.3">
      <c r="C17" s="15" t="s">
        <v>515</v>
      </c>
    </row>
    <row r="18" spans="3:3" x14ac:dyDescent="0.3">
      <c r="C18" s="15" t="s">
        <v>516</v>
      </c>
    </row>
    <row r="19" spans="3:3" x14ac:dyDescent="0.3">
      <c r="C19" s="15" t="s">
        <v>517</v>
      </c>
    </row>
    <row r="20" spans="3:3" x14ac:dyDescent="0.3">
      <c r="C20" s="15" t="s">
        <v>518</v>
      </c>
    </row>
    <row r="21" spans="3:3" x14ac:dyDescent="0.3">
      <c r="C21" s="15" t="s">
        <v>519</v>
      </c>
    </row>
    <row r="22" spans="3:3" x14ac:dyDescent="0.3">
      <c r="C22" s="15" t="s">
        <v>520</v>
      </c>
    </row>
    <row r="23" spans="3:3" x14ac:dyDescent="0.3">
      <c r="C23" s="15" t="s">
        <v>521</v>
      </c>
    </row>
    <row r="24" spans="3:3" x14ac:dyDescent="0.3">
      <c r="C24" s="15" t="s">
        <v>522</v>
      </c>
    </row>
    <row r="25" spans="3:3" x14ac:dyDescent="0.3">
      <c r="C25" s="15" t="s">
        <v>523</v>
      </c>
    </row>
    <row r="26" spans="3:3" x14ac:dyDescent="0.3">
      <c r="C26" s="15" t="s">
        <v>524</v>
      </c>
    </row>
    <row r="27" spans="3:3" x14ac:dyDescent="0.3">
      <c r="C27" s="15" t="s">
        <v>525</v>
      </c>
    </row>
    <row r="28" spans="3:3" x14ac:dyDescent="0.3">
      <c r="C28" s="87" t="s">
        <v>526</v>
      </c>
    </row>
    <row r="29" spans="3:3" x14ac:dyDescent="0.3">
      <c r="C29" s="87" t="s">
        <v>527</v>
      </c>
    </row>
    <row r="30" spans="3:3" x14ac:dyDescent="0.3">
      <c r="C30" s="15" t="s">
        <v>528</v>
      </c>
    </row>
    <row r="31" spans="3:3" x14ac:dyDescent="0.3">
      <c r="C31" s="15" t="s">
        <v>529</v>
      </c>
    </row>
    <row r="32" spans="3:3" x14ac:dyDescent="0.3">
      <c r="C32" s="87" t="s">
        <v>530</v>
      </c>
    </row>
    <row r="33" spans="3:3" x14ac:dyDescent="0.3">
      <c r="C33" s="87" t="s">
        <v>531</v>
      </c>
    </row>
    <row r="34" spans="3:3" x14ac:dyDescent="0.3">
      <c r="C34" s="15" t="s">
        <v>532</v>
      </c>
    </row>
    <row r="35" spans="3:3" x14ac:dyDescent="0.3">
      <c r="C35" s="15" t="s">
        <v>533</v>
      </c>
    </row>
    <row r="36" spans="3:3" x14ac:dyDescent="0.3">
      <c r="C36" s="15" t="s">
        <v>534</v>
      </c>
    </row>
    <row r="37" spans="3:3" x14ac:dyDescent="0.3">
      <c r="C37" s="15" t="s">
        <v>535</v>
      </c>
    </row>
    <row r="38" spans="3:3" x14ac:dyDescent="0.3">
      <c r="C38" s="15" t="s">
        <v>536</v>
      </c>
    </row>
    <row r="39" spans="3:3" x14ac:dyDescent="0.3">
      <c r="C39" s="15" t="s">
        <v>537</v>
      </c>
    </row>
    <row r="40" spans="3:3" x14ac:dyDescent="0.3">
      <c r="C40" s="15" t="s">
        <v>538</v>
      </c>
    </row>
    <row r="41" spans="3:3" x14ac:dyDescent="0.3">
      <c r="C41" s="15" t="s">
        <v>539</v>
      </c>
    </row>
    <row r="42" spans="3:3" x14ac:dyDescent="0.3">
      <c r="C42" s="15" t="s">
        <v>540</v>
      </c>
    </row>
    <row r="43" spans="3:3" x14ac:dyDescent="0.3">
      <c r="C43" s="15" t="s">
        <v>541</v>
      </c>
    </row>
    <row r="44" spans="3:3" x14ac:dyDescent="0.3">
      <c r="C44" s="15" t="s">
        <v>542</v>
      </c>
    </row>
    <row r="45" spans="3:3" x14ac:dyDescent="0.3">
      <c r="C45" s="15" t="s">
        <v>543</v>
      </c>
    </row>
    <row r="46" spans="3:3" x14ac:dyDescent="0.3">
      <c r="C46" s="15" t="s">
        <v>544</v>
      </c>
    </row>
    <row r="47" spans="3:3" x14ac:dyDescent="0.3">
      <c r="C47" s="15" t="s">
        <v>287</v>
      </c>
    </row>
    <row r="48" spans="3:3" x14ac:dyDescent="0.3">
      <c r="C48" s="15" t="s">
        <v>545</v>
      </c>
    </row>
    <row r="49" spans="3:3" x14ac:dyDescent="0.3">
      <c r="C49" s="15" t="s">
        <v>546</v>
      </c>
    </row>
    <row r="50" spans="3:3" x14ac:dyDescent="0.3">
      <c r="C50" s="87" t="s">
        <v>547</v>
      </c>
    </row>
    <row r="51" spans="3:3" x14ac:dyDescent="0.3">
      <c r="C51" s="15" t="s">
        <v>548</v>
      </c>
    </row>
    <row r="52" spans="3:3" x14ac:dyDescent="0.3">
      <c r="C52" s="15" t="s">
        <v>549</v>
      </c>
    </row>
    <row r="53" spans="3:3" x14ac:dyDescent="0.3">
      <c r="C53" s="15" t="s">
        <v>550</v>
      </c>
    </row>
    <row r="54" spans="3:3" x14ac:dyDescent="0.3">
      <c r="C54" s="15" t="s">
        <v>551</v>
      </c>
    </row>
    <row r="55" spans="3:3" x14ac:dyDescent="0.3">
      <c r="C55" s="15" t="s">
        <v>552</v>
      </c>
    </row>
    <row r="56" spans="3:3" x14ac:dyDescent="0.3">
      <c r="C56" s="15" t="s">
        <v>553</v>
      </c>
    </row>
    <row r="57" spans="3:3" x14ac:dyDescent="0.3">
      <c r="C57" s="15" t="s">
        <v>554</v>
      </c>
    </row>
    <row r="58" spans="3:3" x14ac:dyDescent="0.3">
      <c r="C58" s="15" t="s">
        <v>555</v>
      </c>
    </row>
    <row r="59" spans="3:3" x14ac:dyDescent="0.3">
      <c r="C59" s="15" t="s">
        <v>556</v>
      </c>
    </row>
    <row r="60" spans="3:3" x14ac:dyDescent="0.3">
      <c r="C60" s="15" t="s">
        <v>557</v>
      </c>
    </row>
    <row r="61" spans="3:3" x14ac:dyDescent="0.3">
      <c r="C61" s="15" t="s">
        <v>558</v>
      </c>
    </row>
    <row r="62" spans="3:3" x14ac:dyDescent="0.3">
      <c r="C62" s="15" t="s">
        <v>559</v>
      </c>
    </row>
    <row r="63" spans="3:3" x14ac:dyDescent="0.3">
      <c r="C63" s="15" t="s">
        <v>560</v>
      </c>
    </row>
    <row r="64" spans="3:3" x14ac:dyDescent="0.3">
      <c r="C64" s="15" t="s">
        <v>561</v>
      </c>
    </row>
    <row r="65" spans="3:3" x14ac:dyDescent="0.3">
      <c r="C65" s="15" t="s">
        <v>562</v>
      </c>
    </row>
    <row r="66" spans="3:3" x14ac:dyDescent="0.3">
      <c r="C66" s="15" t="s">
        <v>563</v>
      </c>
    </row>
    <row r="67" spans="3:3" x14ac:dyDescent="0.3">
      <c r="C67" s="15" t="s">
        <v>564</v>
      </c>
    </row>
    <row r="68" spans="3:3" x14ac:dyDescent="0.3">
      <c r="C68" s="15" t="s">
        <v>565</v>
      </c>
    </row>
    <row r="69" spans="3:3" x14ac:dyDescent="0.3">
      <c r="C69" s="15" t="s">
        <v>566</v>
      </c>
    </row>
    <row r="70" spans="3:3" x14ac:dyDescent="0.3">
      <c r="C70" s="15" t="s">
        <v>567</v>
      </c>
    </row>
    <row r="71" spans="3:3" x14ac:dyDescent="0.3">
      <c r="C71" s="15" t="s">
        <v>568</v>
      </c>
    </row>
    <row r="72" spans="3:3" x14ac:dyDescent="0.3">
      <c r="C72" s="15" t="s">
        <v>569</v>
      </c>
    </row>
    <row r="73" spans="3:3" x14ac:dyDescent="0.3">
      <c r="C73" s="15" t="s">
        <v>570</v>
      </c>
    </row>
    <row r="74" spans="3:3" x14ac:dyDescent="0.3">
      <c r="C74" s="15" t="s">
        <v>571</v>
      </c>
    </row>
    <row r="75" spans="3:3" x14ac:dyDescent="0.3">
      <c r="C75" s="15" t="s">
        <v>572</v>
      </c>
    </row>
    <row r="76" spans="3:3" x14ac:dyDescent="0.3">
      <c r="C76" s="87" t="s">
        <v>573</v>
      </c>
    </row>
    <row r="77" spans="3:3" x14ac:dyDescent="0.3">
      <c r="C77" s="15" t="s">
        <v>574</v>
      </c>
    </row>
    <row r="78" spans="3:3" x14ac:dyDescent="0.3">
      <c r="C78" s="15" t="s">
        <v>575</v>
      </c>
    </row>
    <row r="79" spans="3:3" x14ac:dyDescent="0.3">
      <c r="C79" s="87" t="s">
        <v>576</v>
      </c>
    </row>
    <row r="80" spans="3:3" x14ac:dyDescent="0.3">
      <c r="C80" s="15" t="s">
        <v>577</v>
      </c>
    </row>
    <row r="81" spans="3:3" x14ac:dyDescent="0.3">
      <c r="C81" s="15" t="s">
        <v>578</v>
      </c>
    </row>
    <row r="82" spans="3:3" x14ac:dyDescent="0.3">
      <c r="C82" s="15" t="s">
        <v>579</v>
      </c>
    </row>
    <row r="83" spans="3:3" x14ac:dyDescent="0.3">
      <c r="C83" s="15" t="s">
        <v>580</v>
      </c>
    </row>
    <row r="84" spans="3:3" x14ac:dyDescent="0.3">
      <c r="C84" s="15" t="s">
        <v>581</v>
      </c>
    </row>
    <row r="85" spans="3:3" x14ac:dyDescent="0.3">
      <c r="C85" s="15" t="s">
        <v>582</v>
      </c>
    </row>
    <row r="86" spans="3:3" x14ac:dyDescent="0.3">
      <c r="C86" s="15" t="s">
        <v>583</v>
      </c>
    </row>
    <row r="87" spans="3:3" x14ac:dyDescent="0.3">
      <c r="C87" s="15" t="s">
        <v>584</v>
      </c>
    </row>
    <row r="88" spans="3:3" x14ac:dyDescent="0.3">
      <c r="C88" s="15" t="s">
        <v>585</v>
      </c>
    </row>
    <row r="89" spans="3:3" x14ac:dyDescent="0.3">
      <c r="C89" s="15" t="s">
        <v>586</v>
      </c>
    </row>
    <row r="90" spans="3:3" x14ac:dyDescent="0.3">
      <c r="C90" s="15" t="s">
        <v>587</v>
      </c>
    </row>
    <row r="91" spans="3:3" x14ac:dyDescent="0.3">
      <c r="C91" s="15" t="s">
        <v>588</v>
      </c>
    </row>
    <row r="92" spans="3:3" x14ac:dyDescent="0.3">
      <c r="C92" s="15" t="s">
        <v>589</v>
      </c>
    </row>
    <row r="93" spans="3:3" x14ac:dyDescent="0.3">
      <c r="C93" s="15" t="s">
        <v>590</v>
      </c>
    </row>
    <row r="94" spans="3:3" x14ac:dyDescent="0.3">
      <c r="C94" s="15" t="s">
        <v>591</v>
      </c>
    </row>
    <row r="95" spans="3:3" x14ac:dyDescent="0.3">
      <c r="C95" s="15" t="s">
        <v>592</v>
      </c>
    </row>
    <row r="96" spans="3:3" x14ac:dyDescent="0.3">
      <c r="C96" s="15" t="s">
        <v>593</v>
      </c>
    </row>
    <row r="97" spans="3:3" x14ac:dyDescent="0.3">
      <c r="C97" s="15" t="s">
        <v>594</v>
      </c>
    </row>
    <row r="98" spans="3:3" x14ac:dyDescent="0.3">
      <c r="C98" s="15" t="s">
        <v>595</v>
      </c>
    </row>
    <row r="99" spans="3:3" x14ac:dyDescent="0.3">
      <c r="C99" s="15" t="s">
        <v>596</v>
      </c>
    </row>
    <row r="100" spans="3:3" x14ac:dyDescent="0.3">
      <c r="C100" s="15" t="s">
        <v>597</v>
      </c>
    </row>
    <row r="101" spans="3:3" x14ac:dyDescent="0.3">
      <c r="C101" s="15" t="s">
        <v>598</v>
      </c>
    </row>
    <row r="102" spans="3:3" x14ac:dyDescent="0.3">
      <c r="C102" s="15" t="s">
        <v>599</v>
      </c>
    </row>
    <row r="103" spans="3:3" x14ac:dyDescent="0.3">
      <c r="C103" s="15" t="s">
        <v>600</v>
      </c>
    </row>
    <row r="104" spans="3:3" x14ac:dyDescent="0.3">
      <c r="C104" s="15" t="s">
        <v>601</v>
      </c>
    </row>
    <row r="105" spans="3:3" x14ac:dyDescent="0.3">
      <c r="C105" s="15" t="s">
        <v>602</v>
      </c>
    </row>
    <row r="106" spans="3:3" x14ac:dyDescent="0.3">
      <c r="C106" s="15" t="s">
        <v>603</v>
      </c>
    </row>
    <row r="107" spans="3:3" x14ac:dyDescent="0.3">
      <c r="C107" s="15" t="s">
        <v>257</v>
      </c>
    </row>
    <row r="108" spans="3:3" x14ac:dyDescent="0.3">
      <c r="C108" s="15" t="s">
        <v>604</v>
      </c>
    </row>
    <row r="109" spans="3:3" x14ac:dyDescent="0.3">
      <c r="C109" s="87" t="s">
        <v>605</v>
      </c>
    </row>
    <row r="110" spans="3:3" x14ac:dyDescent="0.3">
      <c r="C110" s="87" t="s">
        <v>606</v>
      </c>
    </row>
    <row r="111" spans="3:3" x14ac:dyDescent="0.3">
      <c r="C111" s="87" t="s">
        <v>607</v>
      </c>
    </row>
    <row r="112" spans="3:3" x14ac:dyDescent="0.3">
      <c r="C112" s="15" t="s">
        <v>608</v>
      </c>
    </row>
    <row r="113" spans="3:3" x14ac:dyDescent="0.3">
      <c r="C113" s="15" t="s">
        <v>609</v>
      </c>
    </row>
    <row r="114" spans="3:3" x14ac:dyDescent="0.3">
      <c r="C114" s="15" t="s">
        <v>610</v>
      </c>
    </row>
    <row r="115" spans="3:3" x14ac:dyDescent="0.3">
      <c r="C115" s="15" t="s">
        <v>611</v>
      </c>
    </row>
    <row r="116" spans="3:3" x14ac:dyDescent="0.3">
      <c r="C116" s="15" t="s">
        <v>612</v>
      </c>
    </row>
    <row r="117" spans="3:3" x14ac:dyDescent="0.3">
      <c r="C117" s="15" t="s">
        <v>613</v>
      </c>
    </row>
    <row r="118" spans="3:3" x14ac:dyDescent="0.3">
      <c r="C118" s="15" t="s">
        <v>614</v>
      </c>
    </row>
    <row r="119" spans="3:3" x14ac:dyDescent="0.3">
      <c r="C119" s="15" t="s">
        <v>615</v>
      </c>
    </row>
    <row r="120" spans="3:3" x14ac:dyDescent="0.3">
      <c r="C120" s="87" t="s">
        <v>616</v>
      </c>
    </row>
    <row r="121" spans="3:3" x14ac:dyDescent="0.3">
      <c r="C121" s="15" t="s">
        <v>617</v>
      </c>
    </row>
    <row r="122" spans="3:3" x14ac:dyDescent="0.3">
      <c r="C122" s="87" t="s">
        <v>618</v>
      </c>
    </row>
    <row r="123" spans="3:3" x14ac:dyDescent="0.3">
      <c r="C123" s="15" t="s">
        <v>619</v>
      </c>
    </row>
    <row r="124" spans="3:3" x14ac:dyDescent="0.3">
      <c r="C124" s="15" t="s">
        <v>620</v>
      </c>
    </row>
    <row r="125" spans="3:3" x14ac:dyDescent="0.3">
      <c r="C125" s="15" t="s">
        <v>621</v>
      </c>
    </row>
    <row r="126" spans="3:3" x14ac:dyDescent="0.3">
      <c r="C126" s="15" t="s">
        <v>622</v>
      </c>
    </row>
    <row r="127" spans="3:3" x14ac:dyDescent="0.3">
      <c r="C127" s="15" t="s">
        <v>623</v>
      </c>
    </row>
    <row r="128" spans="3:3" x14ac:dyDescent="0.3">
      <c r="C128" s="15" t="s">
        <v>624</v>
      </c>
    </row>
    <row r="129" spans="3:3" x14ac:dyDescent="0.3">
      <c r="C129" s="15" t="s">
        <v>625</v>
      </c>
    </row>
    <row r="130" spans="3:3" x14ac:dyDescent="0.3">
      <c r="C130" s="15" t="s">
        <v>626</v>
      </c>
    </row>
    <row r="131" spans="3:3" x14ac:dyDescent="0.3">
      <c r="C131" s="15" t="s">
        <v>627</v>
      </c>
    </row>
    <row r="132" spans="3:3" x14ac:dyDescent="0.3">
      <c r="C132" s="15" t="s">
        <v>628</v>
      </c>
    </row>
    <row r="133" spans="3:3" x14ac:dyDescent="0.3">
      <c r="C133" s="15" t="s">
        <v>629</v>
      </c>
    </row>
    <row r="134" spans="3:3" x14ac:dyDescent="0.3">
      <c r="C134" s="15" t="s">
        <v>630</v>
      </c>
    </row>
    <row r="135" spans="3:3" x14ac:dyDescent="0.3">
      <c r="C135" s="15" t="s">
        <v>631</v>
      </c>
    </row>
    <row r="136" spans="3:3" x14ac:dyDescent="0.3">
      <c r="C136" s="15" t="s">
        <v>632</v>
      </c>
    </row>
    <row r="137" spans="3:3" x14ac:dyDescent="0.3">
      <c r="C137" s="15" t="s">
        <v>633</v>
      </c>
    </row>
    <row r="138" spans="3:3" x14ac:dyDescent="0.3">
      <c r="C138" s="15" t="s">
        <v>634</v>
      </c>
    </row>
    <row r="139" spans="3:3" x14ac:dyDescent="0.3">
      <c r="C139" s="15" t="s">
        <v>635</v>
      </c>
    </row>
    <row r="140" spans="3:3" x14ac:dyDescent="0.3">
      <c r="C140" s="15" t="s">
        <v>636</v>
      </c>
    </row>
    <row r="141" spans="3:3" x14ac:dyDescent="0.3">
      <c r="C141" s="15" t="s">
        <v>637</v>
      </c>
    </row>
    <row r="142" spans="3:3" x14ac:dyDescent="0.3">
      <c r="C142" s="15" t="s">
        <v>638</v>
      </c>
    </row>
    <row r="143" spans="3:3" x14ac:dyDescent="0.3">
      <c r="C143" s="15" t="s">
        <v>639</v>
      </c>
    </row>
    <row r="144" spans="3:3" x14ac:dyDescent="0.3">
      <c r="C144" s="15" t="s">
        <v>640</v>
      </c>
    </row>
    <row r="145" spans="3:3" x14ac:dyDescent="0.3">
      <c r="C145" s="15" t="s">
        <v>641</v>
      </c>
    </row>
    <row r="146" spans="3:3" x14ac:dyDescent="0.3">
      <c r="C146" s="15" t="s">
        <v>642</v>
      </c>
    </row>
    <row r="147" spans="3:3" x14ac:dyDescent="0.3">
      <c r="C147" s="15" t="s">
        <v>643</v>
      </c>
    </row>
    <row r="148" spans="3:3" x14ac:dyDescent="0.3">
      <c r="C148" s="15" t="s">
        <v>644</v>
      </c>
    </row>
    <row r="149" spans="3:3" x14ac:dyDescent="0.3">
      <c r="C149" s="87" t="s">
        <v>645</v>
      </c>
    </row>
    <row r="150" spans="3:3" x14ac:dyDescent="0.3">
      <c r="C150" s="15" t="s">
        <v>646</v>
      </c>
    </row>
    <row r="151" spans="3:3" x14ac:dyDescent="0.3">
      <c r="C151" s="15" t="s">
        <v>647</v>
      </c>
    </row>
    <row r="152" spans="3:3" x14ac:dyDescent="0.3">
      <c r="C152" s="15" t="s">
        <v>648</v>
      </c>
    </row>
    <row r="153" spans="3:3" x14ac:dyDescent="0.3">
      <c r="C153" s="15" t="s">
        <v>649</v>
      </c>
    </row>
    <row r="154" spans="3:3" x14ac:dyDescent="0.3">
      <c r="C154" s="87" t="s">
        <v>650</v>
      </c>
    </row>
    <row r="155" spans="3:3" x14ac:dyDescent="0.3">
      <c r="C155" s="15" t="s">
        <v>651</v>
      </c>
    </row>
    <row r="156" spans="3:3" x14ac:dyDescent="0.3">
      <c r="C156" s="15" t="s">
        <v>652</v>
      </c>
    </row>
    <row r="157" spans="3:3" x14ac:dyDescent="0.3">
      <c r="C157" s="15" t="s">
        <v>653</v>
      </c>
    </row>
    <row r="158" spans="3:3" x14ac:dyDescent="0.3">
      <c r="C158" s="15" t="s">
        <v>654</v>
      </c>
    </row>
    <row r="159" spans="3:3" x14ac:dyDescent="0.3">
      <c r="C159" s="15" t="s">
        <v>655</v>
      </c>
    </row>
    <row r="160" spans="3:3" x14ac:dyDescent="0.3">
      <c r="C160" s="15" t="s">
        <v>656</v>
      </c>
    </row>
    <row r="161" spans="3:3" x14ac:dyDescent="0.3">
      <c r="C161" s="15" t="s">
        <v>657</v>
      </c>
    </row>
    <row r="162" spans="3:3" x14ac:dyDescent="0.3">
      <c r="C162" s="15" t="s">
        <v>658</v>
      </c>
    </row>
    <row r="163" spans="3:3" x14ac:dyDescent="0.3">
      <c r="C163" s="15" t="s">
        <v>659</v>
      </c>
    </row>
    <row r="164" spans="3:3" x14ac:dyDescent="0.3">
      <c r="C164" s="15" t="s">
        <v>660</v>
      </c>
    </row>
    <row r="165" spans="3:3" x14ac:dyDescent="0.3">
      <c r="C165" s="15" t="s">
        <v>661</v>
      </c>
    </row>
    <row r="166" spans="3:3" x14ac:dyDescent="0.3">
      <c r="C166" s="87" t="s">
        <v>662</v>
      </c>
    </row>
    <row r="167" spans="3:3" x14ac:dyDescent="0.3">
      <c r="C167" s="87" t="s">
        <v>663</v>
      </c>
    </row>
    <row r="168" spans="3:3" x14ac:dyDescent="0.3">
      <c r="C168" s="87" t="s">
        <v>664</v>
      </c>
    </row>
    <row r="169" spans="3:3" x14ac:dyDescent="0.3">
      <c r="C169" s="87" t="s">
        <v>665</v>
      </c>
    </row>
    <row r="170" spans="3:3" x14ac:dyDescent="0.3">
      <c r="C170" s="16" t="s">
        <v>666</v>
      </c>
    </row>
    <row r="171" spans="3:3" x14ac:dyDescent="0.3">
      <c r="C171" s="87" t="s">
        <v>667</v>
      </c>
    </row>
    <row r="172" spans="3:3" x14ac:dyDescent="0.3">
      <c r="C172" s="15" t="s">
        <v>668</v>
      </c>
    </row>
    <row r="173" spans="3:3" x14ac:dyDescent="0.3">
      <c r="C173" s="15" t="s">
        <v>669</v>
      </c>
    </row>
    <row r="174" spans="3:3" x14ac:dyDescent="0.3">
      <c r="C174" s="15" t="s">
        <v>670</v>
      </c>
    </row>
    <row r="175" spans="3:3" x14ac:dyDescent="0.3">
      <c r="C175" s="15" t="s">
        <v>671</v>
      </c>
    </row>
    <row r="176" spans="3:3" x14ac:dyDescent="0.3">
      <c r="C176" s="87" t="s">
        <v>672</v>
      </c>
    </row>
    <row r="177" spans="3:3" x14ac:dyDescent="0.3">
      <c r="C177" s="15" t="s">
        <v>673</v>
      </c>
    </row>
    <row r="178" spans="3:3" x14ac:dyDescent="0.3">
      <c r="C178" s="15" t="s">
        <v>674</v>
      </c>
    </row>
    <row r="179" spans="3:3" x14ac:dyDescent="0.3">
      <c r="C179" s="15" t="s">
        <v>675</v>
      </c>
    </row>
    <row r="180" spans="3:3" x14ac:dyDescent="0.3">
      <c r="C180" s="15" t="s">
        <v>676</v>
      </c>
    </row>
    <row r="181" spans="3:3" x14ac:dyDescent="0.3">
      <c r="C181" s="15" t="s">
        <v>677</v>
      </c>
    </row>
    <row r="182" spans="3:3" x14ac:dyDescent="0.3">
      <c r="C182" s="15" t="s">
        <v>678</v>
      </c>
    </row>
    <row r="183" spans="3:3" x14ac:dyDescent="0.3">
      <c r="C183" s="15" t="s">
        <v>679</v>
      </c>
    </row>
    <row r="184" spans="3:3" x14ac:dyDescent="0.3">
      <c r="C184" s="15" t="s">
        <v>680</v>
      </c>
    </row>
    <row r="185" spans="3:3" x14ac:dyDescent="0.3">
      <c r="C185" s="15" t="s">
        <v>681</v>
      </c>
    </row>
    <row r="186" spans="3:3" x14ac:dyDescent="0.3">
      <c r="C186" s="15" t="s">
        <v>682</v>
      </c>
    </row>
    <row r="187" spans="3:3" x14ac:dyDescent="0.3">
      <c r="C187" s="15" t="s">
        <v>683</v>
      </c>
    </row>
    <row r="188" spans="3:3" x14ac:dyDescent="0.3">
      <c r="C188" s="15" t="s">
        <v>684</v>
      </c>
    </row>
    <row r="189" spans="3:3" x14ac:dyDescent="0.3">
      <c r="C189" s="15" t="s">
        <v>685</v>
      </c>
    </row>
    <row r="190" spans="3:3" x14ac:dyDescent="0.3">
      <c r="C190" s="15" t="s">
        <v>686</v>
      </c>
    </row>
    <row r="191" spans="3:3" x14ac:dyDescent="0.3">
      <c r="C191" s="15" t="s">
        <v>687</v>
      </c>
    </row>
    <row r="192" spans="3:3" x14ac:dyDescent="0.3">
      <c r="C192" s="15" t="s">
        <v>688</v>
      </c>
    </row>
    <row r="193" spans="3:3" x14ac:dyDescent="0.3">
      <c r="C193" s="15" t="s">
        <v>689</v>
      </c>
    </row>
    <row r="194" spans="3:3" x14ac:dyDescent="0.3">
      <c r="C194" s="15" t="s">
        <v>690</v>
      </c>
    </row>
    <row r="195" spans="3:3" x14ac:dyDescent="0.3">
      <c r="C195" s="15" t="s">
        <v>691</v>
      </c>
    </row>
    <row r="196" spans="3:3" x14ac:dyDescent="0.3">
      <c r="C196" s="15" t="s">
        <v>692</v>
      </c>
    </row>
    <row r="197" spans="3:3" x14ac:dyDescent="0.3">
      <c r="C197" s="15" t="s">
        <v>693</v>
      </c>
    </row>
    <row r="198" spans="3:3" ht="25" x14ac:dyDescent="0.3">
      <c r="C198" s="15" t="s">
        <v>694</v>
      </c>
    </row>
    <row r="199" spans="3:3" x14ac:dyDescent="0.3">
      <c r="C199" s="15" t="s">
        <v>695</v>
      </c>
    </row>
    <row r="200" spans="3:3" x14ac:dyDescent="0.3">
      <c r="C200" s="15" t="s">
        <v>696</v>
      </c>
    </row>
    <row r="201" spans="3:3" x14ac:dyDescent="0.3">
      <c r="C201" s="87" t="s">
        <v>697</v>
      </c>
    </row>
    <row r="202" spans="3:3" x14ac:dyDescent="0.3">
      <c r="C202" s="87" t="s">
        <v>698</v>
      </c>
    </row>
    <row r="203" spans="3:3" x14ac:dyDescent="0.3">
      <c r="C203" s="15" t="s">
        <v>699</v>
      </c>
    </row>
    <row r="204" spans="3:3" x14ac:dyDescent="0.3">
      <c r="C204" s="15" t="s">
        <v>700</v>
      </c>
    </row>
    <row r="205" spans="3:3" x14ac:dyDescent="0.3">
      <c r="C205" s="15" t="s">
        <v>701</v>
      </c>
    </row>
    <row r="206" spans="3:3" x14ac:dyDescent="0.3">
      <c r="C206" s="87" t="s">
        <v>702</v>
      </c>
    </row>
    <row r="207" spans="3:3" x14ac:dyDescent="0.3">
      <c r="C207" s="15" t="s">
        <v>703</v>
      </c>
    </row>
    <row r="208" spans="3:3" x14ac:dyDescent="0.3">
      <c r="C208" s="15" t="s">
        <v>704</v>
      </c>
    </row>
    <row r="209" spans="3:3" x14ac:dyDescent="0.3">
      <c r="C209" s="15" t="s">
        <v>705</v>
      </c>
    </row>
    <row r="210" spans="3:3" x14ac:dyDescent="0.3">
      <c r="C210" s="87" t="s">
        <v>706</v>
      </c>
    </row>
    <row r="211" spans="3:3" x14ac:dyDescent="0.3">
      <c r="C211" s="87" t="s">
        <v>707</v>
      </c>
    </row>
    <row r="212" spans="3:3" x14ac:dyDescent="0.3">
      <c r="C212" s="15" t="s">
        <v>708</v>
      </c>
    </row>
    <row r="213" spans="3:3" x14ac:dyDescent="0.3">
      <c r="C213" s="15" t="s">
        <v>709</v>
      </c>
    </row>
    <row r="214" spans="3:3" x14ac:dyDescent="0.3">
      <c r="C214" s="15" t="s">
        <v>710</v>
      </c>
    </row>
    <row r="215" spans="3:3" x14ac:dyDescent="0.3">
      <c r="C215" s="15" t="s">
        <v>711</v>
      </c>
    </row>
    <row r="216" spans="3:3" x14ac:dyDescent="0.3">
      <c r="C216" s="15" t="s">
        <v>712</v>
      </c>
    </row>
    <row r="217" spans="3:3" x14ac:dyDescent="0.3">
      <c r="C217" s="15" t="s">
        <v>713</v>
      </c>
    </row>
    <row r="218" spans="3:3" x14ac:dyDescent="0.3">
      <c r="C218" s="87" t="s">
        <v>714</v>
      </c>
    </row>
    <row r="219" spans="3:3" x14ac:dyDescent="0.3">
      <c r="C219" s="15" t="s">
        <v>715</v>
      </c>
    </row>
    <row r="220" spans="3:3" x14ac:dyDescent="0.3">
      <c r="C220" s="15" t="s">
        <v>716</v>
      </c>
    </row>
    <row r="221" spans="3:3" x14ac:dyDescent="0.3">
      <c r="C221" s="15" t="s">
        <v>717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74a7a9-ded1-4ed9-9dea-0405b5d9bc79" xsi:nil="true"/>
    <lcf76f155ced4ddcb4097134ff3c332f xmlns="b688f9cd-cb5e-40a9-8411-cf8ab9e70a5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93DD5364AA554BAA8A24D3063EAB64" ma:contentTypeVersion="10" ma:contentTypeDescription="Create a new document." ma:contentTypeScope="" ma:versionID="698f4d90b5181e6263e94cca8a4d9ce7">
  <xsd:schema xmlns:xsd="http://www.w3.org/2001/XMLSchema" xmlns:xs="http://www.w3.org/2001/XMLSchema" xmlns:p="http://schemas.microsoft.com/office/2006/metadata/properties" xmlns:ns2="b688f9cd-cb5e-40a9-8411-cf8ab9e70a57" xmlns:ns3="4174a7a9-ded1-4ed9-9dea-0405b5d9bc79" targetNamespace="http://schemas.microsoft.com/office/2006/metadata/properties" ma:root="true" ma:fieldsID="d2f77493388ef8e0636b206854ee4bd8" ns2:_="" ns3:_="">
    <xsd:import namespace="b688f9cd-cb5e-40a9-8411-cf8ab9e70a57"/>
    <xsd:import namespace="4174a7a9-ded1-4ed9-9dea-0405b5d9bc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8f9cd-cb5e-40a9-8411-cf8ab9e70a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ad3672e-4f06-4624-8734-b96e843e8259"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74a7a9-ded1-4ed9-9dea-0405b5d9bc7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38a618b-6122-4290-aa92-bb77e06aed91}" ma:internalName="TaxCatchAll" ma:showField="CatchAllData" ma:web="4174a7a9-ded1-4ed9-9dea-0405b5d9bc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B8118C-4B37-4F22-BEF7-CCB1856D6D69}">
  <ds:schemaRefs>
    <ds:schemaRef ds:uri="http://schemas.microsoft.com/office/2006/metadata/properties"/>
    <ds:schemaRef ds:uri="http://schemas.microsoft.com/office/infopath/2007/PartnerControls"/>
    <ds:schemaRef ds:uri="4174a7a9-ded1-4ed9-9dea-0405b5d9bc79"/>
    <ds:schemaRef ds:uri="b688f9cd-cb5e-40a9-8411-cf8ab9e70a57"/>
  </ds:schemaRefs>
</ds:datastoreItem>
</file>

<file path=customXml/itemProps2.xml><?xml version="1.0" encoding="utf-8"?>
<ds:datastoreItem xmlns:ds="http://schemas.openxmlformats.org/officeDocument/2006/customXml" ds:itemID="{F10988C0-7722-421F-BD73-A39B3867B2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8f9cd-cb5e-40a9-8411-cf8ab9e70a57"/>
    <ds:schemaRef ds:uri="4174a7a9-ded1-4ed9-9dea-0405b5d9bc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9A533B-F9B8-4CE4-A76C-5D1B454300FD}">
  <ds:schemaRefs>
    <ds:schemaRef ds:uri="http://schemas.microsoft.com/sharepoint/v3/contenttype/forms"/>
  </ds:schemaRefs>
</ds:datastoreItem>
</file>

<file path=docMetadata/LabelInfo.xml><?xml version="1.0" encoding="utf-8"?>
<clbl:labelList xmlns:clbl="http://schemas.microsoft.com/office/2020/mipLabelMetadata">
  <clbl:label id="{b4db6a6d-cf3b-450d-9483-e5c853d931d2}" enabled="1" method="Standard" siteId="{ecabf4f5-0dbc-4f2c-b80e-99d3aa5f44b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 &amp; overview</vt:lpstr>
      <vt:lpstr>Financial performance</vt:lpstr>
      <vt:lpstr>Bank diagnostic</vt:lpstr>
      <vt:lpstr>Example 1</vt:lpstr>
      <vt:lpstr>Example 2</vt:lpstr>
      <vt:lpstr>Methodology</vt:lpstr>
      <vt:lpstr>Results</vt:lpstr>
      <vt:lpstr>Peer benchmark</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Noguera</dc:creator>
  <cp:keywords/>
  <dc:description/>
  <cp:lastModifiedBy>Vannesa Ladino</cp:lastModifiedBy>
  <cp:revision/>
  <dcterms:created xsi:type="dcterms:W3CDTF">2025-05-12T16:06:30Z</dcterms:created>
  <dcterms:modified xsi:type="dcterms:W3CDTF">2025-11-13T00:28:12Z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0x010100EE93DD5364AA554BAA8A24D3063EAB64</vt:lpwstr>
  </property>
  <property fmtid="{D5CDD505-2E9C-101B-9397-08002B2CF9AE}" pid="3" name="MediaServiceImageTags">
    <vt:lpwstr/>
  </property>
</Properties>
</file>