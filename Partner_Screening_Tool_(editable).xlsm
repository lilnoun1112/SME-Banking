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3" codeName="{00000000-0000-0000-0000-000000000000}"/>
  <workbookPr codeName="ThisWorkbook"/>
  <mc:AlternateContent xmlns:mc="http://schemas.openxmlformats.org/markup-compatibility/2006">
    <mc:Choice Requires="x15">
      <x15ac:absPath xmlns:x15ac="http://schemas.microsoft.com/office/spreadsheetml/2010/11/ac" url="https://dalberg1-my.sharepoint.com/personal/mariana_noguera_dalberg_com/Documents/"/>
    </mc:Choice>
  </mc:AlternateContent>
  <xr:revisionPtr revIDLastSave="5990" documentId="8_{ABF350B1-D573-4D24-9068-CAA19A8ECA37}" xr6:coauthVersionLast="47" xr6:coauthVersionMax="47" xr10:uidLastSave="{11ED8FEB-667B-414D-8535-9D1D409153F0}"/>
  <bookViews>
    <workbookView minimized="1" xWindow="19870" yWindow="2850" windowWidth="14400" windowHeight="7270" xr2:uid="{28414BD0-3D28-496C-B4DA-8157469C320B}"/>
  </bookViews>
  <sheets>
    <sheet name="Instructions &amp; Overview" sheetId="7" r:id="rId1"/>
    <sheet name="Scoring logic &amp; methodology" sheetId="8" r:id="rId2"/>
    <sheet name="Partner Screening Framework" sheetId="3" r:id="rId3"/>
    <sheet name="Results" sheetId="4" r:id="rId4"/>
  </sheets>
  <definedNames>
    <definedName name="_xlnm._FilterDatabase" localSheetId="2" hidden="1">'Partner Screening Framework'!$D$12:$G$13</definedName>
    <definedName name="_xleta.AND" hidden="1" xlm="1">#NAME?</definedName>
    <definedName name="_xleta.COUNT" hidden="1" xlm="1">#NAME?</definedName>
    <definedName name="_xleta.IF" hidden="1" xlm="1">#NAME?</definedName>
    <definedName name="_xleta.IFERROR" hidden="1" xlm="1">#NAME?</definedName>
    <definedName name="_xleta.LOG" hidden="1" xlm="1">#NAME?</definedName>
    <definedName name="_xleta.T" hidden="1" xlm="1">#NAME?</definedName>
    <definedName name="_xlpm.allGaps" hidden="1" xlm="1">#NAME?</definedName>
    <definedName name="_xlpm.bank" hidden="1" xlm="1">#NAME?</definedName>
    <definedName name="_xlpm.filtered" hidden="1" xlm="1">#NAME?</definedName>
    <definedName name="_xlpm.ids" hidden="1" xlm="1">#NAME?</definedName>
    <definedName name="_xlpm.labels" hidden="1" xlm="1">#NAME?</definedName>
    <definedName name="_xlpm.low" hidden="1" xlm="1">#NAME?</definedName>
    <definedName name="_xlpm.med" hidden="1" xlm="1">#NAME?</definedName>
    <definedName name="_xlpm.names" hidden="1" xlm="1">#NAME?</definedName>
    <definedName name="_xlpm.namesRange" hidden="1" xlm="1">#NAME?</definedName>
    <definedName name="_xlpm.range" hidden="1" xlm="1">#NAME?</definedName>
    <definedName name="_xlpm.ratings" hidden="1" xlm="1">#NAME?</definedName>
    <definedName name="_xlpm.rationaleRange" hidden="1" xlm="1">#NAME?</definedName>
    <definedName name="_xlpm.rationales" hidden="1" xlm="1">#NAME?</definedName>
    <definedName name="_xlpm.rationalesRange" hidden="1" xlm="1">#NAME?</definedName>
    <definedName name="_xlpm.result" hidden="1" xlm="1">#NAME?</definedName>
    <definedName name="_xlpm.rowNum" hidden="1" xlm="1">#NAME?</definedName>
    <definedName name="_xlpm.scores" hidden="1" xlm="1">#NAME?</definedName>
    <definedName name="_xlpm.scoresRange" hidden="1" xlm="1">#NAME?</definedName>
    <definedName name="DynamicList">'Partner Screening Framework'!$D$14:INDEX('Partner Screening Framework'!$D$14:$D$1000, COUNTA('Partner Screening Framework'!$D$14:$D$1000))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8" l="1"/>
  <c r="F68" i="8"/>
  <c r="E84" i="8"/>
  <c r="E70" i="8"/>
  <c r="H12" i="3"/>
  <c r="F47" i="8"/>
  <c r="F46" i="8"/>
  <c r="F45" i="8"/>
  <c r="F44" i="8"/>
  <c r="F43" i="8"/>
  <c r="AF12" i="3" l="1"/>
  <c r="T11" i="3" l="1"/>
  <c r="H11" i="3"/>
  <c r="G32" i="4" a="1"/>
  <c r="G32" i="4" s="1"/>
  <c r="AW17" i="3"/>
  <c r="AW18" i="3"/>
  <c r="AU16" i="3"/>
  <c r="AU17" i="3"/>
  <c r="AU18" i="3"/>
  <c r="AS17" i="3"/>
  <c r="AS18" i="3"/>
  <c r="AQ17" i="3"/>
  <c r="AQ18" i="3"/>
  <c r="AO17" i="3"/>
  <c r="AO18" i="3"/>
  <c r="G36" i="4" a="1"/>
  <c r="G36" i="4" s="1"/>
  <c r="G35" i="4" a="1"/>
  <c r="G35" i="4" s="1"/>
  <c r="G34" i="4" a="1"/>
  <c r="G34" i="4" s="1"/>
  <c r="G33" i="4" a="1"/>
  <c r="G33" i="4" s="1"/>
  <c r="C31" i="4"/>
  <c r="N12" i="3" l="1"/>
  <c r="F83" i="8" l="1"/>
  <c r="F82" i="8"/>
  <c r="F80" i="8"/>
  <c r="F79" i="8"/>
  <c r="F78" i="8"/>
  <c r="F76" i="8"/>
  <c r="F75" i="8"/>
  <c r="F73" i="8"/>
  <c r="F72" i="8"/>
  <c r="F70" i="8"/>
  <c r="F69" i="8"/>
  <c r="E68" i="8" l="1"/>
  <c r="E87" i="8"/>
  <c r="E83" i="8"/>
  <c r="E82" i="8"/>
  <c r="E80" i="8"/>
  <c r="E79" i="8"/>
  <c r="E78" i="8"/>
  <c r="E76" i="8"/>
  <c r="E75" i="8"/>
  <c r="E73" i="8"/>
  <c r="E72" i="8"/>
  <c r="E69" i="8"/>
  <c r="E85" i="8"/>
  <c r="E81" i="8"/>
  <c r="E77" i="8"/>
  <c r="E74" i="8"/>
  <c r="E67" i="8"/>
  <c r="I13" i="4" l="1"/>
  <c r="I14" i="4"/>
  <c r="I12" i="4"/>
  <c r="AW16" i="3" l="1"/>
  <c r="AS16" i="3"/>
  <c r="AQ16" i="3"/>
  <c r="AO16" i="3"/>
  <c r="AW15" i="3"/>
  <c r="AU15" i="3"/>
  <c r="AS15" i="3"/>
  <c r="AQ15" i="3"/>
  <c r="AO15" i="3"/>
  <c r="AW14" i="3"/>
  <c r="AU14" i="3"/>
  <c r="AS14" i="3"/>
  <c r="AQ14" i="3"/>
  <c r="AO14" i="3"/>
  <c r="F54" i="8" l="1"/>
  <c r="F56" i="8"/>
  <c r="F55" i="8"/>
  <c r="F53" i="8"/>
  <c r="F52" i="8"/>
  <c r="M7" i="3"/>
  <c r="M6" i="3"/>
  <c r="AV18" i="3" s="1"/>
  <c r="M5" i="3"/>
  <c r="M4" i="3"/>
  <c r="M3" i="3"/>
  <c r="G46" i="8"/>
  <c r="G43" i="8"/>
  <c r="G52" i="8" s="1"/>
  <c r="E47" i="8"/>
  <c r="E46" i="8"/>
  <c r="E45" i="8"/>
  <c r="E44" i="8"/>
  <c r="E43" i="8"/>
  <c r="AV17" i="3" l="1"/>
  <c r="G47" i="8"/>
  <c r="G56" i="8" s="1"/>
  <c r="I47" i="8"/>
  <c r="I56" i="8" s="1"/>
  <c r="AR17" i="3"/>
  <c r="AP18" i="3"/>
  <c r="AN17" i="3"/>
  <c r="AN18" i="3"/>
  <c r="AR18" i="3"/>
  <c r="AN14" i="3"/>
  <c r="AP17" i="3"/>
  <c r="AT17" i="3"/>
  <c r="AT18" i="3"/>
  <c r="AT16" i="3"/>
  <c r="AT15" i="3"/>
  <c r="AT14" i="3"/>
  <c r="H45" i="8"/>
  <c r="H54" i="8" s="1"/>
  <c r="G45" i="8"/>
  <c r="G54" i="8" s="1"/>
  <c r="I44" i="8"/>
  <c r="I53" i="8" s="1"/>
  <c r="G44" i="8"/>
  <c r="G53" i="8" s="1"/>
  <c r="AV15" i="3"/>
  <c r="G55" i="8"/>
  <c r="I46" i="8"/>
  <c r="I55" i="8" s="1"/>
  <c r="C32" i="4"/>
  <c r="E52" i="8"/>
  <c r="C33" i="4"/>
  <c r="E53" i="8"/>
  <c r="C34" i="4"/>
  <c r="E54" i="8"/>
  <c r="C35" i="4"/>
  <c r="E55" i="8"/>
  <c r="C36" i="4"/>
  <c r="E56" i="8"/>
  <c r="H56" i="8"/>
  <c r="AV14" i="3"/>
  <c r="AR15" i="3"/>
  <c r="AP15" i="3"/>
  <c r="AN16" i="3"/>
  <c r="AR16" i="3"/>
  <c r="AN15" i="3"/>
  <c r="E32" i="4" s="1" a="1"/>
  <c r="E32" i="4" s="1"/>
  <c r="AP16" i="3"/>
  <c r="AV16" i="3"/>
  <c r="F57" i="8"/>
  <c r="AP14" i="3"/>
  <c r="AR14" i="3"/>
  <c r="F48" i="8"/>
  <c r="I45" i="8"/>
  <c r="I54" i="8" s="1"/>
  <c r="H46" i="8"/>
  <c r="H55" i="8" s="1"/>
  <c r="H44" i="8"/>
  <c r="H53" i="8" s="1"/>
  <c r="H43" i="8"/>
  <c r="H52" i="8" s="1"/>
  <c r="I43" i="8"/>
  <c r="I52" i="8" s="1"/>
  <c r="AX17" i="3" l="1"/>
  <c r="AX18" i="3"/>
  <c r="F32" i="4" a="1"/>
  <c r="F32" i="4" s="1"/>
  <c r="H48" i="8"/>
  <c r="I57" i="8"/>
  <c r="H60" i="8" s="1"/>
  <c r="G60" i="8" s="1"/>
  <c r="G48" i="8"/>
  <c r="G57" i="8"/>
  <c r="G62" i="8" s="1"/>
  <c r="AX15" i="3"/>
  <c r="AX16" i="3"/>
  <c r="AX14" i="3"/>
  <c r="I48" i="8"/>
  <c r="F31" i="4" l="1" a="1"/>
  <c r="F31" i="4" s="1"/>
  <c r="G61" i="8"/>
  <c r="H62" i="8" s="1"/>
  <c r="C11" i="4"/>
  <c r="AZ18" i="3"/>
  <c r="AZ17" i="3"/>
  <c r="C14" i="4"/>
  <c r="C12" i="4"/>
  <c r="C13" i="4" a="1"/>
  <c r="C13" i="4" s="1"/>
  <c r="AZ14" i="3"/>
  <c r="AZ16" i="3"/>
  <c r="AZ15" i="3"/>
  <c r="H57" i="8"/>
  <c r="T12" i="3"/>
  <c r="X12" i="3"/>
  <c r="F14" i="4" l="1"/>
  <c r="F13" i="4"/>
  <c r="F15" i="4"/>
  <c r="F11" i="4"/>
  <c r="AY14" i="3" a="1"/>
  <c r="AY14" i="3" s="1"/>
  <c r="G11" i="4" s="1"/>
  <c r="AY18" i="3" a="1"/>
  <c r="AY18" i="3" s="1"/>
  <c r="G12" i="4" s="1"/>
  <c r="AY17" i="3" a="1"/>
  <c r="AY17" i="3" s="1"/>
  <c r="G15" i="4" s="1"/>
  <c r="H61" i="8"/>
  <c r="J13" i="4" s="1"/>
  <c r="J12" i="4"/>
  <c r="AY15" i="3" a="1"/>
  <c r="AY15" i="3" s="1"/>
  <c r="G14" i="4" s="1"/>
  <c r="AY16" i="3" a="1"/>
  <c r="AY16" i="3" s="1"/>
  <c r="G13" i="4" s="1"/>
  <c r="F12" i="4"/>
  <c r="J12" i="3"/>
  <c r="AL12" i="3"/>
  <c r="AJ12" i="3"/>
  <c r="AJ11" i="3"/>
  <c r="AD11" i="3"/>
  <c r="X11" i="3"/>
  <c r="AH12" i="3"/>
  <c r="AD12" i="3"/>
  <c r="AB12" i="3"/>
  <c r="Z12" i="3"/>
  <c r="V12" i="3"/>
  <c r="R12" i="3"/>
  <c r="P12" i="3"/>
  <c r="L12" i="3"/>
  <c r="C29" i="4" l="1" a="1"/>
  <c r="C29" i="4" s="1"/>
  <c r="F28" i="4" a="1"/>
  <c r="F28" i="4" s="1"/>
  <c r="F29" i="4" a="1"/>
  <c r="F29" i="4" s="1"/>
  <c r="E36" i="4" a="1"/>
  <c r="E36" i="4" s="1"/>
  <c r="F36" i="4" s="1" a="1"/>
  <c r="F36" i="4" s="1"/>
  <c r="E33" i="4" a="1"/>
  <c r="E33" i="4" s="1"/>
  <c r="F33" i="4" s="1" a="1"/>
  <c r="F33" i="4" s="1"/>
  <c r="E34" i="4" a="1"/>
  <c r="E34" i="4" s="1"/>
  <c r="F34" i="4" s="1" a="1"/>
  <c r="F34" i="4" s="1"/>
  <c r="E35" i="4" a="1"/>
  <c r="E35" i="4" s="1"/>
  <c r="F35" i="4" s="1" a="1"/>
  <c r="F35" i="4" s="1"/>
  <c r="J14" i="4"/>
  <c r="C15" i="4" l="1"/>
  <c r="C17" i="4"/>
  <c r="C1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Mariana Noguera</author>
  </authors>
  <commentList>
    <comment ref="H13" authorId="0" shapeId="0" xr:uid="{8B50815C-33D7-4FC4-81FA-A03A31D2837A}">
      <text>
        <r>
          <rPr>
            <b/>
            <sz val="11"/>
            <color indexed="81"/>
            <rFont val="Tahoma"/>
            <family val="2"/>
          </rPr>
          <t xml:space="preserve">High: </t>
        </r>
        <r>
          <rPr>
            <sz val="11"/>
            <color indexed="81"/>
            <rFont val="Tahoma"/>
            <family val="2"/>
          </rPr>
          <t>The bank's leadership, including senior executives, has publicly championed SME banking, highlighting its strategic importance to the institution</t>
        </r>
        <r>
          <rPr>
            <b/>
            <sz val="11"/>
            <color indexed="81"/>
            <rFont val="Tahoma"/>
            <family val="2"/>
          </rPr>
          <t xml:space="preserve">
Medium: </t>
        </r>
        <r>
          <rPr>
            <sz val="11"/>
            <color indexed="81"/>
            <rFont val="Tahoma"/>
            <family val="2"/>
          </rPr>
          <t>Senior executives have expressed support for SME banking, but primarily as a development priority rather than a strategic focus</t>
        </r>
        <r>
          <rPr>
            <b/>
            <sz val="11"/>
            <color indexed="81"/>
            <rFont val="Tahoma"/>
            <family val="2"/>
          </rPr>
          <t xml:space="preserve">
Low: </t>
        </r>
        <r>
          <rPr>
            <sz val="11"/>
            <color indexed="81"/>
            <rFont val="Tahoma"/>
            <family val="2"/>
          </rPr>
          <t>There are no identifiable public statements from senior leadership indicating a commitment to SME banking</t>
        </r>
      </text>
    </comment>
    <comment ref="J13" authorId="0" shapeId="0" xr:uid="{D8BCA9F2-FE09-41B4-8DD0-977881C1CA52}">
      <text>
        <r>
          <rPr>
            <b/>
            <sz val="11"/>
            <color indexed="81"/>
            <rFont val="Tahoma"/>
            <family val="2"/>
          </rPr>
          <t xml:space="preserve">High: </t>
        </r>
        <r>
          <rPr>
            <sz val="11"/>
            <color indexed="81"/>
            <rFont val="Tahoma"/>
            <family val="2"/>
          </rPr>
          <t>The bank's leadership, including senior executives, has publicly championed SME banking, highlighting its strategic importance to the institution</t>
        </r>
        <r>
          <rPr>
            <b/>
            <sz val="11"/>
            <color indexed="81"/>
            <rFont val="Tahoma"/>
            <family val="2"/>
          </rPr>
          <t xml:space="preserve">
Medium: </t>
        </r>
        <r>
          <rPr>
            <sz val="11"/>
            <color indexed="81"/>
            <rFont val="Tahoma"/>
            <family val="2"/>
          </rPr>
          <t>Senior executives have expressed support for SME banking, but primarily as a development priority rather than a strategic focus</t>
        </r>
        <r>
          <rPr>
            <b/>
            <sz val="11"/>
            <color indexed="81"/>
            <rFont val="Tahoma"/>
            <family val="2"/>
          </rPr>
          <t xml:space="preserve">
Low: </t>
        </r>
        <r>
          <rPr>
            <sz val="11"/>
            <color indexed="81"/>
            <rFont val="Tahoma"/>
            <family val="2"/>
          </rPr>
          <t>There are no identifiable public statements from senior leadership indicating a commitment to SME banking</t>
        </r>
      </text>
    </comment>
    <comment ref="L13" authorId="0" shapeId="0" xr:uid="{7FAF4242-06B8-4556-ADCB-3F43E47A2868}">
      <text>
        <r>
          <rPr>
            <b/>
            <sz val="11"/>
            <color indexed="81"/>
            <rFont val="Tahoma"/>
            <family val="2"/>
          </rPr>
          <t xml:space="preserve">High: </t>
        </r>
        <r>
          <rPr>
            <sz val="11"/>
            <color indexed="81"/>
            <rFont val="Tahoma"/>
            <family val="2"/>
          </rPr>
          <t>The bank's leadership, including senior executives, has publicly championed SME banking, highlighting its strategic importance to the institution</t>
        </r>
        <r>
          <rPr>
            <b/>
            <sz val="11"/>
            <color indexed="81"/>
            <rFont val="Tahoma"/>
            <family val="2"/>
          </rPr>
          <t xml:space="preserve">
Medium: </t>
        </r>
        <r>
          <rPr>
            <sz val="11"/>
            <color indexed="81"/>
            <rFont val="Tahoma"/>
            <family val="2"/>
          </rPr>
          <t>Senior executives have expressed support for SME banking, but primarily as a development priority rather than a strategic focus</t>
        </r>
        <r>
          <rPr>
            <b/>
            <sz val="11"/>
            <color indexed="81"/>
            <rFont val="Tahoma"/>
            <family val="2"/>
          </rPr>
          <t xml:space="preserve">
Low: </t>
        </r>
        <r>
          <rPr>
            <sz val="11"/>
            <color indexed="81"/>
            <rFont val="Tahoma"/>
            <family val="2"/>
          </rPr>
          <t>There are no identifiable public statements from senior leadership indicating a commitment to SME banking</t>
        </r>
      </text>
    </comment>
    <comment ref="N13" authorId="0" shapeId="0" xr:uid="{73034CC2-D99E-4670-9988-3E07C8A3F4A8}">
      <text>
        <r>
          <rPr>
            <b/>
            <sz val="11"/>
            <color indexed="81"/>
            <rFont val="Tahoma"/>
            <family val="2"/>
          </rPr>
          <t xml:space="preserve">Yes: </t>
        </r>
        <r>
          <rPr>
            <sz val="11"/>
            <color indexed="81"/>
            <rFont val="Tahoma"/>
            <family val="2"/>
          </rPr>
          <t>The bank has established a distinct SME banking unit to deliver the program or has expressed firm plans to invest in creating this unit in the near to mid-term</t>
        </r>
        <r>
          <rPr>
            <b/>
            <sz val="11"/>
            <color indexed="81"/>
            <rFont val="Tahoma"/>
            <family val="2"/>
          </rPr>
          <t xml:space="preserve">
No: </t>
        </r>
        <r>
          <rPr>
            <sz val="11"/>
            <color indexed="81"/>
            <rFont val="Tahoma"/>
            <family val="2"/>
          </rPr>
          <t>SME banking responsibilites are carried out by other business units (i.e., commercial banking) and there are no concrete plans to create a separate SME lending unit in the mid-term</t>
        </r>
      </text>
    </comment>
    <comment ref="P13" authorId="0" shapeId="0" xr:uid="{629DB068-3B67-4E58-AB8B-5722DD77AFAE}">
      <text>
        <r>
          <rPr>
            <b/>
            <sz val="11"/>
            <color indexed="81"/>
            <rFont val="Tahoma"/>
            <family val="2"/>
          </rPr>
          <t xml:space="preserve">High: </t>
        </r>
        <r>
          <rPr>
            <sz val="11"/>
            <color indexed="81"/>
            <rFont val="Tahoma"/>
            <family val="2"/>
          </rPr>
          <t>ESG priorities are clearly integrated into the bank’s strategy and operations</t>
        </r>
        <r>
          <rPr>
            <b/>
            <sz val="11"/>
            <color indexed="81"/>
            <rFont val="Tahoma"/>
            <family val="2"/>
          </rPr>
          <t xml:space="preserve">
Medium: </t>
        </r>
        <r>
          <rPr>
            <sz val="11"/>
            <color indexed="81"/>
            <rFont val="Tahoma"/>
            <family val="2"/>
          </rPr>
          <t>ESG is referenced in values or policies but lacks formal integration or enforcement</t>
        </r>
        <r>
          <rPr>
            <b/>
            <sz val="11"/>
            <color indexed="81"/>
            <rFont val="Tahoma"/>
            <family val="2"/>
          </rPr>
          <t xml:space="preserve">
Low:</t>
        </r>
        <r>
          <rPr>
            <sz val="11"/>
            <color indexed="81"/>
            <rFont val="Tahoma"/>
            <family val="2"/>
          </rPr>
          <t xml:space="preserve"> No clear ESG commitments, or ESG is treated as a peripheral or informal concern</t>
        </r>
      </text>
    </comment>
    <comment ref="R13" authorId="0" shapeId="0" xr:uid="{848FA1DA-CB75-4DEC-A634-FA262C503E75}">
      <text>
        <r>
          <rPr>
            <b/>
            <sz val="11"/>
            <color indexed="81"/>
            <rFont val="Tahoma"/>
            <family val="2"/>
          </rPr>
          <t xml:space="preserve">High: </t>
        </r>
        <r>
          <rPr>
            <sz val="11"/>
            <color indexed="81"/>
            <rFont val="Tahoma"/>
            <family val="2"/>
          </rPr>
          <t>The bank’s specific focus areas align closely with the funder’s primary development priorities</t>
        </r>
        <r>
          <rPr>
            <b/>
            <sz val="11"/>
            <color indexed="81"/>
            <rFont val="Tahoma"/>
            <family val="2"/>
          </rPr>
          <t xml:space="preserve">
Medium: </t>
        </r>
        <r>
          <rPr>
            <sz val="11"/>
            <color indexed="81"/>
            <rFont val="Tahoma"/>
            <family val="2"/>
          </rPr>
          <t>The bank does not explicitly focus on the funder’s core priorities but addresses secondary priorities or runs programs that partially align with primary development priorities</t>
        </r>
        <r>
          <rPr>
            <b/>
            <sz val="11"/>
            <color indexed="81"/>
            <rFont val="Tahoma"/>
            <family val="2"/>
          </rPr>
          <t xml:space="preserve">
Low: </t>
        </r>
        <r>
          <rPr>
            <sz val="11"/>
            <color indexed="81"/>
            <rFont val="Tahoma"/>
            <family val="2"/>
          </rPr>
          <t>The bank’s focus areas do not align with the funder’s priorities and it lacks relevant programs</t>
        </r>
      </text>
    </comment>
    <comment ref="T13" authorId="0" shapeId="0" xr:uid="{8AC50AC6-65A3-458B-AB61-62AF06420B97}">
      <text>
        <r>
          <rPr>
            <b/>
            <sz val="11"/>
            <color indexed="81"/>
            <rFont val="Tahoma"/>
            <family val="2"/>
          </rPr>
          <t xml:space="preserve">High: </t>
        </r>
        <r>
          <rPr>
            <sz val="11"/>
            <color indexed="81"/>
            <rFont val="Tahoma"/>
            <family val="2"/>
          </rPr>
          <t>The bank has clearly defined roles and responsibilities related to SME finance across relevant departments, with designated staff accountable for delivery and oversight</t>
        </r>
        <r>
          <rPr>
            <b/>
            <sz val="11"/>
            <color indexed="81"/>
            <rFont val="Tahoma"/>
            <family val="2"/>
          </rPr>
          <t xml:space="preserve">
Medium: </t>
        </r>
        <r>
          <rPr>
            <sz val="11"/>
            <color indexed="81"/>
            <rFont val="Tahoma"/>
            <family val="2"/>
          </rPr>
          <t>SME-related roles exist but are inconsistently defined or overlap with other functions or focus areas</t>
        </r>
        <r>
          <rPr>
            <b/>
            <sz val="11"/>
            <color indexed="81"/>
            <rFont val="Tahoma"/>
            <family val="2"/>
          </rPr>
          <t xml:space="preserve">
Low: </t>
        </r>
        <r>
          <rPr>
            <sz val="11"/>
            <color indexed="81"/>
            <rFont val="Tahoma"/>
            <family val="2"/>
          </rPr>
          <t>No formal SME-related responsibilities are assigned, or responsibilities are unclear and fragmented</t>
        </r>
      </text>
    </comment>
    <comment ref="V13" authorId="0" shapeId="0" xr:uid="{842BDD03-C9E0-4AC0-B904-58215884F0BC}">
      <text>
        <r>
          <rPr>
            <b/>
            <sz val="11"/>
            <color indexed="81"/>
            <rFont val="Tahoma"/>
            <family val="2"/>
          </rPr>
          <t>High:</t>
        </r>
        <r>
          <rPr>
            <sz val="11"/>
            <color indexed="81"/>
            <rFont val="Tahoma"/>
            <family val="2"/>
          </rPr>
          <t xml:space="preserve"> The bank has participated in 2+ structured donor/TA engagements successfully in the past 5 years</t>
        </r>
        <r>
          <rPr>
            <b/>
            <sz val="11"/>
            <color indexed="81"/>
            <rFont val="Tahoma"/>
            <family val="2"/>
          </rPr>
          <t xml:space="preserve">
Medium:</t>
        </r>
        <r>
          <rPr>
            <sz val="11"/>
            <color indexed="81"/>
            <rFont val="Tahoma"/>
            <family val="2"/>
          </rPr>
          <t xml:space="preserve"> The bank has participated in at least one past engagement or limited/informal collaboration</t>
        </r>
        <r>
          <rPr>
            <b/>
            <sz val="11"/>
            <color indexed="81"/>
            <rFont val="Tahoma"/>
            <family val="2"/>
          </rPr>
          <t xml:space="preserve">
Low: </t>
        </r>
        <r>
          <rPr>
            <sz val="11"/>
            <color indexed="81"/>
            <rFont val="Tahoma"/>
            <family val="2"/>
          </rPr>
          <t>No proof of previous collaboration with TA funders or international development actors</t>
        </r>
      </text>
    </comment>
    <comment ref="X13" authorId="0" shapeId="0" xr:uid="{248C18B8-F0ED-489E-92EF-6205289416C0}">
      <text>
        <r>
          <rPr>
            <b/>
            <sz val="11"/>
            <color indexed="81"/>
            <rFont val="Tahoma"/>
            <family val="2"/>
          </rPr>
          <t xml:space="preserve">High: </t>
        </r>
        <r>
          <rPr>
            <sz val="11"/>
            <color indexed="81"/>
            <rFont val="Tahoma"/>
            <family val="2"/>
          </rPr>
          <t>The bank offers tailored products for SMEs or underserved groups (e.g., working capital loans, insurance, non-financial services)</t>
        </r>
        <r>
          <rPr>
            <b/>
            <sz val="11"/>
            <color indexed="81"/>
            <rFont val="Tahoma"/>
            <family val="2"/>
          </rPr>
          <t xml:space="preserve">
Medium: </t>
        </r>
        <r>
          <rPr>
            <sz val="11"/>
            <color indexed="81"/>
            <rFont val="Tahoma"/>
            <family val="2"/>
          </rPr>
          <t>The bank offers general products that may indirectly serve SMEs/inclusion goals</t>
        </r>
        <r>
          <rPr>
            <b/>
            <sz val="11"/>
            <color indexed="81"/>
            <rFont val="Tahoma"/>
            <family val="2"/>
          </rPr>
          <t xml:space="preserve">
Low: </t>
        </r>
        <r>
          <rPr>
            <sz val="11"/>
            <color indexed="81"/>
            <rFont val="Tahoma"/>
            <family val="2"/>
          </rPr>
          <t>Products are not suitable or accessible for target segments</t>
        </r>
      </text>
    </comment>
    <comment ref="Z13" authorId="0" shapeId="0" xr:uid="{33026FDA-B938-41B9-9A9A-03BB99DE66C1}">
      <text>
        <r>
          <rPr>
            <b/>
            <sz val="11"/>
            <color indexed="81"/>
            <rFont val="Tahoma"/>
            <family val="2"/>
          </rPr>
          <t xml:space="preserve">High: </t>
        </r>
        <r>
          <rPr>
            <sz val="11"/>
            <color indexed="81"/>
            <rFont val="Tahoma"/>
            <family val="2"/>
          </rPr>
          <t>The bank has demonstrated sustained growth or investment in SME banking over 15  years, including portfolio expansion, product launches, or internal capability-building</t>
        </r>
        <r>
          <rPr>
            <b/>
            <sz val="11"/>
            <color indexed="81"/>
            <rFont val="Tahoma"/>
            <family val="2"/>
          </rPr>
          <t xml:space="preserve">
Medium: </t>
        </r>
        <r>
          <rPr>
            <sz val="11"/>
            <color indexed="81"/>
            <rFont val="Tahoma"/>
            <family val="2"/>
          </rPr>
          <t xml:space="preserve">The bank has made progress in SME banking in the last 5-15 years </t>
        </r>
        <r>
          <rPr>
            <b/>
            <sz val="11"/>
            <color indexed="81"/>
            <rFont val="Tahoma"/>
            <family val="2"/>
          </rPr>
          <t xml:space="preserve">
Low: </t>
        </r>
        <r>
          <rPr>
            <sz val="11"/>
            <color indexed="81"/>
            <rFont val="Tahoma"/>
            <family val="2"/>
          </rPr>
          <t>The bank has a limited trajectory in SME banking (&lt;5 years)</t>
        </r>
      </text>
    </comment>
    <comment ref="AB13" authorId="0" shapeId="0" xr:uid="{48D18C47-7F39-4A54-849F-D3BA08BF6B75}">
      <text>
        <r>
          <rPr>
            <b/>
            <sz val="11"/>
            <color indexed="81"/>
            <rFont val="Tahoma"/>
            <family val="2"/>
          </rPr>
          <t xml:space="preserve">High: </t>
        </r>
        <r>
          <rPr>
            <sz val="11"/>
            <color indexed="81"/>
            <rFont val="Tahoma"/>
            <family val="2"/>
          </rPr>
          <t>SME clients or loans represent ≥20% of the total portfolio in terms of value, and the bank tracks SME as a standalone segment.</t>
        </r>
        <r>
          <rPr>
            <b/>
            <sz val="11"/>
            <color indexed="81"/>
            <rFont val="Tahoma"/>
            <family val="2"/>
          </rPr>
          <t xml:space="preserve">
Medium: </t>
        </r>
        <r>
          <rPr>
            <sz val="11"/>
            <color indexed="81"/>
            <rFont val="Tahoma"/>
            <family val="2"/>
          </rPr>
          <t>SME business represents 10–19% of the total portfolio value, or is growing but not yet significant.</t>
        </r>
        <r>
          <rPr>
            <b/>
            <sz val="11"/>
            <color indexed="81"/>
            <rFont val="Tahoma"/>
            <family val="2"/>
          </rPr>
          <t xml:space="preserve">
Low: </t>
        </r>
        <r>
          <rPr>
            <sz val="11"/>
            <color indexed="81"/>
            <rFont val="Tahoma"/>
            <family val="2"/>
          </rPr>
          <t>SME represents &lt;10% of the bank’s portfolio and is not tracked distinctly.</t>
        </r>
      </text>
    </comment>
    <comment ref="AD13" authorId="0" shapeId="0" xr:uid="{F450AA96-9092-4671-864E-E1381FB27F67}">
      <text>
        <r>
          <rPr>
            <b/>
            <sz val="11"/>
            <color indexed="81"/>
            <rFont val="Tahoma"/>
            <family val="2"/>
          </rPr>
          <t xml:space="preserve">High: </t>
        </r>
        <r>
          <rPr>
            <sz val="11"/>
            <color indexed="81"/>
            <rFont val="Tahoma"/>
            <family val="2"/>
          </rPr>
          <t xml:space="preserve">The bank operates in a country that scores "Very High Readiness" or "Strong Foundation" on SME attractiveness in the Market Assessment Tool </t>
        </r>
        <r>
          <rPr>
            <b/>
            <sz val="11"/>
            <color indexed="81"/>
            <rFont val="Tahoma"/>
            <family val="2"/>
          </rPr>
          <t xml:space="preserve">
Medium: </t>
        </r>
        <r>
          <rPr>
            <sz val="11"/>
            <color indexed="81"/>
            <rFont val="Tahoma"/>
            <family val="2"/>
          </rPr>
          <t xml:space="preserve">The bank operates in a country that scores "Emerging Potential" in the Market Assessment Tool </t>
        </r>
        <r>
          <rPr>
            <b/>
            <sz val="11"/>
            <color indexed="81"/>
            <rFont val="Tahoma"/>
            <family val="2"/>
          </rPr>
          <t xml:space="preserve">
Low: </t>
        </r>
        <r>
          <rPr>
            <sz val="11"/>
            <color indexed="81"/>
            <rFont val="Tahoma"/>
            <family val="2"/>
          </rPr>
          <t xml:space="preserve">The country is scored as a "Lagging Market", with major constraints to SME banking </t>
        </r>
      </text>
    </comment>
    <comment ref="AF13" authorId="0" shapeId="0" xr:uid="{0819CB54-10A5-4D6F-ADA2-2C69EB348E56}">
      <text>
        <r>
          <rPr>
            <b/>
            <sz val="11"/>
            <color indexed="81"/>
            <rFont val="Tahoma"/>
            <family val="2"/>
          </rPr>
          <t xml:space="preserve">High: </t>
        </r>
        <r>
          <rPr>
            <sz val="11"/>
            <color indexed="81"/>
            <rFont val="Tahoma"/>
            <family val="2"/>
          </rPr>
          <t>The bank operates in a market with positive projected revenue potential and a high growth rate (greater than 100%)</t>
        </r>
        <r>
          <rPr>
            <b/>
            <sz val="11"/>
            <color indexed="81"/>
            <rFont val="Tahoma"/>
            <family val="2"/>
          </rPr>
          <t xml:space="preserve">
Medium: </t>
        </r>
        <r>
          <rPr>
            <sz val="11"/>
            <color indexed="81"/>
            <rFont val="Tahoma"/>
            <family val="2"/>
          </rPr>
          <t>The bank operates in a market with positive projected revenue potential but a moderate growth rate (less than 100%)</t>
        </r>
        <r>
          <rPr>
            <b/>
            <sz val="11"/>
            <color indexed="81"/>
            <rFont val="Tahoma"/>
            <family val="2"/>
          </rPr>
          <t xml:space="preserve">
Low: </t>
        </r>
        <r>
          <rPr>
            <sz val="11"/>
            <color indexed="81"/>
            <rFont val="Tahoma"/>
            <family val="2"/>
          </rPr>
          <t>The bank operates in a market with negative projected revenue potential or declining growth rates</t>
        </r>
      </text>
    </comment>
    <comment ref="AH13" authorId="0" shapeId="0" xr:uid="{013F5923-CEF8-4F30-9936-CDD252294652}">
      <text>
        <r>
          <rPr>
            <b/>
            <sz val="11"/>
            <color indexed="81"/>
            <rFont val="Tahoma"/>
            <family val="2"/>
          </rPr>
          <t xml:space="preserve">Yes: </t>
        </r>
        <r>
          <rPr>
            <sz val="11"/>
            <color indexed="81"/>
            <rFont val="Tahoma"/>
            <family val="2"/>
          </rPr>
          <t>The bank serves the funders target segments (i.e., WSMEs, Agri-SMEs, Small vs Medium, etc)</t>
        </r>
        <r>
          <rPr>
            <b/>
            <sz val="11"/>
            <color indexed="81"/>
            <rFont val="Tahoma"/>
            <family val="2"/>
          </rPr>
          <t xml:space="preserve">
No: </t>
        </r>
        <r>
          <rPr>
            <sz val="11"/>
            <color indexed="81"/>
            <rFont val="Tahoma"/>
            <family val="2"/>
          </rPr>
          <t>The bank does not serve the funders target segments (i.e., WSMEs, Agri-SMEs, Small vs Medium, etc)</t>
        </r>
      </text>
    </comment>
    <comment ref="AJ13" authorId="0" shapeId="0" xr:uid="{8D4532E9-8F38-4FE7-8276-BCC710190D99}">
      <text>
        <r>
          <rPr>
            <b/>
            <sz val="11"/>
            <color indexed="81"/>
            <rFont val="Tahoma"/>
            <family val="2"/>
          </rPr>
          <t xml:space="preserve">Yes: </t>
        </r>
        <r>
          <rPr>
            <sz val="11"/>
            <color indexed="81"/>
            <rFont val="Tahoma"/>
            <family val="2"/>
          </rPr>
          <t>There are no significant public reports of fraud, lawsuits, regulatory actions, fines, or major controversies involving the bank.</t>
        </r>
        <r>
          <rPr>
            <b/>
            <sz val="11"/>
            <color indexed="81"/>
            <rFont val="Tahoma"/>
            <family val="2"/>
          </rPr>
          <t xml:space="preserve">
No: </t>
        </r>
        <r>
          <rPr>
            <sz val="11"/>
            <color indexed="81"/>
            <rFont val="Tahoma"/>
            <family val="2"/>
          </rPr>
          <t>The bank has documented incidents (e.g., internal fraud, regulatory fines, money laundering cases, senior-level misconduct, or repeated client disputes) that raise compliance, legal, or reputational concerns.</t>
        </r>
      </text>
    </comment>
    <comment ref="AL13" authorId="0" shapeId="0" xr:uid="{BEE7C159-03AF-4484-9E6B-9D474706772B}">
      <text>
        <r>
          <rPr>
            <b/>
            <sz val="11"/>
            <color indexed="81"/>
            <rFont val="Tahoma"/>
            <family val="2"/>
          </rPr>
          <t xml:space="preserve">Yes: </t>
        </r>
        <r>
          <rPr>
            <sz val="11"/>
            <color indexed="81"/>
            <rFont val="Tahoma"/>
            <family val="2"/>
          </rPr>
          <t xml:space="preserve"> A formal code of ethics or conduct is in place, outlining ethical standards and detailing auditing and compliance mechanisms</t>
        </r>
        <r>
          <rPr>
            <b/>
            <sz val="11"/>
            <color indexed="81"/>
            <rFont val="Tahoma"/>
            <family val="2"/>
          </rPr>
          <t xml:space="preserve">
No: </t>
        </r>
        <r>
          <rPr>
            <sz val="11"/>
            <color indexed="81"/>
            <rFont val="Tahoma"/>
            <family val="2"/>
          </rPr>
          <t>No code of ethics or conduct is in place, and there are no relevant references or disclosures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<sst xmlns="http://schemas.openxmlformats.org/spreadsheetml/2006/main" count="710" uniqueCount="493">
  <si>
    <t>Partner Screening and Prioritization</t>
  </si>
  <si>
    <t>INVEST: The Process &amp; Toolkit for Unleashing SME Banking</t>
  </si>
  <si>
    <r>
      <rPr>
        <b/>
        <sz val="12"/>
        <color theme="1"/>
        <rFont val="Lato"/>
        <family val="2"/>
        <scheme val="minor"/>
      </rPr>
      <t>Last modified:</t>
    </r>
    <r>
      <rPr>
        <sz val="12"/>
        <color theme="1"/>
        <rFont val="Lato"/>
        <family val="2"/>
        <scheme val="minor"/>
      </rPr>
      <t xml:space="preserve"> August 22, 2025</t>
    </r>
  </si>
  <si>
    <t>Contact details for further inquiries:</t>
  </si>
  <si>
    <t>karen.rodriguez@dalberg.com</t>
  </si>
  <si>
    <t>kusi.hornberger@dalberg.com</t>
  </si>
  <si>
    <t>OVERVIEW</t>
  </si>
  <si>
    <r>
      <rPr>
        <b/>
        <sz val="12"/>
        <rFont val="Lato"/>
        <family val="2"/>
        <scheme val="minor"/>
      </rPr>
      <t>The Partner Screening and Prioritization Tool</t>
    </r>
    <r>
      <rPr>
        <sz val="12"/>
        <rFont val="Lato"/>
        <family val="2"/>
        <scheme val="minor"/>
      </rPr>
      <t xml:space="preserve"> is an Excel-based resource designed to help TA funders identify and screen high-potential banks that can serve as partners in early-stage research phases. It provides a summary of screened banks, including scores across key assessment areas and a suggested prioritization to support preliminary partner screening.
</t>
    </r>
  </si>
  <si>
    <t>Focus audience:</t>
  </si>
  <si>
    <t xml:space="preserve">USE CASE </t>
  </si>
  <si>
    <r>
      <rPr>
        <b/>
        <sz val="12"/>
        <rFont val="Lato"/>
        <family val="2"/>
        <scheme val="minor"/>
      </rPr>
      <t xml:space="preserve">The tool allows TA funders to assess a pool of candidate banks </t>
    </r>
    <r>
      <rPr>
        <b/>
        <u/>
        <sz val="12"/>
        <rFont val="Lato"/>
        <family val="2"/>
        <scheme val="minor"/>
      </rPr>
      <t>across five assessment areas</t>
    </r>
    <r>
      <rPr>
        <b/>
        <sz val="12"/>
        <rFont val="Lato"/>
        <family val="2"/>
        <scheme val="minor"/>
      </rPr>
      <t xml:space="preserve">: 1) strategic alignment and institutional commitment, 2) institutional capacity, 3) track record, 4) market opportunity and accessibility, and 5) risk and reputation.  </t>
    </r>
    <r>
      <rPr>
        <sz val="12"/>
        <rFont val="Lato"/>
        <family val="2"/>
        <scheme val="minor"/>
      </rPr>
      <t>It supports confident partner prioritization by identifying banks with the capacity to deliver high-impact SME finance outcomes and by enabling comparisons across peers. The tool serves as an initial screening mechanism to inform more detailed due diligence or partner selection processes.</t>
    </r>
  </si>
  <si>
    <t>OBJECTIVES</t>
  </si>
  <si>
    <r>
      <t>1. Provide a flexible, adaptable framework with 16 indicators</t>
    </r>
    <r>
      <rPr>
        <sz val="12"/>
        <color rgb="FFEE0000"/>
        <rFont val="Lato"/>
        <family val="2"/>
        <scheme val="minor"/>
      </rPr>
      <t xml:space="preserve"> </t>
    </r>
    <r>
      <rPr>
        <sz val="12"/>
        <color theme="1"/>
        <rFont val="Lato"/>
        <family val="2"/>
        <scheme val="minor"/>
      </rPr>
      <t>across five assessment areas to evaluate banks’ readiness to engage in donor-supported SME finance initiatives.
2. Enable comparison across a broad pool of assessed banks and prioritize the most relevant partners based on selected criteria.</t>
    </r>
  </si>
  <si>
    <t>GUIDANCE</t>
  </si>
  <si>
    <t>User Guide:</t>
  </si>
  <si>
    <t>https://smebankingtoolkit.com/partner-screening-tool-user-guide</t>
  </si>
  <si>
    <t>This file consists of four tabs, including this one. Below is a high-level description of each tab, along with specific instructions on how users can interact with them to leverage the partner screening successfully.</t>
  </si>
  <si>
    <t>Tab Name</t>
  </si>
  <si>
    <t>Description</t>
  </si>
  <si>
    <t>Instructions</t>
  </si>
  <si>
    <t>Scoring logic &amp; methodology</t>
  </si>
  <si>
    <t>This tab presents the assessment areas and indicators designed for the screening and prioritization of potential partner banks. The framework has been developed based on best-in-class industry practices and key learnings. Users are encouraged to edit, add, or remove indicators as needed to align the framework with internal priorities and specific organizational considerations.</t>
  </si>
  <si>
    <r>
      <t xml:space="preserve">Use this tab to navigate the proposed assessment areas and indicators for partner screening and prioritization. Familiarize yourself with its main components, including:
</t>
    </r>
    <r>
      <rPr>
        <b/>
        <sz val="12"/>
        <color theme="1"/>
        <rFont val="Lato"/>
        <family val="2"/>
        <scheme val="minor"/>
      </rPr>
      <t>1. The five assessment areas,</t>
    </r>
    <r>
      <rPr>
        <sz val="12"/>
        <color theme="1"/>
        <rFont val="Lato"/>
        <family val="2"/>
        <scheme val="minor"/>
      </rPr>
      <t xml:space="preserve"> each with a defined weight that can be adjusted to reflect the user's priorities.
</t>
    </r>
    <r>
      <rPr>
        <b/>
        <sz val="12"/>
        <color theme="1"/>
        <rFont val="Lato"/>
        <family val="2"/>
        <scheme val="minor"/>
      </rPr>
      <t>2. The list of indicators</t>
    </r>
    <r>
      <rPr>
        <sz val="12"/>
        <color theme="1"/>
        <rFont val="Lato"/>
        <family val="2"/>
        <scheme val="minor"/>
      </rPr>
      <t xml:space="preserve"> for each assessment area. Each indicator includes information on the scoring type (e.g., High/Medium/Low or Yes/No), metric type (e.g., key screening metric or additional metric based on information availability), assessment and scoring guidance, and notes on customization and automation. Users are encouraged to edit, add, or remove indicators based on internal preferences.
</t>
    </r>
    <r>
      <rPr>
        <b/>
        <sz val="12"/>
        <color theme="1"/>
        <rFont val="Lato"/>
        <family val="2"/>
        <scheme val="minor"/>
      </rPr>
      <t xml:space="preserve">3. Guidance on scoring and interpretation, </t>
    </r>
    <r>
      <rPr>
        <sz val="12"/>
        <color theme="1"/>
        <rFont val="Lato"/>
        <family val="2"/>
        <scheme val="minor"/>
      </rPr>
      <t>which serves as the primary input for the Results tab of the tool.</t>
    </r>
  </si>
  <si>
    <t>Partner Screening Framework</t>
  </si>
  <si>
    <t>This tab provides the interactive framework that users should complete to input the key information required to screen and prioritize potential partner banks. To complete the framework efficiently, it is recommended to gather secondary information or hold conversations with screened banks. Automation guidelines are provided to help streamline the process.</t>
  </si>
  <si>
    <r>
      <t>Use this tab to screen potential partner banks across the defined assessment areas and indicators.</t>
    </r>
    <r>
      <rPr>
        <b/>
        <sz val="12"/>
        <color theme="1"/>
        <rFont val="Lato"/>
        <family val="2"/>
        <scheme val="minor"/>
      </rPr>
      <t xml:space="preserve"> </t>
    </r>
    <r>
      <rPr>
        <sz val="12"/>
        <color theme="1"/>
        <rFont val="Lato"/>
        <family val="2"/>
        <scheme val="minor"/>
      </rPr>
      <t xml:space="preserve">To complete the screening, please provide:
</t>
    </r>
    <r>
      <rPr>
        <b/>
        <sz val="12"/>
        <color theme="1"/>
        <rFont val="Lato"/>
        <family val="2"/>
        <scheme val="minor"/>
      </rPr>
      <t xml:space="preserve">1. Basic information </t>
    </r>
    <r>
      <rPr>
        <sz val="12"/>
        <color theme="1"/>
        <rFont val="Lato"/>
        <family val="2"/>
        <scheme val="minor"/>
      </rPr>
      <t xml:space="preserve">about the bank, including its name, type, country of operation, and headquarters location.
</t>
    </r>
    <r>
      <rPr>
        <b/>
        <sz val="12"/>
        <color theme="1"/>
        <rFont val="Lato"/>
        <family val="2"/>
        <scheme val="minor"/>
      </rPr>
      <t xml:space="preserve">2. A score </t>
    </r>
    <r>
      <rPr>
        <sz val="12"/>
        <color theme="1"/>
        <rFont val="Lato"/>
        <family val="2"/>
        <scheme val="minor"/>
      </rPr>
      <t xml:space="preserve">for each indicator, using a High/Medium/Low or Yes/No dropdown.
</t>
    </r>
    <r>
      <rPr>
        <b/>
        <sz val="12"/>
        <color theme="1"/>
        <rFont val="Lato"/>
        <family val="2"/>
        <scheme val="minor"/>
      </rPr>
      <t>3. A rationale</t>
    </r>
    <r>
      <rPr>
        <sz val="12"/>
        <color theme="1"/>
        <rFont val="Lato"/>
        <family val="2"/>
        <scheme val="minor"/>
      </rPr>
      <t xml:space="preserve"> to justify or explain the score for each indicator. Including links or references to supporting documents is recommended.
</t>
    </r>
    <r>
      <rPr>
        <i/>
        <sz val="12"/>
        <color theme="1"/>
        <rFont val="Lato"/>
        <family val="2"/>
        <scheme val="minor"/>
      </rPr>
      <t xml:space="preserve">The first five rows are illustrative examples of how to fill out the Partner Screening Framework. </t>
    </r>
  </si>
  <si>
    <t>Results</t>
  </si>
  <si>
    <t>This tab presents the results of the partner screening and prioritization exercise completed in the previous tab. These results can be used to assess the maturity level of specific banks and to compare them with their peers when validating partner prioritization decisions.</t>
  </si>
  <si>
    <r>
      <t xml:space="preserve">Use this tab to view the overall results of the partner screening and prioritization, including:
1. </t>
    </r>
    <r>
      <rPr>
        <b/>
        <sz val="12"/>
        <color theme="1"/>
        <rFont val="Lato"/>
        <family val="2"/>
        <scheme val="minor"/>
      </rPr>
      <t>The top-ranked banks and a screening summary</t>
    </r>
    <r>
      <rPr>
        <sz val="12"/>
        <color theme="1"/>
        <rFont val="Lato"/>
        <family val="2"/>
        <scheme val="minor"/>
      </rPr>
      <t xml:space="preserve"> (e.g., number of banks assessed and summary of scores). 
2. </t>
    </r>
    <r>
      <rPr>
        <b/>
        <sz val="12"/>
        <color theme="1"/>
        <rFont val="Lato"/>
        <family val="2"/>
        <scheme val="minor"/>
      </rPr>
      <t>A specific bank's performance</t>
    </r>
    <r>
      <rPr>
        <sz val="12"/>
        <color theme="1"/>
        <rFont val="Lato"/>
        <family val="2"/>
        <scheme val="minor"/>
      </rPr>
      <t xml:space="preserve"> across the assessment areas in terms of maturity ratings. 
Use this information internally to prioritize the most attractive banks for more in-depth reviews or due diligence processes.</t>
    </r>
  </si>
  <si>
    <t>USING THIS TOOL EFFECTIVELY</t>
  </si>
  <si>
    <r>
      <rPr>
        <b/>
        <sz val="12"/>
        <color theme="1"/>
        <rFont val="Lato"/>
        <family val="2"/>
        <scheme val="minor"/>
      </rPr>
      <t>This tool is designed to be geography-agnostic and used by TA funders with different priorities and focus areas.</t>
    </r>
    <r>
      <rPr>
        <sz val="12"/>
        <color theme="1"/>
        <rFont val="Lato"/>
        <family val="2"/>
        <scheme val="minor"/>
      </rPr>
      <t xml:space="preserve"> It is intended as a flexible resource that can be adapted and customized to fit each organization's specific needs, goals, and contextual realities. The tool serves as a starting point that can be built upon and tailored as needed. Users are encouraged to treat this as a living tool, one that can be updated over time to reflect emerging learnings and strategic shifts. </t>
    </r>
    <r>
      <rPr>
        <b/>
        <sz val="12"/>
        <color theme="1"/>
        <rFont val="Lato"/>
        <family val="2"/>
        <scheme val="minor"/>
      </rPr>
      <t>For more information, reference the tool's user guide.</t>
    </r>
  </si>
  <si>
    <r>
      <rPr>
        <b/>
        <sz val="12"/>
        <color rgb="FF000000"/>
        <rFont val="Lato"/>
        <family val="2"/>
        <scheme val="minor"/>
      </rPr>
      <t xml:space="preserve">The Partner Screening tool is a core component of INVEST: The Process &amp; Toolkit for Unleashing SME Banking, </t>
    </r>
    <r>
      <rPr>
        <sz val="12"/>
        <color rgb="FF000000"/>
        <rFont val="Lato"/>
        <family val="2"/>
        <scheme val="minor"/>
      </rPr>
      <t>a public resource that helps banks and TA funders strengthen SME banking operations. It was developed through a highly consultative process and draws on learnings from experienced ecosystem experts. The Partner Screening tool is closely linked to other tools from the toolkit (e.g., market assessment, market sizing, and business case), especially in the "market opportunity and accessibility" assessment area.</t>
    </r>
  </si>
  <si>
    <r>
      <rPr>
        <b/>
        <sz val="12"/>
        <color theme="1"/>
        <rFont val="Lato"/>
        <family val="2"/>
        <scheme val="minor"/>
      </rPr>
      <t>The tool’s primary focus is to assess bank partners strategic fit to execute SME lending</t>
    </r>
    <r>
      <rPr>
        <sz val="12"/>
        <color theme="1"/>
        <rFont val="Lato"/>
        <family val="2"/>
        <scheme val="minor"/>
      </rPr>
      <t xml:space="preserve">, but it can also be tailored to other priorities such as focus on underserved markets, digital transformation capabilities, competitiveness, or profitability by toggling or adding relevant metrics. </t>
    </r>
    <r>
      <rPr>
        <b/>
        <sz val="12"/>
        <color theme="1"/>
        <rFont val="Lato"/>
        <family val="2"/>
        <scheme val="minor"/>
      </rPr>
      <t>Scores should be interpreted in relation to the funders program objectives and resources</t>
    </r>
    <r>
      <rPr>
        <sz val="12"/>
        <color theme="1"/>
        <rFont val="Lato"/>
        <family val="2"/>
        <scheme val="minor"/>
      </rPr>
      <t>, ensuring alignment between identified bank gaps and what the program is designed to address, rather than relying only on overall rankings which could be arbitrary.</t>
    </r>
  </si>
  <si>
    <r>
      <t xml:space="preserve">Given the tool relies mainly on secondary data, </t>
    </r>
    <r>
      <rPr>
        <sz val="12"/>
        <color theme="1"/>
        <rFont val="Lato"/>
        <family val="2"/>
        <scheme val="minor"/>
      </rPr>
      <t>users should be aware of its limitations. In some cases, particularly with smaller banks that have limited reporting and communication capacity, information may be incomplete or unavailable. In these situations, findings should be validated and supplemented through interviews, direct engagement with bank executives, or other checks to ensure an accurate assessment.</t>
    </r>
  </si>
  <si>
    <t>Move to the next sheet to begin screening potential partner banks!</t>
  </si>
  <si>
    <t>Scoring logic</t>
  </si>
  <si>
    <t xml:space="preserve"> </t>
  </si>
  <si>
    <r>
      <t xml:space="preserve">This tab provides guidance on how to assess and score indicators in the Partner Screening Framework. It outlines:
• The five assessment areas and their pre-defined weighting. Adjust weights to reflect program-specific priorities (e.g., emphasize institutional strength or market size). Areas should not be muted completely, as they are all considered crucial to screen partners.
• The list of indicators per assessment area, including guidance on scoring (e.g., what constitutes a High/Medium/Low or Yes/No score). It also offers recommendations to assess, customize, and automate scoring. If you do not wish to include a given indicator, leave the checkbox in column D unchecked.
• For funders looking to carry out a </t>
    </r>
    <r>
      <rPr>
        <b/>
        <sz val="11"/>
        <color theme="1"/>
        <rFont val="Lato"/>
        <family val="2"/>
        <scheme val="minor"/>
      </rPr>
      <t>quick screening</t>
    </r>
    <r>
      <rPr>
        <sz val="11"/>
        <color theme="1"/>
        <rFont val="Lato"/>
        <family val="2"/>
        <scheme val="minor"/>
      </rPr>
      <t xml:space="preserve"> across multiple organizations </t>
    </r>
    <r>
      <rPr>
        <b/>
        <sz val="11"/>
        <color theme="1"/>
        <rFont val="Lato"/>
        <family val="2"/>
        <scheme val="minor"/>
      </rPr>
      <t xml:space="preserve">or comparing banks of different sizes </t>
    </r>
    <r>
      <rPr>
        <sz val="11"/>
        <color theme="1"/>
        <rFont val="Lato"/>
        <family val="2"/>
        <scheme val="minor"/>
      </rPr>
      <t>with asymmetrical data availability</t>
    </r>
    <r>
      <rPr>
        <b/>
        <sz val="11"/>
        <color theme="1"/>
        <rFont val="Lato"/>
        <family val="2"/>
        <scheme val="minor"/>
      </rPr>
      <t xml:space="preserve"> we recommend focusing on the "key screening metrics" and muting the metrics noted in column G as "additional" by deleting the number in column D (which will remove them from the score weighting)</t>
    </r>
    <r>
      <rPr>
        <sz val="11"/>
        <color theme="1"/>
        <rFont val="Lato"/>
        <family val="2"/>
        <scheme val="minor"/>
      </rPr>
      <t>. If fewer banks are being evaluated, time is not an issue, and there is access to primary data, we recommend ranking across all metrics.
• Guidance on scoring and interpretation can be found on the lower part of the tab.</t>
    </r>
  </si>
  <si>
    <t>Weight</t>
  </si>
  <si>
    <t>Enable indicator</t>
  </si>
  <si>
    <t>Assessment area</t>
  </si>
  <si>
    <t>Scoring Type</t>
  </si>
  <si>
    <t>Metric type</t>
  </si>
  <si>
    <t>Scoring Logic</t>
  </si>
  <si>
    <t>Type of Data</t>
  </si>
  <si>
    <t>Direction</t>
  </si>
  <si>
    <t>Assessment tips</t>
  </si>
  <si>
    <t>How to automate search</t>
  </si>
  <si>
    <t>Notes on customization</t>
  </si>
  <si>
    <t>Countries</t>
  </si>
  <si>
    <t>1. Strategic alignment and institutional commitment</t>
  </si>
  <si>
    <t>Afghanistan</t>
  </si>
  <si>
    <t>1.1 Financial inclusion, understood as a deliberate effort to gain market share and serve unserved or underserved client segments, constitutes a strategic priority for the bank</t>
  </si>
  <si>
    <t>High/Medium/Low</t>
  </si>
  <si>
    <t>Key screening metric</t>
  </si>
  <si>
    <r>
      <rPr>
        <b/>
        <sz val="8"/>
        <color theme="1"/>
        <rFont val="Lato"/>
        <family val="2"/>
        <scheme val="minor"/>
      </rPr>
      <t xml:space="preserve">High: </t>
    </r>
    <r>
      <rPr>
        <sz val="8"/>
        <color theme="1"/>
        <rFont val="Lato"/>
        <family val="2"/>
        <scheme val="minor"/>
      </rPr>
      <t xml:space="preserve">Financial inclusion is positioned as a strategic pillar in the bank's overall operations and is reflected in its annual plans and reports
</t>
    </r>
    <r>
      <rPr>
        <b/>
        <sz val="8"/>
        <color theme="1"/>
        <rFont val="Lato"/>
        <family val="2"/>
        <scheme val="minor"/>
      </rPr>
      <t xml:space="preserve">Medium: </t>
    </r>
    <r>
      <rPr>
        <sz val="8"/>
        <color theme="1"/>
        <rFont val="Lato"/>
        <family val="2"/>
        <scheme val="minor"/>
      </rPr>
      <t xml:space="preserve">Financial inclusion is recognized as a key operational focus, but is not consistently followed up on or reported on (or vice versa)
</t>
    </r>
    <r>
      <rPr>
        <b/>
        <sz val="8"/>
        <color theme="1"/>
        <rFont val="Lato"/>
        <family val="2"/>
        <scheme val="minor"/>
      </rPr>
      <t>Low:</t>
    </r>
    <r>
      <rPr>
        <sz val="8"/>
        <color theme="1"/>
        <rFont val="Lato"/>
        <family val="2"/>
        <scheme val="minor"/>
      </rPr>
      <t xml:space="preserve"> There are limited or no references to financial inclusion in the bank's strategic positioning or public-facing institutional documents</t>
    </r>
  </si>
  <si>
    <t>Secondary</t>
  </si>
  <si>
    <r>
      <rPr>
        <b/>
        <sz val="8"/>
        <color theme="1"/>
        <rFont val="Lato"/>
        <family val="2"/>
        <scheme val="minor"/>
      </rPr>
      <t xml:space="preserve">Positive, </t>
    </r>
    <r>
      <rPr>
        <sz val="8"/>
        <color theme="1"/>
        <rFont val="Lato"/>
        <family val="2"/>
        <scheme val="minor"/>
      </rPr>
      <t>as banks that consider financial inclusion and actively report and plan accordingly are likely higher potential impact partners</t>
    </r>
  </si>
  <si>
    <t>Skim through mission statements, annual reports, integrated reports, or investor presentations, using keywords such as "financial inclusion" or "underserved segments"</t>
  </si>
  <si>
    <r>
      <rPr>
        <b/>
        <sz val="8"/>
        <color theme="1"/>
        <rFont val="Lato"/>
        <family val="2"/>
        <scheme val="minor"/>
      </rPr>
      <t>Use ChatGPT or a similar AI tool with browsing or retrieval capabilities to search for publicly available documents related to the bank's strategic priorities</t>
    </r>
    <r>
      <rPr>
        <sz val="8"/>
        <color theme="1"/>
        <rFont val="Lato"/>
        <family val="2"/>
        <scheme val="minor"/>
      </rPr>
      <t xml:space="preserve">, such as annual reports, integrated reports, press releases, leadership speeches, ESG statements, and content on the bank's website.
</t>
    </r>
    <r>
      <rPr>
        <b/>
        <sz val="8"/>
        <color theme="1"/>
        <rFont val="Lato"/>
        <family val="2"/>
        <scheme val="minor"/>
      </rPr>
      <t>Prompt example:</t>
    </r>
    <r>
      <rPr>
        <sz val="8"/>
        <color theme="1"/>
        <rFont val="Lato"/>
        <family val="2"/>
        <scheme val="minor"/>
      </rPr>
      <t xml:space="preserve">
“Search for public documents and statements from [Bank Name] that mention SME banking, financial inclusion, ESG priorities, or alignment with development goals. Summarize the bank's strategic positioning, SME-related goals, leadership commitment, ESG frameworks, and alignment with external priorities such as gender or climate."
</t>
    </r>
    <r>
      <rPr>
        <b/>
        <sz val="8"/>
        <color theme="1"/>
        <rFont val="Lato"/>
        <family val="2"/>
        <scheme val="minor"/>
      </rPr>
      <t>Clarify by indicator:</t>
    </r>
    <r>
      <rPr>
        <sz val="8"/>
        <color theme="1"/>
        <rFont val="Lato"/>
        <family val="2"/>
        <scheme val="minor"/>
      </rPr>
      <t xml:space="preserve">
1.1: Identify if financial inclusion is positioned as a core pillar in strategy documents or vision statements
1.2: Look for SME-related targets, KPIs, or forward-looking goals tied to investment or resourcing
1.3: Extract direct quotes or references from senior leadership endorsing SME banking priorities
1.4: Find evidence of formal ESG frameworks or policies integrated into strategy
1.5: Assess how the bank's priorities align with funder themes (e.g., gender equity, youth, climate resilience)
</t>
    </r>
    <r>
      <rPr>
        <b/>
        <sz val="8"/>
        <color theme="1"/>
        <rFont val="Lato"/>
        <family val="2"/>
        <scheme val="minor"/>
      </rPr>
      <t>To improve accuracy, the AI can be fed the scoring logic for each indicator.</t>
    </r>
    <r>
      <rPr>
        <sz val="8"/>
        <color theme="1"/>
        <rFont val="Lato"/>
        <family val="2"/>
        <scheme val="minor"/>
      </rPr>
      <t xml:space="preserve"> This enables it to not only identify relevant information but also assess how well it aligns with predefined maturity levels (e.g., High, Medium, Low). 
</t>
    </r>
    <r>
      <rPr>
        <b/>
        <sz val="8"/>
        <color theme="1"/>
        <rFont val="Lato"/>
        <family val="2"/>
        <scheme val="minor"/>
      </rPr>
      <t>Any AI-generated findings should be reviewed and validated by the user to ensure accuracy and contextual relevance.</t>
    </r>
  </si>
  <si>
    <t>Albania</t>
  </si>
  <si>
    <t>1.2 The bank has clearly defined, time-bound SME goals supported by internal targets and investment plans</t>
  </si>
  <si>
    <r>
      <rPr>
        <b/>
        <sz val="8"/>
        <color theme="1"/>
        <rFont val="Lato"/>
        <family val="2"/>
        <scheme val="minor"/>
      </rPr>
      <t>High:</t>
    </r>
    <r>
      <rPr>
        <sz val="8"/>
        <color theme="1"/>
        <rFont val="Lato"/>
        <family val="2"/>
        <scheme val="minor"/>
      </rPr>
      <t xml:space="preserve"> The bank has clear, time-bound goals tracked on a yearly basis related to SME finance or inclusion, with specific targets, performance metrics, and an associated investment or resourcing plan
</t>
    </r>
    <r>
      <rPr>
        <b/>
        <sz val="8"/>
        <color theme="1"/>
        <rFont val="Lato"/>
        <family val="2"/>
        <scheme val="minor"/>
      </rPr>
      <t xml:space="preserve">Medium: </t>
    </r>
    <r>
      <rPr>
        <sz val="8"/>
        <color theme="1"/>
        <rFont val="Lato"/>
        <family val="2"/>
        <scheme val="minor"/>
      </rPr>
      <t xml:space="preserve">The bank outlines general ambitions or directional goals for SME or inclusion, but lacks short- to medium-term targets, timelines, or resource commitments
</t>
    </r>
    <r>
      <rPr>
        <b/>
        <sz val="8"/>
        <color theme="1"/>
        <rFont val="Lato"/>
        <family val="2"/>
        <scheme val="minor"/>
      </rPr>
      <t xml:space="preserve">Low: </t>
    </r>
    <r>
      <rPr>
        <sz val="8"/>
        <color theme="1"/>
        <rFont val="Lato"/>
        <family val="2"/>
        <scheme val="minor"/>
      </rPr>
      <t>The bank does not have defined SME-related goals, or goals are vague, non-measurable, or disconnected from delivery plans</t>
    </r>
  </si>
  <si>
    <t>Both</t>
  </si>
  <si>
    <r>
      <rPr>
        <b/>
        <sz val="8"/>
        <color theme="1"/>
        <rFont val="Lato"/>
        <family val="2"/>
        <scheme val="minor"/>
      </rPr>
      <t>Positive,</t>
    </r>
    <r>
      <rPr>
        <sz val="8"/>
        <color theme="1"/>
        <rFont val="Lato"/>
        <family val="2"/>
        <scheme val="minor"/>
      </rPr>
      <t xml:space="preserve"> as banks that have clearly deliniated, time-bound goals are likely to be more commited to executing SME strategic initiatives</t>
    </r>
  </si>
  <si>
    <t>Review the bank's annual reports for SME goals or targets by using keywords such as "SMEs financed", "% loan book to SMEs",  and "financial inclusion".  Look for reporting on previous years and forward-looking targets. If needed, corroborate information with primary information from the bank (e.g., KPIs, strategy documents, etc.)</t>
  </si>
  <si>
    <t>Algeria</t>
  </si>
  <si>
    <t>1.3 The bank demonstrates leadership commitment toward SME banking</t>
  </si>
  <si>
    <r>
      <rPr>
        <b/>
        <sz val="8"/>
        <color theme="1"/>
        <rFont val="Lato"/>
        <family val="2"/>
        <scheme val="minor"/>
      </rPr>
      <t xml:space="preserve">High: </t>
    </r>
    <r>
      <rPr>
        <sz val="8"/>
        <color theme="1"/>
        <rFont val="Lato"/>
        <family val="2"/>
        <scheme val="minor"/>
      </rPr>
      <t xml:space="preserve">The bank's leadership, including senior executives (i.e., Board, CEO, COO, Head of SME banking), has publicly championed SME banking, highlighting its strategic importance to the institution
</t>
    </r>
    <r>
      <rPr>
        <b/>
        <sz val="8"/>
        <color theme="1"/>
        <rFont val="Lato"/>
        <family val="2"/>
        <scheme val="minor"/>
      </rPr>
      <t xml:space="preserve">Medium: </t>
    </r>
    <r>
      <rPr>
        <sz val="8"/>
        <color theme="1"/>
        <rFont val="Lato"/>
        <family val="2"/>
        <scheme val="minor"/>
      </rPr>
      <t xml:space="preserve">Senior executives (i.e., Board, CEO, COO, Head of SME banking) have expressed support for SME banking, but primarily as a development priority rather than a strategic focus
</t>
    </r>
    <r>
      <rPr>
        <b/>
        <sz val="8"/>
        <color theme="1"/>
        <rFont val="Lato"/>
        <family val="2"/>
        <scheme val="minor"/>
      </rPr>
      <t xml:space="preserve">Low: </t>
    </r>
    <r>
      <rPr>
        <sz val="8"/>
        <color theme="1"/>
        <rFont val="Lato"/>
        <family val="2"/>
        <scheme val="minor"/>
      </rPr>
      <t>There are no identifiable public statements from senior leadership (i.e., Board, CEO, COO, Head of SME banking) indicating a commitment to SME banking</t>
    </r>
  </si>
  <si>
    <r>
      <rPr>
        <b/>
        <sz val="8"/>
        <color theme="1"/>
        <rFont val="Lato"/>
        <family val="2"/>
        <scheme val="minor"/>
      </rPr>
      <t>Positive,</t>
    </r>
    <r>
      <rPr>
        <sz val="8"/>
        <color theme="1"/>
        <rFont val="Lato"/>
        <family val="2"/>
        <scheme val="minor"/>
      </rPr>
      <t xml:space="preserve"> given senior leadership buy in is crucial for strategic alignment and long-term commitment to SME programs</t>
    </r>
  </si>
  <si>
    <t>Search for public statements from the bank's leadership (e.g., opening letters in annual reports, media publications, or mission and vision statements) referencing their SME or financial inclusion efforts. Also, track SME-related recognitions</t>
  </si>
  <si>
    <t>Andorra</t>
  </si>
  <si>
    <t xml:space="preserve">1.4 The bank has established or is committed to establishing an SME banking unit </t>
  </si>
  <si>
    <t>Yes/No</t>
  </si>
  <si>
    <t>Additional based on time / information availability</t>
  </si>
  <si>
    <r>
      <rPr>
        <b/>
        <sz val="8"/>
        <color theme="1"/>
        <rFont val="Lato"/>
        <family val="2"/>
        <scheme val="minor"/>
      </rPr>
      <t xml:space="preserve">Yes: </t>
    </r>
    <r>
      <rPr>
        <sz val="8"/>
        <color theme="1"/>
        <rFont val="Lato"/>
        <family val="2"/>
        <scheme val="minor"/>
      </rPr>
      <t xml:space="preserve">The bank has established a distinct SME banking unit to deliver the program or has expressed firm plans to invest in creating this unit in the near to mid-term
</t>
    </r>
    <r>
      <rPr>
        <b/>
        <sz val="8"/>
        <color theme="1"/>
        <rFont val="Lato"/>
        <family val="2"/>
        <scheme val="minor"/>
      </rPr>
      <t>No:</t>
    </r>
    <r>
      <rPr>
        <sz val="8"/>
        <color theme="1"/>
        <rFont val="Lato"/>
        <family val="2"/>
        <scheme val="minor"/>
      </rPr>
      <t xml:space="preserve"> SME banking responsibilites are carried out by other business units (i.e., commercial banking) and there are no concrete plans to create a separate SME lending unit in the mid-term</t>
    </r>
  </si>
  <si>
    <r>
      <rPr>
        <b/>
        <sz val="8"/>
        <color theme="1"/>
        <rFont val="Lato"/>
        <family val="2"/>
        <scheme val="minor"/>
      </rPr>
      <t>Positive,</t>
    </r>
    <r>
      <rPr>
        <sz val="8"/>
        <color theme="1"/>
        <rFont val="Lato"/>
        <family val="2"/>
        <scheme val="minor"/>
      </rPr>
      <t xml:space="preserve"> given establishing an SME banking unit demonstrates strong commitment through dedicated resource allocation and clear strategic prioritization of SME lending.</t>
    </r>
  </si>
  <si>
    <t>Check the bank’s website or annual reports to see if there is an SME business unit or division, or research specific roles on LinkedIn (e.g., searching for staff with SME-specific titles). If no such unit exists, further clarification would be required through the bank diagnostic or interviews with stakeholders to determine whether there are concrete plans to create one.</t>
  </si>
  <si>
    <t>1.5 The bank has clearly articulated ESG commitments and frameworks in place</t>
  </si>
  <si>
    <r>
      <rPr>
        <b/>
        <sz val="8"/>
        <color theme="1"/>
        <rFont val="Lato"/>
        <family val="2"/>
        <scheme val="minor"/>
      </rPr>
      <t xml:space="preserve">High: </t>
    </r>
    <r>
      <rPr>
        <sz val="8"/>
        <color theme="1"/>
        <rFont val="Lato"/>
        <family val="2"/>
        <scheme val="minor"/>
      </rPr>
      <t xml:space="preserve">ESG priorities are clearly integrated into the bank’s strategy and operations
</t>
    </r>
    <r>
      <rPr>
        <b/>
        <sz val="8"/>
        <color theme="1"/>
        <rFont val="Lato"/>
        <family val="2"/>
        <scheme val="minor"/>
      </rPr>
      <t xml:space="preserve">Medium: </t>
    </r>
    <r>
      <rPr>
        <sz val="8"/>
        <color theme="1"/>
        <rFont val="Lato"/>
        <family val="2"/>
        <scheme val="minor"/>
      </rPr>
      <t xml:space="preserve">ESG is referenced in values or policies but lacks formal integration or enforcement
</t>
    </r>
    <r>
      <rPr>
        <b/>
        <sz val="8"/>
        <color theme="1"/>
        <rFont val="Lato"/>
        <family val="2"/>
        <scheme val="minor"/>
      </rPr>
      <t>Low:</t>
    </r>
    <r>
      <rPr>
        <sz val="8"/>
        <color theme="1"/>
        <rFont val="Lato"/>
        <family val="2"/>
        <scheme val="minor"/>
      </rPr>
      <t xml:space="preserve"> No clear ESG commitments, or ESG is treated as a peripheral or informal concern</t>
    </r>
  </si>
  <si>
    <r>
      <rPr>
        <b/>
        <sz val="8"/>
        <color theme="1"/>
        <rFont val="Lato"/>
        <family val="2"/>
        <scheme val="minor"/>
      </rPr>
      <t>Neutral,</t>
    </r>
    <r>
      <rPr>
        <sz val="8"/>
        <color theme="1"/>
        <rFont val="Lato"/>
        <family val="2"/>
        <scheme val="minor"/>
      </rPr>
      <t xml:space="preserve"> can be eliminated if ESG alignment is not considered crucial to your organizations priorities</t>
    </r>
  </si>
  <si>
    <t xml:space="preserve">Look for ESG or sustainability reports, or dedicated sustainability sections within annual reports. Useful keywords include “social responsibility,” “climate,” “social inclusion,” and similar terms.	</t>
  </si>
  <si>
    <t>Delete if assessing small banks with limited capacity, or if ESG is not a relevant priority for your organization</t>
  </si>
  <si>
    <t>Angola</t>
  </si>
  <si>
    <t xml:space="preserve">1.6 The bank aligns with the funder’s development priorities, such as gender equality and climate resilience	</t>
  </si>
  <si>
    <r>
      <rPr>
        <b/>
        <sz val="8"/>
        <color theme="1"/>
        <rFont val="Lato"/>
        <family val="2"/>
        <scheme val="minor"/>
      </rPr>
      <t xml:space="preserve">High: </t>
    </r>
    <r>
      <rPr>
        <sz val="8"/>
        <color theme="1"/>
        <rFont val="Lato"/>
        <family val="2"/>
        <scheme val="minor"/>
      </rPr>
      <t xml:space="preserve">The bank’s specific focus areas align closely with the funder’s primary development priorities
</t>
    </r>
    <r>
      <rPr>
        <b/>
        <sz val="8"/>
        <color theme="1"/>
        <rFont val="Lato"/>
        <family val="2"/>
        <scheme val="minor"/>
      </rPr>
      <t xml:space="preserve">Medium: </t>
    </r>
    <r>
      <rPr>
        <sz val="8"/>
        <color theme="1"/>
        <rFont val="Lato"/>
        <family val="2"/>
        <scheme val="minor"/>
      </rPr>
      <t xml:space="preserve">The bank does not explicitly focus on the funder’s core priorities but addresses secondary priorities or runs programs that partially align with primary development priorities
</t>
    </r>
    <r>
      <rPr>
        <b/>
        <sz val="8"/>
        <color theme="1"/>
        <rFont val="Lato"/>
        <family val="2"/>
        <scheme val="minor"/>
      </rPr>
      <t>Low:</t>
    </r>
    <r>
      <rPr>
        <sz val="8"/>
        <color theme="1"/>
        <rFont val="Lato"/>
        <family val="2"/>
        <scheme val="minor"/>
      </rPr>
      <t xml:space="preserve"> The bank’s focus areas do not align with the funder’s priorities and it lacks relevant programs</t>
    </r>
  </si>
  <si>
    <r>
      <rPr>
        <b/>
        <sz val="8"/>
        <color theme="1"/>
        <rFont val="Lato"/>
        <family val="2"/>
        <scheme val="minor"/>
      </rPr>
      <t>Neutral,</t>
    </r>
    <r>
      <rPr>
        <sz val="8"/>
        <color theme="1"/>
        <rFont val="Lato"/>
        <family val="2"/>
        <scheme val="minor"/>
      </rPr>
      <t xml:space="preserve"> can be eliminated if your organization does not have specific development focuses and follows a broader financial inclusion approach </t>
    </r>
  </si>
  <si>
    <t>Search for the bank’s development priorities by reviewing its annual reports and product segmentation. Depending on your organization’s focus areas, explore the bank’s website and reports using keywords such as “climate,” “women,” “youth,” “agriculture,” and other relevant themes</t>
  </si>
  <si>
    <t>Tailor scoring to match your organization's development priorities or focus areas, such as climate, WASH, agriculture or others</t>
  </si>
  <si>
    <t>Anguilla</t>
  </si>
  <si>
    <t>2. Institutional capacity</t>
  </si>
  <si>
    <t>Antigua and Barbuda</t>
  </si>
  <si>
    <t xml:space="preserve">2.1 The bank has a clear and transparent governance structure with clear roles and responsibilities regarding SME finance programs	</t>
  </si>
  <si>
    <r>
      <rPr>
        <b/>
        <sz val="8"/>
        <color theme="1"/>
        <rFont val="Lato"/>
        <family val="2"/>
        <scheme val="minor"/>
      </rPr>
      <t>High:</t>
    </r>
    <r>
      <rPr>
        <sz val="8"/>
        <color theme="1"/>
        <rFont val="Lato"/>
        <family val="2"/>
        <scheme val="minor"/>
      </rPr>
      <t xml:space="preserve"> The bank has clearly defined roles and responsibilities related to SME finance across relevant departments, with designated staff accountable for delivery and oversight
</t>
    </r>
    <r>
      <rPr>
        <b/>
        <sz val="8"/>
        <color theme="1"/>
        <rFont val="Lato"/>
        <family val="2"/>
        <scheme val="minor"/>
      </rPr>
      <t xml:space="preserve">Medium: </t>
    </r>
    <r>
      <rPr>
        <sz val="8"/>
        <color theme="1"/>
        <rFont val="Lato"/>
        <family val="2"/>
        <scheme val="minor"/>
      </rPr>
      <t xml:space="preserve">SME-related roles exist but are inconsistently defined or overlap with other functions or focus areas
</t>
    </r>
    <r>
      <rPr>
        <b/>
        <sz val="8"/>
        <color theme="1"/>
        <rFont val="Lato"/>
        <family val="2"/>
        <scheme val="minor"/>
      </rPr>
      <t xml:space="preserve">Low: </t>
    </r>
    <r>
      <rPr>
        <sz val="8"/>
        <color theme="1"/>
        <rFont val="Lato"/>
        <family val="2"/>
        <scheme val="minor"/>
      </rPr>
      <t>No formal SME-related responsibilities are assigned, or responsibilities are unclear and fragmented</t>
    </r>
  </si>
  <si>
    <r>
      <rPr>
        <b/>
        <sz val="8"/>
        <color theme="1"/>
        <rFont val="Lato"/>
        <family val="2"/>
        <scheme val="minor"/>
      </rPr>
      <t xml:space="preserve">Positive, </t>
    </r>
    <r>
      <rPr>
        <sz val="8"/>
        <color theme="1"/>
        <rFont val="Lato"/>
        <family val="2"/>
        <scheme val="minor"/>
      </rPr>
      <t>defining SME finance specific roles and responsibilites throughout the organization enable more effective execution and scaling of initatives</t>
    </r>
  </si>
  <si>
    <t>Search for the bank's team composition and designated SME roles on its website and LinkedIn. Use keywords such as "SME banking", "financial inclusion", "SME relationship banking", and others when filtering staff profiles on LinkedIn or similar resources</t>
  </si>
  <si>
    <r>
      <rPr>
        <b/>
        <sz val="8"/>
        <color theme="1"/>
        <rFont val="Lato"/>
        <family val="2"/>
        <scheme val="minor"/>
      </rPr>
      <t xml:space="preserve">Prompt example:
</t>
    </r>
    <r>
      <rPr>
        <sz val="8"/>
        <color theme="1"/>
        <rFont val="Lato"/>
        <family val="2"/>
        <scheme val="minor"/>
      </rPr>
      <t>“Search [Bank's Name] official website, team/org structure pages, and LinkedIn for evidence of SME-related governance roles and responsibilities. Additionally, check press releases, donor websites (e.g., World Bank, IFC, DFIs), and program evaluation repositories for information on past or current donor-funded SME programs. Summarize governance structure and implementation track record.”</t>
    </r>
    <r>
      <rPr>
        <b/>
        <sz val="8"/>
        <color theme="1"/>
        <rFont val="Lato"/>
        <family val="2"/>
        <scheme val="minor"/>
      </rPr>
      <t xml:space="preserve">
Clarify by indicator:
</t>
    </r>
    <r>
      <rPr>
        <sz val="8"/>
        <color theme="1"/>
        <rFont val="Lato"/>
        <family val="2"/>
        <scheme val="minor"/>
      </rPr>
      <t>2.1: Look for defined roles related to SME finance in team bios, org charts, or LinkedIn profiles; identify designated oversight structures if mentioned on the website or in reports.</t>
    </r>
    <r>
      <rPr>
        <b/>
        <sz val="8"/>
        <color theme="1"/>
        <rFont val="Lato"/>
        <family val="2"/>
        <scheme val="minor"/>
      </rPr>
      <t xml:space="preserve">
</t>
    </r>
    <r>
      <rPr>
        <sz val="8"/>
        <color theme="1"/>
        <rFont val="Lato"/>
        <family val="2"/>
        <scheme val="minor"/>
      </rPr>
      <t xml:space="preserve">2.2: Identify past SME-focused engagements with DFIs, TA providers, or donors—confirmed through project documents, announcements, or online databases (e.g., MDB portfolios, donor press releases).
</t>
    </r>
    <r>
      <rPr>
        <b/>
        <sz val="8"/>
        <color theme="1"/>
        <rFont val="Lato"/>
        <family val="2"/>
        <scheme val="minor"/>
      </rPr>
      <t>Follow the general guidance from the “How to automate search” section of the Strategy assessment area.</t>
    </r>
  </si>
  <si>
    <t>Argentina</t>
  </si>
  <si>
    <t>2.2 The bank has carried out programs funded by development banks, donors, or TA providers successfully</t>
  </si>
  <si>
    <r>
      <rPr>
        <b/>
        <sz val="8"/>
        <color theme="1"/>
        <rFont val="Lato"/>
        <family val="2"/>
        <scheme val="minor"/>
      </rPr>
      <t>High:</t>
    </r>
    <r>
      <rPr>
        <sz val="8"/>
        <color theme="1"/>
        <rFont val="Lato"/>
        <family val="2"/>
        <scheme val="minor"/>
      </rPr>
      <t xml:space="preserve"> The bank has participated in 2+ structured donor/TA engagements successfully in the past 5 years
</t>
    </r>
    <r>
      <rPr>
        <b/>
        <sz val="8"/>
        <color theme="1"/>
        <rFont val="Lato"/>
        <family val="2"/>
        <scheme val="minor"/>
      </rPr>
      <t xml:space="preserve">Medium: </t>
    </r>
    <r>
      <rPr>
        <sz val="8"/>
        <color theme="1"/>
        <rFont val="Lato"/>
        <family val="2"/>
        <scheme val="minor"/>
      </rPr>
      <t xml:space="preserve">The bank has participated in at least one past engagement or limited/informal collaboration
</t>
    </r>
    <r>
      <rPr>
        <b/>
        <sz val="8"/>
        <color theme="1"/>
        <rFont val="Lato"/>
        <family val="2"/>
        <scheme val="minor"/>
      </rPr>
      <t xml:space="preserve">Low: </t>
    </r>
    <r>
      <rPr>
        <sz val="8"/>
        <color theme="1"/>
        <rFont val="Lato"/>
        <family val="2"/>
        <scheme val="minor"/>
      </rPr>
      <t>No proof of previous collaboration with TA funders or international development actors</t>
    </r>
  </si>
  <si>
    <r>
      <rPr>
        <b/>
        <sz val="8"/>
        <color theme="1"/>
        <rFont val="Lato"/>
        <family val="2"/>
        <scheme val="minor"/>
      </rPr>
      <t>Neutral,</t>
    </r>
    <r>
      <rPr>
        <sz val="8"/>
        <color theme="1"/>
        <rFont val="Lato"/>
        <family val="2"/>
        <scheme val="minor"/>
      </rPr>
      <t xml:space="preserve"> can be deprioritized by funders who are targeting banks regardless of their prior work with other development actors</t>
    </r>
  </si>
  <si>
    <t>Look for previous partnerships between the bank and TA funders, including DFIs, MDBs, NGOs, and others. This can include project documents and program evaluations. Corroborate information with internal teams</t>
  </si>
  <si>
    <t>Delete if seeking to work with banks with no prior experience with TA funders or similar actors</t>
  </si>
  <si>
    <t>Armenia</t>
  </si>
  <si>
    <t>3. Track record</t>
  </si>
  <si>
    <t>Aruba</t>
  </si>
  <si>
    <t>3.1 The bank offers a sophisticated SME value proposition, as demonstrated by its products and services</t>
  </si>
  <si>
    <r>
      <rPr>
        <b/>
        <sz val="8"/>
        <color theme="1"/>
        <rFont val="Lato"/>
        <family val="2"/>
        <scheme val="minor"/>
      </rPr>
      <t xml:space="preserve">High: </t>
    </r>
    <r>
      <rPr>
        <sz val="8"/>
        <color theme="1"/>
        <rFont val="Lato"/>
        <family val="2"/>
        <scheme val="minor"/>
      </rPr>
      <t xml:space="preserve">The bank offers tailored products for SMEs or underserved groups (e.g., working capital loans, insurance, non-financial services)
</t>
    </r>
    <r>
      <rPr>
        <b/>
        <sz val="8"/>
        <color theme="1"/>
        <rFont val="Lato"/>
        <family val="2"/>
        <scheme val="minor"/>
      </rPr>
      <t>Medium:</t>
    </r>
    <r>
      <rPr>
        <sz val="8"/>
        <color theme="1"/>
        <rFont val="Lato"/>
        <family val="2"/>
        <scheme val="minor"/>
      </rPr>
      <t xml:space="preserve"> The bank offers general products that may indirectly serve SMEs/inclusion goals
</t>
    </r>
    <r>
      <rPr>
        <b/>
        <sz val="8"/>
        <color theme="1"/>
        <rFont val="Lato"/>
        <family val="2"/>
        <scheme val="minor"/>
      </rPr>
      <t xml:space="preserve">Low: </t>
    </r>
    <r>
      <rPr>
        <sz val="8"/>
        <color theme="1"/>
        <rFont val="Lato"/>
        <family val="2"/>
        <scheme val="minor"/>
      </rPr>
      <t>Products are not suitable or accessible for target segments</t>
    </r>
  </si>
  <si>
    <r>
      <rPr>
        <b/>
        <sz val="8"/>
        <color theme="1"/>
        <rFont val="Lato"/>
        <family val="2"/>
        <scheme val="minor"/>
      </rPr>
      <t>Positive,</t>
    </r>
    <r>
      <rPr>
        <sz val="8"/>
        <color theme="1"/>
        <rFont val="Lato"/>
        <family val="2"/>
        <scheme val="minor"/>
      </rPr>
      <t xml:space="preserve"> banks with SME tailored products will have better access to this segment given alignment to their requirements</t>
    </r>
  </si>
  <si>
    <t>Search for public product and service offerings, ideally under tags such as "business" and "SMEs" and related terms. Search for a wide range of products, including non-financial services or support and multiple financial options (e.g., loans, upfront capital, insurance, value chain financing, etc.).</t>
  </si>
  <si>
    <r>
      <rPr>
        <b/>
        <sz val="8"/>
        <color theme="1"/>
        <rFont val="Lato"/>
        <family val="2"/>
        <scheme val="minor"/>
      </rPr>
      <t>Prompt example:</t>
    </r>
    <r>
      <rPr>
        <sz val="8"/>
        <color theme="1"/>
        <rFont val="Lato"/>
        <family val="2"/>
        <scheme val="minor"/>
      </rPr>
      <t xml:space="preserve">
“Explore [Bank's Name] website, product pages, and archived press releases to identify SME-dedicated products or business units. Search through news archives, leadership statements, or impact reports to trace the bank’s historical activity in SME banking. Check investor reports or quarterly financial statements for portfolio breakdowns showing SME lending.”
</t>
    </r>
    <r>
      <rPr>
        <b/>
        <sz val="8"/>
        <color theme="1"/>
        <rFont val="Lato"/>
        <family val="2"/>
        <scheme val="minor"/>
      </rPr>
      <t>Clarify by indicator:</t>
    </r>
    <r>
      <rPr>
        <sz val="8"/>
        <color theme="1"/>
        <rFont val="Lato"/>
        <family val="2"/>
        <scheme val="minor"/>
      </rPr>
      <t xml:space="preserve">
3.1: Identify SME-specific product offerings (e.g., working capital, invoice finance, advisory services) through business banking product pages or brochures.
3.2: Look for press releases, annual reports, or “Our History” sections that reference SME banking investments, programs, or product launches over time.
3.3: Extract SME portfolio data from investor decks, financial statements, or credit presentations that mention SME lending as a percentage of the total portfolio.
</t>
    </r>
    <r>
      <rPr>
        <b/>
        <sz val="8"/>
        <color theme="1"/>
        <rFont val="Lato"/>
        <family val="2"/>
        <scheme val="minor"/>
      </rPr>
      <t>Follow the general guidance from the “How to automate search” section of the Strategy assessment area.</t>
    </r>
  </si>
  <si>
    <t>Ascension</t>
  </si>
  <si>
    <t>3.2 The bank has multi-year experience and a growing presence in the SME banking market</t>
  </si>
  <si>
    <r>
      <rPr>
        <b/>
        <sz val="8"/>
        <color theme="1"/>
        <rFont val="Lato"/>
        <family val="2"/>
        <scheme val="minor"/>
      </rPr>
      <t xml:space="preserve">High: </t>
    </r>
    <r>
      <rPr>
        <sz val="8"/>
        <color theme="1"/>
        <rFont val="Lato"/>
        <family val="2"/>
        <scheme val="minor"/>
      </rPr>
      <t xml:space="preserve">The bank has demonstrated sustained growth or investment in SME banking over 15  years, including portfolio expansion, product launches, or internal capability-building
</t>
    </r>
    <r>
      <rPr>
        <b/>
        <sz val="8"/>
        <color theme="1"/>
        <rFont val="Lato"/>
        <family val="2"/>
        <scheme val="minor"/>
      </rPr>
      <t xml:space="preserve">Medium: </t>
    </r>
    <r>
      <rPr>
        <sz val="8"/>
        <color theme="1"/>
        <rFont val="Lato"/>
        <family val="2"/>
        <scheme val="minor"/>
      </rPr>
      <t xml:space="preserve">The bank has made progress in SME banking in the last 5-15 years 
</t>
    </r>
    <r>
      <rPr>
        <b/>
        <sz val="8"/>
        <color theme="1"/>
        <rFont val="Lato"/>
        <family val="2"/>
        <scheme val="minor"/>
      </rPr>
      <t xml:space="preserve">Low: </t>
    </r>
    <r>
      <rPr>
        <sz val="8"/>
        <color theme="1"/>
        <rFont val="Lato"/>
        <family val="2"/>
        <scheme val="minor"/>
      </rPr>
      <t>The bank has a limited trajectory in SME banking (&lt;5 years)</t>
    </r>
  </si>
  <si>
    <r>
      <rPr>
        <b/>
        <sz val="8"/>
        <color theme="1"/>
        <rFont val="Lato"/>
        <family val="2"/>
        <scheme val="minor"/>
      </rPr>
      <t>Neutral,</t>
    </r>
    <r>
      <rPr>
        <sz val="8"/>
        <color theme="1"/>
        <rFont val="Lato"/>
        <family val="2"/>
        <scheme val="minor"/>
      </rPr>
      <t xml:space="preserve"> can be eliminated if you are targetting banks with more nascent presence in SME banking / new entrants</t>
    </r>
  </si>
  <si>
    <t>Look for the bank's SME trajectory in key sections of their website, such as "our history" or by identifying related news, program launches, or historic product offerings</t>
  </si>
  <si>
    <t>Adjust trajectory timelines to align with your organization's preferences and target partner profile</t>
  </si>
  <si>
    <t>Australia</t>
  </si>
  <si>
    <t>3.3 The bank's SME portfolio represent a significant portion of its total banking portfolio</t>
  </si>
  <si>
    <r>
      <rPr>
        <b/>
        <sz val="8"/>
        <color theme="1"/>
        <rFont val="Lato"/>
        <family val="2"/>
        <scheme val="minor"/>
      </rPr>
      <t xml:space="preserve">High: </t>
    </r>
    <r>
      <rPr>
        <sz val="8"/>
        <color theme="1"/>
        <rFont val="Lato"/>
        <family val="2"/>
        <scheme val="minor"/>
      </rPr>
      <t xml:space="preserve">SME clients or loans represent ≥20% of the total portfolio in terms of value, and the bank tracks SME as a standalone segment.
</t>
    </r>
    <r>
      <rPr>
        <b/>
        <sz val="8"/>
        <color theme="1"/>
        <rFont val="Lato"/>
        <family val="2"/>
        <scheme val="minor"/>
      </rPr>
      <t>Medium:</t>
    </r>
    <r>
      <rPr>
        <sz val="8"/>
        <color theme="1"/>
        <rFont val="Lato"/>
        <family val="2"/>
        <scheme val="minor"/>
      </rPr>
      <t xml:space="preserve"> SME business represents 10–19% of the total portfolio value, or is growing but not yet significant.
</t>
    </r>
    <r>
      <rPr>
        <b/>
        <sz val="8"/>
        <color theme="1"/>
        <rFont val="Lato"/>
        <family val="2"/>
        <scheme val="minor"/>
      </rPr>
      <t xml:space="preserve">Low: </t>
    </r>
    <r>
      <rPr>
        <sz val="8"/>
        <color theme="1"/>
        <rFont val="Lato"/>
        <family val="2"/>
        <scheme val="minor"/>
      </rPr>
      <t>SME represents &lt;10% of the bank’s portfolio and is not tracked distinctly.</t>
    </r>
  </si>
  <si>
    <t xml:space="preserve">Search for reports (e.g., annual or quarterly results, financial statements, investor relations) discussing loan portfolio diversification, ideally by product. Try looking for "SME portfolio size", "business portfolio participation", "SME lending", and similar terms. </t>
  </si>
  <si>
    <t>Tailor to reflect regional or country-specific benchmarks for best-in-class SME portfolio composition. This might vary significantly depending on the development stage of the local market for financial services</t>
  </si>
  <si>
    <t>Austria</t>
  </si>
  <si>
    <t>4. Market opportunity and accessibility</t>
  </si>
  <si>
    <t>Azerbaijan</t>
  </si>
  <si>
    <t>4.1 The bank operates in a relatively attractive SME market, as identified in the Market Assessment Tool</t>
  </si>
  <si>
    <r>
      <rPr>
        <b/>
        <sz val="8"/>
        <color theme="1"/>
        <rFont val="Lato"/>
        <family val="2"/>
        <scheme val="minor"/>
      </rPr>
      <t xml:space="preserve">High: </t>
    </r>
    <r>
      <rPr>
        <sz val="8"/>
        <color theme="1"/>
        <rFont val="Lato"/>
        <family val="2"/>
        <scheme val="minor"/>
      </rPr>
      <t xml:space="preserve">The bank operates in a country that scores "Very High Readiness" or "Strong Foundation" on SME attractiveness in the Market Assessment Tool 
</t>
    </r>
    <r>
      <rPr>
        <b/>
        <sz val="8"/>
        <color theme="1"/>
        <rFont val="Lato"/>
        <family val="2"/>
        <scheme val="minor"/>
      </rPr>
      <t xml:space="preserve">Medium: </t>
    </r>
    <r>
      <rPr>
        <sz val="8"/>
        <color theme="1"/>
        <rFont val="Lato"/>
        <family val="2"/>
        <scheme val="minor"/>
      </rPr>
      <t xml:space="preserve">The bank operates in a country that scores "Emerging Potential" in the Market Assessment Tool 
</t>
    </r>
    <r>
      <rPr>
        <b/>
        <sz val="8"/>
        <color theme="1"/>
        <rFont val="Lato"/>
        <family val="2"/>
        <scheme val="minor"/>
      </rPr>
      <t>Low:</t>
    </r>
    <r>
      <rPr>
        <sz val="8"/>
        <color theme="1"/>
        <rFont val="Lato"/>
        <family val="2"/>
        <scheme val="minor"/>
      </rPr>
      <t xml:space="preserve"> The country is scored as a "Lagging Market", with major constraints to SME banking </t>
    </r>
  </si>
  <si>
    <r>
      <rPr>
        <b/>
        <sz val="8"/>
        <color theme="1"/>
        <rFont val="Lato"/>
        <family val="2"/>
        <scheme val="minor"/>
      </rPr>
      <t xml:space="preserve">Positive, </t>
    </r>
    <r>
      <rPr>
        <sz val="8"/>
        <color theme="1"/>
        <rFont val="Lato"/>
        <family val="2"/>
        <scheme val="minor"/>
      </rPr>
      <t>banks operating in a market with strong foundations in terms of macroeconomic enablers (i.e., financial sector, enabling environment, entrepreneurship) are expected to face lower barriers</t>
    </r>
  </si>
  <si>
    <t>Use the Market Assessment Tool results</t>
  </si>
  <si>
    <t>It is recommended to conduct manual analysis using the provided tools and databases.</t>
  </si>
  <si>
    <t>Adjust or delete if priority geographies have already been defined</t>
  </si>
  <si>
    <t>Bahamas</t>
  </si>
  <si>
    <t>4.2 The bank is positioned in a market with strong SME projected revenue and growth potential, as identified in the Market Sizing Tool</t>
  </si>
  <si>
    <r>
      <rPr>
        <b/>
        <sz val="8"/>
        <color theme="1"/>
        <rFont val="Lato"/>
        <family val="2"/>
        <scheme val="minor"/>
      </rPr>
      <t xml:space="preserve">High: </t>
    </r>
    <r>
      <rPr>
        <sz val="8"/>
        <color theme="1"/>
        <rFont val="Lato"/>
        <family val="2"/>
        <scheme val="minor"/>
      </rPr>
      <t xml:space="preserve">The bank operates in a market with positive projected revenue potential and a high growth rate (greater than 100%)
</t>
    </r>
    <r>
      <rPr>
        <b/>
        <sz val="8"/>
        <color theme="1"/>
        <rFont val="Lato"/>
        <family val="2"/>
        <scheme val="minor"/>
      </rPr>
      <t xml:space="preserve">Medium: </t>
    </r>
    <r>
      <rPr>
        <sz val="8"/>
        <color theme="1"/>
        <rFont val="Lato"/>
        <family val="2"/>
        <scheme val="minor"/>
      </rPr>
      <t xml:space="preserve">The bank operates in a market with positive projected revenue potential but a moderate growth rate (less than 100%)
</t>
    </r>
    <r>
      <rPr>
        <b/>
        <sz val="8"/>
        <color theme="1"/>
        <rFont val="Lato"/>
        <family val="2"/>
        <scheme val="minor"/>
      </rPr>
      <t xml:space="preserve">Low: </t>
    </r>
    <r>
      <rPr>
        <sz val="8"/>
        <color theme="1"/>
        <rFont val="Lato"/>
        <family val="2"/>
        <scheme val="minor"/>
      </rPr>
      <t>The bank operates in a market with negative projected revenue potential or declining growth rates</t>
    </r>
  </si>
  <si>
    <r>
      <rPr>
        <b/>
        <sz val="8"/>
        <color theme="1"/>
        <rFont val="Lato"/>
        <family val="2"/>
        <scheme val="minor"/>
      </rPr>
      <t xml:space="preserve">Positive, </t>
    </r>
    <r>
      <rPr>
        <sz val="8"/>
        <color theme="1"/>
        <rFont val="Lato"/>
        <family val="2"/>
        <scheme val="minor"/>
      </rPr>
      <t>banks operating in a market with strong demand / presence of SMEs have greater potential reach</t>
    </r>
  </si>
  <si>
    <t>Use the Market Sizing Tool results</t>
  </si>
  <si>
    <t>Bahrain</t>
  </si>
  <si>
    <t>4.3 The bank serves the SME segments aligned to funders strategic focus</t>
  </si>
  <si>
    <r>
      <rPr>
        <b/>
        <sz val="8"/>
        <color theme="1"/>
        <rFont val="Lato"/>
        <family val="2"/>
        <scheme val="minor"/>
      </rPr>
      <t xml:space="preserve">Yes: </t>
    </r>
    <r>
      <rPr>
        <sz val="8"/>
        <color theme="1"/>
        <rFont val="Lato"/>
        <family val="2"/>
        <scheme val="minor"/>
      </rPr>
      <t xml:space="preserve">The bank serves the funders target segments (i.e., WSMEs, Agri-SMEs, Small vs Medium, etc)
</t>
    </r>
    <r>
      <rPr>
        <b/>
        <sz val="8"/>
        <color theme="1"/>
        <rFont val="Lato"/>
        <family val="2"/>
        <scheme val="minor"/>
      </rPr>
      <t xml:space="preserve">No: </t>
    </r>
    <r>
      <rPr>
        <sz val="8"/>
        <color theme="1"/>
        <rFont val="Lato"/>
        <family val="2"/>
        <scheme val="minor"/>
      </rPr>
      <t>The bank does not serve the funders target segments (i.e., WSMEs, Agri-SMEs, Small vs Medium, etc)</t>
    </r>
  </si>
  <si>
    <r>
      <rPr>
        <b/>
        <sz val="8"/>
        <color theme="1"/>
        <rFont val="Lato"/>
        <family val="2"/>
        <scheme val="minor"/>
      </rPr>
      <t xml:space="preserve">Positive, </t>
    </r>
    <r>
      <rPr>
        <sz val="8"/>
        <color theme="1"/>
        <rFont val="Lato"/>
        <family val="2"/>
        <scheme val="minor"/>
      </rPr>
      <t>banks focusing on the funders target segments have more experience in serving these customers than those that will require more TA support to establish a tailored value proposition and engagement model from scratch</t>
    </r>
  </si>
  <si>
    <t>Review the bank’s website and annual reports to better understand what types of SMEs are being served or actively targeted. This may require conversations with bank executives if secondary data is limited or unavailable.</t>
  </si>
  <si>
    <t>Adjust or delete if priority geographies have already been defined. Edit thresholds according to organizational priorities</t>
  </si>
  <si>
    <t>Bangladesh</t>
  </si>
  <si>
    <t>5. Risk and reputation</t>
  </si>
  <si>
    <t>Barbados</t>
  </si>
  <si>
    <t>5.1 The bank has no significant red flags related to reputation, compliance, or legal matters</t>
  </si>
  <si>
    <r>
      <rPr>
        <b/>
        <sz val="8"/>
        <color theme="1"/>
        <rFont val="Lato"/>
        <family val="2"/>
        <scheme val="minor"/>
      </rPr>
      <t xml:space="preserve">Yes: </t>
    </r>
    <r>
      <rPr>
        <sz val="8"/>
        <color theme="1"/>
        <rFont val="Lato"/>
        <family val="2"/>
        <scheme val="minor"/>
      </rPr>
      <t>There are no significant public reports of fraud, lawsuits, regulatory actions, fines, or major controversies involving the bank.</t>
    </r>
    <r>
      <rPr>
        <b/>
        <sz val="8"/>
        <color theme="1"/>
        <rFont val="Lato"/>
        <family val="2"/>
        <scheme val="minor"/>
      </rPr>
      <t xml:space="preserve">
No: </t>
    </r>
    <r>
      <rPr>
        <sz val="8"/>
        <color theme="1"/>
        <rFont val="Lato"/>
        <family val="2"/>
        <scheme val="minor"/>
      </rPr>
      <t>The bank has documented incidents (e.g., internal fraud, regulatory fines, money laundering cases, senior-level misconduct, or repeated client disputes) that raise compliance, legal, or reputational concerns.</t>
    </r>
  </si>
  <si>
    <r>
      <rPr>
        <b/>
        <sz val="8"/>
        <color theme="1"/>
        <rFont val="Lato"/>
        <family val="2"/>
        <scheme val="minor"/>
      </rPr>
      <t xml:space="preserve">Positive, </t>
    </r>
    <r>
      <rPr>
        <sz val="8"/>
        <color theme="1"/>
        <rFont val="Lato"/>
        <family val="2"/>
        <scheme val="minor"/>
      </rPr>
      <t>banks lacking red flags are preferred over those with prior incidents</t>
    </r>
  </si>
  <si>
    <t>Search for media coverage by pairing the bank's name with keywords such as “fraud,” “lawsuit,” “regulatory penalty,” or “investigation. Additionally, consult the central bank's website or the relevant financial supervisory authority to check for any public enforcement actions, sanctions, or compliance warnings linked to the bank. Complement with proper due diligence studies or paid tools (e.g., LexisNexis Dilligence)</t>
  </si>
  <si>
    <r>
      <rPr>
        <b/>
        <sz val="8"/>
        <color theme="1"/>
        <rFont val="Lato"/>
        <family val="2"/>
        <scheme val="minor"/>
      </rPr>
      <t>Prompt example:</t>
    </r>
    <r>
      <rPr>
        <sz val="8"/>
        <color theme="1"/>
        <rFont val="Lato"/>
        <family val="2"/>
        <scheme val="minor"/>
      </rPr>
      <t xml:space="preserve">
“Search for public references to regulatory actions, lawsuits, or fraud cases involving the bank using sources such as Google News, LexisNexis, or government regulatory databases. Check the bank’s official website for codes of conduct, ethics statements, and transparency policies.”
</t>
    </r>
    <r>
      <rPr>
        <b/>
        <sz val="8"/>
        <color theme="1"/>
        <rFont val="Lato"/>
        <family val="2"/>
        <scheme val="minor"/>
      </rPr>
      <t>Clarify by indicator:</t>
    </r>
    <r>
      <rPr>
        <sz val="8"/>
        <color theme="1"/>
        <rFont val="Lato"/>
        <family val="2"/>
        <scheme val="minor"/>
      </rPr>
      <t xml:space="preserve">
5.1: Look for any media or public disclosures of legal, reputational, or regulatory issues — using keywords like “fraud,” “regulatory fine,” or “investigation” + [Bank Name].
5.2: Identify whether the bank has a published code of ethics, governance policy, or transparency statement accessible via the website’s “About” or “Governance” sections.
</t>
    </r>
    <r>
      <rPr>
        <b/>
        <sz val="8"/>
        <color theme="1"/>
        <rFont val="Lato"/>
        <family val="2"/>
        <scheme val="minor"/>
      </rPr>
      <t>Follow the general guidance from the “How to automate search” section of the Strategy assessment area.</t>
    </r>
  </si>
  <si>
    <t>Belarus</t>
  </si>
  <si>
    <t xml:space="preserve">5.2 The bank has clear policies for ethics, transparency, and conflict of interest	</t>
  </si>
  <si>
    <r>
      <rPr>
        <b/>
        <sz val="8"/>
        <color theme="1"/>
        <rFont val="Lato"/>
        <family val="2"/>
        <scheme val="minor"/>
      </rPr>
      <t xml:space="preserve">Yes: </t>
    </r>
    <r>
      <rPr>
        <sz val="8"/>
        <color theme="1"/>
        <rFont val="Lato"/>
        <family val="2"/>
        <scheme val="minor"/>
      </rPr>
      <t xml:space="preserve"> A formal code of ethics or conduct is in place, outlining ethical standards and detailing auditing and compliance mechanisms
</t>
    </r>
    <r>
      <rPr>
        <b/>
        <sz val="8"/>
        <color theme="1"/>
        <rFont val="Lato"/>
        <family val="2"/>
        <scheme val="minor"/>
      </rPr>
      <t>No:</t>
    </r>
    <r>
      <rPr>
        <sz val="8"/>
        <color theme="1"/>
        <rFont val="Lato"/>
        <family val="2"/>
        <scheme val="minor"/>
      </rPr>
      <t xml:space="preserve"> No code of ethics or conduct is in place, and there are no relevant references or disclosures</t>
    </r>
  </si>
  <si>
    <r>
      <rPr>
        <b/>
        <sz val="8"/>
        <color theme="1"/>
        <rFont val="Lato"/>
        <family val="2"/>
        <scheme val="minor"/>
      </rPr>
      <t xml:space="preserve">Positive, </t>
    </r>
    <r>
      <rPr>
        <sz val="8"/>
        <color theme="1"/>
        <rFont val="Lato"/>
        <family val="2"/>
        <scheme val="minor"/>
      </rPr>
      <t>banks with strong ethics / compliance codes are preferred</t>
    </r>
  </si>
  <si>
    <t>Search for the bank's code of ethics or the transparency policies in its webpage</t>
  </si>
  <si>
    <t>Belgium</t>
  </si>
  <si>
    <t>Belize</t>
  </si>
  <si>
    <t>Benin</t>
  </si>
  <si>
    <t>1. Scoring guidance</t>
  </si>
  <si>
    <t>Bermuda</t>
  </si>
  <si>
    <t>Bhutan</t>
  </si>
  <si>
    <t>Label</t>
  </si>
  <si>
    <t>Numeric Score</t>
  </si>
  <si>
    <t>Bolivia</t>
  </si>
  <si>
    <t>High</t>
  </si>
  <si>
    <t>Bonaire, Sint Eustatius, and Saba</t>
  </si>
  <si>
    <t>Medium</t>
  </si>
  <si>
    <t>Bosnia-Herzegovina</t>
  </si>
  <si>
    <t>Low</t>
  </si>
  <si>
    <t>Botswana</t>
  </si>
  <si>
    <t>Yes</t>
  </si>
  <si>
    <t>Brazil</t>
  </si>
  <si>
    <t>No</t>
  </si>
  <si>
    <t>British Virgin Islands</t>
  </si>
  <si>
    <t>Number of questions</t>
  </si>
  <si>
    <t>Brunei Darussalam</t>
  </si>
  <si>
    <t>Category</t>
  </si>
  <si>
    <t>Bulgaria</t>
  </si>
  <si>
    <t>Burkina Faso</t>
  </si>
  <si>
    <t>Burma</t>
  </si>
  <si>
    <t>Burundi</t>
  </si>
  <si>
    <t>Cambodia</t>
  </si>
  <si>
    <t>Cameroon</t>
  </si>
  <si>
    <t>Total</t>
  </si>
  <si>
    <t>Canada</t>
  </si>
  <si>
    <t>Weight per category</t>
  </si>
  <si>
    <t>Cape Verde</t>
  </si>
  <si>
    <t>Weights</t>
  </si>
  <si>
    <t>Cayman Islands</t>
  </si>
  <si>
    <t>Central African Republic</t>
  </si>
  <si>
    <t>Chad</t>
  </si>
  <si>
    <t>Chile</t>
  </si>
  <si>
    <t>China</t>
  </si>
  <si>
    <t>Colombia</t>
  </si>
  <si>
    <t>Comoros</t>
  </si>
  <si>
    <t>Congo, Democratic Republic of the</t>
  </si>
  <si>
    <t>SME banking maturity</t>
  </si>
  <si>
    <t>% of total (max)</t>
  </si>
  <si>
    <t>Min</t>
  </si>
  <si>
    <t>Max</t>
  </si>
  <si>
    <t>Congo, Republic of the</t>
  </si>
  <si>
    <t>High priority</t>
  </si>
  <si>
    <t>Costa Rica</t>
  </si>
  <si>
    <t>Mid priority</t>
  </si>
  <si>
    <t>Cote d'Ivoire</t>
  </si>
  <si>
    <t>Low priority</t>
  </si>
  <si>
    <t>&gt;60%</t>
  </si>
  <si>
    <t>Croatia</t>
  </si>
  <si>
    <t>Cuba</t>
  </si>
  <si>
    <t>2. Interpretation of scoring across categories</t>
  </si>
  <si>
    <t>Curacao</t>
  </si>
  <si>
    <t>Cyprus</t>
  </si>
  <si>
    <t>Rationale for low</t>
  </si>
  <si>
    <t>Rationale for medium</t>
  </si>
  <si>
    <t>Czech Republic</t>
  </si>
  <si>
    <t>Denmark</t>
  </si>
  <si>
    <t>Djibouti</t>
  </si>
  <si>
    <t>Dominica</t>
  </si>
  <si>
    <t>Dominican Republic</t>
  </si>
  <si>
    <t>SME banking responsibilites are carried out by other business units (i.e., commercial banking) and there are no concrete plans to create a separate SME lending unit in the mid-term</t>
  </si>
  <si>
    <t>N/A</t>
  </si>
  <si>
    <t>Ecuador</t>
  </si>
  <si>
    <t>Egypt</t>
  </si>
  <si>
    <t>El Salvador</t>
  </si>
  <si>
    <t>Equatorial Guinea</t>
  </si>
  <si>
    <t>Eritrea</t>
  </si>
  <si>
    <t>Estonia</t>
  </si>
  <si>
    <t>Eswatini</t>
  </si>
  <si>
    <t>Ethiopia</t>
  </si>
  <si>
    <t>Falkland Islands</t>
  </si>
  <si>
    <t>Faroe Islands</t>
  </si>
  <si>
    <t>Fiji</t>
  </si>
  <si>
    <t>Finland</t>
  </si>
  <si>
    <t>France</t>
  </si>
  <si>
    <t>French Guiana</t>
  </si>
  <si>
    <t>French Polynesia</t>
  </si>
  <si>
    <t>Gabon</t>
  </si>
  <si>
    <t>Gambia</t>
  </si>
  <si>
    <t>Georgia, Republic of</t>
  </si>
  <si>
    <t>Germany</t>
  </si>
  <si>
    <t>Ghana</t>
  </si>
  <si>
    <t>Gibraltar</t>
  </si>
  <si>
    <t>Greece</t>
  </si>
  <si>
    <t>Greenland</t>
  </si>
  <si>
    <t>Grenada</t>
  </si>
  <si>
    <t>Guadeloupe</t>
  </si>
  <si>
    <t>Guatemala</t>
  </si>
  <si>
    <t>Guinea</t>
  </si>
  <si>
    <t>Guinea-Bissau</t>
  </si>
  <si>
    <t>Guyana</t>
  </si>
  <si>
    <t>Haiti</t>
  </si>
  <si>
    <t>Honduras</t>
  </si>
  <si>
    <t>Hong Kong</t>
  </si>
  <si>
    <t>Hungary</t>
  </si>
  <si>
    <t>Iceland</t>
  </si>
  <si>
    <t>India</t>
  </si>
  <si>
    <t>Indonesia</t>
  </si>
  <si>
    <t>Iran</t>
  </si>
  <si>
    <t>Iraq</t>
  </si>
  <si>
    <t>Ireland</t>
  </si>
  <si>
    <t>Israel</t>
  </si>
  <si>
    <t>Italy</t>
  </si>
  <si>
    <t>Jamaica</t>
  </si>
  <si>
    <t>Japan</t>
  </si>
  <si>
    <t>Jordan</t>
  </si>
  <si>
    <t>Kazakhstan</t>
  </si>
  <si>
    <t>Kenya</t>
  </si>
  <si>
    <t>Kiribati</t>
  </si>
  <si>
    <t>Korea, Democratic Peoples Republic of (North Korea)</t>
  </si>
  <si>
    <t>Korea, Republic of (South Korea)</t>
  </si>
  <si>
    <t>Kosovo, Republic of</t>
  </si>
  <si>
    <t>Kuwait</t>
  </si>
  <si>
    <t>Kyrgyzstan</t>
  </si>
  <si>
    <t>Laos</t>
  </si>
  <si>
    <t>Latvia</t>
  </si>
  <si>
    <t>Lebanon</t>
  </si>
  <si>
    <t>Lesotho</t>
  </si>
  <si>
    <t>Liberia</t>
  </si>
  <si>
    <t>Libya</t>
  </si>
  <si>
    <t>Liechtenstein</t>
  </si>
  <si>
    <t>Lithuania</t>
  </si>
  <si>
    <t>Luxembourg</t>
  </si>
  <si>
    <t>Macao</t>
  </si>
  <si>
    <t>Madagascar</t>
  </si>
  <si>
    <t>Malawi</t>
  </si>
  <si>
    <t>Malaysia</t>
  </si>
  <si>
    <t>Maldives</t>
  </si>
  <si>
    <t>Mali</t>
  </si>
  <si>
    <t>Malta</t>
  </si>
  <si>
    <t>Martinique</t>
  </si>
  <si>
    <t>Mauritania</t>
  </si>
  <si>
    <t>Mauritius</t>
  </si>
  <si>
    <t>Mexico</t>
  </si>
  <si>
    <t>Moldova</t>
  </si>
  <si>
    <t>Mongolia</t>
  </si>
  <si>
    <t>Montenegro</t>
  </si>
  <si>
    <t>Montserrat</t>
  </si>
  <si>
    <t>Morocco</t>
  </si>
  <si>
    <t>Mozambique</t>
  </si>
  <si>
    <t>Namibia</t>
  </si>
  <si>
    <t>Nauru</t>
  </si>
  <si>
    <t>Nepal</t>
  </si>
  <si>
    <t>Netherlands</t>
  </si>
  <si>
    <t>New Caledonia</t>
  </si>
  <si>
    <t>New Zealand</t>
  </si>
  <si>
    <t>Nicaragua</t>
  </si>
  <si>
    <t>Niger</t>
  </si>
  <si>
    <t>Nigeria</t>
  </si>
  <si>
    <t>North Macedonia, Republic of</t>
  </si>
  <si>
    <t>Norway</t>
  </si>
  <si>
    <t>Oman</t>
  </si>
  <si>
    <t>Pakistan</t>
  </si>
  <si>
    <t>Panama</t>
  </si>
  <si>
    <t>Papua New Guinea</t>
  </si>
  <si>
    <t>Paraguay</t>
  </si>
  <si>
    <t>Peru</t>
  </si>
  <si>
    <t>Philippines</t>
  </si>
  <si>
    <t>Pitcairn Island</t>
  </si>
  <si>
    <t>Poland</t>
  </si>
  <si>
    <t>Portugal</t>
  </si>
  <si>
    <t>Qatar</t>
  </si>
  <si>
    <t>Reunion</t>
  </si>
  <si>
    <t>Romania</t>
  </si>
  <si>
    <t>Russia</t>
  </si>
  <si>
    <t>Rwanda</t>
  </si>
  <si>
    <t>Saint Helena</t>
  </si>
  <si>
    <t>Saint Kitts and Nevis</t>
  </si>
  <si>
    <t>Saint Lucia</t>
  </si>
  <si>
    <t>Saint Pierre and Miquelon</t>
  </si>
  <si>
    <t>Saint Vincent and the Grenadines</t>
  </si>
  <si>
    <t>Samoa</t>
  </si>
  <si>
    <t>San Marino</t>
  </si>
  <si>
    <t>Sao Tome and Principe</t>
  </si>
  <si>
    <t>Saudi Arabia</t>
  </si>
  <si>
    <t>Senegal</t>
  </si>
  <si>
    <t>Serbia, Republic of</t>
  </si>
  <si>
    <t>Seychelles</t>
  </si>
  <si>
    <t>Sierra Leone</t>
  </si>
  <si>
    <t>Singapore</t>
  </si>
  <si>
    <t>Sint Maarten</t>
  </si>
  <si>
    <t>Slovak Republic (Slovakia)</t>
  </si>
  <si>
    <t>Slovenia</t>
  </si>
  <si>
    <t>Solomon Islands</t>
  </si>
  <si>
    <t>Somalia</t>
  </si>
  <si>
    <t>South Africa</t>
  </si>
  <si>
    <t>South Sudan, Republic of</t>
  </si>
  <si>
    <t>Spain</t>
  </si>
  <si>
    <t>Sri Lanka</t>
  </si>
  <si>
    <t>Sudan</t>
  </si>
  <si>
    <t>Suriname</t>
  </si>
  <si>
    <t>Sweden</t>
  </si>
  <si>
    <t>Switzerland</t>
  </si>
  <si>
    <t>Syrian Arab Republic (Syria)</t>
  </si>
  <si>
    <t>Taiwan</t>
  </si>
  <si>
    <t>Tajikistan</t>
  </si>
  <si>
    <t>Tanzania</t>
  </si>
  <si>
    <t>Thailand</t>
  </si>
  <si>
    <t>Timor-Leste, Democratic Republic of</t>
  </si>
  <si>
    <t>Togo</t>
  </si>
  <si>
    <t>Tonga</t>
  </si>
  <si>
    <t>Trinidad and Tobago</t>
  </si>
  <si>
    <t>Tristan da Cunha</t>
  </si>
  <si>
    <t>Tunisia</t>
  </si>
  <si>
    <t>Turkiye Republic of</t>
  </si>
  <si>
    <t>Turkmenistan</t>
  </si>
  <si>
    <t>Turks and Caicos Islands</t>
  </si>
  <si>
    <t>Tuvalu</t>
  </si>
  <si>
    <t>Uganda</t>
  </si>
  <si>
    <t>Ukraine</t>
  </si>
  <si>
    <t>United Arab Emirates</t>
  </si>
  <si>
    <t>United Kingdom of Great Britain and Northern Ireland</t>
  </si>
  <si>
    <t>Uruguay</t>
  </si>
  <si>
    <t>Uzbekistan</t>
  </si>
  <si>
    <t>Vanuatu</t>
  </si>
  <si>
    <t>Vatican City</t>
  </si>
  <si>
    <t>Venezuela</t>
  </si>
  <si>
    <t>Vietnam</t>
  </si>
  <si>
    <t>Wallis and Futuna Islands</t>
  </si>
  <si>
    <t>Yemen</t>
  </si>
  <si>
    <t>Zambia</t>
  </si>
  <si>
    <t>Zimbabwe</t>
  </si>
  <si>
    <t>Partner Screening Scoring Sheet</t>
  </si>
  <si>
    <r>
      <t xml:space="preserve">Use this tab to list all partner banks being assessed and score them for each sub-criterion across the five assessment areas. To complete the screening, please provide:
•  Basic information about the bank, including its name, type, country of operation, and headquarters location. For "Bank type," tiers are typically defined by the size of the bank's assets: Tier 1 banks usually hold assets of around $100 billion or more, Tier 2 banks hold between $1 billion and $100 billion, and Tier 3 banks have assets of $1 billion or less. </t>
    </r>
    <r>
      <rPr>
        <b/>
        <sz val="12"/>
        <color theme="1"/>
        <rFont val="Lato"/>
        <family val="2"/>
        <scheme val="minor"/>
      </rPr>
      <t xml:space="preserve">These ranges may vary by country and should be adjusted to local market conditions where appropriate.
</t>
    </r>
    <r>
      <rPr>
        <sz val="12"/>
        <color theme="1"/>
        <rFont val="Lato"/>
        <family val="2"/>
        <scheme val="minor"/>
      </rPr>
      <t xml:space="preserve">•  A score for each indicator, using a High/Medium/Low or Yes/No dropdown.
•  A rationale to justify or explain the score for each indicator. Including links or references to supporting documents is recommended.
The first five rows are illustrative examples of how to fill out the Partner Screening Framework. </t>
    </r>
  </si>
  <si>
    <t>Basic bank information</t>
  </si>
  <si>
    <t>Overall score</t>
  </si>
  <si>
    <t>Bank Name</t>
  </si>
  <si>
    <t>Bank type</t>
  </si>
  <si>
    <t>Country of operation</t>
  </si>
  <si>
    <t>Location of headquarters</t>
  </si>
  <si>
    <t>Score</t>
  </si>
  <si>
    <t>Rationale</t>
  </si>
  <si>
    <t>Total score</t>
  </si>
  <si>
    <t xml:space="preserve">Ranking </t>
  </si>
  <si>
    <t>Order of prioritization</t>
  </si>
  <si>
    <t>CRDB Bank</t>
  </si>
  <si>
    <t>Tier 1</t>
  </si>
  <si>
    <t>SME banking is defined as a priority focus area both on CRDB's website and its integrated annual report. It was recognized as the Best SME Bank in Tanzania in 2024</t>
  </si>
  <si>
    <t>CRDB has explicit SME goals tracked on an annual basis. For instance, CRDB tracks and sets targets for the % of loans allocated to SMEs and total financing directed to this segment (e.g., 1.5 trillion in loans in 2024)</t>
  </si>
  <si>
    <t>CRDB's CEO has publicly emphasized the strategic importance of SME finance within the bank's strategy in their letter to shareholders. Also, the Director of Retail Banking and the Director of Treasury and Capital Markets mention the importance of SME segments within their units</t>
  </si>
  <si>
    <t>CRDB serves MSMEs but based on the 2024 annual report seems to do so through its retail banking, and treasury &amp; capital markets divisions (p.11 of the report). Would require further clarification with senior leadership to understand if there are plans to establish an SME banking unit.</t>
  </si>
  <si>
    <t>CRDB has a comprehensive sustainability strategy for ESG and has defined governance structures to oversee its ESG initiatives (page 24, Integrated Annual Report)</t>
  </si>
  <si>
    <t>CRDB expresses commitment towards multiple development indicators, such as women empowerment, health, and environmental protection. It tracks efforts and progress in its Annual Report</t>
  </si>
  <si>
    <t>CRDB has dedicated SME units and staff. It has an entire Business Banking division focused on SMEs</t>
  </si>
  <si>
    <t>CRDB has successfully completed engagements with multiple TA funders in the past five years, including loans with IFC, guarantees with AFD, and other relevant actors</t>
  </si>
  <si>
    <t>CRDB offers a comprehensive suite of SME-specific products, including tailored financing options and non-financial services, such as education, networking, and market linkages</t>
  </si>
  <si>
    <t>Even though the date is not completely evident, it's clear that CRDB has been supporting SMEs since before 2008</t>
  </si>
  <si>
    <t>SMEs represented 12% of CRDB's total loans in 2023</t>
  </si>
  <si>
    <t>The Market Assessment ranks Tanzania as having a "Strong Foundation", making it a "medium" level in terms of attractiveness</t>
  </si>
  <si>
    <t>Scored as a market with a strong SME demand, as indicated in the market sizing tool</t>
  </si>
  <si>
    <t>Placeholder "yes" to be determined based on funders strategic focus</t>
  </si>
  <si>
    <t>CRDB has no major lawsuits, scandals, or regulatory issues</t>
  </si>
  <si>
    <t>Clear ethics and transparency policies. As a UN Global Compact member, CRDB has a formal Code of Conduct and anti-corruption policies to ensure integrity</t>
  </si>
  <si>
    <t>Stanbic Tanzania</t>
  </si>
  <si>
    <t>MSME banking is defined as a priority focus area both on Stanbic's website and is reported on its Annual Report. It was recognized as the Best SME Bank in Tanzania in 2018</t>
  </si>
  <si>
    <t>Even though its clear that the Stanbic Group prioritizes the SME segments and has clear goals to track these, Stanbic Bank Tanzania seems to have very high-level metrics and targets in its public reports</t>
  </si>
  <si>
    <t>Stanbic Bank Tanzania's leadership has consistently highlighted the bank's commitment to SMEs and financial inclusion</t>
  </si>
  <si>
    <t>Roles and business departments are merged under Personal and Business Banking</t>
  </si>
  <si>
    <t>Stanbic has a well-defined ESG strategy and invests significantly in its execution. It was awarded the SDG Prosperity Award in Tanzania in 2024 (page 26)</t>
  </si>
  <si>
    <t>Stanbic Bank Tanzania actively advances efforts to strengthen women-led businesses. It also has efforts promoting healthcare results and energy infrastructure. It's not clear whether the Bank tracks or measures these results</t>
  </si>
  <si>
    <t xml:space="preserve">Stanbic has some SME related roles, including Head Business Incubator. However, it's not clear that there is a full unit of multiple staff across departments with responsibilities related to SMEs </t>
  </si>
  <si>
    <t>Stanbic has worked with multiple international development actors, including the ALCB Fund and the UNDP, in the last two years</t>
  </si>
  <si>
    <t>Stanbic has tailored SME accounts (Biashara Direct), “smart” SME loans, trade finance, insurance, and digital banking solutions for small businesses. It also provides non-financial services like training through its incubator</t>
  </si>
  <si>
    <t xml:space="preserve">Stanbic Bank  has served SMEs since it inception in Tanzania in 1995, accounting for 30 years of trajectory </t>
  </si>
  <si>
    <t xml:space="preserve">Even though there is no specific data about the share of SMEs in Stanbic's lending portfolio, it's reasonable to assume that their portfolio is currently small (&lt;10%) given their current efforts to expand it </t>
  </si>
  <si>
    <t>Stanbic presents incidents of bribing government officials and has had to pay fines because of this crime</t>
  </si>
  <si>
    <t>Stanbic Bank has a public Code of Ethics and Conduct, updated in 2024,  showcasing relevant examples of its enforcement and auditing efforts</t>
  </si>
  <si>
    <t>Azania Bank</t>
  </si>
  <si>
    <t>SME banking is defined as a priority focus area both on Azania's website and in its mission/vision statements. However, there is limited information supporting the SME strategy or relevant tracking</t>
  </si>
  <si>
    <t>Azania reports clear targets for its SME segment (e.g., providing TZS 139 billion to enhance financial inclusion) and clearly defined risk management practices for this segment. However, goals seem to be very high-level and lack a concrete time horizon</t>
  </si>
  <si>
    <t>Azania Bank has demonstrated commitment to SMEs and financial inclusion through  SME banking initiatives and related recognitions. However, there is limited public information on how its leadership supports this</t>
  </si>
  <si>
    <t>Roles and business departments are merged under  Business Banking</t>
  </si>
  <si>
    <t>Azania has an established ESG strategy and reports on its progress in its Annual Reports. It breaks down metrics by SDG goals, including gender equality, no poverty, and quality education (pages 27-32)</t>
  </si>
  <si>
    <t>Azania is aligned on gender, as both its internal corporate sustainability strategies and external offerings target women. The bank launched Mwanamke Hodari (“Strong Woman”), a tailored banking account for modern women entrepreneurs. However, the bank shows minimal alignment on climate</t>
  </si>
  <si>
    <t>Even though Azania Bank has a Business Banking unit which focuses, among other things, on SMEs, it seems to have limited staff fully dedicated to this segment</t>
  </si>
  <si>
    <t>There is no publicly available information on any documented partnerships between Azania Bank and TA funders or DFIs</t>
  </si>
  <si>
    <t>Azania Bank offers various financial and non-financial products to SMEs, including SME working-capital loans, agribusiness financing, Business Advisory and Facilitation services, bancassurance, and even a women-centric savings/loan product</t>
  </si>
  <si>
    <t>Azania Bank was established in 1995 and has been serving SMEs ever since</t>
  </si>
  <si>
    <t>Even though the disaggregated information is not available, Azania Bank reports in its financial statements (page 106), that Corporate and SMEs represented +50% of its loans</t>
  </si>
  <si>
    <t>No significant reputational red flags. Azania has not been implicated in any major scandals or regulatory penalties</t>
  </si>
  <si>
    <t>Even though it's not public, Azania Bank reports having an established code of conduct that sets standards of integrity, ethical behaviour, and compliance with laws and regulations, which is supervised by the Board</t>
  </si>
  <si>
    <t>I&amp;M Bank</t>
  </si>
  <si>
    <t>Tier 2</t>
  </si>
  <si>
    <t>I&amp;M’s group vision includes becoming a “banking powerhouse…for medium to large businesses”, and the Tanzanian subsidiary is actively expanding into the SME market as a strategic priority (Annual Report, page 13)</t>
  </si>
  <si>
    <t>I&amp;M establishes that expanding their SME proposition is a key priority for the 2024-2027 time period. However, there are no public, concrete targets or KPIs for the SME segment</t>
  </si>
  <si>
    <t>I&amp;M Tanzania's leadership has publicly stated that SME banking is a top priority for the bank and has launched multiple initiatives (e.g., business accounts for SMEs and digital support services) as evidence</t>
  </si>
  <si>
    <t>There are SME specific staff members on LinkedIn including Director of SME banking, Head of Branch Network &amp; SME banking, SME credit analyst</t>
  </si>
  <si>
    <t>The I&amp;M Group implements an Environmental and Social Management System across all subsidiaries and tracks specific ESG targets for I&amp;M Tanzania, as showcased in its latest sustainability report</t>
  </si>
  <si>
    <t>I&amp;M Tanzania showcases limited alignment with gender and climate development priorities, as there are no concrete initiatives or efforts targeting these areas</t>
  </si>
  <si>
    <t xml:space="preserve">I&amp;M has a, established SME team, with designated staff (e.g., Head of SME Banking). However, its not clear that there is a full unit of multiple staff across departments with responsibilities related to SMEs </t>
  </si>
  <si>
    <t>I&amp;M has been involved in multiple programs with international development actors, including a longstanding partnership with the FMO and other related initiatives with  AFD and EIB</t>
  </si>
  <si>
    <t>I&amp;M offers tailored solutions to SMEs. For example, it recently launched “Ni Bure Kabisa” campaign, offering free bank-to-mobile transfers for SME accounts to reduce costs for small businesses. It offers business loans, asset financing, trade services, and is enhancing digital banking for SMEs</t>
  </si>
  <si>
    <t>I&amp;M entered Tanzania around 2010, so its SME banking history is about a decade. It is now rapidly scaling this segment with group experience behind it</t>
  </si>
  <si>
    <t>I&amp;M currently has a small share of its overall banking portfolio on SMEs, as it has a stronger focus on larger corporate clients. Nonetheless, it's one of I&amp;M's core strategies to expand the share of SME lending</t>
  </si>
  <si>
    <t>In 2019, I&amp;M Tanzania was fined ~TZS 655 million for lapses in anti-money laundering controls.This indicates some past compliance weakness. Since then, no further incidents have been reported</t>
  </si>
  <si>
    <t>I&amp;M has clearly established a code of ethics and conduct for its internal staff and third-party relationships. These are up to date and are publicly available</t>
  </si>
  <si>
    <t>Bank of Africa (BOA) Tanzania</t>
  </si>
  <si>
    <t>SMEs are a key part of the BOA Group’s 2022–2024 Development Plan and strategy. BOA Tanzania, specifically, has a strong SME practice focus, as showcased on its website and media notes</t>
  </si>
  <si>
    <t xml:space="preserve">The BOA group tracks and reports key SME metrics, including portfolio performance, size, and risks. However, there are no public, disaggregated SME-related metrics for BOA Tanzania </t>
  </si>
  <si>
    <t>BOA's leadership in Tanzania, including the Director and CEO, has publicly expressed that SME is a strategic priority for the bank and an ongoing effort</t>
  </si>
  <si>
    <t xml:space="preserve">There is an SME business unit and Head of SME based off of the website </t>
  </si>
  <si>
    <t>The Group engages in ESG through its Foundation and health/education projects, but BOA Tanzania lacks a country-specific ESG report or published E&amp;S policy</t>
  </si>
  <si>
    <t>While the Group’s projects touch gender (e.g. female cancer screenings), climate and gender are not framed as core SME themes in BOA Tanzania’s programs</t>
  </si>
  <si>
    <t>BOA Tanzania has a defined SME unit with staff working in different roles such as relationship management, risk prevention, and asset support</t>
  </si>
  <si>
    <t>BOA Tanzania has collaborated with multiple DFIs in recent years, including the IFC and the AfDB</t>
  </si>
  <si>
    <t>BOA Tanzania has multiple SME-targeted offerings, including multiple accounts,  loans, digital payment options, business training, and bundled packages</t>
  </si>
  <si>
    <t>BOA Tanzania was founded in 2007 and has offered SME products for over a decade, with a growing strategic focus in recent years</t>
  </si>
  <si>
    <t>Assuming that BOA Tanzania has a similar portfolio composition as the BOA Group in general, the share of SMEs in its portfolio would be around 11%</t>
  </si>
  <si>
    <t>BOA Tanzania has no red flags as of 2025</t>
  </si>
  <si>
    <t>BOA Tanzania has a clearly established code of ethics and conduct that is publicly available</t>
  </si>
  <si>
    <t>Partner Screening and Prioritization summary</t>
  </si>
  <si>
    <t>Screening summary</t>
  </si>
  <si>
    <t>Top 5 banks</t>
  </si>
  <si>
    <t>Rank</t>
  </si>
  <si>
    <t>Scoring categories</t>
  </si>
  <si>
    <t>Number of banks assessed:</t>
  </si>
  <si>
    <t>Points</t>
  </si>
  <si>
    <t>Interpretation</t>
  </si>
  <si>
    <t>Average score</t>
  </si>
  <si>
    <t>Banks that should be prioritized as partners</t>
  </si>
  <si>
    <t>Median score</t>
  </si>
  <si>
    <t>Banks that are second priority partners</t>
  </si>
  <si>
    <t>Highest score</t>
  </si>
  <si>
    <t>Banks that should be deprioritized as partners</t>
  </si>
  <si>
    <t>Count of high</t>
  </si>
  <si>
    <t>Count of mid</t>
  </si>
  <si>
    <t>Count of low</t>
  </si>
  <si>
    <t>Analysis of the bank of your choice</t>
  </si>
  <si>
    <t>Bank performance</t>
  </si>
  <si>
    <t>Bank:</t>
  </si>
  <si>
    <t>Country of operation:</t>
  </si>
  <si>
    <t>Type:</t>
  </si>
  <si>
    <t>Location of HQs:</t>
  </si>
  <si>
    <t>Limitations and gaps identified by the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</si>
</sst>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
    <numFmt numFmtId="166" formatCode="_(* #,##0_);_(* \(#,##0\);_(* &quot;-&quot;??_);_(@_)"/>
  </numFmts>
  <fonts count="56">
    <font>
      <sz val="11"/>
      <color theme="1"/>
      <name val="Lato"/>
      <family val="2"/>
      <scheme val="minor"/>
    </font>
    <font>
      <b/>
      <sz val="11"/>
      <color theme="1"/>
      <name val="Lato"/>
      <family val="2"/>
      <scheme val="minor"/>
    </font>
    <font>
      <b/>
      <sz val="11"/>
      <color theme="0"/>
      <name val="Lato"/>
      <family val="2"/>
    </font>
    <font>
      <sz val="10"/>
      <color theme="1"/>
      <name val="Lato"/>
      <family val="2"/>
    </font>
    <font>
      <sz val="8"/>
      <color theme="1"/>
      <name val="Lato"/>
      <family val="2"/>
      <scheme val="minor"/>
    </font>
    <font>
      <u/>
      <sz val="11"/>
      <color theme="10"/>
      <name val="Lato"/>
      <family val="2"/>
      <scheme val="minor"/>
    </font>
    <font>
      <b/>
      <sz val="16"/>
      <color theme="4"/>
      <name val="Arial"/>
      <family val="2"/>
    </font>
    <font>
      <b/>
      <sz val="11"/>
      <color theme="1"/>
      <name val="Lato"/>
      <family val="2"/>
    </font>
    <font>
      <sz val="8"/>
      <name val="Lato"/>
      <family val="2"/>
      <scheme val="minor"/>
    </font>
    <font>
      <b/>
      <i/>
      <sz val="11"/>
      <color theme="1"/>
      <name val="Lato"/>
      <family val="2"/>
      <scheme val="minor"/>
    </font>
    <font>
      <b/>
      <sz val="12"/>
      <color theme="1"/>
      <name val="Lato"/>
      <family val="2"/>
      <scheme val="minor"/>
    </font>
    <font>
      <b/>
      <sz val="16"/>
      <color theme="0"/>
      <name val="Lato"/>
      <family val="2"/>
      <scheme val="minor"/>
    </font>
    <font>
      <sz val="12"/>
      <color theme="1"/>
      <name val="Lato"/>
      <family val="2"/>
      <scheme val="minor"/>
    </font>
    <font>
      <b/>
      <sz val="18"/>
      <color theme="0"/>
      <name val="Lato"/>
      <family val="2"/>
      <scheme val="minor"/>
    </font>
    <font>
      <b/>
      <sz val="11"/>
      <color indexed="81"/>
      <name val="Tahoma"/>
      <family val="2"/>
    </font>
    <font>
      <sz val="11"/>
      <color indexed="81"/>
      <name val="Tahoma"/>
      <family val="2"/>
    </font>
    <font>
      <i/>
      <sz val="9"/>
      <color theme="1"/>
      <name val="Lato"/>
      <family val="2"/>
      <scheme val="minor"/>
    </font>
    <font>
      <b/>
      <sz val="14"/>
      <color theme="1"/>
      <name val="Lato"/>
      <family val="2"/>
      <scheme val="minor"/>
    </font>
    <font>
      <sz val="9"/>
      <color theme="1"/>
      <name val="Lato"/>
      <family val="2"/>
    </font>
    <font>
      <sz val="9"/>
      <color theme="1"/>
      <name val="Lato"/>
      <family val="2"/>
      <scheme val="minor"/>
    </font>
    <font>
      <sz val="9"/>
      <name val="Lato"/>
      <family val="2"/>
      <scheme val="minor"/>
    </font>
    <font>
      <b/>
      <sz val="8"/>
      <color theme="1"/>
      <name val="Lato"/>
      <family val="2"/>
      <scheme val="minor"/>
    </font>
    <font>
      <sz val="10"/>
      <color theme="1"/>
      <name val="Lato"/>
      <family val="2"/>
      <scheme val="minor"/>
    </font>
    <font>
      <b/>
      <sz val="10"/>
      <color theme="1"/>
      <name val="Lato"/>
      <family val="2"/>
      <scheme val="minor"/>
    </font>
    <font>
      <i/>
      <sz val="11"/>
      <color theme="1"/>
      <name val="Lato"/>
      <family val="2"/>
      <scheme val="minor"/>
    </font>
    <font>
      <sz val="11"/>
      <color rgb="FF006100"/>
      <name val="Lato"/>
      <family val="2"/>
      <scheme val="minor"/>
    </font>
    <font>
      <sz val="11"/>
      <color rgb="FF9C0006"/>
      <name val="Lato"/>
      <family val="2"/>
      <scheme val="minor"/>
    </font>
    <font>
      <sz val="11"/>
      <color rgb="FF9C5700"/>
      <name val="Lato"/>
      <family val="2"/>
      <scheme val="minor"/>
    </font>
    <font>
      <sz val="14"/>
      <color rgb="FF006100"/>
      <name val="Lato"/>
      <family val="2"/>
      <scheme val="minor"/>
    </font>
    <font>
      <sz val="14"/>
      <color rgb="FF9C5700"/>
      <name val="Lato"/>
      <family val="2"/>
      <scheme val="minor"/>
    </font>
    <font>
      <sz val="14"/>
      <color rgb="FF9C0006"/>
      <name val="Lato"/>
      <family val="2"/>
      <scheme val="minor"/>
    </font>
    <font>
      <i/>
      <sz val="12"/>
      <color theme="1"/>
      <name val="Lato"/>
      <family val="2"/>
      <scheme val="minor"/>
    </font>
    <font>
      <b/>
      <sz val="18"/>
      <color theme="1"/>
      <name val="Lato"/>
      <family val="2"/>
      <scheme val="minor"/>
    </font>
    <font>
      <b/>
      <sz val="12"/>
      <color rgb="FF9C0006"/>
      <name val="Lato"/>
      <family val="2"/>
      <scheme val="minor"/>
    </font>
    <font>
      <b/>
      <sz val="12"/>
      <color rgb="FF9C5700"/>
      <name val="Lato"/>
      <family val="2"/>
      <scheme val="minor"/>
    </font>
    <font>
      <sz val="16"/>
      <color theme="1"/>
      <name val="Lato"/>
      <family val="2"/>
      <scheme val="minor"/>
    </font>
    <font>
      <i/>
      <sz val="8"/>
      <color theme="1"/>
      <name val="Lato"/>
      <family val="2"/>
      <scheme val="minor"/>
    </font>
    <font>
      <b/>
      <sz val="16"/>
      <color theme="4"/>
      <name val="Lato"/>
      <family val="2"/>
      <scheme val="minor"/>
    </font>
    <font>
      <b/>
      <sz val="16"/>
      <color rgb="FFBE2381"/>
      <name val="Lato"/>
      <family val="2"/>
      <scheme val="minor"/>
    </font>
    <font>
      <b/>
      <sz val="12"/>
      <color rgb="FFBE2381"/>
      <name val="Lato"/>
      <family val="2"/>
      <scheme val="minor"/>
    </font>
    <font>
      <sz val="12"/>
      <name val="Lato"/>
      <family val="2"/>
      <scheme val="minor"/>
    </font>
    <font>
      <b/>
      <sz val="12"/>
      <name val="Lato"/>
      <family val="2"/>
      <scheme val="minor"/>
    </font>
    <font>
      <b/>
      <sz val="12"/>
      <color theme="0"/>
      <name val="Lato"/>
      <family val="2"/>
      <scheme val="minor"/>
    </font>
    <font>
      <b/>
      <u/>
      <sz val="12"/>
      <name val="Lato"/>
      <family val="2"/>
      <scheme val="minor"/>
    </font>
    <font>
      <b/>
      <sz val="11"/>
      <color theme="0"/>
      <name val="Lato"/>
      <family val="2"/>
      <scheme val="minor"/>
    </font>
    <font>
      <sz val="11"/>
      <color theme="0"/>
      <name val="Lato"/>
      <family val="2"/>
      <scheme val="minor"/>
    </font>
    <font>
      <sz val="11"/>
      <color theme="1"/>
      <name val="Arial"/>
      <family val="2"/>
    </font>
    <font>
      <sz val="10"/>
      <color theme="0"/>
      <name val="Lato"/>
      <family val="2"/>
      <scheme val="minor"/>
    </font>
    <font>
      <sz val="11"/>
      <color theme="1"/>
      <name val="Lato"/>
      <family val="2"/>
      <scheme val="minor"/>
    </font>
    <font>
      <sz val="14"/>
      <color theme="1"/>
      <name val="Lato"/>
      <family val="2"/>
      <scheme val="minor"/>
    </font>
    <font>
      <i/>
      <sz val="16"/>
      <color theme="1"/>
      <name val="Lato"/>
      <family val="2"/>
      <scheme val="minor"/>
    </font>
    <font>
      <sz val="12"/>
      <color rgb="FFEE0000"/>
      <name val="Lato"/>
      <family val="2"/>
      <scheme val="minor"/>
    </font>
    <font>
      <sz val="12"/>
      <color theme="0"/>
      <name val="Lato"/>
      <family val="2"/>
      <scheme val="minor"/>
    </font>
    <font>
      <b/>
      <sz val="11"/>
      <color theme="4"/>
      <name val="Lato"/>
      <family val="2"/>
      <scheme val="minor"/>
    </font>
    <font>
      <b/>
      <sz val="12"/>
      <color rgb="FF000000"/>
      <name val="Lato"/>
      <family val="2"/>
      <scheme val="minor"/>
    </font>
    <font>
      <sz val="12"/>
      <color rgb="FF000000"/>
      <name val="Lato"/>
      <family val="2"/>
      <scheme val="minor"/>
    </font>
  </fonts>
  <fills count="2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tint="-0.249977111117893"/>
        <bgColor indexed="64"/>
      </patternFill>
    </fill>
    <fill>
      <patternFill patternType="solid">
        <fgColor theme="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3"/>
        <bgColor indexed="64"/>
      </patternFill>
    </fill>
    <fill>
      <patternFill patternType="solid">
        <fgColor theme="4"/>
        <bgColor indexed="64"/>
      </patternFill>
    </fill>
    <fill>
      <patternFill patternType="solid">
        <fgColor theme="9"/>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59999389629810485"/>
        <bgColor indexed="64"/>
      </patternFill>
    </fill>
  </fills>
  <borders count="49">
    <border>
      <left/>
      <right/>
      <top/>
      <bottom/>
      <diagonal/>
    </border>
    <border>
      <left/>
      <right/>
      <top/>
      <bottom style="thin">
        <color indexed="64"/>
      </bottom>
      <diagonal/>
    </border>
    <border>
      <left/>
      <right/>
      <top style="thick">
        <color indexed="64"/>
      </top>
      <bottom style="thick">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4"/>
      </left>
      <right/>
      <top/>
      <bottom/>
      <diagonal/>
    </border>
    <border>
      <left/>
      <right/>
      <top style="thin">
        <color theme="4"/>
      </top>
      <bottom/>
      <diagonal/>
    </border>
    <border>
      <left style="medium">
        <color indexed="64"/>
      </left>
      <right/>
      <top style="thin">
        <color theme="4"/>
      </top>
      <bottom style="thin">
        <color theme="4"/>
      </bottom>
      <diagonal/>
    </border>
    <border>
      <left style="medium">
        <color theme="4"/>
      </left>
      <right/>
      <top style="medium">
        <color theme="4"/>
      </top>
      <bottom/>
      <diagonal/>
    </border>
    <border>
      <left/>
      <right/>
      <top style="medium">
        <color theme="4"/>
      </top>
      <bottom/>
      <diagonal/>
    </border>
    <border>
      <left/>
      <right style="medium">
        <color theme="4"/>
      </right>
      <top style="medium">
        <color theme="4"/>
      </top>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top/>
      <bottom style="medium">
        <color theme="4"/>
      </bottom>
      <diagonal/>
    </border>
    <border>
      <left/>
      <right style="medium">
        <color theme="4"/>
      </right>
      <top/>
      <bottom style="medium">
        <color theme="4"/>
      </bottom>
      <diagonal/>
    </border>
  </borders>
  <cellStyleXfs count="8">
    <xf numFmtId="0" fontId="0" fillId="0" borderId="0"/>
    <xf numFmtId="0" fontId="5" fillId="0" borderId="0" applyNumberFormat="0" applyFill="0" applyBorder="0" applyAlignment="0" applyProtection="0"/>
    <xf numFmtId="0" fontId="25" fillId="20" borderId="0" applyNumberFormat="0" applyBorder="0" applyAlignment="0" applyProtection="0"/>
    <xf numFmtId="0" fontId="26" fillId="21" borderId="0" applyNumberFormat="0" applyBorder="0" applyAlignment="0" applyProtection="0"/>
    <xf numFmtId="0" fontId="27" fillId="22" borderId="0" applyNumberFormat="0" applyBorder="0" applyAlignment="0" applyProtection="0"/>
    <xf numFmtId="0" fontId="46" fillId="0" borderId="0"/>
    <xf numFmtId="164" fontId="48" fillId="0" borderId="0" applyFont="0" applyFill="0" applyBorder="0" applyAlignment="0" applyProtection="0"/>
    <xf numFmtId="9" fontId="48" fillId="0" borderId="0" applyFont="0" applyFill="0" applyBorder="0" applyAlignment="0" applyProtection="0"/>
  </cellStyleXfs>
  <cellXfs count="272">
    <xf numFmtId="0" fontId="0" fillId="0" borderId="0" xfId="0"/>
    <xf numFmtId="0" fontId="0" fillId="3" borderId="0" xfId="0" applyFill="1"/>
    <xf numFmtId="0" fontId="0" fillId="3" borderId="0" xfId="0" applyFill="1" applyAlignment="1">
      <alignment vertical="center"/>
    </xf>
    <xf numFmtId="0" fontId="0" fillId="2" borderId="0" xfId="0" applyFill="1" applyAlignment="1">
      <alignment vertical="center"/>
    </xf>
    <xf numFmtId="0" fontId="0" fillId="3" borderId="4" xfId="0" applyFill="1" applyBorder="1" applyAlignment="1">
      <alignment vertical="center"/>
    </xf>
    <xf numFmtId="0" fontId="4" fillId="3" borderId="4" xfId="0" applyFont="1" applyFill="1" applyBorder="1" applyAlignment="1">
      <alignment vertical="center"/>
    </xf>
    <xf numFmtId="0" fontId="0" fillId="3" borderId="7" xfId="0" applyFill="1" applyBorder="1" applyAlignment="1">
      <alignment vertical="center"/>
    </xf>
    <xf numFmtId="0" fontId="0" fillId="3" borderId="10" xfId="0" applyFill="1" applyBorder="1" applyAlignment="1">
      <alignment vertical="center"/>
    </xf>
    <xf numFmtId="0" fontId="0" fillId="3" borderId="11" xfId="0" applyFill="1" applyBorder="1"/>
    <xf numFmtId="0" fontId="0" fillId="3" borderId="8" xfId="0" applyFill="1" applyBorder="1"/>
    <xf numFmtId="0" fontId="0" fillId="3" borderId="11" xfId="0" applyFill="1" applyBorder="1" applyAlignment="1">
      <alignment vertical="center"/>
    </xf>
    <xf numFmtId="0" fontId="4" fillId="2" borderId="0" xfId="0" applyFont="1" applyFill="1" applyAlignment="1">
      <alignment vertical="center"/>
    </xf>
    <xf numFmtId="0" fontId="0" fillId="2" borderId="0" xfId="0" applyFill="1"/>
    <xf numFmtId="0" fontId="1" fillId="2" borderId="0" xfId="0" applyFont="1" applyFill="1" applyAlignment="1">
      <alignment vertical="center"/>
    </xf>
    <xf numFmtId="0" fontId="0" fillId="2" borderId="0" xfId="0" applyFill="1" applyAlignment="1">
      <alignment vertical="center" wrapText="1"/>
    </xf>
    <xf numFmtId="0" fontId="13" fillId="2" borderId="0" xfId="0" applyFont="1" applyFill="1" applyAlignment="1">
      <alignment vertical="center"/>
    </xf>
    <xf numFmtId="0" fontId="9" fillId="3" borderId="6" xfId="0" applyFont="1" applyFill="1" applyBorder="1" applyAlignment="1">
      <alignment vertical="center"/>
    </xf>
    <xf numFmtId="0" fontId="0" fillId="3" borderId="12" xfId="0" applyFill="1" applyBorder="1" applyAlignment="1">
      <alignment vertical="center"/>
    </xf>
    <xf numFmtId="0" fontId="0" fillId="3" borderId="4" xfId="0" applyFill="1" applyBorder="1" applyAlignment="1">
      <alignment horizontal="center" vertical="center"/>
    </xf>
    <xf numFmtId="0" fontId="1" fillId="7" borderId="4" xfId="0" applyFont="1" applyFill="1" applyBorder="1" applyAlignment="1">
      <alignment horizontal="center" vertical="center"/>
    </xf>
    <xf numFmtId="0" fontId="9" fillId="3" borderId="13" xfId="0" applyFont="1" applyFill="1" applyBorder="1" applyAlignment="1">
      <alignment vertical="center"/>
    </xf>
    <xf numFmtId="0" fontId="0" fillId="4" borderId="16" xfId="0" applyFill="1" applyBorder="1" applyAlignment="1">
      <alignment vertical="center"/>
    </xf>
    <xf numFmtId="0" fontId="4" fillId="3" borderId="16" xfId="0" applyFont="1" applyFill="1" applyBorder="1" applyAlignment="1">
      <alignment vertical="center" wrapText="1"/>
    </xf>
    <xf numFmtId="0" fontId="4" fillId="4" borderId="16" xfId="0" applyFont="1" applyFill="1" applyBorder="1" applyAlignment="1">
      <alignment vertical="center"/>
    </xf>
    <xf numFmtId="0" fontId="4" fillId="3" borderId="18" xfId="0" applyFont="1" applyFill="1" applyBorder="1" applyAlignment="1">
      <alignment vertical="center" wrapText="1"/>
    </xf>
    <xf numFmtId="0" fontId="0" fillId="3" borderId="9" xfId="0" applyFill="1" applyBorder="1" applyAlignment="1">
      <alignment vertical="center"/>
    </xf>
    <xf numFmtId="0" fontId="9" fillId="3" borderId="13" xfId="0" applyFont="1" applyFill="1" applyBorder="1" applyAlignment="1">
      <alignment horizontal="left" vertical="center"/>
    </xf>
    <xf numFmtId="9" fontId="1" fillId="3" borderId="16" xfId="0" applyNumberFormat="1" applyFont="1" applyFill="1" applyBorder="1" applyAlignment="1">
      <alignment vertical="center"/>
    </xf>
    <xf numFmtId="9" fontId="16" fillId="3" borderId="16" xfId="0" applyNumberFormat="1" applyFont="1" applyFill="1" applyBorder="1" applyAlignment="1">
      <alignment vertical="center"/>
    </xf>
    <xf numFmtId="0" fontId="1" fillId="3" borderId="9" xfId="0" applyFont="1" applyFill="1" applyBorder="1" applyAlignment="1">
      <alignment vertical="center"/>
    </xf>
    <xf numFmtId="0" fontId="0" fillId="3" borderId="9" xfId="0" applyFill="1" applyBorder="1" applyAlignment="1">
      <alignment horizontal="center" vertical="center"/>
    </xf>
    <xf numFmtId="0" fontId="4" fillId="3" borderId="14" xfId="0" applyFont="1" applyFill="1" applyBorder="1" applyAlignment="1">
      <alignment vertical="center" wrapText="1"/>
    </xf>
    <xf numFmtId="0" fontId="4" fillId="3" borderId="15" xfId="0" applyFont="1" applyFill="1" applyBorder="1" applyAlignment="1">
      <alignment vertical="center" wrapText="1"/>
    </xf>
    <xf numFmtId="0" fontId="4" fillId="0" borderId="14" xfId="0" applyFont="1" applyBorder="1" applyAlignment="1">
      <alignment vertical="center" wrapText="1"/>
    </xf>
    <xf numFmtId="0" fontId="3" fillId="2" borderId="4" xfId="0" applyFont="1" applyFill="1" applyBorder="1" applyAlignment="1">
      <alignment vertical="center"/>
    </xf>
    <xf numFmtId="0" fontId="3" fillId="2" borderId="4" xfId="0" applyFont="1" applyFill="1" applyBorder="1" applyAlignment="1">
      <alignment horizontal="center" vertical="center"/>
    </xf>
    <xf numFmtId="0" fontId="4" fillId="3" borderId="4" xfId="0" applyFont="1" applyFill="1" applyBorder="1" applyAlignment="1">
      <alignment horizontal="center" vertical="center"/>
    </xf>
    <xf numFmtId="0" fontId="19" fillId="3" borderId="4" xfId="0" applyFont="1" applyFill="1" applyBorder="1" applyAlignment="1">
      <alignment vertical="center" wrapText="1"/>
    </xf>
    <xf numFmtId="0" fontId="18" fillId="2" borderId="4" xfId="0" applyFont="1" applyFill="1" applyBorder="1" applyAlignment="1">
      <alignment vertical="center" wrapText="1"/>
    </xf>
    <xf numFmtId="0" fontId="4" fillId="3" borderId="9" xfId="0" applyFont="1" applyFill="1" applyBorder="1" applyAlignment="1">
      <alignment vertical="center" wrapText="1"/>
    </xf>
    <xf numFmtId="0" fontId="19" fillId="2" borderId="4" xfId="1" applyFont="1" applyFill="1" applyBorder="1" applyAlignment="1">
      <alignment vertical="center" wrapText="1"/>
    </xf>
    <xf numFmtId="0" fontId="19" fillId="3" borderId="4" xfId="0" applyFont="1" applyFill="1" applyBorder="1" applyAlignment="1">
      <alignment horizontal="left" vertical="center" wrapText="1"/>
    </xf>
    <xf numFmtId="0" fontId="20" fillId="2" borderId="4" xfId="1" applyFont="1" applyFill="1" applyBorder="1" applyAlignment="1">
      <alignment horizontal="left" vertical="center" wrapText="1"/>
    </xf>
    <xf numFmtId="0" fontId="20" fillId="2" borderId="4" xfId="1" applyFont="1" applyFill="1" applyBorder="1" applyAlignment="1">
      <alignment vertical="center" wrapText="1"/>
    </xf>
    <xf numFmtId="0" fontId="1" fillId="7" borderId="4"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1" fillId="8" borderId="4" xfId="0" applyFont="1" applyFill="1" applyBorder="1" applyAlignment="1">
      <alignment horizontal="center" vertical="center" wrapText="1"/>
    </xf>
    <xf numFmtId="0" fontId="1" fillId="14" borderId="4" xfId="0" applyFont="1" applyFill="1" applyBorder="1" applyAlignment="1">
      <alignment horizontal="center" vertical="center" wrapText="1"/>
    </xf>
    <xf numFmtId="0" fontId="1" fillId="12" borderId="4" xfId="0" applyFont="1" applyFill="1" applyBorder="1" applyAlignment="1">
      <alignment horizontal="center" vertical="center" wrapText="1"/>
    </xf>
    <xf numFmtId="0" fontId="19" fillId="2" borderId="4" xfId="0" applyFont="1" applyFill="1" applyBorder="1" applyAlignment="1">
      <alignment vertical="center"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22" fillId="7" borderId="4" xfId="0" applyFont="1" applyFill="1" applyBorder="1" applyAlignment="1">
      <alignment horizontal="center" vertical="center" wrapText="1"/>
    </xf>
    <xf numFmtId="0" fontId="22" fillId="3" borderId="4" xfId="0" applyFont="1" applyFill="1" applyBorder="1" applyAlignment="1">
      <alignment horizontal="left" vertical="center" wrapText="1"/>
    </xf>
    <xf numFmtId="0" fontId="22" fillId="0" borderId="4" xfId="0" applyFont="1" applyBorder="1" applyAlignment="1">
      <alignment horizontal="center" vertical="center" wrapText="1"/>
    </xf>
    <xf numFmtId="0" fontId="23" fillId="2" borderId="4" xfId="0" applyFont="1" applyFill="1" applyBorder="1" applyAlignment="1">
      <alignment horizontal="center" vertical="center" wrapText="1"/>
    </xf>
    <xf numFmtId="9" fontId="22" fillId="14" borderId="4" xfId="0" applyNumberFormat="1" applyFont="1" applyFill="1" applyBorder="1" applyAlignment="1">
      <alignment horizontal="center" vertical="center" wrapText="1"/>
    </xf>
    <xf numFmtId="0" fontId="22" fillId="14" borderId="4" xfId="0" applyFont="1" applyFill="1" applyBorder="1" applyAlignment="1">
      <alignment horizontal="center" vertical="center" wrapText="1"/>
    </xf>
    <xf numFmtId="9" fontId="0" fillId="2" borderId="0" xfId="0" applyNumberFormat="1" applyFill="1" applyAlignment="1">
      <alignment vertical="center"/>
    </xf>
    <xf numFmtId="3" fontId="0" fillId="2" borderId="4" xfId="0" applyNumberFormat="1" applyFill="1" applyBorder="1" applyAlignment="1">
      <alignment horizontal="center" vertical="center"/>
    </xf>
    <xf numFmtId="0" fontId="11" fillId="19" borderId="4" xfId="0" applyFont="1" applyFill="1" applyBorder="1" applyAlignment="1">
      <alignment vertical="center" wrapText="1"/>
    </xf>
    <xf numFmtId="9" fontId="0" fillId="3" borderId="0" xfId="0" applyNumberFormat="1" applyFill="1"/>
    <xf numFmtId="9" fontId="0" fillId="2" borderId="4" xfId="0" applyNumberFormat="1" applyFill="1" applyBorder="1" applyAlignment="1">
      <alignment horizontal="center" vertical="center"/>
    </xf>
    <xf numFmtId="0" fontId="28" fillId="20" borderId="11" xfId="2" applyFont="1" applyBorder="1" applyAlignment="1">
      <alignment horizontal="center" vertical="center"/>
    </xf>
    <xf numFmtId="0" fontId="29" fillId="22" borderId="11" xfId="4" applyFont="1" applyBorder="1" applyAlignment="1">
      <alignment horizontal="center" vertical="center"/>
    </xf>
    <xf numFmtId="0" fontId="12" fillId="3" borderId="0" xfId="0" applyFont="1" applyFill="1"/>
    <xf numFmtId="0" fontId="30" fillId="21" borderId="8" xfId="3" applyFont="1" applyBorder="1" applyAlignment="1">
      <alignment horizontal="center" vertical="center"/>
    </xf>
    <xf numFmtId="0" fontId="6" fillId="3" borderId="0" xfId="0" applyFont="1" applyFill="1" applyAlignment="1">
      <alignment horizontal="center" vertical="center"/>
    </xf>
    <xf numFmtId="0" fontId="0" fillId="3" borderId="0" xfId="0" quotePrefix="1" applyFill="1"/>
    <xf numFmtId="0" fontId="10" fillId="3" borderId="0" xfId="0" applyFont="1" applyFill="1" applyAlignment="1">
      <alignment horizontal="center"/>
    </xf>
    <xf numFmtId="0" fontId="32" fillId="3" borderId="0" xfId="0" applyFont="1" applyFill="1" applyAlignment="1">
      <alignment vertical="center"/>
    </xf>
    <xf numFmtId="0" fontId="22" fillId="2" borderId="0" xfId="0" applyFont="1" applyFill="1" applyAlignment="1">
      <alignment horizontal="center" vertical="center" wrapText="1"/>
    </xf>
    <xf numFmtId="0" fontId="22" fillId="3" borderId="0" xfId="0" applyFont="1" applyFill="1" applyAlignment="1">
      <alignment horizontal="center" vertical="center" wrapText="1"/>
    </xf>
    <xf numFmtId="0" fontId="0" fillId="3" borderId="1" xfId="0" applyFill="1" applyBorder="1"/>
    <xf numFmtId="0" fontId="12" fillId="5" borderId="0" xfId="0" applyFont="1" applyFill="1"/>
    <xf numFmtId="0" fontId="35" fillId="5" borderId="0" xfId="0" applyFont="1" applyFill="1" applyAlignment="1">
      <alignment vertical="center"/>
    </xf>
    <xf numFmtId="0" fontId="12" fillId="7" borderId="0" xfId="0" applyFont="1" applyFill="1"/>
    <xf numFmtId="0" fontId="36" fillId="7" borderId="0" xfId="0" applyFont="1" applyFill="1" applyAlignment="1">
      <alignment vertical="top"/>
    </xf>
    <xf numFmtId="0" fontId="12" fillId="7" borderId="1" xfId="0" applyFont="1" applyFill="1" applyBorder="1"/>
    <xf numFmtId="49" fontId="12" fillId="3" borderId="0" xfId="0" applyNumberFormat="1" applyFont="1" applyFill="1"/>
    <xf numFmtId="0" fontId="35" fillId="3" borderId="0" xfId="0" applyFont="1" applyFill="1" applyAlignment="1">
      <alignment vertical="center"/>
    </xf>
    <xf numFmtId="0" fontId="37" fillId="3" borderId="2" xfId="0" applyFont="1" applyFill="1" applyBorder="1" applyAlignment="1">
      <alignment vertical="center"/>
    </xf>
    <xf numFmtId="0" fontId="38" fillId="3" borderId="2" xfId="0" applyFont="1" applyFill="1" applyBorder="1" applyAlignment="1">
      <alignment vertical="center"/>
    </xf>
    <xf numFmtId="0" fontId="38" fillId="3" borderId="0" xfId="0" applyFont="1" applyFill="1" applyAlignment="1">
      <alignment vertical="center"/>
    </xf>
    <xf numFmtId="0" fontId="39" fillId="3" borderId="0" xfId="0" applyFont="1" applyFill="1"/>
    <xf numFmtId="0" fontId="12" fillId="3" borderId="0" xfId="0" applyFont="1" applyFill="1" applyAlignment="1">
      <alignment wrapText="1"/>
    </xf>
    <xf numFmtId="0" fontId="40" fillId="3" borderId="0" xfId="0" applyFont="1" applyFill="1" applyAlignment="1">
      <alignment vertical="top" wrapText="1"/>
    </xf>
    <xf numFmtId="0" fontId="35" fillId="3" borderId="0" xfId="0" applyFont="1" applyFill="1" applyAlignment="1">
      <alignment vertical="center" wrapText="1"/>
    </xf>
    <xf numFmtId="0" fontId="12" fillId="3" borderId="0" xfId="0" applyFont="1" applyFill="1" applyAlignment="1">
      <alignment vertical="top" wrapText="1"/>
    </xf>
    <xf numFmtId="0" fontId="12" fillId="3" borderId="0" xfId="0" applyFont="1" applyFill="1" applyAlignment="1">
      <alignment horizontal="left" vertical="center" wrapText="1"/>
    </xf>
    <xf numFmtId="0" fontId="17" fillId="3" borderId="3" xfId="0" applyFont="1" applyFill="1" applyBorder="1" applyAlignment="1">
      <alignment horizontal="left"/>
    </xf>
    <xf numFmtId="0" fontId="17" fillId="3" borderId="0" xfId="0" applyFont="1" applyFill="1" applyAlignment="1">
      <alignment horizontal="left"/>
    </xf>
    <xf numFmtId="0" fontId="12" fillId="3" borderId="0" xfId="0" applyFont="1" applyFill="1" applyAlignment="1">
      <alignment horizontal="left"/>
    </xf>
    <xf numFmtId="0" fontId="12" fillId="3" borderId="0" xfId="0" applyFont="1" applyFill="1" applyAlignment="1">
      <alignment vertical="center"/>
    </xf>
    <xf numFmtId="0" fontId="0" fillId="3" borderId="20" xfId="0" applyFill="1" applyBorder="1" applyAlignment="1">
      <alignment vertical="center"/>
    </xf>
    <xf numFmtId="0" fontId="0" fillId="3" borderId="1" xfId="0" applyFill="1" applyBorder="1" applyAlignment="1">
      <alignment vertical="center"/>
    </xf>
    <xf numFmtId="0" fontId="0" fillId="3" borderId="19" xfId="0" applyFill="1" applyBorder="1" applyAlignment="1">
      <alignment vertical="center"/>
    </xf>
    <xf numFmtId="9" fontId="16" fillId="3" borderId="8" xfId="0" applyNumberFormat="1" applyFont="1" applyFill="1" applyBorder="1" applyAlignment="1">
      <alignment vertical="center"/>
    </xf>
    <xf numFmtId="0" fontId="12" fillId="3" borderId="9" xfId="0" applyFont="1" applyFill="1" applyBorder="1" applyAlignment="1">
      <alignment horizontal="center" vertical="center"/>
    </xf>
    <xf numFmtId="0" fontId="44" fillId="0" borderId="0" xfId="0" applyFont="1" applyAlignment="1">
      <alignment vertical="center"/>
    </xf>
    <xf numFmtId="0" fontId="47" fillId="2" borderId="0" xfId="5" applyFont="1" applyFill="1" applyAlignment="1" applyProtection="1">
      <alignment vertical="center" wrapText="1"/>
      <protection locked="0"/>
    </xf>
    <xf numFmtId="0" fontId="47" fillId="2" borderId="0" xfId="5" applyFont="1" applyFill="1" applyAlignment="1">
      <alignment vertical="center"/>
    </xf>
    <xf numFmtId="0" fontId="47" fillId="2" borderId="0" xfId="5" applyFont="1" applyFill="1" applyAlignment="1" applyProtection="1">
      <alignment horizontal="left" vertical="center" wrapText="1"/>
      <protection locked="0"/>
    </xf>
    <xf numFmtId="0" fontId="45" fillId="2" borderId="0" xfId="0" applyFont="1" applyFill="1" applyAlignment="1">
      <alignment vertical="center"/>
    </xf>
    <xf numFmtId="0" fontId="19" fillId="2" borderId="4" xfId="1" applyFont="1" applyFill="1" applyBorder="1" applyAlignment="1">
      <alignment horizontal="left" vertical="center" wrapText="1"/>
    </xf>
    <xf numFmtId="166" fontId="0" fillId="3" borderId="0" xfId="6" applyNumberFormat="1" applyFont="1" applyFill="1"/>
    <xf numFmtId="166" fontId="0" fillId="3" borderId="0" xfId="0" applyNumberFormat="1" applyFill="1"/>
    <xf numFmtId="164" fontId="0" fillId="3" borderId="0" xfId="0" applyNumberFormat="1" applyFill="1"/>
    <xf numFmtId="0" fontId="4" fillId="3" borderId="4" xfId="0" applyFont="1" applyFill="1" applyBorder="1" applyAlignment="1">
      <alignment vertical="center" wrapText="1"/>
    </xf>
    <xf numFmtId="0" fontId="12" fillId="3" borderId="0" xfId="0" applyFont="1" applyFill="1" applyAlignment="1">
      <alignment horizontal="center" vertical="center"/>
    </xf>
    <xf numFmtId="0" fontId="0" fillId="3" borderId="21" xfId="0" applyFill="1" applyBorder="1"/>
    <xf numFmtId="0" fontId="12" fillId="3" borderId="3" xfId="0" applyFont="1" applyFill="1" applyBorder="1" applyAlignment="1">
      <alignment horizontal="center" vertical="center"/>
    </xf>
    <xf numFmtId="0" fontId="0" fillId="3" borderId="22" xfId="0" applyFill="1" applyBorder="1"/>
    <xf numFmtId="0" fontId="12" fillId="3" borderId="23" xfId="0" applyFont="1" applyFill="1" applyBorder="1" applyAlignment="1">
      <alignment horizontal="center" vertical="center"/>
    </xf>
    <xf numFmtId="0" fontId="49" fillId="3" borderId="0" xfId="0" applyFont="1" applyFill="1"/>
    <xf numFmtId="0" fontId="49" fillId="3" borderId="12" xfId="0" applyFont="1" applyFill="1" applyBorder="1"/>
    <xf numFmtId="0" fontId="49" fillId="3" borderId="11" xfId="0" applyFont="1" applyFill="1" applyBorder="1"/>
    <xf numFmtId="0" fontId="17" fillId="3" borderId="0" xfId="0" applyFont="1" applyFill="1" applyAlignment="1">
      <alignment horizontal="center"/>
    </xf>
    <xf numFmtId="0" fontId="49" fillId="3" borderId="0" xfId="0" applyFont="1" applyFill="1" applyAlignment="1">
      <alignment horizontal="left" vertical="center" indent="1"/>
    </xf>
    <xf numFmtId="0" fontId="17" fillId="3" borderId="11" xfId="0" applyFont="1" applyFill="1" applyBorder="1" applyAlignment="1">
      <alignment horizontal="left" vertical="center" indent="1"/>
    </xf>
    <xf numFmtId="3" fontId="49" fillId="3" borderId="12" xfId="0" applyNumberFormat="1" applyFont="1" applyFill="1" applyBorder="1" applyAlignment="1">
      <alignment horizontal="center"/>
    </xf>
    <xf numFmtId="0" fontId="49" fillId="3" borderId="10" xfId="0" applyFont="1" applyFill="1" applyBorder="1"/>
    <xf numFmtId="0" fontId="49" fillId="3" borderId="9" xfId="0" applyFont="1" applyFill="1" applyBorder="1" applyAlignment="1">
      <alignment horizontal="left" vertical="center" indent="1"/>
    </xf>
    <xf numFmtId="0" fontId="17" fillId="3" borderId="8" xfId="0" applyFont="1" applyFill="1" applyBorder="1" applyAlignment="1">
      <alignment horizontal="left" vertical="center" indent="1"/>
    </xf>
    <xf numFmtId="3" fontId="49" fillId="3" borderId="10" xfId="0" applyNumberFormat="1" applyFont="1" applyFill="1" applyBorder="1" applyAlignment="1">
      <alignment horizontal="center"/>
    </xf>
    <xf numFmtId="0" fontId="49" fillId="3" borderId="12" xfId="0" applyFont="1" applyFill="1" applyBorder="1" applyAlignment="1">
      <alignment horizontal="center"/>
    </xf>
    <xf numFmtId="0" fontId="11" fillId="15" borderId="4" xfId="0" applyFont="1" applyFill="1" applyBorder="1" applyAlignment="1">
      <alignment horizontal="right" vertical="center"/>
    </xf>
    <xf numFmtId="0" fontId="11" fillId="15" borderId="4" xfId="0" applyFont="1" applyFill="1" applyBorder="1" applyAlignment="1">
      <alignment horizontal="center" vertical="center"/>
    </xf>
    <xf numFmtId="0" fontId="5" fillId="2" borderId="4" xfId="1" applyFill="1" applyBorder="1" applyAlignment="1">
      <alignment vertical="center"/>
    </xf>
    <xf numFmtId="165" fontId="0" fillId="2" borderId="4" xfId="0" applyNumberFormat="1" applyFill="1" applyBorder="1" applyAlignment="1">
      <alignment horizontal="center" vertical="center"/>
    </xf>
    <xf numFmtId="0" fontId="17" fillId="3" borderId="11" xfId="0" applyFont="1" applyFill="1" applyBorder="1"/>
    <xf numFmtId="0" fontId="17" fillId="3" borderId="0" xfId="0" applyFont="1" applyFill="1"/>
    <xf numFmtId="2" fontId="22" fillId="0" borderId="4" xfId="0" applyNumberFormat="1" applyFont="1" applyBorder="1" applyAlignment="1">
      <alignment horizontal="center" vertical="center" wrapText="1"/>
    </xf>
    <xf numFmtId="2" fontId="22" fillId="6" borderId="4" xfId="0" applyNumberFormat="1" applyFont="1" applyFill="1" applyBorder="1" applyAlignment="1">
      <alignment horizontal="center" vertical="center" wrapText="1"/>
    </xf>
    <xf numFmtId="0" fontId="0" fillId="0" borderId="3" xfId="0" applyBorder="1" applyAlignment="1">
      <alignment vertical="center"/>
    </xf>
    <xf numFmtId="0" fontId="0" fillId="0" borderId="25" xfId="0" applyBorder="1" applyAlignment="1">
      <alignment vertical="center"/>
    </xf>
    <xf numFmtId="16" fontId="0" fillId="3" borderId="10" xfId="0" applyNumberFormat="1" applyFill="1" applyBorder="1" applyAlignment="1">
      <alignment horizontal="center" vertical="center" wrapText="1"/>
    </xf>
    <xf numFmtId="0" fontId="5" fillId="3" borderId="0" xfId="1" applyFill="1"/>
    <xf numFmtId="0" fontId="31" fillId="3" borderId="0" xfId="0" applyFont="1" applyFill="1" applyAlignment="1">
      <alignment vertical="top" wrapText="1"/>
    </xf>
    <xf numFmtId="0" fontId="12" fillId="3" borderId="4" xfId="0" applyFont="1" applyFill="1" applyBorder="1" applyAlignment="1">
      <alignment horizontal="left" vertical="center" wrapText="1"/>
    </xf>
    <xf numFmtId="0" fontId="42" fillId="16" borderId="27" xfId="0" applyFont="1" applyFill="1" applyBorder="1" applyAlignment="1">
      <alignment vertical="center" wrapText="1"/>
    </xf>
    <xf numFmtId="0" fontId="10" fillId="23" borderId="4" xfId="0" applyFont="1" applyFill="1" applyBorder="1" applyAlignment="1">
      <alignment vertical="center" wrapText="1"/>
    </xf>
    <xf numFmtId="0" fontId="10" fillId="12" borderId="4" xfId="0" applyFont="1" applyFill="1" applyBorder="1" applyAlignment="1">
      <alignment vertical="center"/>
    </xf>
    <xf numFmtId="0" fontId="12" fillId="3" borderId="4" xfId="0" quotePrefix="1" applyFont="1" applyFill="1" applyBorder="1" applyAlignment="1">
      <alignment horizontal="left" vertical="center" wrapText="1"/>
    </xf>
    <xf numFmtId="0" fontId="12" fillId="3" borderId="27" xfId="0" quotePrefix="1" applyFont="1" applyFill="1" applyBorder="1" applyAlignment="1">
      <alignment horizontal="left" vertical="center" wrapText="1"/>
    </xf>
    <xf numFmtId="0" fontId="10" fillId="3" borderId="0" xfId="0" applyFont="1" applyFill="1" applyAlignment="1">
      <alignment horizontal="right"/>
    </xf>
    <xf numFmtId="0" fontId="5" fillId="3" borderId="0" xfId="1" applyFill="1" applyAlignment="1">
      <alignment horizontal="right"/>
    </xf>
    <xf numFmtId="0" fontId="0" fillId="2" borderId="4" xfId="0" applyFill="1" applyBorder="1" applyAlignment="1">
      <alignment vertical="center"/>
    </xf>
    <xf numFmtId="0" fontId="5" fillId="2" borderId="4" xfId="1" applyFill="1" applyBorder="1" applyAlignment="1">
      <alignment vertical="center" wrapText="1"/>
    </xf>
    <xf numFmtId="0" fontId="22" fillId="3" borderId="4" xfId="0" applyFont="1" applyFill="1" applyBorder="1" applyAlignment="1">
      <alignment horizontal="center" vertical="center"/>
    </xf>
    <xf numFmtId="0" fontId="24" fillId="3" borderId="0" xfId="0" applyFont="1" applyFill="1" applyAlignment="1">
      <alignment vertical="center"/>
    </xf>
    <xf numFmtId="9" fontId="0" fillId="3" borderId="0" xfId="0" applyNumberFormat="1" applyFill="1" applyAlignment="1">
      <alignment vertical="center"/>
    </xf>
    <xf numFmtId="0" fontId="19" fillId="2" borderId="4" xfId="0" applyFont="1" applyFill="1" applyBorder="1" applyAlignment="1">
      <alignment horizontal="left" vertical="center" wrapText="1"/>
    </xf>
    <xf numFmtId="0" fontId="33" fillId="21" borderId="4" xfId="3" applyFont="1" applyBorder="1" applyAlignment="1">
      <alignment horizontal="left" vertical="center"/>
    </xf>
    <xf numFmtId="0" fontId="34" fillId="22" borderId="4" xfId="4" applyFont="1" applyBorder="1" applyAlignment="1">
      <alignment horizontal="center" vertical="center"/>
    </xf>
    <xf numFmtId="0" fontId="0" fillId="5" borderId="4" xfId="0" applyFill="1" applyBorder="1"/>
    <xf numFmtId="0" fontId="0" fillId="3" borderId="4" xfId="0" applyFill="1" applyBorder="1" applyAlignment="1">
      <alignment vertical="center" wrapText="1"/>
    </xf>
    <xf numFmtId="0" fontId="0" fillId="5" borderId="4" xfId="0" applyFill="1" applyBorder="1" applyAlignment="1">
      <alignment vertical="center" wrapText="1"/>
    </xf>
    <xf numFmtId="0" fontId="0" fillId="3" borderId="4" xfId="0" applyFill="1" applyBorder="1" applyAlignment="1">
      <alignment horizontal="center" vertical="center" wrapText="1"/>
    </xf>
    <xf numFmtId="9" fontId="22" fillId="0" borderId="4" xfId="7" applyFont="1" applyBorder="1" applyAlignment="1">
      <alignment horizontal="center" vertical="center" wrapText="1"/>
    </xf>
    <xf numFmtId="9" fontId="22" fillId="3" borderId="4" xfId="0" applyNumberFormat="1" applyFont="1" applyFill="1" applyBorder="1" applyAlignment="1">
      <alignment horizontal="center" vertical="center"/>
    </xf>
    <xf numFmtId="0" fontId="52" fillId="7" borderId="0" xfId="0" applyFont="1" applyFill="1"/>
    <xf numFmtId="0" fontId="0" fillId="7" borderId="0" xfId="0" applyFill="1"/>
    <xf numFmtId="0" fontId="49" fillId="3" borderId="38" xfId="0" applyFont="1" applyFill="1" applyBorder="1"/>
    <xf numFmtId="0" fontId="49" fillId="3" borderId="39" xfId="0" applyFont="1" applyFill="1" applyBorder="1"/>
    <xf numFmtId="0" fontId="17" fillId="3" borderId="40" xfId="0" applyFont="1" applyFill="1" applyBorder="1"/>
    <xf numFmtId="0" fontId="6" fillId="6" borderId="43" xfId="0" applyFont="1" applyFill="1" applyBorder="1" applyAlignment="1">
      <alignment horizontal="center" vertical="center"/>
    </xf>
    <xf numFmtId="0" fontId="49" fillId="3" borderId="44" xfId="0" applyFont="1" applyFill="1" applyBorder="1" applyAlignment="1">
      <alignment horizontal="center"/>
    </xf>
    <xf numFmtId="0" fontId="49" fillId="3" borderId="44"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47" xfId="0" applyFont="1" applyFill="1" applyBorder="1"/>
    <xf numFmtId="0" fontId="49" fillId="3" borderId="45" xfId="0" applyFont="1" applyFill="1" applyBorder="1" applyAlignment="1">
      <alignment horizontal="center" vertical="center"/>
    </xf>
    <xf numFmtId="0" fontId="49" fillId="3" borderId="48" xfId="0" applyFont="1" applyFill="1" applyBorder="1" applyAlignment="1">
      <alignment horizontal="center" vertical="center"/>
    </xf>
    <xf numFmtId="9" fontId="16" fillId="3" borderId="18" xfId="0" applyNumberFormat="1" applyFont="1" applyFill="1" applyBorder="1" applyAlignment="1">
      <alignment vertical="center"/>
    </xf>
    <xf numFmtId="0" fontId="9" fillId="3" borderId="5" xfId="0" applyFont="1" applyFill="1" applyBorder="1" applyAlignment="1">
      <alignment horizontal="left" vertical="center"/>
    </xf>
    <xf numFmtId="0" fontId="9" fillId="3" borderId="7" xfId="0" applyFont="1" applyFill="1" applyBorder="1" applyAlignment="1">
      <alignment vertical="center"/>
    </xf>
    <xf numFmtId="9" fontId="1" fillId="3" borderId="11" xfId="0" applyNumberFormat="1" applyFont="1" applyFill="1" applyBorder="1" applyAlignment="1">
      <alignment vertical="center"/>
    </xf>
    <xf numFmtId="0" fontId="2" fillId="4" borderId="0" xfId="0" applyFont="1" applyFill="1" applyAlignment="1">
      <alignment vertical="center"/>
    </xf>
    <xf numFmtId="0" fontId="0" fillId="4" borderId="0" xfId="0" applyFill="1" applyAlignment="1">
      <alignment vertical="center"/>
    </xf>
    <xf numFmtId="0" fontId="0" fillId="4" borderId="12" xfId="0" applyFill="1" applyBorder="1" applyAlignment="1">
      <alignment vertical="center"/>
    </xf>
    <xf numFmtId="9" fontId="16" fillId="3" borderId="11" xfId="0" applyNumberFormat="1" applyFont="1" applyFill="1" applyBorder="1" applyAlignment="1">
      <alignment vertical="center"/>
    </xf>
    <xf numFmtId="0" fontId="1" fillId="3" borderId="0" xfId="0" applyFont="1" applyFill="1" applyAlignment="1">
      <alignment vertical="center" wrapText="1"/>
    </xf>
    <xf numFmtId="16" fontId="0" fillId="3" borderId="0" xfId="0" applyNumberFormat="1" applyFill="1" applyAlignment="1">
      <alignment horizontal="center" vertical="center"/>
    </xf>
    <xf numFmtId="16" fontId="1" fillId="3" borderId="12" xfId="0" applyNumberFormat="1" applyFont="1" applyFill="1" applyBorder="1" applyAlignment="1">
      <alignment horizontal="center" vertical="center"/>
    </xf>
    <xf numFmtId="0" fontId="1" fillId="3" borderId="0" xfId="0" applyFont="1" applyFill="1" applyAlignment="1">
      <alignment vertical="center"/>
    </xf>
    <xf numFmtId="16" fontId="0" fillId="3" borderId="12" xfId="0" applyNumberFormat="1" applyFill="1" applyBorder="1" applyAlignment="1">
      <alignment horizontal="center" vertical="center" wrapText="1"/>
    </xf>
    <xf numFmtId="0" fontId="1" fillId="0" borderId="0" xfId="0" applyFont="1" applyAlignment="1">
      <alignment vertical="center"/>
    </xf>
    <xf numFmtId="0" fontId="0" fillId="3" borderId="0" xfId="0" applyFill="1" applyAlignment="1">
      <alignment horizontal="center" vertical="center"/>
    </xf>
    <xf numFmtId="0" fontId="1" fillId="3" borderId="0" xfId="0" applyFont="1" applyFill="1"/>
    <xf numFmtId="0" fontId="23" fillId="2" borderId="0" xfId="0" applyFont="1" applyFill="1" applyAlignment="1">
      <alignment horizontal="center" vertical="center" wrapText="1"/>
    </xf>
    <xf numFmtId="0" fontId="4" fillId="3" borderId="0" xfId="0" applyFont="1" applyFill="1" applyAlignment="1">
      <alignment vertical="center" wrapText="1"/>
    </xf>
    <xf numFmtId="0" fontId="4" fillId="4" borderId="0" xfId="0" applyFont="1" applyFill="1" applyAlignment="1">
      <alignment vertical="center"/>
    </xf>
    <xf numFmtId="0" fontId="4" fillId="4" borderId="0" xfId="0" applyFont="1" applyFill="1" applyAlignment="1">
      <alignment vertical="center" wrapText="1"/>
    </xf>
    <xf numFmtId="0" fontId="4" fillId="3" borderId="0" xfId="0" applyFont="1" applyFill="1" applyAlignment="1">
      <alignment vertical="center"/>
    </xf>
    <xf numFmtId="0" fontId="0" fillId="0" borderId="0" xfId="0" applyAlignment="1">
      <alignment vertical="center"/>
    </xf>
    <xf numFmtId="0" fontId="4" fillId="0" borderId="0" xfId="0" applyFont="1" applyAlignment="1">
      <alignment vertical="center" wrapText="1"/>
    </xf>
    <xf numFmtId="0" fontId="1" fillId="0" borderId="0" xfId="0" applyFont="1" applyAlignment="1">
      <alignment horizontal="left" vertical="center"/>
    </xf>
    <xf numFmtId="16" fontId="0" fillId="0" borderId="0" xfId="0" applyNumberFormat="1" applyAlignment="1">
      <alignment horizontal="center" vertical="center"/>
    </xf>
    <xf numFmtId="0" fontId="0" fillId="3" borderId="4" xfId="0" applyFill="1" applyBorder="1" applyAlignment="1">
      <alignment horizontal="left" vertical="center" wrapText="1"/>
    </xf>
    <xf numFmtId="0" fontId="32" fillId="7" borderId="0" xfId="0" applyFont="1" applyFill="1" applyAlignment="1">
      <alignment horizontal="center" vertical="center"/>
    </xf>
    <xf numFmtId="0" fontId="50" fillId="7" borderId="0" xfId="0" applyFont="1" applyFill="1" applyAlignment="1">
      <alignment horizontal="center" vertical="center"/>
    </xf>
    <xf numFmtId="0" fontId="40" fillId="3" borderId="0" xfId="0" applyFont="1" applyFill="1" applyAlignment="1">
      <alignment horizontal="left" vertical="top" wrapText="1"/>
    </xf>
    <xf numFmtId="0" fontId="12" fillId="3" borderId="0" xfId="0" applyFont="1" applyFill="1" applyAlignment="1">
      <alignment horizontal="left" vertical="top" wrapText="1"/>
    </xf>
    <xf numFmtId="0" fontId="12" fillId="3" borderId="0" xfId="0" applyFont="1" applyFill="1" applyAlignment="1">
      <alignment horizontal="left" vertical="center" wrapText="1"/>
    </xf>
    <xf numFmtId="0" fontId="53" fillId="3" borderId="0" xfId="1" applyFont="1" applyFill="1" applyAlignment="1">
      <alignment horizontal="center" vertical="center" wrapText="1"/>
    </xf>
    <xf numFmtId="0" fontId="53" fillId="3" borderId="0" xfId="1" applyFont="1" applyFill="1" applyAlignment="1">
      <alignment horizontal="center" vertical="center"/>
    </xf>
    <xf numFmtId="0" fontId="55" fillId="3" borderId="0" xfId="0" applyFont="1" applyFill="1" applyAlignment="1">
      <alignment horizontal="left" vertical="center" wrapText="1"/>
    </xf>
    <xf numFmtId="0" fontId="41" fillId="3" borderId="0" xfId="0" applyFont="1" applyFill="1" applyAlignment="1">
      <alignment horizontal="left" vertical="top" wrapText="1"/>
    </xf>
    <xf numFmtId="0" fontId="10" fillId="3" borderId="0" xfId="0" applyFont="1" applyFill="1" applyAlignment="1">
      <alignment horizontal="left" vertical="center" wrapText="1"/>
    </xf>
    <xf numFmtId="0" fontId="13" fillId="17" borderId="5" xfId="0" applyFont="1" applyFill="1" applyBorder="1" applyAlignment="1">
      <alignment horizontal="center" vertical="center"/>
    </xf>
    <xf numFmtId="0" fontId="13" fillId="17" borderId="7" xfId="0" applyFont="1" applyFill="1" applyBorder="1" applyAlignment="1">
      <alignment horizontal="center" vertical="center"/>
    </xf>
    <xf numFmtId="0" fontId="0" fillId="3" borderId="11" xfId="0" applyFill="1" applyBorder="1" applyAlignment="1">
      <alignment horizontal="left" vertical="center" wrapText="1"/>
    </xf>
    <xf numFmtId="0" fontId="12" fillId="3" borderId="12" xfId="0" applyFont="1" applyFill="1" applyBorder="1" applyAlignment="1">
      <alignment horizontal="left" vertical="center" wrapText="1"/>
    </xf>
    <xf numFmtId="0" fontId="12" fillId="3" borderId="8"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9" xfId="0" applyFont="1" applyFill="1" applyBorder="1" applyAlignment="1">
      <alignment horizontal="left" vertical="center" wrapText="1"/>
    </xf>
    <xf numFmtId="0" fontId="12" fillId="3" borderId="33" xfId="0" applyFont="1" applyFill="1" applyBorder="1" applyAlignment="1">
      <alignment horizontal="left" vertical="center" wrapText="1"/>
    </xf>
    <xf numFmtId="0" fontId="12" fillId="3" borderId="4" xfId="0" applyFont="1" applyFill="1" applyBorder="1" applyAlignment="1">
      <alignment horizontal="left" vertical="center" wrapText="1"/>
    </xf>
    <xf numFmtId="0" fontId="12" fillId="3" borderId="34" xfId="0" applyFont="1" applyFill="1" applyBorder="1" applyAlignment="1">
      <alignment horizontal="left" vertical="center" wrapText="1"/>
    </xf>
    <xf numFmtId="0" fontId="12" fillId="3" borderId="35" xfId="0" applyFont="1" applyFill="1" applyBorder="1" applyAlignment="1">
      <alignment horizontal="left" vertical="center" wrapText="1"/>
    </xf>
    <xf numFmtId="0" fontId="12" fillId="3" borderId="36" xfId="0" applyFont="1" applyFill="1" applyBorder="1" applyAlignment="1">
      <alignment horizontal="left" vertical="center" wrapText="1"/>
    </xf>
    <xf numFmtId="0" fontId="12" fillId="3" borderId="37" xfId="0" applyFont="1" applyFill="1" applyBorder="1" applyAlignment="1">
      <alignment horizontal="left" vertical="center" wrapText="1"/>
    </xf>
    <xf numFmtId="0" fontId="10" fillId="9" borderId="28"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29" xfId="0" applyFont="1" applyFill="1" applyBorder="1" applyAlignment="1">
      <alignment horizontal="center" vertical="center"/>
    </xf>
    <xf numFmtId="0" fontId="10" fillId="8" borderId="28" xfId="0" applyFont="1" applyFill="1" applyBorder="1" applyAlignment="1">
      <alignment horizontal="center" vertical="center"/>
    </xf>
    <xf numFmtId="0" fontId="10" fillId="8" borderId="3" xfId="0" applyFont="1" applyFill="1" applyBorder="1" applyAlignment="1">
      <alignment horizontal="center" vertical="center"/>
    </xf>
    <xf numFmtId="0" fontId="10" fillId="8" borderId="29"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3" xfId="0" applyFont="1" applyFill="1" applyBorder="1" applyAlignment="1">
      <alignment horizontal="center" vertical="center"/>
    </xf>
    <xf numFmtId="0" fontId="10" fillId="10" borderId="29" xfId="0" applyFont="1" applyFill="1" applyBorder="1" applyAlignment="1">
      <alignment horizontal="center" vertical="center"/>
    </xf>
    <xf numFmtId="0" fontId="13" fillId="16" borderId="30" xfId="0" applyFont="1" applyFill="1" applyBorder="1" applyAlignment="1">
      <alignment horizontal="center" vertical="center"/>
    </xf>
    <xf numFmtId="0" fontId="13" fillId="16" borderId="31" xfId="0" applyFont="1" applyFill="1" applyBorder="1" applyAlignment="1">
      <alignment horizontal="center" vertical="center"/>
    </xf>
    <xf numFmtId="0" fontId="13" fillId="16" borderId="32" xfId="0" applyFont="1" applyFill="1" applyBorder="1" applyAlignment="1">
      <alignment horizontal="center" vertical="center"/>
    </xf>
    <xf numFmtId="0" fontId="10" fillId="18" borderId="4" xfId="0" applyFont="1" applyFill="1" applyBorder="1" applyAlignment="1">
      <alignment horizontal="center" vertical="center"/>
    </xf>
    <xf numFmtId="0" fontId="1" fillId="5" borderId="4"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6" borderId="4" xfId="0" applyFont="1" applyFill="1" applyBorder="1" applyAlignment="1">
      <alignment horizontal="left" vertical="center" wrapText="1"/>
    </xf>
    <xf numFmtId="0" fontId="1" fillId="7" borderId="4" xfId="0" applyFont="1" applyFill="1" applyBorder="1" applyAlignment="1">
      <alignment vertical="center" wrapText="1"/>
    </xf>
    <xf numFmtId="0" fontId="7" fillId="5" borderId="4" xfId="0" applyFont="1" applyFill="1" applyBorder="1" applyAlignment="1">
      <alignment horizontal="center" vertical="center"/>
    </xf>
    <xf numFmtId="0" fontId="1" fillId="7" borderId="28" xfId="0" applyFont="1" applyFill="1" applyBorder="1" applyAlignment="1">
      <alignment vertical="center" wrapText="1"/>
    </xf>
    <xf numFmtId="0" fontId="1" fillId="7" borderId="29" xfId="0" applyFont="1" applyFill="1" applyBorder="1" applyAlignment="1">
      <alignment vertical="center" wrapText="1"/>
    </xf>
    <xf numFmtId="0" fontId="1" fillId="8" borderId="4" xfId="0" applyFont="1" applyFill="1" applyBorder="1" applyAlignment="1">
      <alignment horizontal="left" vertical="center" wrapText="1"/>
    </xf>
    <xf numFmtId="0" fontId="1" fillId="7" borderId="4" xfId="0" applyFont="1" applyFill="1" applyBorder="1" applyAlignment="1">
      <alignment horizontal="left" vertical="center" wrapText="1"/>
    </xf>
    <xf numFmtId="0" fontId="11" fillId="19" borderId="4" xfId="0" applyFont="1" applyFill="1" applyBorder="1" applyAlignment="1">
      <alignment horizontal="center" vertical="center" wrapText="1"/>
    </xf>
    <xf numFmtId="0" fontId="11" fillId="19" borderId="4" xfId="0" applyFont="1" applyFill="1" applyBorder="1" applyAlignment="1">
      <alignment horizontal="center" vertical="center"/>
    </xf>
    <xf numFmtId="0" fontId="10" fillId="13" borderId="4" xfId="0" applyFont="1" applyFill="1" applyBorder="1" applyAlignment="1">
      <alignment horizontal="center" vertical="center"/>
    </xf>
    <xf numFmtId="0" fontId="1" fillId="14" borderId="4" xfId="0" applyFont="1" applyFill="1" applyBorder="1" applyAlignment="1">
      <alignment horizontal="left" vertical="center" wrapText="1"/>
    </xf>
    <xf numFmtId="0" fontId="10" fillId="11" borderId="4" xfId="0" applyFont="1" applyFill="1" applyBorder="1" applyAlignment="1">
      <alignment horizontal="center" vertical="center"/>
    </xf>
    <xf numFmtId="0" fontId="1" fillId="6" borderId="4" xfId="0" applyFont="1" applyFill="1" applyBorder="1" applyAlignment="1">
      <alignment vertical="center" wrapText="1"/>
    </xf>
    <xf numFmtId="0" fontId="1" fillId="12" borderId="4" xfId="0" applyFont="1" applyFill="1" applyBorder="1" applyAlignment="1">
      <alignment horizontal="left"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3" borderId="23" xfId="0" applyFill="1" applyBorder="1" applyAlignment="1">
      <alignment horizontal="left" vertical="center" wrapText="1"/>
    </xf>
    <xf numFmtId="0" fontId="0" fillId="3" borderId="24" xfId="0" applyFill="1" applyBorder="1" applyAlignment="1">
      <alignment horizontal="left" vertical="center" wrapText="1"/>
    </xf>
    <xf numFmtId="0" fontId="0" fillId="3" borderId="3" xfId="0" applyFill="1" applyBorder="1" applyAlignment="1">
      <alignment horizontal="left" vertical="center" wrapText="1"/>
    </xf>
    <xf numFmtId="0" fontId="0" fillId="3" borderId="17" xfId="0" applyFill="1" applyBorder="1" applyAlignment="1">
      <alignment horizontal="left" vertical="center" wrapText="1"/>
    </xf>
    <xf numFmtId="0" fontId="12" fillId="3" borderId="3" xfId="0" applyFont="1" applyFill="1" applyBorder="1" applyAlignment="1">
      <alignment horizontal="left" vertical="center" wrapText="1"/>
    </xf>
    <xf numFmtId="0" fontId="12" fillId="3" borderId="25" xfId="0" applyFont="1" applyFill="1" applyBorder="1" applyAlignment="1">
      <alignment horizontal="left" vertical="center" wrapText="1"/>
    </xf>
    <xf numFmtId="0" fontId="0" fillId="3" borderId="0" xfId="0" applyFill="1" applyAlignment="1">
      <alignment horizontal="left" vertical="center" wrapText="1"/>
    </xf>
    <xf numFmtId="0" fontId="0" fillId="3" borderId="12" xfId="0" applyFill="1" applyBorder="1" applyAlignment="1">
      <alignment horizontal="left" vertical="center" wrapText="1"/>
    </xf>
    <xf numFmtId="0" fontId="6" fillId="6" borderId="5" xfId="0" applyFont="1" applyFill="1" applyBorder="1" applyAlignment="1">
      <alignment horizontal="center" vertical="center"/>
    </xf>
    <xf numFmtId="0" fontId="6" fillId="6" borderId="6" xfId="0" applyFont="1" applyFill="1" applyBorder="1" applyAlignment="1">
      <alignment horizontal="center" vertical="center"/>
    </xf>
    <xf numFmtId="0" fontId="6" fillId="6" borderId="7" xfId="0" applyFont="1" applyFill="1" applyBorder="1" applyAlignment="1">
      <alignment horizontal="center" vertical="center"/>
    </xf>
    <xf numFmtId="0" fontId="13" fillId="16" borderId="0" xfId="0" applyFont="1" applyFill="1" applyAlignment="1">
      <alignment horizontal="center" vertical="center"/>
    </xf>
    <xf numFmtId="0" fontId="6" fillId="6" borderId="41" xfId="0" applyFont="1" applyFill="1" applyBorder="1" applyAlignment="1">
      <alignment horizontal="center" vertical="center"/>
    </xf>
    <xf numFmtId="0" fontId="6" fillId="6" borderId="42" xfId="0" applyFont="1" applyFill="1" applyBorder="1" applyAlignment="1">
      <alignment horizontal="center" vertical="center"/>
    </xf>
    <xf numFmtId="0" fontId="37" fillId="3" borderId="0" xfId="0" applyFont="1" applyFill="1" applyBorder="1" applyAlignment="1">
      <alignment vertical="center"/>
    </xf>
    <xf numFmtId="0" fontId="38" fillId="3" borderId="0" xfId="0" applyFont="1" applyFill="1" applyBorder="1" applyAlignment="1">
      <alignment vertical="center"/>
    </xf>
    <xf numFmtId="0" fontId="54" fillId="3" borderId="0" xfId="0" applyFont="1" applyFill="1"/>
    <xf numFmtId="0" fontId="17" fillId="3" borderId="1" xfId="0" applyFont="1" applyFill="1" applyBorder="1" applyAlignment="1"/>
  </cellXfs>
  <cellStyles count="8">
    <cellStyle name="Bad" xfId="3" builtinId="27"/>
    <cellStyle name="Comma" xfId="6" builtinId="3"/>
    <cellStyle name="Good" xfId="2" builtinId="26"/>
    <cellStyle name="Hyperlink" xfId="1" builtinId="8"/>
    <cellStyle name="Neutral" xfId="4" builtinId="28"/>
    <cellStyle name="Normal" xfId="0" builtinId="0"/>
    <cellStyle name="Normal 2" xfId="5" xr:uid="{7E6EF594-2BC0-414C-BA68-D3892813CEFC}"/>
    <cellStyle name="Percent" xfId="7" builtinId="5"/>
  </cellStyles>
  <dxfs count="147">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2" tint="-0.24994659260841701"/>
      </font>
      <fill>
        <patternFill>
          <bgColor theme="0" tint="-4.9989318521683403E-2"/>
        </patternFill>
      </fill>
    </dxf>
    <dxf>
      <fill>
        <patternFill>
          <bgColor theme="9" tint="0.39994506668294322"/>
        </patternFill>
      </fill>
    </dxf>
    <dxf>
      <fill>
        <patternFill>
          <bgColor theme="7" tint="0.59996337778862885"/>
        </patternFill>
      </fill>
    </dxf>
    <dxf>
      <fill>
        <patternFill>
          <bgColor rgb="FFF8B6B6"/>
        </patternFill>
      </fill>
    </dxf>
    <dxf>
      <font>
        <color theme="2" tint="-0.24994659260841701"/>
      </font>
      <fill>
        <patternFill>
          <bgColor theme="0" tint="-4.9989318521683403E-2"/>
        </patternFill>
      </fill>
    </dxf>
    <dxf>
      <fill>
        <patternFill>
          <bgColor theme="9" tint="0.39994506668294322"/>
        </patternFill>
      </fill>
    </dxf>
    <dxf>
      <fill>
        <patternFill>
          <bgColor theme="7" tint="0.59996337778862885"/>
        </patternFill>
      </fill>
    </dxf>
    <dxf>
      <fill>
        <patternFill>
          <bgColor rgb="FFF8B6B6"/>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2" tint="-9.9948118533890809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dxf>
    <dxf>
      <font>
        <color theme="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D10" lockText="1" noThreeD="1"/>
</file>

<file path=xl/ctrlProps/ctrlProp2.xml><?xml version="1.0" encoding="utf-8"?>
<formControlPr xmlns="http://schemas.microsoft.com/office/spreadsheetml/2009/9/main" objectType="CheckBox" checked="Checked" fmlaLink="$D$11" lockText="1" noThreeD="1"/>
</file>

<file path=xl/ctrlProps/ctrlProp3.xml><?xml version="1.0" encoding="utf-8"?>
<formControlPr xmlns="http://schemas.microsoft.com/office/spreadsheetml/2009/9/main" objectType="CheckBox" checked="Checked" fmlaLink="$D$11" lockText="1" noThreeD="1"/>
</file>

<file path=xl/ctrlProps/ctrlProp4.xml><?xml version="1.0" encoding="utf-8"?>
<formControlPr xmlns="http://schemas.microsoft.com/office/spreadsheetml/2009/9/main" objectType="CheckBox" checked="Checked" fmlaLink="$D$11" lockText="1" noThreeD="1"/>
</file>

<file path=xl/ctrlProps/ctrlProp5.xml><?xml version="1.0" encoding="utf-8"?>
<formControlPr xmlns="http://schemas.microsoft.com/office/spreadsheetml/2009/9/main" objectType="CheckBox" checked="Checked" fmlaLink="$D$11" lockText="1" noThreeD="1"/>
</file>

<file path=xl/ctrlProps/ctrlProp6.xml><?xml version="1.0" encoding="utf-8"?>
<formControlPr xmlns="http://schemas.microsoft.com/office/spreadsheetml/2009/9/main" objectType="CheckBox" checked="Checked" fmlaLink="$D$11" lockText="1" noThreeD="1"/>
</file>

<file path=xl/ctrlProps/ctrlProp7.xml><?xml version="1.0" encoding="utf-8"?>
<formControlPr xmlns="http://schemas.microsoft.com/office/spreadsheetml/2009/9/main" objectType="CheckBox" checked="Checked" fmlaLink="$D10" lockText="1" noThreeD="1"/>
</file>

<file path=xl/ctrlProps/ctrlProp8.xml><?xml version="1.0" encoding="utf-8"?>
<formControlPr xmlns="http://schemas.microsoft.com/office/spreadsheetml/2009/9/main" objectType="CheckBox" checked="Checked" fmlaLink="$D10" lockText="1" noThreeD="1"/>
</file>

<file path=xl/ctrlProps/ctrlProp9.xml><?xml version="1.0" encoding="utf-8"?>
<formControlPr xmlns="http://schemas.microsoft.com/office/spreadsheetml/2009/9/main" objectType="CheckBox" checked="Checked" fmlaLink="$D13" lockText="1" noThreeD="1"/>
</file>

<file path=xl/ctrlProps/ctrlProp10.xml><?xml version="1.0" encoding="utf-8"?>
<formControlPr xmlns="http://schemas.microsoft.com/office/spreadsheetml/2009/9/main" objectType="CheckBox" checked="Checked" fmlaLink="$D14" lockText="1" noThreeD="1"/>
</file>

<file path=xl/ctrlProps/ctrlProp11.xml><?xml version="1.0" encoding="utf-8"?>
<formControlPr xmlns="http://schemas.microsoft.com/office/spreadsheetml/2009/9/main" objectType="CheckBox" checked="Checked" fmlaLink="$D15" lockText="1" noThreeD="1"/>
</file>

<file path=xl/ctrlProps/ctrlProp12.xml><?xml version="1.0" encoding="utf-8"?>
<formControlPr xmlns="http://schemas.microsoft.com/office/spreadsheetml/2009/9/main" objectType="CheckBox" checked="Checked" fmlaLink="$D10" lockText="1" noThreeD="1"/>
</file>

<file path=xl/ctrlProps/ctrlProp13.xml><?xml version="1.0" encoding="utf-8"?>
<formControlPr xmlns="http://schemas.microsoft.com/office/spreadsheetml/2009/9/main" objectType="CheckBox" checked="Checked" fmlaLink="D11" lockText="1" noThreeD="1"/>
</file>

<file path=xl/ctrlProps/ctrlProp14.xml><?xml version="1.0" encoding="utf-8"?>
<formControlPr xmlns="http://schemas.microsoft.com/office/spreadsheetml/2009/9/main" objectType="CheckBox" checked="Checked" fmlaLink="D11" lockText="1" noThreeD="1"/>
</file>

<file path=xl/ctrlProps/ctrlProp15.xml><?xml version="1.0" encoding="utf-8"?>
<formControlPr xmlns="http://schemas.microsoft.com/office/spreadsheetml/2009/9/main" objectType="CheckBox" checked="Checked" fmlaLink="D12" lockText="1" noThreeD="1"/>
</file>

<file path=xl/ctrlProps/ctrlProp16.xml><?xml version="1.0" encoding="utf-8"?>
<formControlPr xmlns="http://schemas.microsoft.com/office/spreadsheetml/2009/9/main" objectType="CheckBox" checked="Checked" fmlaLink="$D$11" lockText="1" noThreeD="1"/>
</file>

<file path=xl/ctrlProps/ctrlProp17.xml><?xml version="1.0" encoding="utf-8"?>
<formControlPr xmlns="http://schemas.microsoft.com/office/spreadsheetml/2009/9/main" objectType="CheckBox" checked="Checked" fmlaLink="$D15" lockText="1" noThreeD="1"/>
</file>

<file path=xl/ctrlProps/ctrlProp18.xml><?xml version="1.0" encoding="utf-8"?>
<formControlPr xmlns="http://schemas.microsoft.com/office/spreadsheetml/2009/9/main" objectType="CheckBox" checked="Checked" fmlaLink="$D$11" lockText="1" noThreeD="1"/>
</file>

<file path=xl/ctrlProps/ctrlProp19.xml><?xml version="1.0" encoding="utf-8"?>
<formControlPr xmlns="http://schemas.microsoft.com/office/spreadsheetml/2009/9/main" objectType="CheckBox" checked="Checked" fmlaLink="$D$11" lockText="1" noThreeD="1"/>
</file>

<file path=xl/ctrlProps/ctrlProp20.xml><?xml version="1.0" encoding="utf-8"?>
<formControlPr xmlns="http://schemas.microsoft.com/office/spreadsheetml/2009/9/main" objectType="CheckBox" checked="Checked" fmlaLink="$D14" lockText="1" noThreeD="1"/>
</file>

<file path=xl/ctrlProps/ctrlProp21.xml><?xml version="1.0" encoding="utf-8"?>
<formControlPr xmlns="http://schemas.microsoft.com/office/spreadsheetml/2009/9/main" objectType="CheckBox" checked="Checked" fmlaLink="$D15" lockText="1" noThreeD="1"/>
</file>

<file path=xl/ctrlProps/ctrlProp22.xml><?xml version="1.0" encoding="utf-8"?>
<formControlPr xmlns="http://schemas.microsoft.com/office/spreadsheetml/2009/9/main" objectType="CheckBox" checked="Checked" fmlaLink="$D$11" lockText="1" noThreeD="1"/>
</file>

<file path=xl/ctrlProps/ctrlProp23.xml><?xml version="1.0" encoding="utf-8"?>
<formControlPr xmlns="http://schemas.microsoft.com/office/spreadsheetml/2009/9/main" objectType="CheckBox" checked="Checked" fmlaLink="D18" lockText="1" noThreeD="1"/>
</file>

<file path=xl/ctrlProps/ctrlProp24.xml><?xml version="1.0" encoding="utf-8"?>
<formControlPr xmlns="http://schemas.microsoft.com/office/spreadsheetml/2009/9/main" objectType="CheckBox" checked="Checked" fmlaLink="$D$11" lockText="1" noThreeD="1"/>
</file>

<file path=xl/ctrlProps/ctrlProp25.xml><?xml version="1.0" encoding="utf-8"?>
<formControlPr xmlns="http://schemas.microsoft.com/office/spreadsheetml/2009/9/main" objectType="CheckBox" checked="Checked" fmlaLink="$D15" lockText="1" noThreeD="1"/>
</file>

<file path=xl/ctrlProps/ctrlProp26.xml><?xml version="1.0" encoding="utf-8"?>
<formControlPr xmlns="http://schemas.microsoft.com/office/spreadsheetml/2009/9/main" objectType="CheckBox" checked="Checked" fmlaLink="$D$11" lockText="1" noThreeD="1"/>
</file>

<file path=xl/ctrlProps/ctrlProp27.xml><?xml version="1.0" encoding="utf-8"?>
<formControlPr xmlns="http://schemas.microsoft.com/office/spreadsheetml/2009/9/main" objectType="CheckBox" checked="Checked" fmlaLink="$D15" lockText="1" noThreeD="1"/>
</file>

<file path=xl/ctrlProps/ctrlProp28.xml><?xml version="1.0" encoding="utf-8"?>
<formControlPr xmlns="http://schemas.microsoft.com/office/spreadsheetml/2009/9/main" objectType="CheckBox" checked="Checked" fmlaLink="$D$11" lockText="1" noThreeD="1"/>
</file>

<file path=xl/ctrlProps/ctrlProp29.xml><?xml version="1.0" encoding="utf-8"?>
<formControlPr xmlns="http://schemas.microsoft.com/office/spreadsheetml/2009/9/main" objectType="CheckBox" checked="Checked" fmlaLink="D17" lockText="1" noThreeD="1"/>
</file>

<file path=xl/ctrlProps/ctrlProp30.xml><?xml version="1.0" encoding="utf-8"?>
<formControlPr xmlns="http://schemas.microsoft.com/office/spreadsheetml/2009/9/main" objectType="CheckBox" checked="Checked" fmlaLink="D20" lockText="1" noThreeD="1"/>
</file>

<file path=xl/ctrlProps/ctrlProp31.xml><?xml version="1.0" encoding="utf-8"?>
<formControlPr xmlns="http://schemas.microsoft.com/office/spreadsheetml/2009/9/main" objectType="CheckBox" checked="Checked" fmlaLink="D21" lockText="1" noThreeD="1"/>
</file>

<file path=xl/ctrlProps/ctrlProp32.xml><?xml version="1.0" encoding="utf-8"?>
<formControlPr xmlns="http://schemas.microsoft.com/office/spreadsheetml/2009/9/main" objectType="CheckBox" checked="Checked" fmlaLink="D22" lockText="1" noThreeD="1"/>
</file>

<file path=xl/ctrlProps/ctrlProp33.xml><?xml version="1.0" encoding="utf-8"?>
<formControlPr xmlns="http://schemas.microsoft.com/office/spreadsheetml/2009/9/main" objectType="CheckBox" checked="Checked" fmlaLink="D24" lockText="1" noThreeD="1"/>
</file>

<file path=xl/ctrlProps/ctrlProp34.xml><?xml version="1.0" encoding="utf-8"?>
<formControlPr xmlns="http://schemas.microsoft.com/office/spreadsheetml/2009/9/main" objectType="CheckBox" checked="Checked" fmlaLink="D25" lockText="1" noThreeD="1"/>
</file>

<file path=xl/ctrlProps/ctrlProp35.xml><?xml version="1.0" encoding="utf-8"?>
<formControlPr xmlns="http://schemas.microsoft.com/office/spreadsheetml/2009/9/main" objectType="CheckBox" checked="Checked" fmlaLink="D26" lockText="1" noThreeD="1"/>
</file>

<file path=xl/ctrlProps/ctrlProp36.xml><?xml version="1.0" encoding="utf-8"?>
<formControlPr xmlns="http://schemas.microsoft.com/office/spreadsheetml/2009/9/main" objectType="CheckBox" checked="Checked" fmlaLink="D28" lockText="1" noThreeD="1"/>
</file>

<file path=xl/ctrlProps/ctrlProp37.xml><?xml version="1.0" encoding="utf-8"?>
<formControlPr xmlns="http://schemas.microsoft.com/office/spreadsheetml/2009/9/main" objectType="CheckBox" checked="Checked" fmlaLink="D2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Partner Screening Framework'!A1"/></Relationships>
</file>

<file path=xl/drawings/_rels/drawing3.xml.rels><?xml version="1.0" encoding="UTF-8" standalone="yes"?>
<Relationships xmlns="http://schemas.openxmlformats.org/package/2006/relationships"><Relationship Id="rId2" Type="http://schemas.openxmlformats.org/officeDocument/2006/relationships/hyperlink" Target="#Results!A1"/><Relationship Id="rId1" Type="http://schemas.openxmlformats.org/officeDocument/2006/relationships/hyperlink" Target="#'Scoring logic &amp; methodology'!A1"/></Relationships>
</file>

<file path=xl/drawings/drawing1.xml><?xml version="1.0" encoding="utf-8"?>
<xdr:wsDr xmlns:xdr="http://schemas.openxmlformats.org/drawingml/2006/spreadsheetDrawing" xmlns:a="http://schemas.openxmlformats.org/drawingml/2006/main">
  <xdr:twoCellAnchor>
    <xdr:from>
      <xdr:col>2</xdr:col>
      <xdr:colOff>1333500</xdr:colOff>
      <xdr:row>16</xdr:row>
      <xdr:rowOff>179456</xdr:rowOff>
    </xdr:from>
    <xdr:to>
      <xdr:col>3</xdr:col>
      <xdr:colOff>1419225</xdr:colOff>
      <xdr:row>17</xdr:row>
      <xdr:rowOff>285750</xdr:rowOff>
    </xdr:to>
    <xdr:sp macro="" textlink="">
      <xdr:nvSpPr>
        <xdr:cNvPr id="20" name="Rectangle: Rounded Corners 9">
          <a:extLst>
            <a:ext uri="{FF2B5EF4-FFF2-40B4-BE49-F238E27FC236}">
              <a16:creationId xmlns:a16="http://schemas.microsoft.com/office/drawing/2014/main" id="{6246F8EF-5544-4E2F-A5F9-12A17A87BE4C}"/>
            </a:ext>
          </a:extLst>
        </xdr:cNvPr>
        <xdr:cNvSpPr/>
      </xdr:nvSpPr>
      <xdr:spPr>
        <a:xfrm>
          <a:off x="2933700" y="4475231"/>
          <a:ext cx="1504950" cy="344419"/>
        </a:xfrm>
        <a:prstGeom prst="roundRect">
          <a:avLst/>
        </a:prstGeom>
        <a:solidFill>
          <a:schemeClr val="accent2"/>
        </a:solidFill>
        <a:ln>
          <a:solidFill>
            <a:schemeClr val="accent2"/>
          </a:solidFill>
        </a:ln>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i="1"/>
            <a:t>TA Funders</a:t>
          </a:r>
        </a:p>
      </xdr:txBody>
    </xdr:sp>
    <xdr:clientData/>
  </xdr:twoCellAnchor>
  <xdr:twoCellAnchor editAs="oneCell">
    <xdr:from>
      <xdr:col>2</xdr:col>
      <xdr:colOff>609600</xdr:colOff>
      <xdr:row>3</xdr:row>
      <xdr:rowOff>133350</xdr:rowOff>
    </xdr:from>
    <xdr:to>
      <xdr:col>3</xdr:col>
      <xdr:colOff>2086067</xdr:colOff>
      <xdr:row>6</xdr:row>
      <xdr:rowOff>177800</xdr:rowOff>
    </xdr:to>
    <xdr:pic>
      <xdr:nvPicPr>
        <xdr:cNvPr id="4" name="Afbeelding 13">
          <a:extLst>
            <a:ext uri="{FF2B5EF4-FFF2-40B4-BE49-F238E27FC236}">
              <a16:creationId xmlns:a16="http://schemas.microsoft.com/office/drawing/2014/main" id="{F7EB5EA5-D27E-E1E8-E34B-32EAF7E4FCFA}"/>
            </a:ext>
          </a:extLst>
        </xdr:cNvPr>
        <xdr:cNvPicPr>
          <a:picLocks noChangeAspect="1"/>
        </xdr:cNvPicPr>
      </xdr:nvPicPr>
      <xdr:blipFill>
        <a:blip xmlns:r="http://schemas.openxmlformats.org/officeDocument/2006/relationships" r:embed="rId1"/>
        <a:srcRect/>
        <a:stretch/>
      </xdr:blipFill>
      <xdr:spPr>
        <a:xfrm>
          <a:off x="1857375" y="847725"/>
          <a:ext cx="2895693" cy="958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367844</xdr:colOff>
      <xdr:row>4</xdr:row>
      <xdr:rowOff>383754</xdr:rowOff>
    </xdr:from>
    <xdr:to>
      <xdr:col>7</xdr:col>
      <xdr:colOff>160347</xdr:colOff>
      <xdr:row>4</xdr:row>
      <xdr:rowOff>997058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3C238D88-E288-4D21-AD1C-C6CDF3919B33}"/>
            </a:ext>
          </a:extLst>
        </xdr:cNvPr>
        <xdr:cNvSpPr/>
      </xdr:nvSpPr>
      <xdr:spPr>
        <a:xfrm>
          <a:off x="13086520" y="1440309"/>
          <a:ext cx="1753533" cy="613304"/>
        </a:xfrm>
        <a:prstGeom prst="rect">
          <a:avLst/>
        </a:prstGeom>
        <a:solidFill>
          <a:schemeClr val="accent1"/>
        </a:solidFill>
        <a:ln>
          <a:noFill/>
        </a:ln>
        <a:effectLst/>
        <a:scene3d>
          <a:camera prst="orthographicFront">
            <a:rot lat="0" lon="0" rev="0"/>
          </a:camera>
          <a:lightRig rig="contrasting" dir="t">
            <a:rot lat="0" lon="0" rev="7800000"/>
          </a:lightRig>
        </a:scene3d>
        <a:sp3d>
          <a:bevelT w="139700" h="139700"/>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400" b="1">
              <a:solidFill>
                <a:schemeClr val="bg1"/>
              </a:solidFill>
            </a:rPr>
            <a:t>Partner Screening Framework</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9</xdr:row>
          <xdr:rowOff>603250</xdr:rowOff>
        </xdr:from>
        <xdr:to>
          <xdr:col>3</xdr:col>
          <xdr:colOff>533400</xdr:colOff>
          <xdr:row>9</xdr:row>
          <xdr:rowOff>831850</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10</xdr:row>
          <xdr:rowOff>603250</xdr:rowOff>
        </xdr:from>
        <xdr:to>
          <xdr:col>3</xdr:col>
          <xdr:colOff>533400</xdr:colOff>
          <xdr:row>10</xdr:row>
          <xdr:rowOff>831850</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11</xdr:row>
          <xdr:rowOff>603250</xdr:rowOff>
        </xdr:from>
        <xdr:to>
          <xdr:col>3</xdr:col>
          <xdr:colOff>533400</xdr:colOff>
          <xdr:row>11</xdr:row>
          <xdr:rowOff>831850</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12</xdr:row>
          <xdr:rowOff>603250</xdr:rowOff>
        </xdr:from>
        <xdr:to>
          <xdr:col>3</xdr:col>
          <xdr:colOff>533400</xdr:colOff>
          <xdr:row>12</xdr:row>
          <xdr:rowOff>831850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13</xdr:row>
          <xdr:rowOff>603250</xdr:rowOff>
        </xdr:from>
        <xdr:to>
          <xdr:col>3</xdr:col>
          <xdr:colOff>533400</xdr:colOff>
          <xdr:row>14</xdr:row>
          <xdr:rowOff>38100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14</xdr:row>
          <xdr:rowOff>603250</xdr:rowOff>
        </xdr:from>
        <xdr:to>
          <xdr:col>3</xdr:col>
          <xdr:colOff>533400</xdr:colOff>
          <xdr:row>15</xdr:row>
          <xdr:rowOff>6350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10</xdr:row>
          <xdr:rowOff>603250</xdr:rowOff>
        </xdr:from>
        <xdr:to>
          <xdr:col>3</xdr:col>
          <xdr:colOff>533400</xdr:colOff>
          <xdr:row>10</xdr:row>
          <xdr:rowOff>831850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11</xdr:row>
          <xdr:rowOff>603250</xdr:rowOff>
        </xdr:from>
        <xdr:to>
          <xdr:col>3</xdr:col>
          <xdr:colOff>533400</xdr:colOff>
          <xdr:row>11</xdr:row>
          <xdr:rowOff>831850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12</xdr:row>
          <xdr:rowOff>603250</xdr:rowOff>
        </xdr:from>
        <xdr:to>
          <xdr:col>3</xdr:col>
          <xdr:colOff>533400</xdr:colOff>
          <xdr:row>12</xdr:row>
          <xdr:rowOff>831850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13</xdr:row>
          <xdr:rowOff>603250</xdr:rowOff>
        </xdr:from>
        <xdr:to>
          <xdr:col>3</xdr:col>
          <xdr:colOff>533400</xdr:colOff>
          <xdr:row>14</xdr:row>
          <xdr:rowOff>38100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14</xdr:row>
          <xdr:rowOff>603250</xdr:rowOff>
        </xdr:from>
        <xdr:to>
          <xdr:col>3</xdr:col>
          <xdr:colOff>533400</xdr:colOff>
          <xdr:row>15</xdr:row>
          <xdr:rowOff>6350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10</xdr:row>
          <xdr:rowOff>603250</xdr:rowOff>
        </xdr:from>
        <xdr:to>
          <xdr:col>3</xdr:col>
          <xdr:colOff>533400</xdr:colOff>
          <xdr:row>10</xdr:row>
          <xdr:rowOff>831850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10</xdr:row>
          <xdr:rowOff>603250</xdr:rowOff>
        </xdr:from>
        <xdr:to>
          <xdr:col>3</xdr:col>
          <xdr:colOff>533400</xdr:colOff>
          <xdr:row>10</xdr:row>
          <xdr:rowOff>831850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10</xdr:row>
          <xdr:rowOff>603250</xdr:rowOff>
        </xdr:from>
        <xdr:to>
          <xdr:col>3</xdr:col>
          <xdr:colOff>533400</xdr:colOff>
          <xdr:row>10</xdr:row>
          <xdr:rowOff>831850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11</xdr:row>
          <xdr:rowOff>603250</xdr:rowOff>
        </xdr:from>
        <xdr:to>
          <xdr:col>3</xdr:col>
          <xdr:colOff>533400</xdr:colOff>
          <xdr:row>11</xdr:row>
          <xdr:rowOff>831850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17</xdr:row>
          <xdr:rowOff>603250</xdr:rowOff>
        </xdr:from>
        <xdr:to>
          <xdr:col>3</xdr:col>
          <xdr:colOff>533400</xdr:colOff>
          <xdr:row>17</xdr:row>
          <xdr:rowOff>831850</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17</xdr:row>
          <xdr:rowOff>603250</xdr:rowOff>
        </xdr:from>
        <xdr:to>
          <xdr:col>3</xdr:col>
          <xdr:colOff>533400</xdr:colOff>
          <xdr:row>17</xdr:row>
          <xdr:rowOff>831850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17</xdr:row>
          <xdr:rowOff>603250</xdr:rowOff>
        </xdr:from>
        <xdr:to>
          <xdr:col>3</xdr:col>
          <xdr:colOff>533400</xdr:colOff>
          <xdr:row>17</xdr:row>
          <xdr:rowOff>831850</xdr:rowOff>
        </xdr:to>
        <xdr:sp macro="" textlink="">
          <xdr:nvSpPr>
            <xdr:cNvPr id="2135" name="Check Box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17</xdr:row>
          <xdr:rowOff>603250</xdr:rowOff>
        </xdr:from>
        <xdr:to>
          <xdr:col>3</xdr:col>
          <xdr:colOff>533400</xdr:colOff>
          <xdr:row>17</xdr:row>
          <xdr:rowOff>831850</xdr:rowOff>
        </xdr:to>
        <xdr:sp macro="" textlink="">
          <xdr:nvSpPr>
            <xdr:cNvPr id="2136" name="Check Box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38" name="Check Box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39" name="Check Box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40" name="Check Box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41" name="Check Box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16</xdr:row>
          <xdr:rowOff>603250</xdr:rowOff>
        </xdr:from>
        <xdr:to>
          <xdr:col>3</xdr:col>
          <xdr:colOff>533400</xdr:colOff>
          <xdr:row>16</xdr:row>
          <xdr:rowOff>831850</xdr:rowOff>
        </xdr:to>
        <xdr:sp macro="" textlink="">
          <xdr:nvSpPr>
            <xdr:cNvPr id="2142" name="Check Box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19</xdr:row>
          <xdr:rowOff>381000</xdr:rowOff>
        </xdr:from>
        <xdr:to>
          <xdr:col>3</xdr:col>
          <xdr:colOff>546100</xdr:colOff>
          <xdr:row>19</xdr:row>
          <xdr:rowOff>609600</xdr:rowOff>
        </xdr:to>
        <xdr:sp macro="" textlink="">
          <xdr:nvSpPr>
            <xdr:cNvPr id="2143" name="Check Box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20</xdr:row>
          <xdr:rowOff>381000</xdr:rowOff>
        </xdr:from>
        <xdr:to>
          <xdr:col>3</xdr:col>
          <xdr:colOff>546100</xdr:colOff>
          <xdr:row>20</xdr:row>
          <xdr:rowOff>609600</xdr:rowOff>
        </xdr:to>
        <xdr:sp macro="" textlink="">
          <xdr:nvSpPr>
            <xdr:cNvPr id="2144" name="Check Box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21</xdr:row>
          <xdr:rowOff>381000</xdr:rowOff>
        </xdr:from>
        <xdr:to>
          <xdr:col>3</xdr:col>
          <xdr:colOff>546100</xdr:colOff>
          <xdr:row>21</xdr:row>
          <xdr:rowOff>609600</xdr:rowOff>
        </xdr:to>
        <xdr:sp macro="" textlink="">
          <xdr:nvSpPr>
            <xdr:cNvPr id="2145" name="Check Box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23</xdr:row>
          <xdr:rowOff>381000</xdr:rowOff>
        </xdr:from>
        <xdr:to>
          <xdr:col>3</xdr:col>
          <xdr:colOff>546100</xdr:colOff>
          <xdr:row>23</xdr:row>
          <xdr:rowOff>609600</xdr:rowOff>
        </xdr:to>
        <xdr:sp macro="" textlink="">
          <xdr:nvSpPr>
            <xdr:cNvPr id="2146" name="Check Box 98"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24</xdr:row>
          <xdr:rowOff>381000</xdr:rowOff>
        </xdr:from>
        <xdr:to>
          <xdr:col>3</xdr:col>
          <xdr:colOff>546100</xdr:colOff>
          <xdr:row>24</xdr:row>
          <xdr:rowOff>609600</xdr:rowOff>
        </xdr:to>
        <xdr:sp macro="" textlink="">
          <xdr:nvSpPr>
            <xdr:cNvPr id="2147" name="Check Box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25</xdr:row>
          <xdr:rowOff>368300</xdr:rowOff>
        </xdr:from>
        <xdr:to>
          <xdr:col>3</xdr:col>
          <xdr:colOff>590550</xdr:colOff>
          <xdr:row>25</xdr:row>
          <xdr:rowOff>527050</xdr:rowOff>
        </xdr:to>
        <xdr:sp macro="" textlink="">
          <xdr:nvSpPr>
            <xdr:cNvPr id="2148" name="Check Box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27</xdr:row>
          <xdr:rowOff>381000</xdr:rowOff>
        </xdr:from>
        <xdr:to>
          <xdr:col>3</xdr:col>
          <xdr:colOff>546100</xdr:colOff>
          <xdr:row>27</xdr:row>
          <xdr:rowOff>609600</xdr:rowOff>
        </xdr:to>
        <xdr:sp macro="" textlink="">
          <xdr:nvSpPr>
            <xdr:cNvPr id="2149" name="Check Box 101"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28</xdr:row>
          <xdr:rowOff>381000</xdr:rowOff>
        </xdr:from>
        <xdr:to>
          <xdr:col>3</xdr:col>
          <xdr:colOff>546100</xdr:colOff>
          <xdr:row>28</xdr:row>
          <xdr:rowOff>609600</xdr:rowOff>
        </xdr:to>
        <xdr:sp macro="" textlink="">
          <xdr:nvSpPr>
            <xdr:cNvPr id="2150" name="Check Box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395653</xdr:colOff>
      <xdr:row>1</xdr:row>
      <xdr:rowOff>219807</xdr:rowOff>
    </xdr:from>
    <xdr:to>
      <xdr:col>10</xdr:col>
      <xdr:colOff>2403230</xdr:colOff>
      <xdr:row>3</xdr:row>
      <xdr:rowOff>29308</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3C0AAD05-E0F8-C0F1-406E-D1726D3A3741}"/>
            </a:ext>
          </a:extLst>
        </xdr:cNvPr>
        <xdr:cNvSpPr/>
      </xdr:nvSpPr>
      <xdr:spPr>
        <a:xfrm>
          <a:off x="12822115" y="454269"/>
          <a:ext cx="2007577" cy="395654"/>
        </a:xfrm>
        <a:prstGeom prst="rect">
          <a:avLst/>
        </a:prstGeom>
        <a:solidFill>
          <a:schemeClr val="accent6">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400" b="1">
              <a:solidFill>
                <a:sysClr val="windowText" lastClr="000000"/>
              </a:solidFill>
            </a:rPr>
            <a:t>Scoring logic</a:t>
          </a:r>
        </a:p>
      </xdr:txBody>
    </xdr:sp>
    <xdr:clientData/>
  </xdr:twoCellAnchor>
  <xdr:twoCellAnchor>
    <xdr:from>
      <xdr:col>10</xdr:col>
      <xdr:colOff>407865</xdr:colOff>
      <xdr:row>3</xdr:row>
      <xdr:rowOff>200269</xdr:rowOff>
    </xdr:from>
    <xdr:to>
      <xdr:col>10</xdr:col>
      <xdr:colOff>2412267</xdr:colOff>
      <xdr:row>4</xdr:row>
      <xdr:rowOff>421993</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FA820D6B-ADCD-4604-92A8-1AD76B19AEF4}"/>
            </a:ext>
          </a:extLst>
        </xdr:cNvPr>
        <xdr:cNvSpPr/>
      </xdr:nvSpPr>
      <xdr:spPr>
        <a:xfrm>
          <a:off x="14936504" y="1020142"/>
          <a:ext cx="2004402" cy="450807"/>
        </a:xfrm>
        <a:prstGeom prst="rect">
          <a:avLst/>
        </a:prstGeom>
        <a:solidFill>
          <a:schemeClr val="accent2">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400" b="1">
              <a:solidFill>
                <a:sysClr val="windowText" lastClr="000000"/>
              </a:solidFill>
            </a:rPr>
            <a:t>Results</a:t>
          </a:r>
        </a:p>
      </xdr:txBody>
    </xdr:sp>
    <xdr:clientData/>
  </xdr:twoCellAnchor>
  <xdr:twoCellAnchor>
    <xdr:from>
      <xdr:col>1</xdr:col>
      <xdr:colOff>82462</xdr:colOff>
      <xdr:row>13</xdr:row>
      <xdr:rowOff>164224</xdr:rowOff>
    </xdr:from>
    <xdr:to>
      <xdr:col>2</xdr:col>
      <xdr:colOff>597036</xdr:colOff>
      <xdr:row>14</xdr:row>
      <xdr:rowOff>0</xdr:rowOff>
    </xdr:to>
    <xdr:sp macro="" textlink="">
      <xdr:nvSpPr>
        <xdr:cNvPr id="2" name="Arrow: Right 1">
          <a:extLst>
            <a:ext uri="{FF2B5EF4-FFF2-40B4-BE49-F238E27FC236}">
              <a16:creationId xmlns:a16="http://schemas.microsoft.com/office/drawing/2014/main" id="{734E3BAF-7AAD-BAD3-FF39-4550162CB5FC}"/>
            </a:ext>
          </a:extLst>
        </xdr:cNvPr>
        <xdr:cNvSpPr/>
      </xdr:nvSpPr>
      <xdr:spPr>
        <a:xfrm>
          <a:off x="848841" y="3164052"/>
          <a:ext cx="1280954" cy="1072931"/>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i="1"/>
            <a:t>Illustrative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375634</xdr:colOff>
      <xdr:row>25</xdr:row>
      <xdr:rowOff>23655</xdr:rowOff>
    </xdr:from>
    <xdr:to>
      <xdr:col>2</xdr:col>
      <xdr:colOff>955675</xdr:colOff>
      <xdr:row>26</xdr:row>
      <xdr:rowOff>325146</xdr:rowOff>
    </xdr:to>
    <xdr:sp macro="" textlink="">
      <xdr:nvSpPr>
        <xdr:cNvPr id="2" name="Arrow: Down 1">
          <a:extLst>
            <a:ext uri="{FF2B5EF4-FFF2-40B4-BE49-F238E27FC236}">
              <a16:creationId xmlns:a16="http://schemas.microsoft.com/office/drawing/2014/main" id="{6D164EFF-D509-77D7-E37D-9CC73BEF523B}"/>
            </a:ext>
          </a:extLst>
        </xdr:cNvPr>
        <xdr:cNvSpPr/>
      </xdr:nvSpPr>
      <xdr:spPr>
        <a:xfrm>
          <a:off x="3742923" y="6798479"/>
          <a:ext cx="580041" cy="54297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Argidius">
  <a:themeElements>
    <a:clrScheme name="Argidius">
      <a:dk1>
        <a:sysClr val="windowText" lastClr="000000"/>
      </a:dk1>
      <a:lt1>
        <a:sysClr val="window" lastClr="FFFFFF"/>
      </a:lt1>
      <a:dk2>
        <a:srgbClr val="44546A"/>
      </a:dk2>
      <a:lt2>
        <a:srgbClr val="E7E6E6"/>
      </a:lt2>
      <a:accent1>
        <a:srgbClr val="3C655F"/>
      </a:accent1>
      <a:accent2>
        <a:srgbClr val="EDB805"/>
      </a:accent2>
      <a:accent3>
        <a:srgbClr val="FEE914"/>
      </a:accent3>
      <a:accent4>
        <a:srgbClr val="A5A5A5"/>
      </a:accent4>
      <a:accent5>
        <a:srgbClr val="AEA23B"/>
      </a:accent5>
      <a:accent6>
        <a:srgbClr val="70AD47"/>
      </a:accent6>
      <a:hlink>
        <a:srgbClr val="0563C1"/>
      </a:hlink>
      <a:folHlink>
        <a:srgbClr val="954F72"/>
      </a:folHlink>
    </a:clrScheme>
    <a:fontScheme name="Argidius">
      <a:majorFont>
        <a:latin typeface="Lato Light"/>
        <a:ea typeface=""/>
        <a:cs typeface=""/>
      </a:majorFont>
      <a:minorFont>
        <a:latin typeface="Lato"/>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Argidius" id="{84C734D3-1494-4EB0-AD4B-2C0C1B42D1EB}" vid="{FE52B1AF-F9B0-43D9-A0FA-A17EF168C50F}"/>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mebankingtoolkit.com/partner-screening-tool-user-guide" TargetMode="External"/><Relationship Id="rId2" Type="http://schemas.openxmlformats.org/officeDocument/2006/relationships/hyperlink" Target="mailto:kusi.hornberger@dalberg.com" TargetMode="External"/><Relationship Id="rId1" Type="http://schemas.openxmlformats.org/officeDocument/2006/relationships/hyperlink" Target="mailto:karen.rodriguez@dalberg.co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3" Type="http://schemas.openxmlformats.org/officeDocument/2006/relationships/hyperlink" Target="https://www.acnur.org/noticias/comunicados-de-prensa/banrural-y-acnur-firman-un-acuerdo-para-la-distribucion-de-efectivo" TargetMode="External"/><Relationship Id="rId18" Type="http://schemas.openxmlformats.org/officeDocument/2006/relationships/hyperlink" Target="https://www.thecitizen.co.tz/tanzania/news/national/sh3bn-fine-looms-over-stanbic--2544764" TargetMode="External"/><Relationship Id="rId26" Type="http://schemas.openxmlformats.org/officeDocument/2006/relationships/hyperlink" Target="https://crdbbank.co.tz/storage/app/media/Our%20Investors/Annual%20Reports/2024%20CRDB%20Integrated%20Annual%20Report%20.pdf" TargetMode="External"/><Relationship Id="rId39" Type="http://schemas.openxmlformats.org/officeDocument/2006/relationships/hyperlink" Target="https://www.imbankgroup.com/rw/business/" TargetMode="External"/><Relationship Id="rId21" Type="http://schemas.openxmlformats.org/officeDocument/2006/relationships/hyperlink" Target="https://www.stanbicbank.com.ci/static_file/StandardBankGroup/filedownloads/RTS/2024/SBG_ReporttoSociety2024.pdf" TargetMode="External"/><Relationship Id="rId34" Type="http://schemas.openxmlformats.org/officeDocument/2006/relationships/hyperlink" Target="https://www.reuters.com/article/business/finance/tanzania-fines-five-banks-for-lax-anti-money-laundering-controls-idUSL5N26E0ZR/" TargetMode="External"/><Relationship Id="rId42" Type="http://schemas.openxmlformats.org/officeDocument/2006/relationships/hyperlink" Target="https://bank-of-africa.net/wp-content/uploads/2024/10/15-10-14_VA_RA_2023.pdf" TargetMode="External"/><Relationship Id="rId47" Type="http://schemas.openxmlformats.org/officeDocument/2006/relationships/hyperlink" Target="https://crdbbank.co.tz/storage/app/media/Our%20Investors/Annual%20Reports/2024%20Integrated%20Annual%20Report%20and%20Consolidated%20Audited%20Financial%20Statements%20.pdf" TargetMode="External"/><Relationship Id="rId50" Type="http://schemas.openxmlformats.org/officeDocument/2006/relationships/printerSettings" Target="../printerSettings/printerSettings3.bin"/><Relationship Id="rId7" Type="http://schemas.openxmlformats.org/officeDocument/2006/relationships/hyperlink" Target="https://www.riskglobalconsulting.com/boletin-informativo/noticias/capturan-a-implicados-en-red-de-lavado-de-activos-y-estafa-por-mas-de-11-millones-de-lempiras" TargetMode="External"/><Relationship Id="rId2" Type="http://schemas.openxmlformats.org/officeDocument/2006/relationships/hyperlink" Target="https://crdbbank.co.tz/storage/app/media/Our%20Investors/Annual%20Reports/2024%20CRDB%20Integrated%20Annual%20Report%20.pdf" TargetMode="External"/><Relationship Id="rId16" Type="http://schemas.openxmlformats.org/officeDocument/2006/relationships/hyperlink" Target="https://www.stanbicbank.com.ci/static_file/StandardBankGroup/filedownloads/RTS/2024/SBG_ReporttoSociety2024.pdf" TargetMode="External"/><Relationship Id="rId29" Type="http://schemas.openxmlformats.org/officeDocument/2006/relationships/hyperlink" Target="https://www.cygnumcapital.com/news/alcb-fund-invests-tzs-19-billion-usd-7-4-million-in-a-6-year-private-bond-issued-by-stanbic-bank-tanzania-limited" TargetMode="External"/><Relationship Id="rId11" Type="http://schemas.openxmlformats.org/officeDocument/2006/relationships/hyperlink" Target="https://www.afdb.org/en/news-and-events/afdb-and-crdb-bank-plc-of-tanzania-sign-us-120-million-loan-agreement-to-finance-infrastructure-and-smes-16478" TargetMode="External"/><Relationship Id="rId24" Type="http://schemas.openxmlformats.org/officeDocument/2006/relationships/hyperlink" Target="https://crdbbank.co.tz/storage/app/media/Our%20Investors/Annual%20Reports/2024%20CRDB%20Integrated%20Annual%20Report%20.pdf" TargetMode="External"/><Relationship Id="rId32" Type="http://schemas.openxmlformats.org/officeDocument/2006/relationships/hyperlink" Target="https://www.imbankgroup.com/tz/" TargetMode="External"/><Relationship Id="rId37" Type="http://schemas.openxmlformats.org/officeDocument/2006/relationships/hyperlink" Target="https://www.imbankgroup.com/wp-content/uploads/2024/12/IM-Group-PLC-2023-Inaugural-Sustainability-Report.pdf" TargetMode="External"/><Relationship Id="rId40" Type="http://schemas.openxmlformats.org/officeDocument/2006/relationships/hyperlink" Target="https://boatanzania.co.tz/" TargetMode="External"/><Relationship Id="rId45" Type="http://schemas.openxmlformats.org/officeDocument/2006/relationships/hyperlink" Target="https://boatanzania.co.tz/history/" TargetMode="External"/><Relationship Id="rId53" Type="http://schemas.openxmlformats.org/officeDocument/2006/relationships/comments" Target="../comments1.xml"/><Relationship Id="rId5" Type="http://schemas.openxmlformats.org/officeDocument/2006/relationships/hyperlink" Target="https://www.stanbicbank.co.tz/tanzania/business" TargetMode="External"/><Relationship Id="rId10" Type="http://schemas.openxmlformats.org/officeDocument/2006/relationships/hyperlink" Target="https://crdbbank.co.tz/en/for-business" TargetMode="External"/><Relationship Id="rId19" Type="http://schemas.openxmlformats.org/officeDocument/2006/relationships/hyperlink" Target="https://www.undp.org/tanzania/news/undp-tanzania-and-stanbic-bank-join-forces-fuel-growth-startups-and-msmes-tanzania" TargetMode="External"/><Relationship Id="rId31" Type="http://schemas.openxmlformats.org/officeDocument/2006/relationships/hyperlink" Target="https://azaniabank.co.tz/wp-content/uploads/2025/04/Audited-Financial-Statements-2024.pdf" TargetMode="External"/><Relationship Id="rId44" Type="http://schemas.openxmlformats.org/officeDocument/2006/relationships/hyperlink" Target="https://boatanzania.co.tz/values/" TargetMode="External"/><Relationship Id="rId52" Type="http://schemas.openxmlformats.org/officeDocument/2006/relationships/vmlDrawing" Target="../drawings/vmlDrawing2.vml"/><Relationship Id="rId4" Type="http://schemas.openxmlformats.org/officeDocument/2006/relationships/hyperlink" Target="https://kss.unglobalcompact.org/participation/report/cop/active/415235" TargetMode="External"/><Relationship Id="rId9" Type="http://schemas.openxmlformats.org/officeDocument/2006/relationships/hyperlink" Target="https://ippmedia.co.tz/the-guardian/business/read/crdb-bank-scoops-tanzanias-best-smes-bank-award-2024-07-23-161423" TargetMode="External"/><Relationship Id="rId14" Type="http://schemas.openxmlformats.org/officeDocument/2006/relationships/hyperlink" Target="https://www.banrural.com.hn/index.php/2025/03/27/banrural-impulsa-el-crecimiento-de-las-pymes-hondurenas-junto-a-la-asociacion-fulbright-honduras-y-su-programa-new-game-plan/" TargetMode="External"/><Relationship Id="rId22" Type="http://schemas.openxmlformats.org/officeDocument/2006/relationships/hyperlink" Target="https://www.thecitizen.co.tz/tanzania/news/business/cfao-stanbic-join-forces-to-empower-female-entrepreneurs-4556656" TargetMode="External"/><Relationship Id="rId27" Type="http://schemas.openxmlformats.org/officeDocument/2006/relationships/hyperlink" Target="https://www.linkedin.com/company/crdbbank/people/?keywords=SME" TargetMode="External"/><Relationship Id="rId30" Type="http://schemas.openxmlformats.org/officeDocument/2006/relationships/hyperlink" Target="https://azaniabank.co.tz/wp-content/uploads/2025/04/Audited-Financial-Statements-2024.pdf" TargetMode="External"/><Relationship Id="rId35" Type="http://schemas.openxmlformats.org/officeDocument/2006/relationships/hyperlink" Target="https://www.imbankgroup.com/ke/wp-content/uploads/sites/2/2023/11/Third-Party-Conduct-1.pdf" TargetMode="External"/><Relationship Id="rId43" Type="http://schemas.openxmlformats.org/officeDocument/2006/relationships/hyperlink" Target="https://dailynews.co.tz/boa-commits-to-support-smes-growth/" TargetMode="External"/><Relationship Id="rId48" Type="http://schemas.openxmlformats.org/officeDocument/2006/relationships/hyperlink" Target="https://www.linkedin.com/search/results/people/?keywords=I%26M+Bank+tanzania+SME&amp;origin=GLOBAL_SEARCH_HEADER" TargetMode="External"/><Relationship Id="rId8" Type="http://schemas.openxmlformats.org/officeDocument/2006/relationships/hyperlink" Target="https://ippmedia.co.tz/the-guardian/business/read/crdb-bank-scoops-tanzanias-best-smes-bank-award-2024-07-23-161423" TargetMode="External"/><Relationship Id="rId51" Type="http://schemas.openxmlformats.org/officeDocument/2006/relationships/drawing" Target="../drawings/drawing3.xml"/><Relationship Id="rId3" Type="http://schemas.openxmlformats.org/officeDocument/2006/relationships/hyperlink" Target="https://www.banrural.com.gt/site/conocenos/grupofinancierobanrural/etica-y-transparencia" TargetMode="External"/><Relationship Id="rId12" Type="http://schemas.openxmlformats.org/officeDocument/2006/relationships/hyperlink" Target="https://crdbbank.co.tz/storage/app/media/Our%20Investors/Annual%20Reports/2024%20CRDB%20Integrated%20Annual%20Report%20.pdf" TargetMode="External"/><Relationship Id="rId17" Type="http://schemas.openxmlformats.org/officeDocument/2006/relationships/hyperlink" Target="https://www.stanbicbank.co.tz/tanzania/personal/about-us/code-of-ethics" TargetMode="External"/><Relationship Id="rId25" Type="http://schemas.openxmlformats.org/officeDocument/2006/relationships/hyperlink" Target="https://ippmedia.co.tz/the-guardian/business/read/crdb-bank-scoops-tanzanias-best-smes-bank-award-2024-07-23-161423" TargetMode="External"/><Relationship Id="rId33" Type="http://schemas.openxmlformats.org/officeDocument/2006/relationships/hyperlink" Target="https://www.imbankgroup.com/tz/wp-content/uploads/sites/3/2024/08/Annual-Report-TZ-2023-1.pdf" TargetMode="External"/><Relationship Id="rId38" Type="http://schemas.openxmlformats.org/officeDocument/2006/relationships/hyperlink" Target="https://www.fmo.nl/project-detail/63881" TargetMode="External"/><Relationship Id="rId46" Type="http://schemas.openxmlformats.org/officeDocument/2006/relationships/hyperlink" Target="https://www.afdb.org/en/documents/tanzania-boa-tanzania-transaction-guarantee-facility-p-tz-hab-022" TargetMode="External"/><Relationship Id="rId20" Type="http://schemas.openxmlformats.org/officeDocument/2006/relationships/hyperlink" Target="https://www.tanzaniainvest.com/finance/banking/stanbic-smes-support-silent-ocean" TargetMode="External"/><Relationship Id="rId41" Type="http://schemas.openxmlformats.org/officeDocument/2006/relationships/hyperlink" Target="https://bank-of-africa.net/wp-content/uploads/2024/10/15-10-14_VA_RA_2023.pdf" TargetMode="External"/><Relationship Id="rId1" Type="http://schemas.openxmlformats.org/officeDocument/2006/relationships/hyperlink" Target="https://crdbbank.co.tz/en" TargetMode="External"/><Relationship Id="rId6" Type="http://schemas.openxmlformats.org/officeDocument/2006/relationships/hyperlink" Target="https://azaniabank.co.tz/" TargetMode="External"/><Relationship Id="rId15" Type="http://schemas.openxmlformats.org/officeDocument/2006/relationships/hyperlink" Target="https://azaniabank.co.tz/wp-content/uploads/2025/04/Audited-Financial-Statements-2024.pdf" TargetMode="External"/><Relationship Id="rId23" Type="http://schemas.openxmlformats.org/officeDocument/2006/relationships/hyperlink" Target="https://www.stanbic.co.ug/ugandaholdings/stanbic-uganda-holdings-limited/business-incubator/our-programmes" TargetMode="External"/><Relationship Id="rId28" Type="http://schemas.openxmlformats.org/officeDocument/2006/relationships/hyperlink" Target="https://www.stanbicbank.com.ci/static_file/StandardBankGroup/filedownloads/RTS/2024/SBG_ReporttoSociety2024.pdf" TargetMode="External"/><Relationship Id="rId36" Type="http://schemas.openxmlformats.org/officeDocument/2006/relationships/hyperlink" Target="https://www.thecitizen.co.tz/tanzania/supplement/i-m-bank-tanzania-the-rise-of-a-financial-powerhouse-redefining-banking-5041018" TargetMode="External"/><Relationship Id="rId49" Type="http://schemas.openxmlformats.org/officeDocument/2006/relationships/hyperlink" Target="https://boatanzania.co.tz/senior-management/"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5CA56-7BB9-438D-BBA5-F6A0E186A28D}">
  <sheetPr>
    <tabColor theme="2" tint="-9.9978637043366805E-2"/>
    <pageSetUpPr fitToPage="1"/>
  </sheetPr>
  <dimension ref="B3:F48"/>
  <sheetViews>
    <sheetView tabSelected="1" zoomScale="60" workbookViewId="0">
      <selection activeCell="B3" sqref="B3"/>
    </sheetView>
  </sheetViews>
  <sheetFormatPr defaultColWidth="8.6640625" defaultRowHeight="15"/>
  <cols>
    <col min="1" max="1" width="10.88671875" style="74" customWidth="1"/>
    <col min="2" max="2" width="15.6640625" style="74" customWidth="1"/>
    <col min="3" max="3" width="17.21875" style="74" customWidth="1"/>
    <col min="4" max="4" width="75.6640625" style="74" customWidth="1"/>
    <col min="5" max="5" width="87.21875" style="74" customWidth="1"/>
    <col min="6" max="6" width="15.6640625" style="74" customWidth="1"/>
    <col min="7" max="16384" width="8.6640625" style="74"/>
  </cols>
  <sheetData>
    <row r="3" spans="2:6">
      <c r="B3" s="65"/>
      <c r="C3" s="65"/>
      <c r="D3" s="65"/>
      <c r="E3" s="65"/>
      <c r="F3" s="65"/>
    </row>
    <row r="4" spans="2:6">
      <c r="B4" s="65"/>
      <c r="C4" s="77"/>
      <c r="D4" s="76"/>
      <c r="E4" s="76"/>
      <c r="F4" s="65"/>
    </row>
    <row r="5" spans="2:6" ht="22.5">
      <c r="B5" s="65"/>
      <c r="C5" s="199" t="s">
        <v>0</v>
      </c>
      <c r="D5" s="199"/>
      <c r="E5" s="199"/>
      <c r="F5" s="65"/>
    </row>
    <row r="6" spans="2:6" ht="20.100000000000001">
      <c r="B6" s="65"/>
      <c r="C6" s="200" t="s">
        <v>1</v>
      </c>
      <c r="D6" s="200"/>
      <c r="E6" s="200"/>
      <c r="F6" s="65"/>
    </row>
    <row r="7" spans="2:6">
      <c r="B7" s="65"/>
      <c r="C7" s="76"/>
      <c r="D7" s="76"/>
      <c r="E7" s="76"/>
      <c r="F7" s="65"/>
    </row>
    <row r="8" spans="2:6">
      <c r="B8" s="65"/>
      <c r="C8" s="78"/>
      <c r="D8" s="78"/>
      <c r="E8" s="78"/>
      <c r="F8" s="65"/>
    </row>
    <row r="9" spans="2:6">
      <c r="B9" s="65"/>
      <c r="C9" s="65"/>
      <c r="D9" s="65"/>
      <c r="E9" s="65"/>
      <c r="F9" s="65"/>
    </row>
    <row r="10" spans="2:6">
      <c r="B10" s="65"/>
      <c r="C10" s="79" t="s">
        <v>2</v>
      </c>
      <c r="D10" s="65"/>
      <c r="E10" s="145" t="s">
        <v>3</v>
      </c>
      <c r="F10" s="65"/>
    </row>
    <row r="11" spans="2:6">
      <c r="B11" s="65"/>
      <c r="C11" s="79"/>
      <c r="D11" s="65"/>
      <c r="E11" s="146" t="s">
        <v>4</v>
      </c>
      <c r="F11" s="65"/>
    </row>
    <row r="12" spans="2:6">
      <c r="B12" s="65"/>
      <c r="C12" s="79"/>
      <c r="D12" s="65"/>
      <c r="E12" s="146" t="s">
        <v>5</v>
      </c>
      <c r="F12" s="65"/>
    </row>
    <row r="13" spans="2:6" ht="15.6" thickBot="1">
      <c r="B13" s="65"/>
      <c r="C13" s="65"/>
      <c r="D13" s="65"/>
      <c r="E13" s="137"/>
      <c r="F13" s="65"/>
    </row>
    <row r="14" spans="2:6" s="75" customFormat="1" ht="21" thickTop="1" thickBot="1">
      <c r="B14" s="80"/>
      <c r="C14" s="81" t="s">
        <v>6</v>
      </c>
      <c r="D14" s="82"/>
      <c r="E14" s="82"/>
      <c r="F14" s="83"/>
    </row>
    <row r="15" spans="2:6" ht="15.6" thickTop="1">
      <c r="B15" s="65"/>
      <c r="C15" s="84"/>
      <c r="D15" s="84"/>
      <c r="E15" s="84"/>
      <c r="F15" s="84"/>
    </row>
    <row r="16" spans="2:6" ht="41.45" customHeight="1">
      <c r="B16" s="65"/>
      <c r="C16" s="201" t="s">
        <v>7</v>
      </c>
      <c r="D16" s="201"/>
      <c r="E16" s="201"/>
      <c r="F16" s="85"/>
    </row>
    <row r="17" spans="2:6" ht="18.600000000000001" customHeight="1">
      <c r="B17" s="65"/>
      <c r="C17" s="86"/>
      <c r="D17" s="86"/>
      <c r="E17" s="86"/>
      <c r="F17" s="85"/>
    </row>
    <row r="18" spans="2:6" ht="41.45" customHeight="1" thickBot="1">
      <c r="B18" s="65"/>
      <c r="C18" s="207" t="s">
        <v>8</v>
      </c>
      <c r="D18" s="207"/>
      <c r="E18" s="86"/>
      <c r="F18" s="85"/>
    </row>
    <row r="19" spans="2:6" s="75" customFormat="1" ht="21" thickTop="1" thickBot="1">
      <c r="B19" s="80"/>
      <c r="C19" s="81" t="s">
        <v>9</v>
      </c>
      <c r="D19" s="82"/>
      <c r="E19" s="82"/>
      <c r="F19" s="87"/>
    </row>
    <row r="20" spans="2:6" ht="15.6" thickTop="1">
      <c r="B20" s="65"/>
      <c r="C20" s="84"/>
      <c r="D20" s="84"/>
      <c r="E20" s="84"/>
      <c r="F20" s="85"/>
    </row>
    <row r="21" spans="2:6" ht="59.45" customHeight="1">
      <c r="B21" s="65"/>
      <c r="C21" s="201" t="s">
        <v>10</v>
      </c>
      <c r="D21" s="201"/>
      <c r="E21" s="201"/>
      <c r="F21" s="85"/>
    </row>
    <row r="22" spans="2:6" ht="15.6" customHeight="1" thickBot="1">
      <c r="B22" s="65"/>
      <c r="C22" s="88"/>
      <c r="D22" s="88"/>
      <c r="E22" s="88"/>
      <c r="F22" s="85"/>
    </row>
    <row r="23" spans="2:6" ht="21" thickTop="1" thickBot="1">
      <c r="B23" s="65"/>
      <c r="C23" s="81" t="s">
        <v>11</v>
      </c>
      <c r="D23" s="82"/>
      <c r="E23" s="82"/>
      <c r="F23" s="85"/>
    </row>
    <row r="24" spans="2:6" ht="15.6" thickTop="1">
      <c r="B24" s="65"/>
      <c r="C24" s="88"/>
      <c r="D24" s="88"/>
      <c r="E24" s="88"/>
      <c r="F24" s="85"/>
    </row>
    <row r="25" spans="2:6" ht="39" customHeight="1">
      <c r="B25" s="65"/>
      <c r="C25" s="202" t="s">
        <v>12</v>
      </c>
      <c r="D25" s="202"/>
      <c r="E25" s="202"/>
      <c r="F25" s="85"/>
    </row>
    <row r="26" spans="2:6" ht="15.6" thickBot="1">
      <c r="B26" s="65"/>
      <c r="C26" s="88"/>
      <c r="D26" s="88"/>
      <c r="E26" s="88"/>
      <c r="F26" s="85"/>
    </row>
    <row r="27" spans="2:6" s="75" customFormat="1" ht="26.1" customHeight="1" thickTop="1" thickBot="1">
      <c r="B27" s="80"/>
      <c r="C27" s="81" t="s">
        <v>13</v>
      </c>
      <c r="D27" s="82"/>
      <c r="E27" s="82"/>
      <c r="F27" s="87"/>
    </row>
    <row r="28" spans="2:6" s="75" customFormat="1" ht="14.25" customHeight="1">
      <c r="B28" s="80"/>
      <c r="C28" s="268"/>
      <c r="D28" s="269"/>
      <c r="E28" s="269"/>
      <c r="F28" s="87"/>
    </row>
    <row r="29" spans="2:6" ht="19.5">
      <c r="B29" s="65"/>
      <c r="C29" s="270" t="s">
        <v>14</v>
      </c>
      <c r="D29" s="137" t="s">
        <v>15</v>
      </c>
      <c r="E29" s="84"/>
      <c r="F29" s="85"/>
    </row>
    <row r="30" spans="2:6" ht="31.5" customHeight="1">
      <c r="B30" s="65"/>
      <c r="C30" s="203" t="s">
        <v>16</v>
      </c>
      <c r="D30" s="203"/>
      <c r="E30" s="203"/>
      <c r="F30" s="85"/>
    </row>
    <row r="31" spans="2:6">
      <c r="B31" s="65"/>
      <c r="C31" s="84"/>
      <c r="D31" s="84"/>
      <c r="E31" s="84"/>
      <c r="F31" s="85"/>
    </row>
    <row r="32" spans="2:6" ht="17.45">
      <c r="B32" s="65"/>
      <c r="C32" s="90" t="s">
        <v>17</v>
      </c>
      <c r="D32" s="90" t="s">
        <v>18</v>
      </c>
      <c r="E32" s="90" t="s">
        <v>19</v>
      </c>
      <c r="F32" s="85"/>
    </row>
    <row r="33" spans="2:6">
      <c r="B33" s="65"/>
      <c r="C33" s="69"/>
      <c r="D33" s="92"/>
      <c r="E33" s="65"/>
      <c r="F33" s="85"/>
    </row>
    <row r="34" spans="2:6" ht="199.5" customHeight="1">
      <c r="B34" s="65"/>
      <c r="C34" s="141" t="s">
        <v>20</v>
      </c>
      <c r="D34" s="143" t="s">
        <v>21</v>
      </c>
      <c r="E34" s="144" t="s">
        <v>22</v>
      </c>
      <c r="F34" s="85"/>
    </row>
    <row r="35" spans="2:6" ht="150" customHeight="1">
      <c r="B35" s="65"/>
      <c r="C35" s="140" t="s">
        <v>23</v>
      </c>
      <c r="D35" s="143" t="s">
        <v>24</v>
      </c>
      <c r="E35" s="144" t="s">
        <v>25</v>
      </c>
      <c r="F35" s="85"/>
    </row>
    <row r="36" spans="2:6" ht="150" customHeight="1">
      <c r="B36" s="65"/>
      <c r="C36" s="142" t="s">
        <v>26</v>
      </c>
      <c r="D36" s="139" t="s">
        <v>27</v>
      </c>
      <c r="E36" s="139" t="s">
        <v>28</v>
      </c>
      <c r="F36" s="65"/>
    </row>
    <row r="37" spans="2:6" ht="15.6" thickBot="1">
      <c r="B37" s="65"/>
      <c r="C37" s="92"/>
      <c r="D37" s="93"/>
      <c r="E37" s="92"/>
      <c r="F37" s="92"/>
    </row>
    <row r="38" spans="2:6" ht="21" thickTop="1" thickBot="1">
      <c r="B38" s="65"/>
      <c r="C38" s="81" t="s">
        <v>29</v>
      </c>
      <c r="D38" s="82"/>
      <c r="E38" s="82"/>
      <c r="F38" s="92"/>
    </row>
    <row r="39" spans="2:6" ht="15.6" thickTop="1">
      <c r="B39" s="65"/>
      <c r="C39" s="88"/>
      <c r="D39" s="88"/>
      <c r="E39" s="88"/>
      <c r="F39" s="65"/>
    </row>
    <row r="40" spans="2:6" ht="60.95" customHeight="1">
      <c r="B40" s="65"/>
      <c r="C40" s="203" t="s">
        <v>30</v>
      </c>
      <c r="D40" s="203"/>
      <c r="E40" s="203"/>
      <c r="F40" s="65"/>
    </row>
    <row r="41" spans="2:6">
      <c r="B41" s="65"/>
      <c r="C41" s="138"/>
      <c r="D41" s="138"/>
      <c r="E41" s="138"/>
      <c r="F41" s="65"/>
    </row>
    <row r="42" spans="2:6" ht="60" customHeight="1">
      <c r="B42" s="65"/>
      <c r="C42" s="206" t="s">
        <v>31</v>
      </c>
      <c r="D42" s="203"/>
      <c r="E42" s="203"/>
      <c r="F42" s="92"/>
    </row>
    <row r="43" spans="2:6">
      <c r="B43" s="65"/>
      <c r="C43" s="138"/>
      <c r="D43" s="138"/>
      <c r="E43" s="138"/>
      <c r="F43" s="65"/>
    </row>
    <row r="44" spans="2:6" ht="60" customHeight="1">
      <c r="B44" s="65"/>
      <c r="C44" s="203" t="s">
        <v>32</v>
      </c>
      <c r="D44" s="203"/>
      <c r="E44" s="203"/>
      <c r="F44" s="92"/>
    </row>
    <row r="45" spans="2:6">
      <c r="B45" s="65"/>
      <c r="C45" s="138"/>
      <c r="D45" s="138"/>
      <c r="E45" s="138"/>
      <c r="F45" s="65"/>
    </row>
    <row r="46" spans="2:6" ht="43.5" customHeight="1">
      <c r="B46" s="65"/>
      <c r="C46" s="208" t="s">
        <v>33</v>
      </c>
      <c r="D46" s="203"/>
      <c r="E46" s="203"/>
      <c r="F46" s="92"/>
    </row>
    <row r="47" spans="2:6" ht="27.95" customHeight="1">
      <c r="B47" s="65"/>
      <c r="C47" s="89"/>
      <c r="D47" s="204" t="s">
        <v>34</v>
      </c>
      <c r="E47" s="205"/>
      <c r="F47" s="65"/>
    </row>
    <row r="48" spans="2:6">
      <c r="B48" s="65"/>
      <c r="C48" s="65"/>
      <c r="D48" s="65"/>
      <c r="E48" s="65"/>
      <c r="F48" s="65"/>
    </row>
  </sheetData>
  <sheetProtection sheet="1" objects="1" scenarios="1"/>
  <mergeCells count="12">
    <mergeCell ref="D47:E47"/>
    <mergeCell ref="C40:E40"/>
    <mergeCell ref="C42:E42"/>
    <mergeCell ref="C16:E16"/>
    <mergeCell ref="C18:D18"/>
    <mergeCell ref="C44:E44"/>
    <mergeCell ref="C46:E46"/>
    <mergeCell ref="C5:E5"/>
    <mergeCell ref="C6:E6"/>
    <mergeCell ref="C21:E21"/>
    <mergeCell ref="C25:E25"/>
    <mergeCell ref="C30:E30"/>
  </mergeCells>
  <hyperlinks>
    <hyperlink ref="E11" r:id="rId1" xr:uid="{BD5FFBBA-AD16-49AC-98F5-F2889DCF7932}"/>
    <hyperlink ref="E12" r:id="rId2" xr:uid="{5FFCB3A8-5168-4489-B325-86499DCAE1D5}"/>
    <hyperlink ref="D47:E47" location="'Scoring logic &amp; methodology'!A1" display="Move to the next sheet to begin screening potential partner banks!" xr:uid="{FE7D8C56-124F-4C6E-A8FF-A82C5268031D}"/>
    <hyperlink ref="D29" r:id="rId3" xr:uid="{1777A4F0-52A8-4986-8967-06D71E059B8B}"/>
  </hyperlinks>
  <pageMargins left="0.7" right="0.7" top="0.75" bottom="0.75" header="0.3" footer="0.3"/>
  <pageSetup scale="36" orientation="portrait" r:id="rId4"/>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9F848-19F0-4F23-ADBF-34BB27DE09F4}">
  <sheetPr>
    <tabColor theme="9" tint="0.59999389629810485"/>
    <pageSetUpPr fitToPage="1"/>
  </sheetPr>
  <dimension ref="A2:T231"/>
  <sheetViews>
    <sheetView zoomScale="52" workbookViewId="0"/>
  </sheetViews>
  <sheetFormatPr defaultColWidth="9.21875" defaultRowHeight="14.1"/>
  <cols>
    <col min="1" max="3" width="9.21875" style="3"/>
    <col min="4" max="4" width="13.77734375" style="3" customWidth="1"/>
    <col min="5" max="5" width="84.33203125" style="3" customWidth="1"/>
    <col min="6" max="6" width="42.6640625" style="3" customWidth="1"/>
    <col min="7" max="7" width="23.77734375" style="3" customWidth="1"/>
    <col min="8" max="8" width="51.109375" style="11" customWidth="1"/>
    <col min="9" max="9" width="14.77734375" style="3" bestFit="1" customWidth="1"/>
    <col min="10" max="11" width="40.33203125" style="11" customWidth="1"/>
    <col min="12" max="12" width="57.44140625" style="11" customWidth="1"/>
    <col min="13" max="13" width="34.33203125" style="3" customWidth="1"/>
    <col min="14" max="14" width="3.5546875" style="3" customWidth="1"/>
    <col min="15" max="19" width="9.21875" style="3"/>
    <col min="20" max="20" width="9.21875" style="103"/>
    <col min="21" max="16384" width="9.21875" style="3"/>
  </cols>
  <sheetData>
    <row r="2" spans="1:20" ht="14.45" thickBot="1"/>
    <row r="3" spans="1:20" ht="22.5">
      <c r="E3" s="209" t="s">
        <v>35</v>
      </c>
      <c r="F3" s="210"/>
      <c r="G3" s="15"/>
      <c r="H3" s="15"/>
      <c r="I3" s="15"/>
      <c r="J3" s="15"/>
      <c r="K3" s="15"/>
      <c r="L3" s="15"/>
      <c r="M3" s="15"/>
      <c r="N3" s="12"/>
    </row>
    <row r="4" spans="1:20" ht="18" customHeight="1">
      <c r="A4" s="3" t="s">
        <v>36</v>
      </c>
      <c r="E4" s="211" t="s">
        <v>37</v>
      </c>
      <c r="F4" s="212"/>
      <c r="G4" s="14"/>
      <c r="H4" s="14"/>
      <c r="I4" s="14"/>
      <c r="J4" s="14"/>
      <c r="K4" s="14"/>
      <c r="L4" s="14"/>
      <c r="M4" s="14"/>
      <c r="N4" s="12"/>
    </row>
    <row r="5" spans="1:20" ht="171.95" customHeight="1" thickBot="1">
      <c r="E5" s="213"/>
      <c r="F5" s="214"/>
      <c r="G5" s="14"/>
      <c r="H5" s="14"/>
      <c r="I5" s="14"/>
      <c r="J5" s="14"/>
      <c r="K5" s="14"/>
      <c r="L5" s="14"/>
      <c r="M5" s="14"/>
      <c r="N5" s="12"/>
    </row>
    <row r="6" spans="1:20" ht="14.45" customHeight="1">
      <c r="H6" s="14"/>
      <c r="I6" s="14"/>
      <c r="J6" s="14"/>
      <c r="K6" s="14"/>
      <c r="L6" s="14"/>
      <c r="M6" s="14"/>
      <c r="N6" s="12"/>
    </row>
    <row r="7" spans="1:20" ht="14.45" thickBot="1">
      <c r="H7" s="3"/>
      <c r="J7" s="3"/>
      <c r="K7" s="3"/>
      <c r="L7" s="3"/>
    </row>
    <row r="8" spans="1:20">
      <c r="C8" s="26" t="s">
        <v>38</v>
      </c>
      <c r="D8" s="174" t="s">
        <v>39</v>
      </c>
      <c r="E8" s="16" t="s">
        <v>40</v>
      </c>
      <c r="F8" s="16" t="s">
        <v>41</v>
      </c>
      <c r="G8" s="175" t="s">
        <v>42</v>
      </c>
      <c r="H8" s="20" t="s">
        <v>43</v>
      </c>
      <c r="I8" s="16" t="s">
        <v>44</v>
      </c>
      <c r="J8" s="16" t="s">
        <v>45</v>
      </c>
      <c r="K8" s="16" t="s">
        <v>46</v>
      </c>
      <c r="L8" s="16" t="s">
        <v>47</v>
      </c>
      <c r="M8" s="16" t="s">
        <v>48</v>
      </c>
      <c r="N8" s="6"/>
      <c r="T8" s="99" t="s">
        <v>49</v>
      </c>
    </row>
    <row r="9" spans="1:20" ht="19.5" customHeight="1">
      <c r="C9" s="27">
        <v>0.2</v>
      </c>
      <c r="D9" s="176"/>
      <c r="E9" s="177" t="s">
        <v>50</v>
      </c>
      <c r="F9" s="178"/>
      <c r="G9" s="179"/>
      <c r="H9" s="21"/>
      <c r="I9" s="178"/>
      <c r="J9" s="178"/>
      <c r="K9" s="178"/>
      <c r="L9" s="178"/>
      <c r="M9" s="178"/>
      <c r="N9" s="17"/>
      <c r="T9" s="100" t="s">
        <v>51</v>
      </c>
    </row>
    <row r="10" spans="1:20" ht="87.95" customHeight="1">
      <c r="C10" s="28"/>
      <c r="D10" s="180" t="b">
        <v>1</v>
      </c>
      <c r="E10" s="181" t="s">
        <v>52</v>
      </c>
      <c r="F10" s="182" t="s">
        <v>53</v>
      </c>
      <c r="G10" s="183" t="s">
        <v>54</v>
      </c>
      <c r="H10" s="31" t="s">
        <v>55</v>
      </c>
      <c r="I10" s="2" t="s">
        <v>56</v>
      </c>
      <c r="J10" s="190" t="s">
        <v>57</v>
      </c>
      <c r="K10" s="190" t="s">
        <v>58</v>
      </c>
      <c r="L10" s="215" t="s">
        <v>59</v>
      </c>
      <c r="M10" s="190"/>
      <c r="N10" s="17"/>
      <c r="T10" s="100" t="s">
        <v>60</v>
      </c>
    </row>
    <row r="11" spans="1:20" ht="93.6" customHeight="1">
      <c r="C11" s="28"/>
      <c r="D11" s="180" t="b">
        <v>1</v>
      </c>
      <c r="E11" s="181" t="s">
        <v>61</v>
      </c>
      <c r="F11" s="182" t="s">
        <v>53</v>
      </c>
      <c r="G11" s="183" t="s">
        <v>54</v>
      </c>
      <c r="H11" s="32" t="s">
        <v>62</v>
      </c>
      <c r="I11" s="2" t="s">
        <v>63</v>
      </c>
      <c r="J11" s="190" t="s">
        <v>64</v>
      </c>
      <c r="K11" s="190" t="s">
        <v>65</v>
      </c>
      <c r="L11" s="215"/>
      <c r="M11" s="190"/>
      <c r="N11" s="17"/>
      <c r="T11" s="100" t="s">
        <v>66</v>
      </c>
    </row>
    <row r="12" spans="1:20" ht="84.6" customHeight="1">
      <c r="C12" s="28"/>
      <c r="D12" s="180" t="b">
        <v>1</v>
      </c>
      <c r="E12" s="184" t="s">
        <v>67</v>
      </c>
      <c r="F12" s="182" t="s">
        <v>53</v>
      </c>
      <c r="G12" s="183" t="s">
        <v>54</v>
      </c>
      <c r="H12" s="32" t="s">
        <v>68</v>
      </c>
      <c r="I12" s="2" t="s">
        <v>56</v>
      </c>
      <c r="J12" s="190" t="s">
        <v>69</v>
      </c>
      <c r="K12" s="190" t="s">
        <v>70</v>
      </c>
      <c r="L12" s="215"/>
      <c r="M12" s="190"/>
      <c r="N12" s="17"/>
      <c r="T12" s="100" t="s">
        <v>71</v>
      </c>
    </row>
    <row r="13" spans="1:20" ht="105" customHeight="1" thickBot="1">
      <c r="C13" s="28"/>
      <c r="D13" s="180" t="b">
        <v>1</v>
      </c>
      <c r="E13" s="196" t="s">
        <v>72</v>
      </c>
      <c r="F13" s="197" t="s">
        <v>73</v>
      </c>
      <c r="G13" s="185" t="s">
        <v>74</v>
      </c>
      <c r="H13" s="24" t="s">
        <v>75</v>
      </c>
      <c r="I13" s="194" t="s">
        <v>63</v>
      </c>
      <c r="J13" s="195" t="s">
        <v>76</v>
      </c>
      <c r="K13" s="190" t="s">
        <v>77</v>
      </c>
      <c r="L13" s="215"/>
      <c r="M13" s="190"/>
      <c r="N13" s="17"/>
      <c r="T13" s="100"/>
    </row>
    <row r="14" spans="1:20" ht="62.1" customHeight="1">
      <c r="C14" s="28"/>
      <c r="D14" s="180" t="b">
        <v>1</v>
      </c>
      <c r="E14" s="184" t="s">
        <v>78</v>
      </c>
      <c r="F14" s="182" t="s">
        <v>53</v>
      </c>
      <c r="G14" s="185" t="s">
        <v>74</v>
      </c>
      <c r="H14" s="32" t="s">
        <v>79</v>
      </c>
      <c r="I14" s="2" t="s">
        <v>56</v>
      </c>
      <c r="J14" s="190" t="s">
        <v>80</v>
      </c>
      <c r="K14" s="190" t="s">
        <v>81</v>
      </c>
      <c r="L14" s="215"/>
      <c r="M14" s="190" t="s">
        <v>82</v>
      </c>
      <c r="N14" s="17"/>
      <c r="T14" s="100" t="s">
        <v>83</v>
      </c>
    </row>
    <row r="15" spans="1:20" ht="60">
      <c r="C15" s="28"/>
      <c r="D15" s="180" t="b">
        <v>1</v>
      </c>
      <c r="E15" s="184" t="s">
        <v>84</v>
      </c>
      <c r="F15" s="182" t="s">
        <v>53</v>
      </c>
      <c r="G15" s="185" t="s">
        <v>74</v>
      </c>
      <c r="H15" s="22" t="s">
        <v>85</v>
      </c>
      <c r="I15" s="2" t="s">
        <v>56</v>
      </c>
      <c r="J15" s="190" t="s">
        <v>86</v>
      </c>
      <c r="K15" s="190" t="s">
        <v>87</v>
      </c>
      <c r="L15" s="215"/>
      <c r="M15" s="190" t="s">
        <v>88</v>
      </c>
      <c r="N15" s="17"/>
      <c r="T15" s="100" t="s">
        <v>89</v>
      </c>
    </row>
    <row r="16" spans="1:20" ht="24.95">
      <c r="C16" s="27">
        <v>0.2</v>
      </c>
      <c r="D16" s="176"/>
      <c r="E16" s="177" t="s">
        <v>90</v>
      </c>
      <c r="F16" s="178"/>
      <c r="G16" s="179"/>
      <c r="H16" s="23"/>
      <c r="I16" s="178"/>
      <c r="J16" s="191"/>
      <c r="K16" s="191"/>
      <c r="L16" s="191"/>
      <c r="M16" s="192"/>
      <c r="N16" s="17"/>
      <c r="T16" s="100" t="s">
        <v>91</v>
      </c>
    </row>
    <row r="17" spans="3:20" ht="91.5" customHeight="1">
      <c r="C17" s="28"/>
      <c r="D17" s="180" t="b">
        <v>1</v>
      </c>
      <c r="E17" s="181" t="s">
        <v>92</v>
      </c>
      <c r="F17" s="182" t="s">
        <v>53</v>
      </c>
      <c r="G17" s="183" t="s">
        <v>54</v>
      </c>
      <c r="H17" s="33" t="s">
        <v>93</v>
      </c>
      <c r="I17" s="2" t="s">
        <v>56</v>
      </c>
      <c r="J17" s="190" t="s">
        <v>94</v>
      </c>
      <c r="K17" s="190" t="s">
        <v>95</v>
      </c>
      <c r="L17" s="215" t="s">
        <v>96</v>
      </c>
      <c r="M17" s="190"/>
      <c r="N17" s="17"/>
      <c r="T17" s="100" t="s">
        <v>97</v>
      </c>
    </row>
    <row r="18" spans="3:20" ht="68.099999999999994" customHeight="1">
      <c r="C18" s="28"/>
      <c r="D18" s="180" t="b">
        <v>1</v>
      </c>
      <c r="E18" s="181" t="s">
        <v>98</v>
      </c>
      <c r="F18" s="182" t="s">
        <v>53</v>
      </c>
      <c r="G18" s="185" t="s">
        <v>74</v>
      </c>
      <c r="H18" s="22" t="s">
        <v>99</v>
      </c>
      <c r="I18" s="2" t="s">
        <v>56</v>
      </c>
      <c r="J18" s="190" t="s">
        <v>100</v>
      </c>
      <c r="K18" s="190" t="s">
        <v>101</v>
      </c>
      <c r="L18" s="215"/>
      <c r="M18" s="190" t="s">
        <v>102</v>
      </c>
      <c r="N18" s="17"/>
      <c r="T18" s="100" t="s">
        <v>103</v>
      </c>
    </row>
    <row r="19" spans="3:20">
      <c r="C19" s="27">
        <v>0.2</v>
      </c>
      <c r="D19" s="176"/>
      <c r="E19" s="177" t="s">
        <v>104</v>
      </c>
      <c r="F19" s="178"/>
      <c r="G19" s="179"/>
      <c r="H19" s="23"/>
      <c r="I19" s="178"/>
      <c r="J19" s="191"/>
      <c r="K19" s="191"/>
      <c r="L19" s="191"/>
      <c r="M19" s="192"/>
      <c r="N19" s="17"/>
      <c r="T19" s="100" t="s">
        <v>105</v>
      </c>
    </row>
    <row r="20" spans="3:20" ht="72.599999999999994" customHeight="1">
      <c r="C20" s="28"/>
      <c r="D20" s="180" t="b">
        <v>1</v>
      </c>
      <c r="E20" s="184" t="s">
        <v>106</v>
      </c>
      <c r="F20" s="182" t="s">
        <v>53</v>
      </c>
      <c r="G20" s="183" t="s">
        <v>54</v>
      </c>
      <c r="H20" s="31" t="s">
        <v>107</v>
      </c>
      <c r="I20" s="2" t="s">
        <v>56</v>
      </c>
      <c r="J20" s="190" t="s">
        <v>108</v>
      </c>
      <c r="K20" s="190" t="s">
        <v>109</v>
      </c>
      <c r="L20" s="215" t="s">
        <v>110</v>
      </c>
      <c r="M20" s="190"/>
      <c r="N20" s="17"/>
      <c r="T20" s="100" t="s">
        <v>111</v>
      </c>
    </row>
    <row r="21" spans="3:20" ht="81" customHeight="1">
      <c r="C21" s="28"/>
      <c r="D21" s="180" t="b">
        <v>1</v>
      </c>
      <c r="E21" s="186" t="s">
        <v>112</v>
      </c>
      <c r="F21" s="182" t="s">
        <v>53</v>
      </c>
      <c r="G21" s="185" t="s">
        <v>74</v>
      </c>
      <c r="H21" s="32" t="s">
        <v>113</v>
      </c>
      <c r="I21" s="2" t="s">
        <v>56</v>
      </c>
      <c r="J21" s="190" t="s">
        <v>114</v>
      </c>
      <c r="K21" s="190" t="s">
        <v>115</v>
      </c>
      <c r="L21" s="215"/>
      <c r="M21" s="190" t="s">
        <v>116</v>
      </c>
      <c r="N21" s="17"/>
      <c r="T21" s="100" t="s">
        <v>117</v>
      </c>
    </row>
    <row r="22" spans="3:20" ht="74.45" customHeight="1">
      <c r="C22" s="28"/>
      <c r="D22" s="180" t="b">
        <v>1</v>
      </c>
      <c r="E22" s="184" t="s">
        <v>118</v>
      </c>
      <c r="F22" s="182" t="s">
        <v>53</v>
      </c>
      <c r="G22" s="185" t="s">
        <v>74</v>
      </c>
      <c r="H22" s="22" t="s">
        <v>119</v>
      </c>
      <c r="I22" s="2" t="s">
        <v>63</v>
      </c>
      <c r="J22" s="190" t="s">
        <v>114</v>
      </c>
      <c r="K22" s="190" t="s">
        <v>120</v>
      </c>
      <c r="L22" s="215"/>
      <c r="M22" s="190" t="s">
        <v>121</v>
      </c>
      <c r="N22" s="17"/>
      <c r="T22" s="100" t="s">
        <v>122</v>
      </c>
    </row>
    <row r="23" spans="3:20">
      <c r="C23" s="27">
        <v>0.2</v>
      </c>
      <c r="D23" s="176"/>
      <c r="E23" s="177" t="s">
        <v>123</v>
      </c>
      <c r="F23" s="178"/>
      <c r="G23" s="179"/>
      <c r="H23" s="23"/>
      <c r="I23" s="178"/>
      <c r="J23" s="191"/>
      <c r="K23" s="191"/>
      <c r="L23" s="191"/>
      <c r="M23" s="192"/>
      <c r="N23" s="17"/>
      <c r="T23" s="100" t="s">
        <v>124</v>
      </c>
    </row>
    <row r="24" spans="3:20" ht="68.099999999999994" customHeight="1">
      <c r="C24" s="28"/>
      <c r="D24" s="180" t="b">
        <v>1</v>
      </c>
      <c r="E24" s="184" t="s">
        <v>125</v>
      </c>
      <c r="F24" s="182" t="s">
        <v>53</v>
      </c>
      <c r="G24" s="183" t="s">
        <v>54</v>
      </c>
      <c r="H24" s="31" t="s">
        <v>126</v>
      </c>
      <c r="I24" s="2" t="s">
        <v>56</v>
      </c>
      <c r="J24" s="190" t="s">
        <v>127</v>
      </c>
      <c r="K24" s="193" t="s">
        <v>128</v>
      </c>
      <c r="L24" s="215" t="s">
        <v>129</v>
      </c>
      <c r="M24" s="190" t="s">
        <v>130</v>
      </c>
      <c r="N24" s="17"/>
      <c r="T24" s="100" t="s">
        <v>131</v>
      </c>
    </row>
    <row r="25" spans="3:20" ht="62.1" customHeight="1">
      <c r="C25" s="28"/>
      <c r="D25" s="180" t="b">
        <v>1</v>
      </c>
      <c r="E25" s="181" t="s">
        <v>132</v>
      </c>
      <c r="F25" s="182" t="s">
        <v>53</v>
      </c>
      <c r="G25" s="183" t="s">
        <v>54</v>
      </c>
      <c r="H25" s="32" t="s">
        <v>133</v>
      </c>
      <c r="I25" s="2" t="s">
        <v>56</v>
      </c>
      <c r="J25" s="193" t="s">
        <v>134</v>
      </c>
      <c r="K25" s="193" t="s">
        <v>135</v>
      </c>
      <c r="L25" s="215"/>
      <c r="M25" s="190" t="s">
        <v>130</v>
      </c>
      <c r="N25" s="17"/>
      <c r="T25" s="100" t="s">
        <v>136</v>
      </c>
    </row>
    <row r="26" spans="3:20" ht="66.599999999999994" customHeight="1">
      <c r="C26" s="28"/>
      <c r="D26" s="180" t="b">
        <v>1</v>
      </c>
      <c r="E26" s="184" t="s">
        <v>137</v>
      </c>
      <c r="F26" s="182" t="s">
        <v>53</v>
      </c>
      <c r="G26" s="185" t="s">
        <v>74</v>
      </c>
      <c r="H26" s="32" t="s">
        <v>138</v>
      </c>
      <c r="I26" s="2" t="s">
        <v>63</v>
      </c>
      <c r="J26" s="190" t="s">
        <v>139</v>
      </c>
      <c r="K26" s="190" t="s">
        <v>140</v>
      </c>
      <c r="L26" s="215"/>
      <c r="M26" s="190" t="s">
        <v>141</v>
      </c>
      <c r="N26" s="17"/>
      <c r="T26" s="100" t="s">
        <v>142</v>
      </c>
    </row>
    <row r="27" spans="3:20">
      <c r="C27" s="27">
        <v>0.2</v>
      </c>
      <c r="D27" s="176"/>
      <c r="E27" s="177" t="s">
        <v>143</v>
      </c>
      <c r="F27" s="178"/>
      <c r="G27" s="179"/>
      <c r="H27" s="23"/>
      <c r="I27" s="178"/>
      <c r="J27" s="191"/>
      <c r="K27" s="191"/>
      <c r="L27" s="191"/>
      <c r="M27" s="192"/>
      <c r="N27" s="17"/>
      <c r="T27" s="100" t="s">
        <v>144</v>
      </c>
    </row>
    <row r="28" spans="3:20" ht="95.1" customHeight="1">
      <c r="C28" s="28"/>
      <c r="D28" s="180" t="b">
        <v>1</v>
      </c>
      <c r="E28" s="184" t="s">
        <v>145</v>
      </c>
      <c r="F28" s="187" t="s">
        <v>73</v>
      </c>
      <c r="G28" s="183" t="s">
        <v>54</v>
      </c>
      <c r="H28" s="31" t="s">
        <v>146</v>
      </c>
      <c r="I28" s="2" t="s">
        <v>63</v>
      </c>
      <c r="J28" s="190" t="s">
        <v>147</v>
      </c>
      <c r="K28" s="190" t="s">
        <v>148</v>
      </c>
      <c r="L28" s="215" t="s">
        <v>149</v>
      </c>
      <c r="M28" s="190"/>
      <c r="N28" s="17"/>
      <c r="T28" s="100" t="s">
        <v>150</v>
      </c>
    </row>
    <row r="29" spans="3:20" ht="70.5" customHeight="1" thickBot="1">
      <c r="C29" s="173"/>
      <c r="D29" s="97" t="b">
        <v>1</v>
      </c>
      <c r="E29" s="29" t="s">
        <v>151</v>
      </c>
      <c r="F29" s="30" t="s">
        <v>73</v>
      </c>
      <c r="G29" s="136" t="s">
        <v>74</v>
      </c>
      <c r="H29" s="24" t="s">
        <v>152</v>
      </c>
      <c r="I29" s="25" t="s">
        <v>56</v>
      </c>
      <c r="J29" s="39" t="s">
        <v>153</v>
      </c>
      <c r="K29" s="39" t="s">
        <v>154</v>
      </c>
      <c r="L29" s="216"/>
      <c r="M29" s="39"/>
      <c r="N29" s="7"/>
      <c r="T29" s="100" t="s">
        <v>155</v>
      </c>
    </row>
    <row r="30" spans="3:20">
      <c r="C30" s="10"/>
      <c r="D30" s="2"/>
      <c r="E30" s="1"/>
      <c r="F30" s="1"/>
      <c r="G30" s="1"/>
      <c r="H30" s="1"/>
      <c r="I30" s="1"/>
      <c r="J30" s="1"/>
      <c r="K30" s="1"/>
      <c r="L30" s="1"/>
      <c r="M30"/>
      <c r="N30" s="17"/>
      <c r="T30" s="100" t="s">
        <v>156</v>
      </c>
    </row>
    <row r="31" spans="3:20">
      <c r="C31" s="10"/>
      <c r="D31" s="2"/>
      <c r="E31" s="1"/>
      <c r="F31" s="1"/>
      <c r="G31" s="1"/>
      <c r="H31" s="1"/>
      <c r="I31" s="1"/>
      <c r="J31" s="1"/>
      <c r="K31" s="1"/>
      <c r="L31" s="1"/>
      <c r="M31" s="1"/>
      <c r="N31" s="17"/>
      <c r="T31" s="100" t="s">
        <v>157</v>
      </c>
    </row>
    <row r="32" spans="3:20" ht="22.5">
      <c r="C32" s="10"/>
      <c r="D32" s="2"/>
      <c r="E32" s="70" t="s">
        <v>158</v>
      </c>
      <c r="F32" s="1"/>
      <c r="G32" s="1"/>
      <c r="H32" s="1"/>
      <c r="I32" s="1"/>
      <c r="J32" s="1"/>
      <c r="K32" s="1"/>
      <c r="L32" s="1"/>
      <c r="M32" s="1"/>
      <c r="N32" s="17"/>
      <c r="T32" s="100" t="s">
        <v>159</v>
      </c>
    </row>
    <row r="33" spans="3:20" ht="17.45">
      <c r="C33" s="10"/>
      <c r="D33" s="2"/>
      <c r="E33" s="271"/>
      <c r="F33" s="271"/>
      <c r="G33" s="131"/>
      <c r="H33" s="1"/>
      <c r="I33" s="1"/>
      <c r="J33" s="1"/>
      <c r="K33" s="1"/>
      <c r="L33" s="1"/>
      <c r="M33" s="1"/>
      <c r="N33" s="17"/>
      <c r="T33" s="100" t="s">
        <v>160</v>
      </c>
    </row>
    <row r="34" spans="3:20">
      <c r="C34" s="10"/>
      <c r="D34" s="2"/>
      <c r="E34" s="19" t="s">
        <v>161</v>
      </c>
      <c r="F34" s="19" t="s">
        <v>162</v>
      </c>
      <c r="G34" s="1"/>
      <c r="H34" s="1"/>
      <c r="I34" s="1"/>
      <c r="J34" s="1"/>
      <c r="K34" s="1"/>
      <c r="L34" s="1"/>
      <c r="M34" s="1"/>
      <c r="N34" s="17"/>
      <c r="T34" s="100" t="s">
        <v>163</v>
      </c>
    </row>
    <row r="35" spans="3:20">
      <c r="C35" s="10"/>
      <c r="D35" s="2"/>
      <c r="E35" s="18" t="s">
        <v>164</v>
      </c>
      <c r="F35" s="18">
        <v>5</v>
      </c>
      <c r="G35" s="1"/>
      <c r="H35" s="1"/>
      <c r="I35" s="1"/>
      <c r="J35" s="1"/>
      <c r="K35" s="1"/>
      <c r="L35" s="1"/>
      <c r="M35" s="1"/>
      <c r="N35" s="17"/>
      <c r="T35" s="101" t="s">
        <v>165</v>
      </c>
    </row>
    <row r="36" spans="3:20">
      <c r="C36" s="10"/>
      <c r="D36" s="2"/>
      <c r="E36" s="18" t="s">
        <v>166</v>
      </c>
      <c r="F36" s="18">
        <v>3</v>
      </c>
      <c r="G36" s="1"/>
      <c r="H36" s="1"/>
      <c r="I36" s="1"/>
      <c r="J36" s="1"/>
      <c r="K36" s="1"/>
      <c r="L36" s="1"/>
      <c r="M36" s="1"/>
      <c r="N36" s="17"/>
      <c r="T36" s="101" t="s">
        <v>167</v>
      </c>
    </row>
    <row r="37" spans="3:20">
      <c r="C37" s="10"/>
      <c r="D37" s="2"/>
      <c r="E37" s="18" t="s">
        <v>168</v>
      </c>
      <c r="F37" s="18">
        <v>1</v>
      </c>
      <c r="G37" s="1"/>
      <c r="H37" s="1"/>
      <c r="I37" s="1"/>
      <c r="J37" s="1"/>
      <c r="K37" s="1"/>
      <c r="L37" s="1"/>
      <c r="M37" s="1"/>
      <c r="N37" s="17"/>
      <c r="T37" s="100" t="s">
        <v>169</v>
      </c>
    </row>
    <row r="38" spans="3:20">
      <c r="C38" s="10"/>
      <c r="D38" s="2"/>
      <c r="E38" s="18" t="s">
        <v>170</v>
      </c>
      <c r="F38" s="18">
        <v>5</v>
      </c>
      <c r="G38" s="1"/>
      <c r="H38" s="1"/>
      <c r="I38" s="1"/>
      <c r="J38" s="1"/>
      <c r="K38" s="1"/>
      <c r="L38" s="1"/>
      <c r="M38" s="1"/>
      <c r="N38" s="17"/>
      <c r="T38" s="100" t="s">
        <v>171</v>
      </c>
    </row>
    <row r="39" spans="3:20">
      <c r="C39" s="10"/>
      <c r="D39" s="2"/>
      <c r="E39" s="18" t="s">
        <v>172</v>
      </c>
      <c r="F39" s="18">
        <v>0</v>
      </c>
      <c r="G39" s="1"/>
      <c r="H39" s="1"/>
      <c r="I39" s="1"/>
      <c r="J39" s="1"/>
      <c r="K39" s="1"/>
      <c r="L39" s="1"/>
      <c r="M39" s="1"/>
      <c r="N39" s="17"/>
      <c r="T39" s="101" t="s">
        <v>173</v>
      </c>
    </row>
    <row r="40" spans="3:20">
      <c r="C40" s="10"/>
      <c r="D40" s="2"/>
      <c r="E40" s="187"/>
      <c r="F40" s="187"/>
      <c r="G40" s="1"/>
      <c r="H40" s="1"/>
      <c r="I40" s="1"/>
      <c r="J40" s="1"/>
      <c r="K40" s="1"/>
      <c r="L40" s="1"/>
      <c r="M40" s="1"/>
      <c r="N40" s="17"/>
      <c r="T40" s="101"/>
    </row>
    <row r="41" spans="3:20">
      <c r="C41" s="10"/>
      <c r="D41" s="2"/>
      <c r="E41" s="188" t="s">
        <v>174</v>
      </c>
      <c r="F41" s="1"/>
      <c r="G41" s="1"/>
      <c r="H41" s="1"/>
      <c r="I41" s="1"/>
      <c r="J41" s="1"/>
      <c r="K41" s="1"/>
      <c r="L41" s="1"/>
      <c r="M41" s="1"/>
      <c r="N41" s="17"/>
      <c r="T41" s="101" t="s">
        <v>175</v>
      </c>
    </row>
    <row r="42" spans="3:20">
      <c r="C42" s="10"/>
      <c r="D42" s="2"/>
      <c r="E42" s="52" t="s">
        <v>176</v>
      </c>
      <c r="F42" s="52" t="s">
        <v>174</v>
      </c>
      <c r="G42" s="52" t="s">
        <v>168</v>
      </c>
      <c r="H42" s="52" t="s">
        <v>166</v>
      </c>
      <c r="I42" s="52" t="s">
        <v>164</v>
      </c>
      <c r="J42" s="1"/>
      <c r="K42" s="1"/>
      <c r="L42" s="1"/>
      <c r="M42" s="1"/>
      <c r="N42" s="17"/>
      <c r="T42" s="100" t="s">
        <v>177</v>
      </c>
    </row>
    <row r="43" spans="3:20" ht="24.95">
      <c r="C43" s="10"/>
      <c r="D43" s="2"/>
      <c r="E43" s="53" t="str">
        <f>E9</f>
        <v>1. Strategic alignment and institutional commitment</v>
      </c>
      <c r="F43" s="54">
        <f>COUNTIF($D$9:$D$15, TRUE)</f>
        <v>6</v>
      </c>
      <c r="G43" s="54">
        <f>F43*$F$37</f>
        <v>6</v>
      </c>
      <c r="H43" s="54">
        <f>F43*$F$36</f>
        <v>18</v>
      </c>
      <c r="I43" s="54">
        <f>F43*$F$35</f>
        <v>30</v>
      </c>
      <c r="J43" s="1"/>
      <c r="K43" s="1"/>
      <c r="L43" s="1"/>
      <c r="M43" s="1"/>
      <c r="N43" s="17"/>
      <c r="T43" s="100" t="s">
        <v>178</v>
      </c>
    </row>
    <row r="44" spans="3:20">
      <c r="C44" s="10"/>
      <c r="D44" s="2"/>
      <c r="E44" s="53" t="str">
        <f>E16</f>
        <v>2. Institutional capacity</v>
      </c>
      <c r="F44" s="54">
        <f>COUNTIF($D$17:$D$18, TRUE)</f>
        <v>2</v>
      </c>
      <c r="G44" s="54">
        <f>F44*$F$37</f>
        <v>2</v>
      </c>
      <c r="H44" s="54">
        <f>F44*$F$36</f>
        <v>6</v>
      </c>
      <c r="I44" s="54">
        <f>F44*$F$35</f>
        <v>10</v>
      </c>
      <c r="J44" s="1"/>
      <c r="K44" s="1"/>
      <c r="L44" s="1"/>
      <c r="M44" s="1"/>
      <c r="N44" s="17"/>
      <c r="T44" s="100" t="s">
        <v>179</v>
      </c>
    </row>
    <row r="45" spans="3:20">
      <c r="C45" s="10"/>
      <c r="D45" s="2"/>
      <c r="E45" s="53" t="str">
        <f>E19</f>
        <v>3. Track record</v>
      </c>
      <c r="F45" s="54">
        <f>COUNTIF($D$20:$D$22, TRUE)</f>
        <v>3</v>
      </c>
      <c r="G45" s="54">
        <f>F45*$F$37</f>
        <v>3</v>
      </c>
      <c r="H45" s="54">
        <f>F45*$F$36</f>
        <v>9</v>
      </c>
      <c r="I45" s="54">
        <f>F45*$F$35</f>
        <v>15</v>
      </c>
      <c r="J45" s="1"/>
      <c r="K45" s="1"/>
      <c r="L45" s="1"/>
      <c r="M45" s="1"/>
      <c r="N45" s="17"/>
      <c r="T45" s="100" t="s">
        <v>180</v>
      </c>
    </row>
    <row r="46" spans="3:20">
      <c r="C46" s="10"/>
      <c r="D46" s="2"/>
      <c r="E46" s="53" t="str">
        <f>E23</f>
        <v>4. Market opportunity and accessibility</v>
      </c>
      <c r="F46" s="54">
        <f>COUNTIF($D$24:$D$26, TRUE)</f>
        <v>3</v>
      </c>
      <c r="G46" s="54">
        <f>F46*$F$37</f>
        <v>3</v>
      </c>
      <c r="H46" s="54">
        <f>F46*$F$36</f>
        <v>9</v>
      </c>
      <c r="I46" s="54">
        <f>F46*$F$35</f>
        <v>15</v>
      </c>
      <c r="J46" s="1"/>
      <c r="K46" s="1"/>
      <c r="L46" s="1"/>
      <c r="M46" s="1"/>
      <c r="N46" s="17"/>
      <c r="T46" s="100" t="s">
        <v>181</v>
      </c>
    </row>
    <row r="47" spans="3:20">
      <c r="C47" s="10"/>
      <c r="D47" s="2"/>
      <c r="E47" s="53" t="str">
        <f>E27</f>
        <v>5. Risk and reputation</v>
      </c>
      <c r="F47" s="54">
        <f>COUNTIF($D$28:$D$29, TRUE)</f>
        <v>2</v>
      </c>
      <c r="G47" s="54">
        <f>F47*$F$39</f>
        <v>0</v>
      </c>
      <c r="H47" s="54"/>
      <c r="I47" s="54">
        <f>F47*$F$38</f>
        <v>10</v>
      </c>
      <c r="J47" s="1"/>
      <c r="K47" s="1"/>
      <c r="L47" s="1"/>
      <c r="M47" s="1"/>
      <c r="N47" s="17"/>
      <c r="T47" s="100" t="s">
        <v>182</v>
      </c>
    </row>
    <row r="48" spans="3:20">
      <c r="C48" s="10"/>
      <c r="D48" s="2"/>
      <c r="E48" s="55" t="s">
        <v>183</v>
      </c>
      <c r="F48" s="55">
        <f>SUM(F43:F47)</f>
        <v>16</v>
      </c>
      <c r="G48" s="55">
        <f t="shared" ref="G48:H48" si="0">SUM(G43:G47)</f>
        <v>14</v>
      </c>
      <c r="H48" s="55">
        <f t="shared" si="0"/>
        <v>42</v>
      </c>
      <c r="I48" s="55">
        <f>SUM(I43:I47)</f>
        <v>80</v>
      </c>
      <c r="J48" s="1"/>
      <c r="K48" s="1"/>
      <c r="L48" s="1"/>
      <c r="M48" s="1"/>
      <c r="N48" s="17"/>
      <c r="T48" s="100" t="s">
        <v>184</v>
      </c>
    </row>
    <row r="49" spans="3:20">
      <c r="C49" s="10"/>
      <c r="D49" s="2"/>
      <c r="E49" s="189"/>
      <c r="F49" s="189"/>
      <c r="G49" s="189"/>
      <c r="H49" s="189"/>
      <c r="I49" s="189"/>
      <c r="J49" s="1"/>
      <c r="K49" s="1"/>
      <c r="L49" s="1"/>
      <c r="M49" s="1"/>
      <c r="N49" s="17"/>
      <c r="T49" s="100"/>
    </row>
    <row r="50" spans="3:20">
      <c r="C50" s="10"/>
      <c r="D50" s="2"/>
      <c r="E50" s="188" t="s">
        <v>185</v>
      </c>
      <c r="F50" s="1"/>
      <c r="G50" s="1"/>
      <c r="H50" s="1"/>
      <c r="I50" s="1"/>
      <c r="J50" s="1"/>
      <c r="K50" s="1"/>
      <c r="L50" s="1"/>
      <c r="M50" s="1"/>
      <c r="N50" s="17"/>
      <c r="T50" s="100" t="s">
        <v>186</v>
      </c>
    </row>
    <row r="51" spans="3:20" ht="24.95">
      <c r="C51" s="10"/>
      <c r="D51" s="2"/>
      <c r="E51" s="52" t="s">
        <v>176</v>
      </c>
      <c r="F51" s="52" t="s">
        <v>187</v>
      </c>
      <c r="G51" s="52" t="s">
        <v>168</v>
      </c>
      <c r="H51" s="52" t="s">
        <v>166</v>
      </c>
      <c r="I51" s="52" t="s">
        <v>164</v>
      </c>
      <c r="K51" s="1"/>
      <c r="L51" s="1"/>
      <c r="M51" s="1"/>
      <c r="N51" s="17"/>
      <c r="T51" s="100" t="s">
        <v>188</v>
      </c>
    </row>
    <row r="52" spans="3:20" ht="20.45" customHeight="1">
      <c r="C52" s="10"/>
      <c r="D52" s="2"/>
      <c r="E52" s="53" t="str">
        <f>E43</f>
        <v>1. Strategic alignment and institutional commitment</v>
      </c>
      <c r="F52" s="159">
        <f>C9</f>
        <v>0.2</v>
      </c>
      <c r="G52" s="54">
        <f t="shared" ref="G52:I56" si="1">G43*$F52</f>
        <v>1.2000000000000002</v>
      </c>
      <c r="H52" s="54">
        <f t="shared" si="1"/>
        <v>3.6</v>
      </c>
      <c r="I52" s="54">
        <f t="shared" si="1"/>
        <v>6</v>
      </c>
      <c r="K52" s="1"/>
      <c r="L52" s="1"/>
      <c r="M52" s="1"/>
      <c r="N52" s="17"/>
      <c r="T52" s="100" t="s">
        <v>189</v>
      </c>
    </row>
    <row r="53" spans="3:20">
      <c r="C53" s="10"/>
      <c r="D53" s="2"/>
      <c r="E53" s="53" t="str">
        <f>E44</f>
        <v>2. Institutional capacity</v>
      </c>
      <c r="F53" s="160">
        <f>C16</f>
        <v>0.2</v>
      </c>
      <c r="G53" s="54">
        <f t="shared" si="1"/>
        <v>0.4</v>
      </c>
      <c r="H53" s="54">
        <f t="shared" si="1"/>
        <v>1.2000000000000002</v>
      </c>
      <c r="I53" s="54">
        <f t="shared" si="1"/>
        <v>2</v>
      </c>
      <c r="K53" s="1"/>
      <c r="L53" s="1"/>
      <c r="M53" s="1"/>
      <c r="N53" s="17"/>
      <c r="T53" s="100" t="s">
        <v>190</v>
      </c>
    </row>
    <row r="54" spans="3:20">
      <c r="C54" s="10"/>
      <c r="D54" s="2"/>
      <c r="E54" s="53" t="str">
        <f>E45</f>
        <v>3. Track record</v>
      </c>
      <c r="F54" s="160">
        <f>C19</f>
        <v>0.2</v>
      </c>
      <c r="G54" s="54">
        <f t="shared" si="1"/>
        <v>0.60000000000000009</v>
      </c>
      <c r="H54" s="54">
        <f t="shared" si="1"/>
        <v>1.8</v>
      </c>
      <c r="I54" s="54">
        <f t="shared" si="1"/>
        <v>3</v>
      </c>
      <c r="K54" s="1"/>
      <c r="L54" s="1"/>
      <c r="M54" s="1"/>
      <c r="N54" s="17"/>
      <c r="T54" s="100" t="s">
        <v>191</v>
      </c>
    </row>
    <row r="55" spans="3:20">
      <c r="C55" s="10"/>
      <c r="D55" s="2"/>
      <c r="E55" s="53" t="str">
        <f>E46</f>
        <v>4. Market opportunity and accessibility</v>
      </c>
      <c r="F55" s="160">
        <f>C23</f>
        <v>0.2</v>
      </c>
      <c r="G55" s="54">
        <f t="shared" si="1"/>
        <v>0.60000000000000009</v>
      </c>
      <c r="H55" s="54">
        <f t="shared" si="1"/>
        <v>1.8</v>
      </c>
      <c r="I55" s="54">
        <f t="shared" si="1"/>
        <v>3</v>
      </c>
      <c r="K55" s="1"/>
      <c r="L55" s="1"/>
      <c r="M55" s="1"/>
      <c r="N55" s="17"/>
      <c r="T55" s="100" t="s">
        <v>192</v>
      </c>
    </row>
    <row r="56" spans="3:20">
      <c r="C56" s="10"/>
      <c r="D56" s="2"/>
      <c r="E56" s="53" t="str">
        <f>E47</f>
        <v>5. Risk and reputation</v>
      </c>
      <c r="F56" s="160">
        <f>C27</f>
        <v>0.2</v>
      </c>
      <c r="G56" s="54">
        <f t="shared" si="1"/>
        <v>0</v>
      </c>
      <c r="H56" s="54">
        <f t="shared" si="1"/>
        <v>0</v>
      </c>
      <c r="I56" s="54">
        <f t="shared" si="1"/>
        <v>2</v>
      </c>
      <c r="K56" s="1"/>
      <c r="L56" s="1"/>
      <c r="M56" s="1"/>
      <c r="N56" s="17"/>
      <c r="T56" s="100" t="s">
        <v>193</v>
      </c>
    </row>
    <row r="57" spans="3:20">
      <c r="C57" s="10"/>
      <c r="D57" s="2"/>
      <c r="E57" s="55" t="s">
        <v>183</v>
      </c>
      <c r="F57" s="160">
        <f>SUM(F52:F56)</f>
        <v>1</v>
      </c>
      <c r="G57" s="55">
        <f t="shared" ref="G57:H57" si="2">SUM(G52:G56)</f>
        <v>2.8000000000000003</v>
      </c>
      <c r="H57" s="55">
        <f t="shared" si="2"/>
        <v>8.4</v>
      </c>
      <c r="I57" s="55">
        <f>SUM(I52:I56)</f>
        <v>16</v>
      </c>
      <c r="K57" s="1"/>
      <c r="L57" s="1"/>
      <c r="M57" s="1"/>
      <c r="N57" s="17"/>
      <c r="T57" s="100" t="s">
        <v>194</v>
      </c>
    </row>
    <row r="58" spans="3:20" ht="27.95" customHeight="1">
      <c r="C58" s="10"/>
      <c r="D58" s="2"/>
      <c r="E58" s="1"/>
      <c r="F58" s="1"/>
      <c r="G58" s="1"/>
      <c r="H58" s="1"/>
      <c r="I58" s="1"/>
      <c r="J58" s="1"/>
      <c r="K58" s="1"/>
      <c r="L58" s="1"/>
      <c r="M58" s="1"/>
      <c r="N58" s="17"/>
      <c r="T58" s="100" t="s">
        <v>195</v>
      </c>
    </row>
    <row r="59" spans="3:20">
      <c r="C59" s="10"/>
      <c r="D59" s="2"/>
      <c r="E59" s="52" t="s">
        <v>196</v>
      </c>
      <c r="F59" s="52" t="s">
        <v>197</v>
      </c>
      <c r="G59" s="52" t="s">
        <v>198</v>
      </c>
      <c r="H59" s="52" t="s">
        <v>199</v>
      </c>
      <c r="I59" s="1"/>
      <c r="J59" s="1"/>
      <c r="K59" s="1"/>
      <c r="L59" s="1"/>
      <c r="M59" s="1"/>
      <c r="N59" s="17"/>
      <c r="T59" s="101" t="s">
        <v>200</v>
      </c>
    </row>
    <row r="60" spans="3:20">
      <c r="C60" s="10"/>
      <c r="D60" s="2"/>
      <c r="E60" s="53" t="s">
        <v>201</v>
      </c>
      <c r="F60" s="56">
        <v>0.8</v>
      </c>
      <c r="G60" s="132">
        <f>H60*F60</f>
        <v>12.8</v>
      </c>
      <c r="H60" s="133">
        <f>I57</f>
        <v>16</v>
      </c>
      <c r="I60" s="1"/>
      <c r="J60" s="1"/>
      <c r="K60" s="1"/>
      <c r="L60" s="1"/>
      <c r="M60" s="1"/>
      <c r="N60" s="17"/>
      <c r="T60" s="100" t="s">
        <v>202</v>
      </c>
    </row>
    <row r="61" spans="3:20" ht="24.95">
      <c r="C61" s="10"/>
      <c r="D61" s="2"/>
      <c r="E61" s="53" t="s">
        <v>203</v>
      </c>
      <c r="F61" s="56">
        <v>0.6</v>
      </c>
      <c r="G61" s="132">
        <f>F61*H60</f>
        <v>9.6</v>
      </c>
      <c r="H61" s="132">
        <f>ROUND(G60-0.1,2)</f>
        <v>12.7</v>
      </c>
      <c r="I61" s="1"/>
      <c r="J61" s="1"/>
      <c r="K61" s="1"/>
      <c r="L61" s="1"/>
      <c r="M61" s="1"/>
      <c r="N61" s="17"/>
      <c r="T61" s="100" t="s">
        <v>204</v>
      </c>
    </row>
    <row r="62" spans="3:20">
      <c r="C62" s="10"/>
      <c r="D62" s="2"/>
      <c r="E62" s="53" t="s">
        <v>205</v>
      </c>
      <c r="F62" s="57" t="s">
        <v>206</v>
      </c>
      <c r="G62" s="133">
        <f>G57</f>
        <v>2.8000000000000003</v>
      </c>
      <c r="H62" s="132">
        <f>ROUND(G61-0.1,1)</f>
        <v>9.5</v>
      </c>
      <c r="I62" s="1"/>
      <c r="J62" s="1"/>
      <c r="K62" s="1"/>
      <c r="L62" s="1"/>
      <c r="M62" s="1"/>
      <c r="N62" s="17"/>
      <c r="T62" s="100" t="s">
        <v>207</v>
      </c>
    </row>
    <row r="63" spans="3:20">
      <c r="C63" s="10"/>
      <c r="D63" s="2"/>
      <c r="E63" s="1"/>
      <c r="F63" s="1"/>
      <c r="G63" s="1"/>
      <c r="H63" s="1"/>
      <c r="I63" s="1"/>
      <c r="J63" s="1"/>
      <c r="K63" s="1"/>
      <c r="L63" s="1"/>
      <c r="M63" s="1"/>
      <c r="N63" s="17"/>
      <c r="T63" s="100" t="s">
        <v>208</v>
      </c>
    </row>
    <row r="64" spans="3:20" s="71" customFormat="1" ht="22.5">
      <c r="C64" s="10"/>
      <c r="D64" s="2"/>
      <c r="E64" s="70" t="s">
        <v>209</v>
      </c>
      <c r="F64" s="72"/>
      <c r="G64" s="72"/>
      <c r="H64" s="72"/>
      <c r="I64" s="72"/>
      <c r="J64" s="72"/>
      <c r="K64" s="72"/>
      <c r="L64" s="72"/>
      <c r="M64" s="72"/>
      <c r="N64" s="17"/>
      <c r="T64" s="100" t="s">
        <v>210</v>
      </c>
    </row>
    <row r="65" spans="3:20">
      <c r="C65" s="10"/>
      <c r="D65" s="2"/>
      <c r="E65" s="1"/>
      <c r="F65" s="1"/>
      <c r="G65" s="1"/>
      <c r="H65" s="1"/>
      <c r="I65" s="1"/>
      <c r="J65" s="72"/>
      <c r="K65" s="72"/>
      <c r="L65" s="72"/>
      <c r="M65" s="72"/>
      <c r="N65" s="17"/>
      <c r="T65" s="100" t="s">
        <v>211</v>
      </c>
    </row>
    <row r="66" spans="3:20" ht="24.95">
      <c r="C66" s="10"/>
      <c r="D66" s="2"/>
      <c r="E66" s="153" t="s">
        <v>212</v>
      </c>
      <c r="F66" s="154" t="s">
        <v>213</v>
      </c>
      <c r="G66" s="1"/>
      <c r="H66" s="1"/>
      <c r="I66" s="72"/>
      <c r="J66" s="72"/>
      <c r="K66" s="72"/>
      <c r="L66" s="72"/>
      <c r="M66" s="72"/>
      <c r="N66" s="17"/>
      <c r="T66" s="100" t="s">
        <v>214</v>
      </c>
    </row>
    <row r="67" spans="3:20">
      <c r="C67" s="10"/>
      <c r="D67" s="2"/>
      <c r="E67" s="155" t="str">
        <f>E9</f>
        <v>1. Strategic alignment and institutional commitment</v>
      </c>
      <c r="F67" s="155"/>
      <c r="G67" s="1"/>
      <c r="H67" s="1"/>
      <c r="I67" s="72"/>
      <c r="J67" s="72"/>
      <c r="K67" s="72"/>
      <c r="L67" s="72"/>
      <c r="M67" s="72"/>
      <c r="N67" s="17"/>
      <c r="T67" s="100" t="s">
        <v>215</v>
      </c>
    </row>
    <row r="68" spans="3:20" ht="56.1">
      <c r="C68" s="10"/>
      <c r="D68" s="2"/>
      <c r="E68" s="156" t="str">
        <f>_xlfn.TEXTAFTER(H10,"Low:")</f>
        <v xml:space="preserve"> There are limited or no references to financial inclusion in the bank's strategic positioning or public-facing institutional documents</v>
      </c>
      <c r="F68" s="156" t="str">
        <f>_xlfn.TEXTBEFORE(_xlfn.TEXTAFTER(H10,"Medium:"),"Low")</f>
        <v xml:space="preserve"> Financial inclusion is recognized as a key operational focus, but is not consistently followed up on or reported on (or vice versa)
</v>
      </c>
      <c r="G68" s="1"/>
      <c r="H68" s="1"/>
      <c r="I68" s="72"/>
      <c r="J68" s="72"/>
      <c r="K68" s="72"/>
      <c r="L68" s="72"/>
      <c r="M68" s="72"/>
      <c r="N68" s="17"/>
      <c r="T68" s="100" t="s">
        <v>216</v>
      </c>
    </row>
    <row r="69" spans="3:20" ht="56.1">
      <c r="C69" s="10"/>
      <c r="D69" s="2"/>
      <c r="E69" s="156" t="str">
        <f>_xlfn.TEXTAFTER(H11,"Low:")</f>
        <v xml:space="preserve"> The bank does not have defined SME-related goals, or goals are vague, non-measurable, or disconnected from delivery plans</v>
      </c>
      <c r="F69" s="156" t="str">
        <f>_xlfn.TEXTBEFORE(_xlfn.TEXTAFTER(H11,"Medium:"),"Low")</f>
        <v xml:space="preserve"> The bank outlines general ambitions or directional goals for SME or inclusion, but lacks short- to medium-term targets, timelines, or resource commitments
</v>
      </c>
      <c r="G69" s="1"/>
      <c r="H69" s="1"/>
      <c r="I69" s="72"/>
      <c r="J69" s="72"/>
      <c r="K69" s="72"/>
      <c r="L69" s="72"/>
      <c r="M69" s="72"/>
      <c r="N69" s="17"/>
      <c r="T69" s="100" t="s">
        <v>217</v>
      </c>
    </row>
    <row r="70" spans="3:20" ht="75" customHeight="1">
      <c r="C70" s="10"/>
      <c r="D70" s="2"/>
      <c r="E70" s="198" t="str">
        <f>_xlfn.TEXTAFTER(H12,"Low: ")</f>
        <v>There are no identifiable public statements from senior leadership (i.e., Board, CEO, COO, Head of SME banking) indicating a commitment to SME banking</v>
      </c>
      <c r="F70" s="156" t="str">
        <f>_xlfn.TEXTBEFORE(_xlfn.TEXTAFTER(H12,"Medium:"),"Low")</f>
        <v xml:space="preserve"> Senior executives (i.e., Board, CEO, COO, Head of SME banking) have expressed support for SME banking, but primarily as a development priority rather than a strategic focus
</v>
      </c>
      <c r="G70" s="1"/>
      <c r="H70" s="1"/>
      <c r="I70" s="1"/>
      <c r="J70" s="1"/>
      <c r="K70" s="1"/>
      <c r="L70" s="1"/>
      <c r="M70" s="1"/>
      <c r="N70" s="17"/>
      <c r="T70" s="100" t="s">
        <v>218</v>
      </c>
    </row>
    <row r="71" spans="3:20" ht="75" customHeight="1">
      <c r="C71" s="10"/>
      <c r="D71" s="2"/>
      <c r="E71" s="198" t="s">
        <v>219</v>
      </c>
      <c r="F71" s="158" t="s">
        <v>220</v>
      </c>
      <c r="G71" s="1"/>
      <c r="H71" s="1"/>
      <c r="I71" s="1"/>
      <c r="J71" s="1"/>
      <c r="K71" s="1"/>
      <c r="L71" s="1"/>
      <c r="M71" s="1"/>
      <c r="N71" s="17"/>
      <c r="T71" s="100"/>
    </row>
    <row r="72" spans="3:20" ht="42">
      <c r="C72" s="10"/>
      <c r="D72" s="2"/>
      <c r="E72" s="156" t="str">
        <f>_xlfn.TEXTAFTER(H14,"Low:")</f>
        <v xml:space="preserve"> No clear ESG commitments, or ESG is treated as a peripheral or informal concern</v>
      </c>
      <c r="F72" s="156" t="str">
        <f>_xlfn.TEXTBEFORE(_xlfn.TEXTAFTER(H14,"Medium:"),"Low")</f>
        <v xml:space="preserve"> ESG is referenced in values or policies but lacks formal integration or enforcement
</v>
      </c>
      <c r="G72" s="1"/>
      <c r="H72" s="1"/>
      <c r="I72" s="1"/>
      <c r="J72" s="1"/>
      <c r="K72" s="1"/>
      <c r="L72" s="1"/>
      <c r="M72" s="1"/>
      <c r="N72" s="17"/>
      <c r="T72" s="100" t="s">
        <v>221</v>
      </c>
    </row>
    <row r="73" spans="3:20" ht="69.95">
      <c r="C73" s="10"/>
      <c r="D73" s="2"/>
      <c r="E73" s="156" t="str">
        <f>_xlfn.TEXTAFTER(H15,"Low:")</f>
        <v xml:space="preserve"> The bank’s focus areas do not align with the funder’s priorities and it lacks relevant programs</v>
      </c>
      <c r="F73" s="156" t="str">
        <f>_xlfn.TEXTBEFORE(_xlfn.TEXTAFTER(H15,"Medium:"),"Low")</f>
        <v xml:space="preserve"> The bank does not explicitly focus on the funder’s core priorities but addresses secondary priorities or runs programs that partially align with primary development priorities
</v>
      </c>
      <c r="G73" s="1"/>
      <c r="H73" s="1"/>
      <c r="I73" s="1"/>
      <c r="J73" s="1"/>
      <c r="K73" s="1"/>
      <c r="L73" s="1"/>
      <c r="M73" s="1"/>
      <c r="N73" s="17"/>
      <c r="T73" s="100" t="s">
        <v>222</v>
      </c>
    </row>
    <row r="74" spans="3:20">
      <c r="C74" s="10"/>
      <c r="D74" s="2"/>
      <c r="E74" s="157" t="str">
        <f>E16</f>
        <v>2. Institutional capacity</v>
      </c>
      <c r="F74" s="157"/>
      <c r="G74" s="1"/>
      <c r="H74" s="1"/>
      <c r="I74" s="1"/>
      <c r="J74" s="1"/>
      <c r="K74" s="1"/>
      <c r="L74" s="1"/>
      <c r="M74" s="1"/>
      <c r="N74" s="17"/>
      <c r="T74" s="100" t="s">
        <v>223</v>
      </c>
    </row>
    <row r="75" spans="3:20" ht="42">
      <c r="C75" s="10"/>
      <c r="D75" s="2"/>
      <c r="E75" s="156" t="str">
        <f>_xlfn.TEXTAFTER(H17,"Low:")</f>
        <v xml:space="preserve"> No formal SME-related responsibilities are assigned, or responsibilities are unclear and fragmented</v>
      </c>
      <c r="F75" s="156" t="str">
        <f>_xlfn.TEXTBEFORE(_xlfn.TEXTAFTER(H17,"Medium:"),"Low")</f>
        <v xml:space="preserve"> SME-related roles exist but are inconsistently defined or overlap with other functions or focus areas
</v>
      </c>
      <c r="G75" s="1"/>
      <c r="H75" s="1"/>
      <c r="I75" s="1"/>
      <c r="J75" s="1"/>
      <c r="K75" s="1"/>
      <c r="L75" s="1"/>
      <c r="M75" s="1"/>
      <c r="N75" s="17"/>
      <c r="T75" s="100" t="s">
        <v>224</v>
      </c>
    </row>
    <row r="76" spans="3:20" ht="42">
      <c r="C76" s="10"/>
      <c r="D76" s="2"/>
      <c r="E76" s="156" t="str">
        <f>_xlfn.TEXTAFTER(H18,"Low:")</f>
        <v xml:space="preserve"> No proof of previous collaboration with TA funders or international development actors</v>
      </c>
      <c r="F76" s="156" t="str">
        <f>_xlfn.TEXTBEFORE(_xlfn.TEXTAFTER(H18,"Medium:"),"Low")</f>
        <v xml:space="preserve"> The bank has participated in at least one past engagement or limited/informal collaboration
</v>
      </c>
      <c r="G76" s="1"/>
      <c r="H76" s="1"/>
      <c r="I76" s="1"/>
      <c r="J76" s="1"/>
      <c r="K76" s="1"/>
      <c r="L76" s="1"/>
      <c r="M76" s="1"/>
      <c r="N76" s="17"/>
      <c r="T76" s="100" t="s">
        <v>225</v>
      </c>
    </row>
    <row r="77" spans="3:20">
      <c r="C77" s="10"/>
      <c r="D77" s="2"/>
      <c r="E77" s="157" t="str">
        <f>E19</f>
        <v>3. Track record</v>
      </c>
      <c r="F77" s="157"/>
      <c r="G77" s="1"/>
      <c r="H77" s="1"/>
      <c r="I77" s="1"/>
      <c r="J77" s="1"/>
      <c r="K77" s="1"/>
      <c r="L77" s="1"/>
      <c r="M77" s="1"/>
      <c r="N77" s="17"/>
      <c r="T77" s="100" t="s">
        <v>226</v>
      </c>
    </row>
    <row r="78" spans="3:20" ht="42">
      <c r="C78" s="10"/>
      <c r="D78" s="2"/>
      <c r="E78" s="156" t="str">
        <f>_xlfn.TEXTAFTER(H20,"Low:")</f>
        <v xml:space="preserve"> Products are not suitable or accessible for target segments</v>
      </c>
      <c r="F78" s="156" t="str">
        <f>_xlfn.TEXTBEFORE(_xlfn.TEXTAFTER(H20,"Medium:"),"Low")</f>
        <v xml:space="preserve"> The bank offers general products that may indirectly serve SMEs/inclusion goals
</v>
      </c>
      <c r="G78" s="1"/>
      <c r="H78" s="1"/>
      <c r="I78" s="1"/>
      <c r="J78" s="1"/>
      <c r="K78" s="1"/>
      <c r="L78" s="1"/>
      <c r="M78" s="1"/>
      <c r="N78" s="17"/>
      <c r="T78" s="100" t="s">
        <v>227</v>
      </c>
    </row>
    <row r="79" spans="3:20" ht="42">
      <c r="C79" s="10"/>
      <c r="D79" s="2"/>
      <c r="E79" s="156" t="str">
        <f>_xlfn.TEXTAFTER(H21,"Low:")</f>
        <v xml:space="preserve"> The bank has a limited trajectory in SME banking (&lt;5 years)</v>
      </c>
      <c r="F79" s="156" t="str">
        <f>_xlfn.TEXTBEFORE(_xlfn.TEXTAFTER(H21,"Medium:"),"Low")</f>
        <v xml:space="preserve"> The bank has made progress in SME banking in the last 5-15 years 
</v>
      </c>
      <c r="G79" s="1"/>
      <c r="H79" s="1"/>
      <c r="I79" s="1"/>
      <c r="J79" s="1"/>
      <c r="K79" s="1"/>
      <c r="L79" s="1"/>
      <c r="M79" s="1"/>
      <c r="N79" s="17"/>
      <c r="T79" s="100" t="s">
        <v>228</v>
      </c>
    </row>
    <row r="80" spans="3:20" ht="42">
      <c r="C80" s="10"/>
      <c r="D80" s="2"/>
      <c r="E80" s="156" t="str">
        <f>_xlfn.TEXTAFTER(H22,"Low:")</f>
        <v xml:space="preserve"> SME represents &lt;10% of the bank’s portfolio and is not tracked distinctly.</v>
      </c>
      <c r="F80" s="156" t="str">
        <f>_xlfn.TEXTBEFORE(_xlfn.TEXTAFTER(H22,"Medium:"),"Low")</f>
        <v xml:space="preserve"> SME business represents 10–19% of the total portfolio value, or is growing but not yet significant.
</v>
      </c>
      <c r="G80" s="1"/>
      <c r="H80" s="1"/>
      <c r="I80" s="1"/>
      <c r="J80" s="1"/>
      <c r="K80" s="1"/>
      <c r="L80" s="1"/>
      <c r="M80" s="1"/>
      <c r="N80" s="17"/>
      <c r="T80" s="100" t="s">
        <v>229</v>
      </c>
    </row>
    <row r="81" spans="3:20" ht="24.95">
      <c r="C81" s="10"/>
      <c r="D81" s="2"/>
      <c r="E81" s="157" t="str">
        <f>E23</f>
        <v>4. Market opportunity and accessibility</v>
      </c>
      <c r="F81" s="157"/>
      <c r="G81" s="1"/>
      <c r="H81" s="1"/>
      <c r="I81" s="1"/>
      <c r="J81" s="1"/>
      <c r="K81" s="1"/>
      <c r="L81" s="1"/>
      <c r="M81" s="1"/>
      <c r="N81" s="17"/>
      <c r="T81" s="100" t="s">
        <v>230</v>
      </c>
    </row>
    <row r="82" spans="3:20" ht="42">
      <c r="C82" s="10"/>
      <c r="D82" s="2"/>
      <c r="E82" s="156" t="str">
        <f>_xlfn.TEXTAFTER(H24,"Low:")</f>
        <v xml:space="preserve"> The country is scored as a "Lagging Market", with major constraints to SME banking </v>
      </c>
      <c r="F82" s="156" t="str">
        <f>_xlfn.TEXTBEFORE(_xlfn.TEXTAFTER(H24,"Medium:"),"Low")</f>
        <v xml:space="preserve"> The bank operates in a country that scores "Emerging Potential" in the Market Assessment Tool 
</v>
      </c>
      <c r="G82" s="1"/>
      <c r="H82" s="1"/>
      <c r="I82" s="1"/>
      <c r="J82" s="1"/>
      <c r="K82" s="1"/>
      <c r="L82" s="1"/>
      <c r="M82" s="1"/>
      <c r="N82" s="17"/>
      <c r="T82" s="100" t="s">
        <v>231</v>
      </c>
    </row>
    <row r="83" spans="3:20" ht="56.1">
      <c r="C83" s="10"/>
      <c r="D83" s="2"/>
      <c r="E83" s="156" t="str">
        <f>_xlfn.TEXTAFTER(H25,"Low:")</f>
        <v xml:space="preserve"> The bank operates in a market with negative projected revenue potential or declining growth rates</v>
      </c>
      <c r="F83" s="156" t="str">
        <f>_xlfn.TEXTBEFORE(_xlfn.TEXTAFTER(H25,"Medium:"),"Low")</f>
        <v xml:space="preserve"> The bank operates in a market with positive projected revenue potential but a moderate growth rate (less than 100%)
</v>
      </c>
      <c r="G83" s="1"/>
      <c r="H83" s="1"/>
      <c r="I83" s="1"/>
      <c r="J83" s="1"/>
      <c r="K83" s="1"/>
      <c r="L83" s="1"/>
      <c r="M83" s="1"/>
      <c r="N83" s="17"/>
      <c r="T83" s="100" t="s">
        <v>232</v>
      </c>
    </row>
    <row r="84" spans="3:20">
      <c r="C84" s="10"/>
      <c r="D84" s="2"/>
      <c r="E84" s="156" t="str">
        <f>_xlfn.TEXTAFTER(H26,"No:")</f>
        <v xml:space="preserve"> The bank does not serve the funders target segments (i.e., WSMEs, Agri-SMEs, Small vs Medium, etc)</v>
      </c>
      <c r="F84" s="158" t="s">
        <v>220</v>
      </c>
      <c r="G84" s="1"/>
      <c r="H84" s="1"/>
      <c r="I84" s="1"/>
      <c r="J84" s="1"/>
      <c r="K84" s="1"/>
      <c r="L84" s="1"/>
      <c r="M84" s="1"/>
      <c r="N84" s="17"/>
      <c r="T84" s="100" t="s">
        <v>233</v>
      </c>
    </row>
    <row r="85" spans="3:20" ht="24.95">
      <c r="C85" s="10"/>
      <c r="D85" s="2"/>
      <c r="E85" s="157" t="str">
        <f t="shared" ref="E85" si="3">E27</f>
        <v>5. Risk and reputation</v>
      </c>
      <c r="F85" s="157"/>
      <c r="G85" s="1"/>
      <c r="H85" s="1"/>
      <c r="I85" s="1"/>
      <c r="J85" s="1"/>
      <c r="K85" s="1"/>
      <c r="L85" s="1"/>
      <c r="M85" s="1"/>
      <c r="N85" s="17"/>
      <c r="T85" s="100" t="s">
        <v>234</v>
      </c>
    </row>
    <row r="86" spans="3:20" ht="27.95">
      <c r="C86" s="10"/>
      <c r="D86" s="2"/>
      <c r="E86" s="156" t="str">
        <f>_xlfn.TEXTAFTER(H28,"No:")</f>
        <v xml:space="preserve"> The bank has documented incidents (e.g., internal fraud, regulatory fines, money laundering cases, senior-level misconduct, or repeated client disputes) that raise compliance, legal, or reputational concerns.</v>
      </c>
      <c r="F86" s="158" t="s">
        <v>220</v>
      </c>
      <c r="G86" s="1"/>
      <c r="H86" s="1"/>
      <c r="I86" s="1"/>
      <c r="J86" s="1"/>
      <c r="K86" s="1"/>
      <c r="L86" s="1"/>
      <c r="M86" s="1"/>
      <c r="N86" s="17"/>
      <c r="T86" s="101" t="s">
        <v>235</v>
      </c>
    </row>
    <row r="87" spans="3:20">
      <c r="C87" s="10"/>
      <c r="D87" s="2"/>
      <c r="E87" s="156" t="str">
        <f>_xlfn.TEXTAFTER(H29,"No:")</f>
        <v xml:space="preserve"> No code of ethics or conduct is in place, and there are no relevant references or disclosures</v>
      </c>
      <c r="F87" s="158" t="s">
        <v>220</v>
      </c>
      <c r="G87" s="1"/>
      <c r="H87" s="1"/>
      <c r="I87" s="1"/>
      <c r="J87" s="1"/>
      <c r="K87" s="1"/>
      <c r="L87" s="1"/>
      <c r="M87" s="1"/>
      <c r="N87" s="17"/>
      <c r="T87" s="100" t="s">
        <v>236</v>
      </c>
    </row>
    <row r="88" spans="3:20">
      <c r="C88" s="10"/>
      <c r="D88" s="2"/>
      <c r="E88" s="1"/>
      <c r="F88" s="1"/>
      <c r="G88" s="1"/>
      <c r="H88" s="1"/>
      <c r="I88" s="1"/>
      <c r="J88" s="1"/>
      <c r="K88" s="1"/>
      <c r="L88" s="1"/>
      <c r="M88" s="1"/>
      <c r="N88" s="17"/>
      <c r="T88" s="100" t="s">
        <v>237</v>
      </c>
    </row>
    <row r="89" spans="3:20">
      <c r="C89" s="94"/>
      <c r="D89" s="95"/>
      <c r="E89" s="73"/>
      <c r="F89" s="73"/>
      <c r="G89" s="73"/>
      <c r="H89" s="73"/>
      <c r="I89" s="73"/>
      <c r="J89" s="73"/>
      <c r="K89" s="73"/>
      <c r="L89" s="73"/>
      <c r="M89" s="73"/>
      <c r="N89" s="96"/>
      <c r="T89" s="101" t="s">
        <v>238</v>
      </c>
    </row>
    <row r="90" spans="3:20">
      <c r="E90" s="12"/>
      <c r="F90" s="12"/>
      <c r="G90" s="12"/>
      <c r="H90" s="12"/>
      <c r="I90" s="12"/>
      <c r="J90" s="12"/>
      <c r="K90" s="12"/>
      <c r="L90" s="12"/>
      <c r="M90" s="12"/>
      <c r="T90" s="100" t="s">
        <v>239</v>
      </c>
    </row>
    <row r="91" spans="3:20">
      <c r="E91" s="12"/>
      <c r="F91" s="12"/>
      <c r="G91" s="12"/>
      <c r="H91" s="12"/>
      <c r="I91" s="12"/>
      <c r="J91" s="12"/>
      <c r="K91" s="12"/>
      <c r="L91" s="12"/>
      <c r="M91" s="12"/>
      <c r="T91" s="100" t="s">
        <v>240</v>
      </c>
    </row>
    <row r="92" spans="3:20">
      <c r="E92" s="12"/>
      <c r="F92" s="12"/>
      <c r="G92" s="12"/>
      <c r="H92" s="12"/>
      <c r="I92" s="12"/>
      <c r="J92" s="12"/>
      <c r="K92" s="12"/>
      <c r="L92" s="12"/>
      <c r="M92" s="12"/>
      <c r="T92" s="100" t="s">
        <v>241</v>
      </c>
    </row>
    <row r="93" spans="3:20">
      <c r="E93" s="12"/>
      <c r="F93" s="12"/>
      <c r="G93" s="12"/>
      <c r="H93" s="12"/>
      <c r="I93" s="12"/>
      <c r="J93" s="12"/>
      <c r="K93" s="12"/>
      <c r="L93" s="12"/>
      <c r="M93" s="12"/>
      <c r="T93" s="100" t="s">
        <v>242</v>
      </c>
    </row>
    <row r="94" spans="3:20">
      <c r="E94" s="13"/>
      <c r="T94" s="100" t="s">
        <v>243</v>
      </c>
    </row>
    <row r="95" spans="3:20">
      <c r="E95" s="13"/>
      <c r="T95" s="100" t="s">
        <v>244</v>
      </c>
    </row>
    <row r="96" spans="3:20">
      <c r="E96" s="13"/>
      <c r="T96" s="100" t="s">
        <v>245</v>
      </c>
    </row>
    <row r="97" spans="5:20">
      <c r="E97" s="13"/>
      <c r="T97" s="100" t="s">
        <v>246</v>
      </c>
    </row>
    <row r="98" spans="5:20">
      <c r="E98" s="13"/>
      <c r="T98" s="100" t="s">
        <v>247</v>
      </c>
    </row>
    <row r="99" spans="5:20" ht="24.95">
      <c r="E99" s="13"/>
      <c r="T99" s="100" t="s">
        <v>248</v>
      </c>
    </row>
    <row r="100" spans="5:20">
      <c r="E100" s="13"/>
      <c r="T100" s="100" t="s">
        <v>249</v>
      </c>
    </row>
    <row r="101" spans="5:20">
      <c r="E101" s="13"/>
      <c r="T101" s="100" t="s">
        <v>250</v>
      </c>
    </row>
    <row r="102" spans="5:20">
      <c r="E102" s="13"/>
      <c r="T102" s="100" t="s">
        <v>251</v>
      </c>
    </row>
    <row r="103" spans="5:20">
      <c r="E103" s="13"/>
      <c r="T103" s="100" t="s">
        <v>252</v>
      </c>
    </row>
    <row r="104" spans="5:20">
      <c r="E104" s="13"/>
      <c r="T104" s="100" t="s">
        <v>253</v>
      </c>
    </row>
    <row r="105" spans="5:20">
      <c r="E105" s="13"/>
      <c r="T105" s="100" t="s">
        <v>254</v>
      </c>
    </row>
    <row r="106" spans="5:20">
      <c r="E106" s="13"/>
      <c r="T106" s="100" t="s">
        <v>255</v>
      </c>
    </row>
    <row r="107" spans="5:20">
      <c r="E107" s="13"/>
      <c r="T107" s="100" t="s">
        <v>256</v>
      </c>
    </row>
    <row r="108" spans="5:20">
      <c r="E108" s="13"/>
      <c r="T108" s="100" t="s">
        <v>257</v>
      </c>
    </row>
    <row r="109" spans="5:20">
      <c r="E109" s="13"/>
      <c r="T109" s="100" t="s">
        <v>258</v>
      </c>
    </row>
    <row r="110" spans="5:20">
      <c r="E110" s="13"/>
      <c r="T110" s="100" t="s">
        <v>259</v>
      </c>
    </row>
    <row r="111" spans="5:20">
      <c r="E111" s="13"/>
      <c r="T111" s="100" t="s">
        <v>260</v>
      </c>
    </row>
    <row r="112" spans="5:20">
      <c r="E112" s="13"/>
      <c r="T112" s="100" t="s">
        <v>261</v>
      </c>
    </row>
    <row r="113" spans="5:20">
      <c r="E113" s="13"/>
      <c r="T113" s="100" t="s">
        <v>262</v>
      </c>
    </row>
    <row r="114" spans="5:20">
      <c r="E114" s="13"/>
      <c r="T114" s="100" t="s">
        <v>263</v>
      </c>
    </row>
    <row r="115" spans="5:20">
      <c r="T115" s="100" t="s">
        <v>264</v>
      </c>
    </row>
    <row r="116" spans="5:20">
      <c r="T116" s="100" t="s">
        <v>265</v>
      </c>
    </row>
    <row r="117" spans="5:20">
      <c r="T117" s="100" t="s">
        <v>266</v>
      </c>
    </row>
    <row r="118" spans="5:20">
      <c r="T118" s="100" t="s">
        <v>267</v>
      </c>
    </row>
    <row r="119" spans="5:20">
      <c r="T119" s="101" t="s">
        <v>268</v>
      </c>
    </row>
    <row r="120" spans="5:20">
      <c r="T120" s="101" t="s">
        <v>269</v>
      </c>
    </row>
    <row r="121" spans="5:20">
      <c r="T121" s="101" t="s">
        <v>270</v>
      </c>
    </row>
    <row r="122" spans="5:20">
      <c r="T122" s="100" t="s">
        <v>271</v>
      </c>
    </row>
    <row r="123" spans="5:20">
      <c r="T123" s="100" t="s">
        <v>272</v>
      </c>
    </row>
    <row r="124" spans="5:20">
      <c r="T124" s="100" t="s">
        <v>273</v>
      </c>
    </row>
    <row r="125" spans="5:20">
      <c r="T125" s="100" t="s">
        <v>274</v>
      </c>
    </row>
    <row r="126" spans="5:20">
      <c r="T126" s="100" t="s">
        <v>275</v>
      </c>
    </row>
    <row r="127" spans="5:20">
      <c r="T127" s="100" t="s">
        <v>276</v>
      </c>
    </row>
    <row r="128" spans="5:20">
      <c r="T128" s="100" t="s">
        <v>277</v>
      </c>
    </row>
    <row r="129" spans="20:20">
      <c r="T129" s="100" t="s">
        <v>278</v>
      </c>
    </row>
    <row r="130" spans="20:20">
      <c r="T130" s="101" t="s">
        <v>279</v>
      </c>
    </row>
    <row r="131" spans="20:20">
      <c r="T131" s="100" t="s">
        <v>280</v>
      </c>
    </row>
    <row r="132" spans="20:20">
      <c r="T132" s="101" t="s">
        <v>281</v>
      </c>
    </row>
    <row r="133" spans="20:20">
      <c r="T133" s="100" t="s">
        <v>282</v>
      </c>
    </row>
    <row r="134" spans="20:20">
      <c r="T134" s="100" t="s">
        <v>283</v>
      </c>
    </row>
    <row r="135" spans="20:20">
      <c r="T135" s="100" t="s">
        <v>284</v>
      </c>
    </row>
    <row r="136" spans="20:20">
      <c r="T136" s="100" t="s">
        <v>285</v>
      </c>
    </row>
    <row r="137" spans="20:20">
      <c r="T137" s="100" t="s">
        <v>286</v>
      </c>
    </row>
    <row r="138" spans="20:20">
      <c r="T138" s="100" t="s">
        <v>287</v>
      </c>
    </row>
    <row r="139" spans="20:20">
      <c r="T139" s="100" t="s">
        <v>288</v>
      </c>
    </row>
    <row r="140" spans="20:20">
      <c r="T140" s="100" t="s">
        <v>289</v>
      </c>
    </row>
    <row r="141" spans="20:20">
      <c r="T141" s="100" t="s">
        <v>290</v>
      </c>
    </row>
    <row r="142" spans="20:20">
      <c r="T142" s="100" t="s">
        <v>291</v>
      </c>
    </row>
    <row r="143" spans="20:20">
      <c r="T143" s="100" t="s">
        <v>292</v>
      </c>
    </row>
    <row r="144" spans="20:20">
      <c r="T144" s="100" t="s">
        <v>293</v>
      </c>
    </row>
    <row r="145" spans="20:20">
      <c r="T145" s="100" t="s">
        <v>294</v>
      </c>
    </row>
    <row r="146" spans="20:20">
      <c r="T146" s="100" t="s">
        <v>295</v>
      </c>
    </row>
    <row r="147" spans="20:20">
      <c r="T147" s="100" t="s">
        <v>296</v>
      </c>
    </row>
    <row r="148" spans="20:20">
      <c r="T148" s="100" t="s">
        <v>297</v>
      </c>
    </row>
    <row r="149" spans="20:20" ht="24.95">
      <c r="T149" s="100" t="s">
        <v>298</v>
      </c>
    </row>
    <row r="150" spans="20:20">
      <c r="T150" s="100" t="s">
        <v>299</v>
      </c>
    </row>
    <row r="151" spans="20:20">
      <c r="T151" s="100" t="s">
        <v>300</v>
      </c>
    </row>
    <row r="152" spans="20:20">
      <c r="T152" s="100" t="s">
        <v>301</v>
      </c>
    </row>
    <row r="153" spans="20:20">
      <c r="T153" s="100" t="s">
        <v>302</v>
      </c>
    </row>
    <row r="154" spans="20:20" ht="24.95">
      <c r="T154" s="100" t="s">
        <v>303</v>
      </c>
    </row>
    <row r="155" spans="20:20" ht="24.95">
      <c r="T155" s="100" t="s">
        <v>304</v>
      </c>
    </row>
    <row r="156" spans="20:20">
      <c r="T156" s="100" t="s">
        <v>305</v>
      </c>
    </row>
    <row r="157" spans="20:20">
      <c r="T157" s="100" t="s">
        <v>306</v>
      </c>
    </row>
    <row r="158" spans="20:20">
      <c r="T158" s="100" t="s">
        <v>307</v>
      </c>
    </row>
    <row r="159" spans="20:20">
      <c r="T159" s="101" t="s">
        <v>308</v>
      </c>
    </row>
    <row r="160" spans="20:20">
      <c r="T160" s="100" t="s">
        <v>309</v>
      </c>
    </row>
    <row r="161" spans="20:20">
      <c r="T161" s="100" t="s">
        <v>310</v>
      </c>
    </row>
    <row r="162" spans="20:20">
      <c r="T162" s="100" t="s">
        <v>311</v>
      </c>
    </row>
    <row r="163" spans="20:20">
      <c r="T163" s="100" t="s">
        <v>312</v>
      </c>
    </row>
    <row r="164" spans="20:20">
      <c r="T164" s="101" t="s">
        <v>313</v>
      </c>
    </row>
    <row r="165" spans="20:20">
      <c r="T165" s="100" t="s">
        <v>314</v>
      </c>
    </row>
    <row r="166" spans="20:20">
      <c r="T166" s="100" t="s">
        <v>315</v>
      </c>
    </row>
    <row r="167" spans="20:20">
      <c r="T167" s="100" t="s">
        <v>316</v>
      </c>
    </row>
    <row r="168" spans="20:20" ht="24.95">
      <c r="T168" s="100" t="s">
        <v>317</v>
      </c>
    </row>
    <row r="169" spans="20:20">
      <c r="T169" s="100" t="s">
        <v>318</v>
      </c>
    </row>
    <row r="170" spans="20:20">
      <c r="T170" s="100" t="s">
        <v>319</v>
      </c>
    </row>
    <row r="171" spans="20:20">
      <c r="T171" s="100" t="s">
        <v>320</v>
      </c>
    </row>
    <row r="172" spans="20:20">
      <c r="T172" s="100" t="s">
        <v>321</v>
      </c>
    </row>
    <row r="173" spans="20:20">
      <c r="T173" s="100" t="s">
        <v>322</v>
      </c>
    </row>
    <row r="174" spans="20:20">
      <c r="T174" s="100" t="s">
        <v>323</v>
      </c>
    </row>
    <row r="175" spans="20:20">
      <c r="T175" s="100" t="s">
        <v>324</v>
      </c>
    </row>
    <row r="176" spans="20:20">
      <c r="T176" s="101" t="s">
        <v>325</v>
      </c>
    </row>
    <row r="177" spans="20:20">
      <c r="T177" s="101" t="s">
        <v>326</v>
      </c>
    </row>
    <row r="178" spans="20:20">
      <c r="T178" s="101" t="s">
        <v>327</v>
      </c>
    </row>
    <row r="179" spans="20:20">
      <c r="T179" s="101" t="s">
        <v>328</v>
      </c>
    </row>
    <row r="180" spans="20:20" ht="50.1">
      <c r="T180" s="102" t="s">
        <v>329</v>
      </c>
    </row>
    <row r="181" spans="20:20">
      <c r="T181" s="101" t="s">
        <v>330</v>
      </c>
    </row>
    <row r="182" spans="20:20">
      <c r="T182" s="100" t="s">
        <v>331</v>
      </c>
    </row>
    <row r="183" spans="20:20" ht="24.95">
      <c r="T183" s="100" t="s">
        <v>332</v>
      </c>
    </row>
    <row r="184" spans="20:20">
      <c r="T184" s="100" t="s">
        <v>333</v>
      </c>
    </row>
    <row r="185" spans="20:20">
      <c r="T185" s="100" t="s">
        <v>334</v>
      </c>
    </row>
    <row r="186" spans="20:20">
      <c r="T186" s="101" t="s">
        <v>335</v>
      </c>
    </row>
    <row r="187" spans="20:20">
      <c r="T187" s="100" t="s">
        <v>336</v>
      </c>
    </row>
    <row r="188" spans="20:20">
      <c r="T188" s="100" t="s">
        <v>337</v>
      </c>
    </row>
    <row r="189" spans="20:20">
      <c r="T189" s="100" t="s">
        <v>338</v>
      </c>
    </row>
    <row r="190" spans="20:20" ht="24.95">
      <c r="T190" s="100" t="s">
        <v>339</v>
      </c>
    </row>
    <row r="191" spans="20:20" ht="37.5">
      <c r="T191" s="100" t="s">
        <v>340</v>
      </c>
    </row>
    <row r="192" spans="20:20">
      <c r="T192" s="100" t="s">
        <v>341</v>
      </c>
    </row>
    <row r="193" spans="20:20" ht="24.95">
      <c r="T193" s="100" t="s">
        <v>342</v>
      </c>
    </row>
    <row r="194" spans="20:20">
      <c r="T194" s="100" t="s">
        <v>343</v>
      </c>
    </row>
    <row r="195" spans="20:20">
      <c r="T195" s="100" t="s">
        <v>344</v>
      </c>
    </row>
    <row r="196" spans="20:20" ht="37.5">
      <c r="T196" s="100" t="s">
        <v>345</v>
      </c>
    </row>
    <row r="197" spans="20:20">
      <c r="T197" s="100" t="s">
        <v>346</v>
      </c>
    </row>
    <row r="198" spans="20:20">
      <c r="T198" s="100" t="s">
        <v>347</v>
      </c>
    </row>
    <row r="199" spans="20:20">
      <c r="T199" s="100" t="s">
        <v>348</v>
      </c>
    </row>
    <row r="200" spans="20:20">
      <c r="T200" s="100" t="s">
        <v>349</v>
      </c>
    </row>
    <row r="201" spans="20:20">
      <c r="T201" s="100" t="s">
        <v>350</v>
      </c>
    </row>
    <row r="202" spans="20:20">
      <c r="T202" s="100" t="s">
        <v>351</v>
      </c>
    </row>
    <row r="203" spans="20:20" ht="37.5">
      <c r="T203" s="100" t="s">
        <v>352</v>
      </c>
    </row>
    <row r="204" spans="20:20">
      <c r="T204" s="100" t="s">
        <v>353</v>
      </c>
    </row>
    <row r="205" spans="20:20">
      <c r="T205" s="100" t="s">
        <v>354</v>
      </c>
    </row>
    <row r="206" spans="20:20">
      <c r="T206" s="100" t="s">
        <v>355</v>
      </c>
    </row>
    <row r="207" spans="20:20">
      <c r="T207" s="100" t="s">
        <v>356</v>
      </c>
    </row>
    <row r="208" spans="20:20" ht="37.5">
      <c r="T208" s="100" t="s">
        <v>357</v>
      </c>
    </row>
    <row r="209" spans="20:20">
      <c r="T209" s="100" t="s">
        <v>358</v>
      </c>
    </row>
    <row r="210" spans="20:20">
      <c r="T210" s="100" t="s">
        <v>359</v>
      </c>
    </row>
    <row r="211" spans="20:20">
      <c r="T211" s="101" t="s">
        <v>360</v>
      </c>
    </row>
    <row r="212" spans="20:20">
      <c r="T212" s="101" t="s">
        <v>361</v>
      </c>
    </row>
    <row r="213" spans="20:20">
      <c r="T213" s="100" t="s">
        <v>362</v>
      </c>
    </row>
    <row r="214" spans="20:20" ht="24.95">
      <c r="T214" s="100" t="s">
        <v>363</v>
      </c>
    </row>
    <row r="215" spans="20:20" ht="24.95">
      <c r="T215" s="100" t="s">
        <v>364</v>
      </c>
    </row>
    <row r="216" spans="20:20">
      <c r="T216" s="101" t="s">
        <v>365</v>
      </c>
    </row>
    <row r="217" spans="20:20">
      <c r="T217" s="100" t="s">
        <v>366</v>
      </c>
    </row>
    <row r="218" spans="20:20">
      <c r="T218" s="100" t="s">
        <v>367</v>
      </c>
    </row>
    <row r="219" spans="20:20">
      <c r="T219" s="100" t="s">
        <v>368</v>
      </c>
    </row>
    <row r="220" spans="20:20">
      <c r="T220" s="101" t="s">
        <v>369</v>
      </c>
    </row>
    <row r="221" spans="20:20">
      <c r="T221" s="101" t="s">
        <v>370</v>
      </c>
    </row>
    <row r="222" spans="20:20">
      <c r="T222" s="100" t="s">
        <v>371</v>
      </c>
    </row>
    <row r="223" spans="20:20">
      <c r="T223" s="100" t="s">
        <v>372</v>
      </c>
    </row>
    <row r="224" spans="20:20">
      <c r="T224" s="100" t="s">
        <v>373</v>
      </c>
    </row>
    <row r="225" spans="20:20">
      <c r="T225" s="100" t="s">
        <v>374</v>
      </c>
    </row>
    <row r="226" spans="20:20">
      <c r="T226" s="100" t="s">
        <v>375</v>
      </c>
    </row>
    <row r="227" spans="20:20">
      <c r="T227" s="100" t="s">
        <v>376</v>
      </c>
    </row>
    <row r="228" spans="20:20">
      <c r="T228" s="101" t="s">
        <v>377</v>
      </c>
    </row>
    <row r="229" spans="20:20">
      <c r="T229" s="100" t="s">
        <v>378</v>
      </c>
    </row>
    <row r="230" spans="20:20">
      <c r="T230" s="100" t="s">
        <v>379</v>
      </c>
    </row>
    <row r="231" spans="20:20">
      <c r="T231" s="100" t="s">
        <v>380</v>
      </c>
    </row>
  </sheetData>
  <mergeCells count="8">
    <mergeCell ref="E3:F3"/>
    <mergeCell ref="E4:F5"/>
    <mergeCell ref="E33:F33"/>
    <mergeCell ref="L10:L15"/>
    <mergeCell ref="L17:L18"/>
    <mergeCell ref="L20:L22"/>
    <mergeCell ref="L28:L29"/>
    <mergeCell ref="L24:L26"/>
  </mergeCells>
  <conditionalFormatting sqref="D10:D29">
    <cfRule type="cellIs" dxfId="146" priority="1" operator="equal">
      <formula>FALSE</formula>
    </cfRule>
    <cfRule type="cellIs" dxfId="145" priority="2" operator="equal">
      <formula>TRUE</formula>
    </cfRule>
  </conditionalFormatting>
  <dataValidations count="1">
    <dataValidation type="list" allowBlank="1" showInputMessage="1" showErrorMessage="1" sqref="I10:I15 I20:I22 I24:I26 I17:I18 I28:I29" xr:uid="{BB1F1AFF-D17D-46E8-9B9B-5E6637B2AC15}">
      <formula1>"Primary,Secondary, Both"</formula1>
    </dataValidation>
  </dataValidations>
  <pageMargins left="0.7" right="0.7" top="0.75" bottom="0.75" header="0.3" footer="0.3"/>
  <pageSetup scale="10" orientation="portrait" r:id="rId1"/>
  <ignoredErrors>
    <ignoredError sqref="E74 E77:E82 E8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112" r:id="rId4" name="Check Box 64">
              <controlPr defaultSize="0" autoFill="0" autoLine="0" autoPict="0">
                <anchor moveWithCells="1">
                  <from>
                    <xdr:col>3</xdr:col>
                    <xdr:colOff>241300</xdr:colOff>
                    <xdr:row>9</xdr:row>
                    <xdr:rowOff>603250</xdr:rowOff>
                  </from>
                  <to>
                    <xdr:col>3</xdr:col>
                    <xdr:colOff>533400</xdr:colOff>
                    <xdr:row>9</xdr:row>
                    <xdr:rowOff>831850</xdr:rowOff>
                  </to>
                </anchor>
              </controlPr>
            </control>
          </mc:Choice>
        </mc:AlternateContent>
        <mc:AlternateContent xmlns:mc="http://schemas.openxmlformats.org/markup-compatibility/2006">
          <mc:Choice Requires="x14">
            <control shapeId="2113" r:id="rId5" name="Check Box 65">
              <controlPr defaultSize="0" autoFill="0" autoLine="0" autoPict="0">
                <anchor moveWithCells="1">
                  <from>
                    <xdr:col>3</xdr:col>
                    <xdr:colOff>241300</xdr:colOff>
                    <xdr:row>10</xdr:row>
                    <xdr:rowOff>603250</xdr:rowOff>
                  </from>
                  <to>
                    <xdr:col>3</xdr:col>
                    <xdr:colOff>533400</xdr:colOff>
                    <xdr:row>10</xdr:row>
                    <xdr:rowOff>831850</xdr:rowOff>
                  </to>
                </anchor>
              </controlPr>
            </control>
          </mc:Choice>
        </mc:AlternateContent>
        <mc:AlternateContent xmlns:mc="http://schemas.openxmlformats.org/markup-compatibility/2006">
          <mc:Choice Requires="x14">
            <control shapeId="2114" r:id="rId6" name="Check Box 66">
              <controlPr defaultSize="0" autoFill="0" autoLine="0" autoPict="0">
                <anchor moveWithCells="1">
                  <from>
                    <xdr:col>3</xdr:col>
                    <xdr:colOff>241300</xdr:colOff>
                    <xdr:row>11</xdr:row>
                    <xdr:rowOff>603250</xdr:rowOff>
                  </from>
                  <to>
                    <xdr:col>3</xdr:col>
                    <xdr:colOff>533400</xdr:colOff>
                    <xdr:row>11</xdr:row>
                    <xdr:rowOff>831850</xdr:rowOff>
                  </to>
                </anchor>
              </controlPr>
            </control>
          </mc:Choice>
        </mc:AlternateContent>
        <mc:AlternateContent xmlns:mc="http://schemas.openxmlformats.org/markup-compatibility/2006">
          <mc:Choice Requires="x14">
            <control shapeId="2115" r:id="rId7" name="Check Box 67">
              <controlPr defaultSize="0" autoFill="0" autoLine="0" autoPict="0">
                <anchor moveWithCells="1">
                  <from>
                    <xdr:col>3</xdr:col>
                    <xdr:colOff>241300</xdr:colOff>
                    <xdr:row>12</xdr:row>
                    <xdr:rowOff>603250</xdr:rowOff>
                  </from>
                  <to>
                    <xdr:col>3</xdr:col>
                    <xdr:colOff>533400</xdr:colOff>
                    <xdr:row>12</xdr:row>
                    <xdr:rowOff>831850</xdr:rowOff>
                  </to>
                </anchor>
              </controlPr>
            </control>
          </mc:Choice>
        </mc:AlternateContent>
        <mc:AlternateContent xmlns:mc="http://schemas.openxmlformats.org/markup-compatibility/2006">
          <mc:Choice Requires="x14">
            <control shapeId="2116" r:id="rId8" name="Check Box 68">
              <controlPr defaultSize="0" autoFill="0" autoLine="0" autoPict="0">
                <anchor moveWithCells="1">
                  <from>
                    <xdr:col>3</xdr:col>
                    <xdr:colOff>241300</xdr:colOff>
                    <xdr:row>13</xdr:row>
                    <xdr:rowOff>603250</xdr:rowOff>
                  </from>
                  <to>
                    <xdr:col>3</xdr:col>
                    <xdr:colOff>533400</xdr:colOff>
                    <xdr:row>14</xdr:row>
                    <xdr:rowOff>38100</xdr:rowOff>
                  </to>
                </anchor>
              </controlPr>
            </control>
          </mc:Choice>
        </mc:AlternateContent>
        <mc:AlternateContent xmlns:mc="http://schemas.openxmlformats.org/markup-compatibility/2006">
          <mc:Choice Requires="x14">
            <control shapeId="2117" r:id="rId9" name="Check Box 69">
              <controlPr defaultSize="0" autoFill="0" autoLine="0" autoPict="0">
                <anchor moveWithCells="1">
                  <from>
                    <xdr:col>3</xdr:col>
                    <xdr:colOff>241300</xdr:colOff>
                    <xdr:row>14</xdr:row>
                    <xdr:rowOff>603250</xdr:rowOff>
                  </from>
                  <to>
                    <xdr:col>3</xdr:col>
                    <xdr:colOff>533400</xdr:colOff>
                    <xdr:row>15</xdr:row>
                    <xdr:rowOff>6350</xdr:rowOff>
                  </to>
                </anchor>
              </controlPr>
            </control>
          </mc:Choice>
        </mc:AlternateContent>
        <mc:AlternateContent xmlns:mc="http://schemas.openxmlformats.org/markup-compatibility/2006">
          <mc:Choice Requires="x14">
            <control shapeId="2118" r:id="rId10" name="Check Box 70">
              <controlPr defaultSize="0" autoFill="0" autoLine="0" autoPict="0">
                <anchor moveWithCells="1">
                  <from>
                    <xdr:col>3</xdr:col>
                    <xdr:colOff>241300</xdr:colOff>
                    <xdr:row>10</xdr:row>
                    <xdr:rowOff>603250</xdr:rowOff>
                  </from>
                  <to>
                    <xdr:col>3</xdr:col>
                    <xdr:colOff>533400</xdr:colOff>
                    <xdr:row>10</xdr:row>
                    <xdr:rowOff>831850</xdr:rowOff>
                  </to>
                </anchor>
              </controlPr>
            </control>
          </mc:Choice>
        </mc:AlternateContent>
        <mc:AlternateContent xmlns:mc="http://schemas.openxmlformats.org/markup-compatibility/2006">
          <mc:Choice Requires="x14">
            <control shapeId="2119" r:id="rId11" name="Check Box 71">
              <controlPr defaultSize="0" autoFill="0" autoLine="0" autoPict="0">
                <anchor moveWithCells="1">
                  <from>
                    <xdr:col>3</xdr:col>
                    <xdr:colOff>241300</xdr:colOff>
                    <xdr:row>11</xdr:row>
                    <xdr:rowOff>603250</xdr:rowOff>
                  </from>
                  <to>
                    <xdr:col>3</xdr:col>
                    <xdr:colOff>533400</xdr:colOff>
                    <xdr:row>11</xdr:row>
                    <xdr:rowOff>831850</xdr:rowOff>
                  </to>
                </anchor>
              </controlPr>
            </control>
          </mc:Choice>
        </mc:AlternateContent>
        <mc:AlternateContent xmlns:mc="http://schemas.openxmlformats.org/markup-compatibility/2006">
          <mc:Choice Requires="x14">
            <control shapeId="2120" r:id="rId12" name="Check Box 72">
              <controlPr defaultSize="0" autoFill="0" autoLine="0" autoPict="0">
                <anchor moveWithCells="1">
                  <from>
                    <xdr:col>3</xdr:col>
                    <xdr:colOff>241300</xdr:colOff>
                    <xdr:row>12</xdr:row>
                    <xdr:rowOff>603250</xdr:rowOff>
                  </from>
                  <to>
                    <xdr:col>3</xdr:col>
                    <xdr:colOff>533400</xdr:colOff>
                    <xdr:row>12</xdr:row>
                    <xdr:rowOff>831850</xdr:rowOff>
                  </to>
                </anchor>
              </controlPr>
            </control>
          </mc:Choice>
        </mc:AlternateContent>
        <mc:AlternateContent xmlns:mc="http://schemas.openxmlformats.org/markup-compatibility/2006">
          <mc:Choice Requires="x14">
            <control shapeId="2121" r:id="rId13" name="Check Box 73">
              <controlPr defaultSize="0" autoFill="0" autoLine="0" autoPict="0">
                <anchor moveWithCells="1">
                  <from>
                    <xdr:col>3</xdr:col>
                    <xdr:colOff>241300</xdr:colOff>
                    <xdr:row>13</xdr:row>
                    <xdr:rowOff>603250</xdr:rowOff>
                  </from>
                  <to>
                    <xdr:col>3</xdr:col>
                    <xdr:colOff>533400</xdr:colOff>
                    <xdr:row>14</xdr:row>
                    <xdr:rowOff>38100</xdr:rowOff>
                  </to>
                </anchor>
              </controlPr>
            </control>
          </mc:Choice>
        </mc:AlternateContent>
        <mc:AlternateContent xmlns:mc="http://schemas.openxmlformats.org/markup-compatibility/2006">
          <mc:Choice Requires="x14">
            <control shapeId="2122" r:id="rId14" name="Check Box 74">
              <controlPr defaultSize="0" autoFill="0" autoLine="0" autoPict="0">
                <anchor moveWithCells="1">
                  <from>
                    <xdr:col>3</xdr:col>
                    <xdr:colOff>241300</xdr:colOff>
                    <xdr:row>14</xdr:row>
                    <xdr:rowOff>603250</xdr:rowOff>
                  </from>
                  <to>
                    <xdr:col>3</xdr:col>
                    <xdr:colOff>533400</xdr:colOff>
                    <xdr:row>15</xdr:row>
                    <xdr:rowOff>6350</xdr:rowOff>
                  </to>
                </anchor>
              </controlPr>
            </control>
          </mc:Choice>
        </mc:AlternateContent>
        <mc:AlternateContent xmlns:mc="http://schemas.openxmlformats.org/markup-compatibility/2006">
          <mc:Choice Requires="x14">
            <control shapeId="2123" r:id="rId15" name="Check Box 75">
              <controlPr defaultSize="0" autoFill="0" autoLine="0" autoPict="0">
                <anchor moveWithCells="1">
                  <from>
                    <xdr:col>3</xdr:col>
                    <xdr:colOff>241300</xdr:colOff>
                    <xdr:row>10</xdr:row>
                    <xdr:rowOff>603250</xdr:rowOff>
                  </from>
                  <to>
                    <xdr:col>3</xdr:col>
                    <xdr:colOff>533400</xdr:colOff>
                    <xdr:row>10</xdr:row>
                    <xdr:rowOff>831850</xdr:rowOff>
                  </to>
                </anchor>
              </controlPr>
            </control>
          </mc:Choice>
        </mc:AlternateContent>
        <mc:AlternateContent xmlns:mc="http://schemas.openxmlformats.org/markup-compatibility/2006">
          <mc:Choice Requires="x14">
            <control shapeId="2124" r:id="rId16" name="Check Box 76">
              <controlPr defaultSize="0" autoFill="0" autoLine="0" autoPict="0">
                <anchor moveWithCells="1">
                  <from>
                    <xdr:col>3</xdr:col>
                    <xdr:colOff>241300</xdr:colOff>
                    <xdr:row>10</xdr:row>
                    <xdr:rowOff>603250</xdr:rowOff>
                  </from>
                  <to>
                    <xdr:col>3</xdr:col>
                    <xdr:colOff>533400</xdr:colOff>
                    <xdr:row>10</xdr:row>
                    <xdr:rowOff>831850</xdr:rowOff>
                  </to>
                </anchor>
              </controlPr>
            </control>
          </mc:Choice>
        </mc:AlternateContent>
        <mc:AlternateContent xmlns:mc="http://schemas.openxmlformats.org/markup-compatibility/2006">
          <mc:Choice Requires="x14">
            <control shapeId="2125" r:id="rId17" name="Check Box 77">
              <controlPr defaultSize="0" autoFill="0" autoLine="0" autoPict="0">
                <anchor moveWithCells="1">
                  <from>
                    <xdr:col>3</xdr:col>
                    <xdr:colOff>241300</xdr:colOff>
                    <xdr:row>10</xdr:row>
                    <xdr:rowOff>603250</xdr:rowOff>
                  </from>
                  <to>
                    <xdr:col>3</xdr:col>
                    <xdr:colOff>533400</xdr:colOff>
                    <xdr:row>10</xdr:row>
                    <xdr:rowOff>831850</xdr:rowOff>
                  </to>
                </anchor>
              </controlPr>
            </control>
          </mc:Choice>
        </mc:AlternateContent>
        <mc:AlternateContent xmlns:mc="http://schemas.openxmlformats.org/markup-compatibility/2006">
          <mc:Choice Requires="x14">
            <control shapeId="2126" r:id="rId18" name="Check Box 78">
              <controlPr defaultSize="0" autoFill="0" autoLine="0" autoPict="0">
                <anchor moveWithCells="1">
                  <from>
                    <xdr:col>3</xdr:col>
                    <xdr:colOff>241300</xdr:colOff>
                    <xdr:row>11</xdr:row>
                    <xdr:rowOff>603250</xdr:rowOff>
                  </from>
                  <to>
                    <xdr:col>3</xdr:col>
                    <xdr:colOff>533400</xdr:colOff>
                    <xdr:row>11</xdr:row>
                    <xdr:rowOff>831850</xdr:rowOff>
                  </to>
                </anchor>
              </controlPr>
            </control>
          </mc:Choice>
        </mc:AlternateContent>
        <mc:AlternateContent xmlns:mc="http://schemas.openxmlformats.org/markup-compatibility/2006">
          <mc:Choice Requires="x14">
            <control shapeId="2128" r:id="rId19" name="Check Box 80">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30" r:id="rId20" name="Check Box 82">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31" r:id="rId21" name="Check Box 83">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32" r:id="rId22" name="Check Box 84">
              <controlPr defaultSize="0" autoFill="0" autoLine="0" autoPict="0">
                <anchor moveWithCells="1">
                  <from>
                    <xdr:col>3</xdr:col>
                    <xdr:colOff>241300</xdr:colOff>
                    <xdr:row>17</xdr:row>
                    <xdr:rowOff>603250</xdr:rowOff>
                  </from>
                  <to>
                    <xdr:col>3</xdr:col>
                    <xdr:colOff>533400</xdr:colOff>
                    <xdr:row>17</xdr:row>
                    <xdr:rowOff>831850</xdr:rowOff>
                  </to>
                </anchor>
              </controlPr>
            </control>
          </mc:Choice>
        </mc:AlternateContent>
        <mc:AlternateContent xmlns:mc="http://schemas.openxmlformats.org/markup-compatibility/2006">
          <mc:Choice Requires="x14">
            <control shapeId="2133" r:id="rId23" name="Check Box 85">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34" r:id="rId24" name="Check Box 86">
              <controlPr defaultSize="0" autoFill="0" autoLine="0" autoPict="0">
                <anchor moveWithCells="1">
                  <from>
                    <xdr:col>3</xdr:col>
                    <xdr:colOff>241300</xdr:colOff>
                    <xdr:row>17</xdr:row>
                    <xdr:rowOff>603250</xdr:rowOff>
                  </from>
                  <to>
                    <xdr:col>3</xdr:col>
                    <xdr:colOff>533400</xdr:colOff>
                    <xdr:row>17</xdr:row>
                    <xdr:rowOff>831850</xdr:rowOff>
                  </to>
                </anchor>
              </controlPr>
            </control>
          </mc:Choice>
        </mc:AlternateContent>
        <mc:AlternateContent xmlns:mc="http://schemas.openxmlformats.org/markup-compatibility/2006">
          <mc:Choice Requires="x14">
            <control shapeId="2135" r:id="rId25" name="Check Box 87">
              <controlPr defaultSize="0" autoFill="0" autoLine="0" autoPict="0">
                <anchor moveWithCells="1">
                  <from>
                    <xdr:col>3</xdr:col>
                    <xdr:colOff>241300</xdr:colOff>
                    <xdr:row>17</xdr:row>
                    <xdr:rowOff>603250</xdr:rowOff>
                  </from>
                  <to>
                    <xdr:col>3</xdr:col>
                    <xdr:colOff>533400</xdr:colOff>
                    <xdr:row>17</xdr:row>
                    <xdr:rowOff>831850</xdr:rowOff>
                  </to>
                </anchor>
              </controlPr>
            </control>
          </mc:Choice>
        </mc:AlternateContent>
        <mc:AlternateContent xmlns:mc="http://schemas.openxmlformats.org/markup-compatibility/2006">
          <mc:Choice Requires="x14">
            <control shapeId="2136" r:id="rId26" name="Check Box 88">
              <controlPr defaultSize="0" autoFill="0" autoLine="0" autoPict="0">
                <anchor moveWithCells="1">
                  <from>
                    <xdr:col>3</xdr:col>
                    <xdr:colOff>241300</xdr:colOff>
                    <xdr:row>17</xdr:row>
                    <xdr:rowOff>603250</xdr:rowOff>
                  </from>
                  <to>
                    <xdr:col>3</xdr:col>
                    <xdr:colOff>533400</xdr:colOff>
                    <xdr:row>17</xdr:row>
                    <xdr:rowOff>831850</xdr:rowOff>
                  </to>
                </anchor>
              </controlPr>
            </control>
          </mc:Choice>
        </mc:AlternateContent>
        <mc:AlternateContent xmlns:mc="http://schemas.openxmlformats.org/markup-compatibility/2006">
          <mc:Choice Requires="x14">
            <control shapeId="2137" r:id="rId27" name="Check Box 89">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38" r:id="rId28" name="Check Box 90">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39" r:id="rId29" name="Check Box 91">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40" r:id="rId30" name="Check Box 92">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41" r:id="rId31" name="Check Box 93">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42" r:id="rId32" name="Check Box 94">
              <controlPr defaultSize="0" autoFill="0" autoLine="0" autoPict="0">
                <anchor moveWithCells="1">
                  <from>
                    <xdr:col>3</xdr:col>
                    <xdr:colOff>241300</xdr:colOff>
                    <xdr:row>16</xdr:row>
                    <xdr:rowOff>603250</xdr:rowOff>
                  </from>
                  <to>
                    <xdr:col>3</xdr:col>
                    <xdr:colOff>533400</xdr:colOff>
                    <xdr:row>16</xdr:row>
                    <xdr:rowOff>831850</xdr:rowOff>
                  </to>
                </anchor>
              </controlPr>
            </control>
          </mc:Choice>
        </mc:AlternateContent>
        <mc:AlternateContent xmlns:mc="http://schemas.openxmlformats.org/markup-compatibility/2006">
          <mc:Choice Requires="x14">
            <control shapeId="2143" r:id="rId33" name="Check Box 95">
              <controlPr defaultSize="0" autoFill="0" autoLine="0" autoPict="0">
                <anchor moveWithCells="1">
                  <from>
                    <xdr:col>3</xdr:col>
                    <xdr:colOff>247650</xdr:colOff>
                    <xdr:row>19</xdr:row>
                    <xdr:rowOff>381000</xdr:rowOff>
                  </from>
                  <to>
                    <xdr:col>3</xdr:col>
                    <xdr:colOff>546100</xdr:colOff>
                    <xdr:row>19</xdr:row>
                    <xdr:rowOff>609600</xdr:rowOff>
                  </to>
                </anchor>
              </controlPr>
            </control>
          </mc:Choice>
        </mc:AlternateContent>
        <mc:AlternateContent xmlns:mc="http://schemas.openxmlformats.org/markup-compatibility/2006">
          <mc:Choice Requires="x14">
            <control shapeId="2144" r:id="rId34" name="Check Box 96">
              <controlPr defaultSize="0" autoFill="0" autoLine="0" autoPict="0">
                <anchor moveWithCells="1">
                  <from>
                    <xdr:col>3</xdr:col>
                    <xdr:colOff>247650</xdr:colOff>
                    <xdr:row>20</xdr:row>
                    <xdr:rowOff>381000</xdr:rowOff>
                  </from>
                  <to>
                    <xdr:col>3</xdr:col>
                    <xdr:colOff>546100</xdr:colOff>
                    <xdr:row>20</xdr:row>
                    <xdr:rowOff>609600</xdr:rowOff>
                  </to>
                </anchor>
              </controlPr>
            </control>
          </mc:Choice>
        </mc:AlternateContent>
        <mc:AlternateContent xmlns:mc="http://schemas.openxmlformats.org/markup-compatibility/2006">
          <mc:Choice Requires="x14">
            <control shapeId="2145" r:id="rId35" name="Check Box 97">
              <controlPr defaultSize="0" autoFill="0" autoLine="0" autoPict="0">
                <anchor moveWithCells="1">
                  <from>
                    <xdr:col>3</xdr:col>
                    <xdr:colOff>247650</xdr:colOff>
                    <xdr:row>21</xdr:row>
                    <xdr:rowOff>381000</xdr:rowOff>
                  </from>
                  <to>
                    <xdr:col>3</xdr:col>
                    <xdr:colOff>546100</xdr:colOff>
                    <xdr:row>21</xdr:row>
                    <xdr:rowOff>609600</xdr:rowOff>
                  </to>
                </anchor>
              </controlPr>
            </control>
          </mc:Choice>
        </mc:AlternateContent>
        <mc:AlternateContent xmlns:mc="http://schemas.openxmlformats.org/markup-compatibility/2006">
          <mc:Choice Requires="x14">
            <control shapeId="2146" r:id="rId36" name="Check Box 98">
              <controlPr defaultSize="0" autoFill="0" autoLine="0" autoPict="0">
                <anchor moveWithCells="1">
                  <from>
                    <xdr:col>3</xdr:col>
                    <xdr:colOff>247650</xdr:colOff>
                    <xdr:row>23</xdr:row>
                    <xdr:rowOff>381000</xdr:rowOff>
                  </from>
                  <to>
                    <xdr:col>3</xdr:col>
                    <xdr:colOff>546100</xdr:colOff>
                    <xdr:row>23</xdr:row>
                    <xdr:rowOff>609600</xdr:rowOff>
                  </to>
                </anchor>
              </controlPr>
            </control>
          </mc:Choice>
        </mc:AlternateContent>
        <mc:AlternateContent xmlns:mc="http://schemas.openxmlformats.org/markup-compatibility/2006">
          <mc:Choice Requires="x14">
            <control shapeId="2147" r:id="rId37" name="Check Box 99">
              <controlPr defaultSize="0" autoFill="0" autoLine="0" autoPict="0">
                <anchor moveWithCells="1">
                  <from>
                    <xdr:col>3</xdr:col>
                    <xdr:colOff>247650</xdr:colOff>
                    <xdr:row>24</xdr:row>
                    <xdr:rowOff>381000</xdr:rowOff>
                  </from>
                  <to>
                    <xdr:col>3</xdr:col>
                    <xdr:colOff>546100</xdr:colOff>
                    <xdr:row>24</xdr:row>
                    <xdr:rowOff>609600</xdr:rowOff>
                  </to>
                </anchor>
              </controlPr>
            </control>
          </mc:Choice>
        </mc:AlternateContent>
        <mc:AlternateContent xmlns:mc="http://schemas.openxmlformats.org/markup-compatibility/2006">
          <mc:Choice Requires="x14">
            <control shapeId="2148" r:id="rId38" name="Check Box 100">
              <controlPr defaultSize="0" autoFill="0" autoLine="0" autoPict="0">
                <anchor moveWithCells="1">
                  <from>
                    <xdr:col>3</xdr:col>
                    <xdr:colOff>247650</xdr:colOff>
                    <xdr:row>25</xdr:row>
                    <xdr:rowOff>368300</xdr:rowOff>
                  </from>
                  <to>
                    <xdr:col>3</xdr:col>
                    <xdr:colOff>590550</xdr:colOff>
                    <xdr:row>25</xdr:row>
                    <xdr:rowOff>527050</xdr:rowOff>
                  </to>
                </anchor>
              </controlPr>
            </control>
          </mc:Choice>
        </mc:AlternateContent>
        <mc:AlternateContent xmlns:mc="http://schemas.openxmlformats.org/markup-compatibility/2006">
          <mc:Choice Requires="x14">
            <control shapeId="2149" r:id="rId39" name="Check Box 101">
              <controlPr defaultSize="0" autoFill="0" autoLine="0" autoPict="0">
                <anchor moveWithCells="1">
                  <from>
                    <xdr:col>3</xdr:col>
                    <xdr:colOff>247650</xdr:colOff>
                    <xdr:row>27</xdr:row>
                    <xdr:rowOff>381000</xdr:rowOff>
                  </from>
                  <to>
                    <xdr:col>3</xdr:col>
                    <xdr:colOff>546100</xdr:colOff>
                    <xdr:row>27</xdr:row>
                    <xdr:rowOff>609600</xdr:rowOff>
                  </to>
                </anchor>
              </controlPr>
            </control>
          </mc:Choice>
        </mc:AlternateContent>
        <mc:AlternateContent xmlns:mc="http://schemas.openxmlformats.org/markup-compatibility/2006">
          <mc:Choice Requires="x14">
            <control shapeId="2150" r:id="rId40" name="Check Box 102">
              <controlPr defaultSize="0" autoFill="0" autoLine="0" autoPict="0">
                <anchor moveWithCells="1">
                  <from>
                    <xdr:col>3</xdr:col>
                    <xdr:colOff>247650</xdr:colOff>
                    <xdr:row>28</xdr:row>
                    <xdr:rowOff>381000</xdr:rowOff>
                  </from>
                  <to>
                    <xdr:col>3</xdr:col>
                    <xdr:colOff>546100</xdr:colOff>
                    <xdr:row>28</xdr:row>
                    <xdr:rowOff>609600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40B52-27DB-4493-A988-8608893F478F}">
  <sheetPr>
    <tabColor theme="4"/>
    <pageSetUpPr fitToPage="1"/>
  </sheetPr>
  <dimension ref="C1:BE70"/>
  <sheetViews>
    <sheetView zoomScale="47" workbookViewId="0"/>
  </sheetViews>
  <sheetFormatPr defaultColWidth="9.21875" defaultRowHeight="14.1"/>
  <cols>
    <col min="1" max="2" width="9.21875" style="3"/>
    <col min="3" max="3" width="9.21875" style="2"/>
    <col min="4" max="4" width="23.109375" style="4" customWidth="1"/>
    <col min="5" max="7" width="20.33203125" style="4" customWidth="1"/>
    <col min="8" max="8" width="16.6640625" style="36" customWidth="1"/>
    <col min="9" max="9" width="30.88671875" style="37" customWidth="1"/>
    <col min="10" max="10" width="16.6640625" style="36" customWidth="1"/>
    <col min="11" max="11" width="30.77734375" style="37" customWidth="1"/>
    <col min="12" max="12" width="16.5546875" style="36" customWidth="1"/>
    <col min="13" max="13" width="30.5546875" style="37" customWidth="1"/>
    <col min="14" max="14" width="16.6640625" style="37" customWidth="1"/>
    <col min="15" max="15" width="30.6640625" style="37" customWidth="1"/>
    <col min="16" max="16" width="16.6640625" style="37" customWidth="1"/>
    <col min="17" max="17" width="30.77734375" style="37" customWidth="1"/>
    <col min="18" max="18" width="16.5546875" style="37" customWidth="1"/>
    <col min="19" max="19" width="30.5546875" style="37" customWidth="1"/>
    <col min="20" max="20" width="16.6640625" style="37" customWidth="1"/>
    <col min="21" max="21" width="30.77734375" style="37" customWidth="1"/>
    <col min="22" max="22" width="16.77734375" style="37" customWidth="1"/>
    <col min="23" max="23" width="30.5546875" style="37" customWidth="1"/>
    <col min="24" max="24" width="16.77734375" style="37" customWidth="1"/>
    <col min="25" max="25" width="30.88671875" style="41" customWidth="1"/>
    <col min="26" max="26" width="16.77734375" style="37" customWidth="1"/>
    <col min="27" max="27" width="30.88671875" style="37" customWidth="1"/>
    <col min="28" max="28" width="16.77734375" style="37" customWidth="1"/>
    <col min="29" max="29" width="30.6640625" style="41" customWidth="1"/>
    <col min="30" max="30" width="16.77734375" style="37" customWidth="1"/>
    <col min="31" max="31" width="30.77734375" style="108" customWidth="1"/>
    <col min="32" max="32" width="16.6640625" style="37" customWidth="1"/>
    <col min="33" max="33" width="30.77734375" style="108" customWidth="1"/>
    <col min="34" max="34" width="16.6640625" style="37" customWidth="1"/>
    <col min="35" max="35" width="30.77734375" style="5" customWidth="1"/>
    <col min="36" max="36" width="16.6640625" style="36" customWidth="1"/>
    <col min="37" max="37" width="30.77734375" style="37" customWidth="1"/>
    <col min="38" max="38" width="16.6640625" style="36" customWidth="1"/>
    <col min="39" max="39" width="30.77734375" style="108" customWidth="1"/>
    <col min="40" max="52" width="30.77734375" style="4" customWidth="1"/>
    <col min="53" max="53" width="7.6640625" style="2" customWidth="1"/>
    <col min="54" max="58" width="15.6640625" style="3" customWidth="1"/>
    <col min="59" max="16384" width="9.21875" style="3"/>
  </cols>
  <sheetData>
    <row r="1" spans="3:57">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row>
    <row r="2" spans="3:57" ht="14.45" thickBot="1">
      <c r="C2" s="3"/>
      <c r="D2" s="3"/>
      <c r="E2" s="3"/>
      <c r="F2" s="3"/>
      <c r="G2" s="3"/>
      <c r="H2" s="3"/>
      <c r="I2" s="3"/>
      <c r="J2" s="3"/>
      <c r="K2" s="3"/>
      <c r="L2" s="19" t="s">
        <v>161</v>
      </c>
      <c r="M2" s="19" t="s">
        <v>162</v>
      </c>
      <c r="N2" s="12"/>
      <c r="O2" s="12"/>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row>
    <row r="3" spans="3:57" ht="29.1" customHeight="1">
      <c r="C3" s="12"/>
      <c r="D3" s="232" t="s">
        <v>381</v>
      </c>
      <c r="E3" s="233"/>
      <c r="F3" s="233"/>
      <c r="G3" s="233"/>
      <c r="H3" s="233"/>
      <c r="I3" s="233"/>
      <c r="J3" s="234"/>
      <c r="K3" s="12"/>
      <c r="L3" s="18" t="s">
        <v>164</v>
      </c>
      <c r="M3" s="18">
        <f>'Scoring logic &amp; methodology'!F35</f>
        <v>5</v>
      </c>
      <c r="N3" s="12"/>
      <c r="O3" s="12"/>
      <c r="P3" s="12"/>
      <c r="Q3" s="12"/>
      <c r="R3" s="12"/>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row>
    <row r="4" spans="3:57" ht="27.95" customHeight="1">
      <c r="C4" s="12"/>
      <c r="D4" s="217" t="s">
        <v>382</v>
      </c>
      <c r="E4" s="218"/>
      <c r="F4" s="218"/>
      <c r="G4" s="218"/>
      <c r="H4" s="218"/>
      <c r="I4" s="218"/>
      <c r="J4" s="219"/>
      <c r="K4" s="12"/>
      <c r="L4" s="18" t="s">
        <v>166</v>
      </c>
      <c r="M4" s="18">
        <f>'Scoring logic &amp; methodology'!F36</f>
        <v>3</v>
      </c>
      <c r="N4" s="12"/>
      <c r="O4" s="12"/>
      <c r="P4" s="12"/>
      <c r="Q4" s="12"/>
      <c r="R4" s="12"/>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row>
    <row r="5" spans="3:57" ht="23.45" customHeight="1">
      <c r="C5" s="12"/>
      <c r="D5" s="217"/>
      <c r="E5" s="218"/>
      <c r="F5" s="218"/>
      <c r="G5" s="218"/>
      <c r="H5" s="218"/>
      <c r="I5" s="218"/>
      <c r="J5" s="219"/>
      <c r="K5" s="12"/>
      <c r="L5" s="18" t="s">
        <v>168</v>
      </c>
      <c r="M5" s="18">
        <f>'Scoring logic &amp; methodology'!F37</f>
        <v>1</v>
      </c>
      <c r="N5" s="12"/>
      <c r="O5" s="12"/>
      <c r="P5" s="12"/>
      <c r="Q5" s="12"/>
      <c r="R5" s="12"/>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row>
    <row r="6" spans="3:57" ht="21.95" customHeight="1">
      <c r="C6" s="12"/>
      <c r="D6" s="217"/>
      <c r="E6" s="218"/>
      <c r="F6" s="218"/>
      <c r="G6" s="218"/>
      <c r="H6" s="218"/>
      <c r="I6" s="218"/>
      <c r="J6" s="219"/>
      <c r="K6" s="12"/>
      <c r="L6" s="18" t="s">
        <v>170</v>
      </c>
      <c r="M6" s="18">
        <f>'Scoring logic &amp; methodology'!F38</f>
        <v>5</v>
      </c>
      <c r="N6" s="12"/>
      <c r="O6" s="3"/>
      <c r="P6" s="12"/>
      <c r="Q6" s="12"/>
      <c r="R6" s="12"/>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row>
    <row r="7" spans="3:57" ht="87" customHeight="1" thickBot="1">
      <c r="C7" s="3"/>
      <c r="D7" s="220"/>
      <c r="E7" s="221"/>
      <c r="F7" s="221"/>
      <c r="G7" s="221"/>
      <c r="H7" s="221"/>
      <c r="I7" s="221"/>
      <c r="J7" s="222"/>
      <c r="K7" s="3"/>
      <c r="L7" s="18" t="s">
        <v>172</v>
      </c>
      <c r="M7" s="18">
        <f>'Scoring logic &amp; methodology'!F39</f>
        <v>0</v>
      </c>
      <c r="N7" s="12"/>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row>
    <row r="8" spans="3:57">
      <c r="C8" s="3"/>
      <c r="D8" s="3" t="s">
        <v>36</v>
      </c>
      <c r="E8" s="3"/>
      <c r="F8" s="3"/>
      <c r="G8" s="3"/>
      <c r="H8" s="3"/>
      <c r="I8" s="3"/>
      <c r="J8" s="3"/>
      <c r="K8" s="3"/>
      <c r="L8" s="12"/>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row>
    <row r="9" spans="3:57">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row>
    <row r="10" spans="3:57">
      <c r="D10" s="150"/>
      <c r="E10" s="2"/>
      <c r="F10" s="2"/>
      <c r="G10" s="2"/>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58"/>
      <c r="BC10" s="58"/>
      <c r="BD10" s="58"/>
      <c r="BE10" s="58"/>
    </row>
    <row r="11" spans="3:57" ht="18.95" customHeight="1">
      <c r="D11" s="226" t="s">
        <v>383</v>
      </c>
      <c r="E11" s="227"/>
      <c r="F11" s="227"/>
      <c r="G11" s="228"/>
      <c r="H11" s="223" t="str">
        <f>'Scoring logic &amp; methodology'!E9</f>
        <v>1. Strategic alignment and institutional commitment</v>
      </c>
      <c r="I11" s="224"/>
      <c r="J11" s="224"/>
      <c r="K11" s="224"/>
      <c r="L11" s="224"/>
      <c r="M11" s="224"/>
      <c r="N11" s="224"/>
      <c r="O11" s="224"/>
      <c r="P11" s="224"/>
      <c r="Q11" s="224"/>
      <c r="R11" s="224"/>
      <c r="S11" s="225"/>
      <c r="T11" s="229" t="str">
        <f>'Scoring logic &amp; methodology'!E16</f>
        <v>2. Institutional capacity</v>
      </c>
      <c r="U11" s="230"/>
      <c r="V11" s="230"/>
      <c r="W11" s="231"/>
      <c r="X11" s="235" t="str">
        <f>'Scoring logic &amp; methodology'!E19</f>
        <v>3. Track record</v>
      </c>
      <c r="Y11" s="235"/>
      <c r="Z11" s="235"/>
      <c r="AA11" s="235"/>
      <c r="AB11" s="235"/>
      <c r="AC11" s="235"/>
      <c r="AD11" s="247" t="str">
        <f>'Scoring logic &amp; methodology'!E23</f>
        <v>4. Market opportunity and accessibility</v>
      </c>
      <c r="AE11" s="247"/>
      <c r="AF11" s="247"/>
      <c r="AG11" s="247"/>
      <c r="AH11" s="247"/>
      <c r="AI11" s="247"/>
      <c r="AJ11" s="249" t="str">
        <f>'Scoring logic &amp; methodology'!E27</f>
        <v>5. Risk and reputation</v>
      </c>
      <c r="AK11" s="249"/>
      <c r="AL11" s="249"/>
      <c r="AM11" s="249"/>
      <c r="AN11" s="245" t="s">
        <v>50</v>
      </c>
      <c r="AO11" s="245"/>
      <c r="AP11" s="246" t="s">
        <v>90</v>
      </c>
      <c r="AQ11" s="246"/>
      <c r="AR11" s="246" t="s">
        <v>104</v>
      </c>
      <c r="AS11" s="246"/>
      <c r="AT11" s="245" t="s">
        <v>123</v>
      </c>
      <c r="AU11" s="245"/>
      <c r="AV11" s="246" t="s">
        <v>143</v>
      </c>
      <c r="AW11" s="246"/>
      <c r="AX11" s="126" t="s">
        <v>384</v>
      </c>
      <c r="AY11" s="126"/>
      <c r="AZ11" s="127"/>
      <c r="BC11" s="58"/>
    </row>
    <row r="12" spans="3:57" ht="74.099999999999994" customHeight="1">
      <c r="D12" s="240" t="s">
        <v>385</v>
      </c>
      <c r="E12" s="236" t="s">
        <v>386</v>
      </c>
      <c r="F12" s="236" t="s">
        <v>387</v>
      </c>
      <c r="G12" s="236" t="s">
        <v>388</v>
      </c>
      <c r="H12" s="239" t="str">
        <f>'Scoring logic &amp; methodology'!E10</f>
        <v>1.1 Financial inclusion, understood as a deliberate effort to gain market share and serve unserved or underserved client segments, constitutes a strategic priority for the bank</v>
      </c>
      <c r="I12" s="239"/>
      <c r="J12" s="241" t="str">
        <f>'Scoring logic &amp; methodology'!E11</f>
        <v>1.2 The bank has clearly defined, time-bound SME goals supported by internal targets and investment plans</v>
      </c>
      <c r="K12" s="242"/>
      <c r="L12" s="239" t="str">
        <f>'Scoring logic &amp; methodology'!E12</f>
        <v>1.3 The bank demonstrates leadership commitment toward SME banking</v>
      </c>
      <c r="M12" s="239"/>
      <c r="N12" s="244" t="str">
        <f>'Scoring logic &amp; methodology'!E13</f>
        <v xml:space="preserve">1.4 The bank has established or is committed to establishing an SME banking unit </v>
      </c>
      <c r="O12" s="244"/>
      <c r="P12" s="244" t="str">
        <f>'Scoring logic &amp; methodology'!E14</f>
        <v>1.5 The bank has clearly articulated ESG commitments and frameworks in place</v>
      </c>
      <c r="Q12" s="244"/>
      <c r="R12" s="244" t="str">
        <f>'Scoring logic &amp; methodology'!E15</f>
        <v xml:space="preserve">1.6 The bank aligns with the funder’s development priorities, such as gender equality and climate resilience	</v>
      </c>
      <c r="S12" s="244"/>
      <c r="T12" s="250" t="str">
        <f>'Scoring logic &amp; methodology'!E17</f>
        <v xml:space="preserve">2.1 The bank has a clear and transparent governance structure with clear roles and responsibilities regarding SME finance programs	</v>
      </c>
      <c r="U12" s="250"/>
      <c r="V12" s="238" t="str">
        <f>'Scoring logic &amp; methodology'!E18</f>
        <v>2.2 The bank has carried out programs funded by development banks, donors, or TA providers successfully</v>
      </c>
      <c r="W12" s="238"/>
      <c r="X12" s="243" t="str">
        <f>'Scoring logic &amp; methodology'!E20</f>
        <v>3.1 The bank offers a sophisticated SME value proposition, as demonstrated by its products and services</v>
      </c>
      <c r="Y12" s="243"/>
      <c r="Z12" s="243" t="str">
        <f>'Scoring logic &amp; methodology'!E21</f>
        <v>3.2 The bank has multi-year experience and a growing presence in the SME banking market</v>
      </c>
      <c r="AA12" s="243"/>
      <c r="AB12" s="243" t="str">
        <f>'Scoring logic &amp; methodology'!E22</f>
        <v>3.3 The bank's SME portfolio represent a significant portion of its total banking portfolio</v>
      </c>
      <c r="AC12" s="243"/>
      <c r="AD12" s="248" t="str">
        <f>'Scoring logic &amp; methodology'!E24</f>
        <v>4.1 The bank operates in a relatively attractive SME market, as identified in the Market Assessment Tool</v>
      </c>
      <c r="AE12" s="248"/>
      <c r="AF12" s="248" t="str">
        <f>'Scoring logic &amp; methodology'!E25</f>
        <v>4.2 The bank is positioned in a market with strong SME projected revenue and growth potential, as identified in the Market Sizing Tool</v>
      </c>
      <c r="AG12" s="248"/>
      <c r="AH12" s="248" t="str">
        <f>'Scoring logic &amp; methodology'!E26</f>
        <v>4.3 The bank serves the SME segments aligned to funders strategic focus</v>
      </c>
      <c r="AI12" s="248"/>
      <c r="AJ12" s="251" t="str">
        <f>'Scoring logic &amp; methodology'!E28</f>
        <v>5.1 The bank has no significant red flags related to reputation, compliance, or legal matters</v>
      </c>
      <c r="AK12" s="251"/>
      <c r="AL12" s="251" t="str">
        <f>'Scoring logic &amp; methodology'!E29</f>
        <v xml:space="preserve">5.2 The bank has clear policies for ethics, transparency, and conflict of interest	</v>
      </c>
      <c r="AM12" s="251"/>
      <c r="AN12" s="245"/>
      <c r="AO12" s="245"/>
      <c r="AP12" s="246"/>
      <c r="AQ12" s="246"/>
      <c r="AR12" s="246"/>
      <c r="AS12" s="246"/>
      <c r="AT12" s="245"/>
      <c r="AU12" s="245"/>
      <c r="AV12" s="246"/>
      <c r="AW12" s="246"/>
      <c r="AX12" s="127"/>
      <c r="AY12" s="127"/>
      <c r="AZ12" s="127"/>
    </row>
    <row r="13" spans="3:57" ht="20.100000000000001" customHeight="1">
      <c r="D13" s="240"/>
      <c r="E13" s="237"/>
      <c r="F13" s="237"/>
      <c r="G13" s="236"/>
      <c r="H13" s="44" t="s">
        <v>389</v>
      </c>
      <c r="I13" s="44" t="s">
        <v>390</v>
      </c>
      <c r="J13" s="44" t="s">
        <v>389</v>
      </c>
      <c r="K13" s="44" t="s">
        <v>390</v>
      </c>
      <c r="L13" s="44" t="s">
        <v>389</v>
      </c>
      <c r="M13" s="44" t="s">
        <v>390</v>
      </c>
      <c r="N13" s="44" t="s">
        <v>389</v>
      </c>
      <c r="O13" s="44" t="s">
        <v>390</v>
      </c>
      <c r="P13" s="44" t="s">
        <v>389</v>
      </c>
      <c r="Q13" s="44" t="s">
        <v>390</v>
      </c>
      <c r="R13" s="44" t="s">
        <v>389</v>
      </c>
      <c r="S13" s="44" t="s">
        <v>390</v>
      </c>
      <c r="T13" s="45" t="s">
        <v>389</v>
      </c>
      <c r="U13" s="45" t="s">
        <v>390</v>
      </c>
      <c r="V13" s="45" t="s">
        <v>389</v>
      </c>
      <c r="W13" s="45" t="s">
        <v>390</v>
      </c>
      <c r="X13" s="46" t="s">
        <v>389</v>
      </c>
      <c r="Y13" s="46" t="s">
        <v>390</v>
      </c>
      <c r="Z13" s="46" t="s">
        <v>389</v>
      </c>
      <c r="AA13" s="46" t="s">
        <v>390</v>
      </c>
      <c r="AB13" s="46" t="s">
        <v>389</v>
      </c>
      <c r="AC13" s="46" t="s">
        <v>390</v>
      </c>
      <c r="AD13" s="47" t="s">
        <v>389</v>
      </c>
      <c r="AE13" s="47" t="s">
        <v>390</v>
      </c>
      <c r="AF13" s="47" t="s">
        <v>389</v>
      </c>
      <c r="AG13" s="47" t="s">
        <v>390</v>
      </c>
      <c r="AH13" s="47" t="s">
        <v>389</v>
      </c>
      <c r="AI13" s="47" t="s">
        <v>390</v>
      </c>
      <c r="AJ13" s="48" t="s">
        <v>389</v>
      </c>
      <c r="AK13" s="48" t="s">
        <v>390</v>
      </c>
      <c r="AL13" s="48" t="s">
        <v>389</v>
      </c>
      <c r="AM13" s="48" t="s">
        <v>390</v>
      </c>
      <c r="AN13" s="60" t="s">
        <v>391</v>
      </c>
      <c r="AO13" s="60" t="s">
        <v>38</v>
      </c>
      <c r="AP13" s="60" t="s">
        <v>391</v>
      </c>
      <c r="AQ13" s="60" t="s">
        <v>38</v>
      </c>
      <c r="AR13" s="60" t="s">
        <v>391</v>
      </c>
      <c r="AS13" s="60" t="s">
        <v>38</v>
      </c>
      <c r="AT13" s="60" t="s">
        <v>391</v>
      </c>
      <c r="AU13" s="60" t="s">
        <v>38</v>
      </c>
      <c r="AV13" s="60" t="s">
        <v>391</v>
      </c>
      <c r="AW13" s="60" t="s">
        <v>38</v>
      </c>
      <c r="AX13" s="127" t="s">
        <v>391</v>
      </c>
      <c r="AY13" s="127" t="s">
        <v>392</v>
      </c>
      <c r="AZ13" s="127" t="s">
        <v>393</v>
      </c>
    </row>
    <row r="14" spans="3:57" ht="80.45">
      <c r="D14" s="128" t="s">
        <v>394</v>
      </c>
      <c r="E14" s="34" t="s">
        <v>395</v>
      </c>
      <c r="F14" s="34" t="s">
        <v>355</v>
      </c>
      <c r="G14" s="34" t="s">
        <v>355</v>
      </c>
      <c r="H14" s="35" t="s">
        <v>164</v>
      </c>
      <c r="I14" s="40" t="s">
        <v>396</v>
      </c>
      <c r="J14" s="35" t="s">
        <v>164</v>
      </c>
      <c r="K14" s="40" t="s">
        <v>397</v>
      </c>
      <c r="L14" s="35" t="s">
        <v>164</v>
      </c>
      <c r="M14" s="40" t="s">
        <v>398</v>
      </c>
      <c r="N14" s="35" t="s">
        <v>172</v>
      </c>
      <c r="O14" s="40" t="s">
        <v>399</v>
      </c>
      <c r="P14" s="149" t="s">
        <v>164</v>
      </c>
      <c r="Q14" s="40" t="s">
        <v>400</v>
      </c>
      <c r="R14" s="149" t="s">
        <v>164</v>
      </c>
      <c r="S14" s="40" t="s">
        <v>401</v>
      </c>
      <c r="T14" s="149" t="s">
        <v>164</v>
      </c>
      <c r="U14" s="40" t="s">
        <v>402</v>
      </c>
      <c r="V14" s="149" t="s">
        <v>164</v>
      </c>
      <c r="W14" s="40" t="s">
        <v>403</v>
      </c>
      <c r="X14" s="149" t="s">
        <v>164</v>
      </c>
      <c r="Y14" s="104" t="s">
        <v>404</v>
      </c>
      <c r="Z14" s="149" t="s">
        <v>164</v>
      </c>
      <c r="AA14" s="40" t="s">
        <v>405</v>
      </c>
      <c r="AB14" s="149" t="s">
        <v>166</v>
      </c>
      <c r="AC14" s="104" t="s">
        <v>406</v>
      </c>
      <c r="AD14" s="149" t="s">
        <v>166</v>
      </c>
      <c r="AE14" s="38" t="s">
        <v>407</v>
      </c>
      <c r="AF14" s="149" t="s">
        <v>164</v>
      </c>
      <c r="AG14" s="38" t="s">
        <v>408</v>
      </c>
      <c r="AH14" s="35" t="s">
        <v>170</v>
      </c>
      <c r="AI14" s="38" t="s">
        <v>409</v>
      </c>
      <c r="AJ14" s="35" t="s">
        <v>170</v>
      </c>
      <c r="AK14" s="38" t="s">
        <v>410</v>
      </c>
      <c r="AL14" s="35" t="s">
        <v>170</v>
      </c>
      <c r="AM14" s="40" t="s">
        <v>411</v>
      </c>
      <c r="AN14" s="59">
        <f>SUMPRODUCT(IFERROR(INDEX($M$3:$M$7,MATCH(H14,$L$3:$L$7,0)),0)+SUMPRODUCT(IFERROR(INDEX($M$3:$M$7,MATCH(J14,$L$3:$L$7,0)),0)+SUMPRODUCT(IFERROR(INDEX($M$3:$M$7,MATCH(L14,$L$3:$L$7,0)),0)+SUMPRODUCT(IFERROR(INDEX($M$3:$M$7,MATCH(P14,$L$3:$L$7,0)),0)+SUMPRODUCT(IFERROR(INDEX($M$3:$M$7,MATCH(R14,$L$3:$L$7,0)),0))))))</f>
        <v>25</v>
      </c>
      <c r="AO14" s="62">
        <f>'Scoring logic &amp; methodology'!$C$9</f>
        <v>0.2</v>
      </c>
      <c r="AP14" s="59">
        <f>SUMPRODUCT(IFERROR(INDEX($M$3:$M$7,MATCH(T14,$L$3:$L$7,0)),0)+SUMPRODUCT(IFERROR(INDEX($M$3:$M$7,MATCH(V14,$L$3:$L$7,0)),0)))</f>
        <v>10</v>
      </c>
      <c r="AQ14" s="62">
        <f>'Scoring logic &amp; methodology'!$C$16</f>
        <v>0.2</v>
      </c>
      <c r="AR14" s="59">
        <f>SUMPRODUCT(IFERROR(INDEX($M$3:$M$7,MATCH(X14,$L$3:$L$7,0)),0)+SUMPRODUCT(IFERROR(INDEX($M$3:$M$7,MATCH(Z14,$L$3:$L$7,0)),0)+SUMPRODUCT(IFERROR(INDEX($M$3:$M$7,MATCH(AB14,$L$3:$L$7,0)),0))))</f>
        <v>13</v>
      </c>
      <c r="AS14" s="62">
        <f>'Scoring logic &amp; methodology'!$C$19</f>
        <v>0.2</v>
      </c>
      <c r="AT14" s="59">
        <f>SUMPRODUCT(IFERROR(INDEX($M$3:$M$7,MATCH(AD14,$L$3:$L$7,0)),0)+SUMPRODUCT(IFERROR(INDEX($M$3:$M$7,MATCH(AF14,$L$3:$L$7,0)),0)+SUMPRODUCT(IFERROR(INDEX($M$3:$M$7,MATCH(AH14,$L$3:$L$7,0)),0))))</f>
        <v>13</v>
      </c>
      <c r="AU14" s="62">
        <f>'Scoring logic &amp; methodology'!$C$23</f>
        <v>0.2</v>
      </c>
      <c r="AV14" s="59">
        <f>SUMPRODUCT(IFERROR(INDEX($M$3:$M$7,MATCH(AJ14,$L$3:$L$7,0)),0)+SUMPRODUCT(IFERROR(INDEX($M$3:$M$7,MATCH(AL14,$L$3:$L$7,0)),0)))</f>
        <v>10</v>
      </c>
      <c r="AW14" s="62">
        <f>'Scoring logic &amp; methodology'!$C$27</f>
        <v>0.2</v>
      </c>
      <c r="AX14" s="129">
        <f>SUM(AN14*AO14,AP14*AQ14,AR14*AS14,AT14*AU14,AV14*AW14)</f>
        <v>14.2</v>
      </c>
      <c r="AY14" s="59" t="str" cm="1">
        <f t="array" ref="AY14">_xlfn.IFS(AX14&lt;=('Scoring logic &amp; methodology'!$H$62),'Scoring logic &amp; methodology'!$E$62,AX14&lt;'Scoring logic &amp; methodology'!$G$60,'Scoring logic &amp; methodology'!$E$61,AX14&gt;'Scoring logic &amp; methodology'!$G$60,'Scoring logic &amp; methodology'!$E$60)</f>
        <v>High priority</v>
      </c>
      <c r="AZ14" s="59">
        <f>IF(ISNUMBER(AX14),_xlfn.RANK.EQ(AX14,AX:AX),"")</f>
        <v>1</v>
      </c>
    </row>
    <row r="15" spans="3:57" ht="57.6">
      <c r="D15" s="128" t="s">
        <v>412</v>
      </c>
      <c r="E15" s="34" t="s">
        <v>395</v>
      </c>
      <c r="F15" s="34" t="s">
        <v>355</v>
      </c>
      <c r="G15" s="34" t="s">
        <v>344</v>
      </c>
      <c r="H15" s="35" t="s">
        <v>164</v>
      </c>
      <c r="I15" s="40" t="s">
        <v>413</v>
      </c>
      <c r="J15" s="35" t="s">
        <v>166</v>
      </c>
      <c r="K15" s="40" t="s">
        <v>414</v>
      </c>
      <c r="L15" s="35" t="s">
        <v>164</v>
      </c>
      <c r="M15" s="40" t="s">
        <v>415</v>
      </c>
      <c r="N15" s="35" t="s">
        <v>172</v>
      </c>
      <c r="O15" s="43" t="s">
        <v>416</v>
      </c>
      <c r="P15" s="149" t="s">
        <v>164</v>
      </c>
      <c r="Q15" s="40" t="s">
        <v>417</v>
      </c>
      <c r="R15" s="149" t="s">
        <v>166</v>
      </c>
      <c r="S15" s="40" t="s">
        <v>418</v>
      </c>
      <c r="T15" s="149" t="s">
        <v>166</v>
      </c>
      <c r="U15" s="38" t="s">
        <v>419</v>
      </c>
      <c r="V15" s="149" t="s">
        <v>164</v>
      </c>
      <c r="W15" s="40" t="s">
        <v>420</v>
      </c>
      <c r="X15" s="149" t="s">
        <v>164</v>
      </c>
      <c r="Y15" s="42" t="s">
        <v>421</v>
      </c>
      <c r="Z15" s="149" t="s">
        <v>164</v>
      </c>
      <c r="AA15" s="38" t="s">
        <v>422</v>
      </c>
      <c r="AB15" s="149" t="s">
        <v>168</v>
      </c>
      <c r="AC15" s="40" t="s">
        <v>423</v>
      </c>
      <c r="AD15" s="149" t="s">
        <v>166</v>
      </c>
      <c r="AE15" s="38" t="s">
        <v>407</v>
      </c>
      <c r="AF15" s="149" t="s">
        <v>164</v>
      </c>
      <c r="AG15" s="38" t="s">
        <v>408</v>
      </c>
      <c r="AH15" s="35" t="s">
        <v>170</v>
      </c>
      <c r="AI15" s="38" t="s">
        <v>409</v>
      </c>
      <c r="AJ15" s="35" t="s">
        <v>172</v>
      </c>
      <c r="AK15" s="40" t="s">
        <v>424</v>
      </c>
      <c r="AL15" s="35" t="s">
        <v>170</v>
      </c>
      <c r="AM15" s="40" t="s">
        <v>425</v>
      </c>
      <c r="AN15" s="59">
        <f>SUMPRODUCT(IFERROR(INDEX($M$3:$M$7,MATCH(H15,$L$3:$L$7,0)),0)+SUMPRODUCT(IFERROR(INDEX($M$3:$M$7,MATCH(J15,$L$3:$L$7,0)),0)+SUMPRODUCT(IFERROR(INDEX($M$3:$M$7,MATCH(L15,$L$3:$L$7,0)),0)+SUMPRODUCT(IFERROR(INDEX($M$3:$M$7,MATCH(P15,$L$3:$L$7,0)),0)+SUMPRODUCT(IFERROR(INDEX($M$3:$M$7,MATCH(R15,$L$3:$L$7,0)),0))))))</f>
        <v>21</v>
      </c>
      <c r="AO15" s="62">
        <f>'Scoring logic &amp; methodology'!$C$9</f>
        <v>0.2</v>
      </c>
      <c r="AP15" s="59">
        <f>SUMPRODUCT(IFERROR(INDEX($M$3:$M$7,MATCH(T15,$L$3:$L$7,0)),0)+SUMPRODUCT(IFERROR(INDEX($M$3:$M$7,MATCH(V15,$L$3:$L$7,0)),0)))</f>
        <v>8</v>
      </c>
      <c r="AQ15" s="62">
        <f>'Scoring logic &amp; methodology'!$C$16</f>
        <v>0.2</v>
      </c>
      <c r="AR15" s="59">
        <f>SUMPRODUCT(IFERROR(INDEX($M$3:$M$7,MATCH(X15,$L$3:$L$7,0)),0)+SUMPRODUCT(IFERROR(INDEX($M$3:$M$7,MATCH(Z15,$L$3:$L$7,0)),0)+SUMPRODUCT(IFERROR(INDEX($M$3:$M$7,MATCH(AB15,$L$3:$L$7,0)),0))))</f>
        <v>11</v>
      </c>
      <c r="AS15" s="62">
        <f>'Scoring logic &amp; methodology'!$C$19</f>
        <v>0.2</v>
      </c>
      <c r="AT15" s="59">
        <f>SUMPRODUCT(IFERROR(INDEX($M$3:$M$7,MATCH(AD15,$L$3:$L$7,0)),0)+SUMPRODUCT(IFERROR(INDEX($M$3:$M$7,MATCH(AF15,$L$3:$L$7,0)),0)+SUMPRODUCT(IFERROR(INDEX($M$3:$M$7,MATCH(AH15,$L$3:$L$7,0)),0))))</f>
        <v>13</v>
      </c>
      <c r="AU15" s="62">
        <f>'Scoring logic &amp; methodology'!$C$23</f>
        <v>0.2</v>
      </c>
      <c r="AV15" s="59">
        <f>SUMPRODUCT(IFERROR(INDEX($M$3:$M$7,MATCH(AJ15,$L$3:$L$7,0)),0)+SUMPRODUCT(IFERROR(INDEX($M$3:$M$7,MATCH(AL15,$L$3:$L$7,0)),0)))</f>
        <v>5</v>
      </c>
      <c r="AW15" s="62">
        <f>'Scoring logic &amp; methodology'!$C$27</f>
        <v>0.2</v>
      </c>
      <c r="AX15" s="129">
        <f>SUM(AN15*AO15,AP15*AQ15,AR15*AS15,AT15*AU15,AV15*AW15)</f>
        <v>11.6</v>
      </c>
      <c r="AY15" s="59" t="str" cm="1">
        <f t="array" ref="AY15">_xlfn.IFS(AX15&lt;=('Scoring logic &amp; methodology'!$H$62),'Scoring logic &amp; methodology'!$E$62,AX15&lt;'Scoring logic &amp; methodology'!$G$60,'Scoring logic &amp; methodology'!$E$61,AX15&gt;'Scoring logic &amp; methodology'!$G$60,'Scoring logic &amp; methodology'!$E$60)</f>
        <v>Mid priority</v>
      </c>
      <c r="AZ15" s="59">
        <f>IF(ISNUMBER(AX15),_xlfn.RANK.EQ(AX15,AX:AX),"")</f>
        <v>4</v>
      </c>
    </row>
    <row r="16" spans="3:57" ht="80.45">
      <c r="D16" s="128" t="s">
        <v>426</v>
      </c>
      <c r="E16" s="34" t="s">
        <v>395</v>
      </c>
      <c r="F16" s="34" t="s">
        <v>355</v>
      </c>
      <c r="G16" s="34" t="s">
        <v>355</v>
      </c>
      <c r="H16" s="35" t="s">
        <v>166</v>
      </c>
      <c r="I16" s="49" t="s">
        <v>427</v>
      </c>
      <c r="J16" s="35" t="s">
        <v>166</v>
      </c>
      <c r="K16" s="38" t="s">
        <v>428</v>
      </c>
      <c r="L16" s="35" t="s">
        <v>166</v>
      </c>
      <c r="M16" s="43" t="s">
        <v>429</v>
      </c>
      <c r="N16" s="35" t="s">
        <v>172</v>
      </c>
      <c r="O16" s="43" t="s">
        <v>430</v>
      </c>
      <c r="P16" s="149" t="s">
        <v>164</v>
      </c>
      <c r="Q16" s="40" t="s">
        <v>431</v>
      </c>
      <c r="R16" s="149" t="s">
        <v>166</v>
      </c>
      <c r="S16" s="40" t="s">
        <v>432</v>
      </c>
      <c r="T16" s="149" t="s">
        <v>166</v>
      </c>
      <c r="U16" s="38" t="s">
        <v>433</v>
      </c>
      <c r="V16" s="149" t="s">
        <v>168</v>
      </c>
      <c r="W16" s="43" t="s">
        <v>434</v>
      </c>
      <c r="X16" s="149" t="s">
        <v>164</v>
      </c>
      <c r="Y16" s="42" t="s">
        <v>435</v>
      </c>
      <c r="Z16" s="149" t="s">
        <v>164</v>
      </c>
      <c r="AA16" s="38" t="s">
        <v>436</v>
      </c>
      <c r="AB16" s="149" t="s">
        <v>164</v>
      </c>
      <c r="AC16" s="104" t="s">
        <v>437</v>
      </c>
      <c r="AD16" s="149" t="s">
        <v>166</v>
      </c>
      <c r="AE16" s="38" t="s">
        <v>407</v>
      </c>
      <c r="AF16" s="149" t="s">
        <v>164</v>
      </c>
      <c r="AG16" s="38" t="s">
        <v>408</v>
      </c>
      <c r="AH16" s="35" t="s">
        <v>170</v>
      </c>
      <c r="AI16" s="38" t="s">
        <v>409</v>
      </c>
      <c r="AJ16" s="35" t="s">
        <v>170</v>
      </c>
      <c r="AK16" s="40" t="s">
        <v>438</v>
      </c>
      <c r="AL16" s="35" t="s">
        <v>170</v>
      </c>
      <c r="AM16" s="40" t="s">
        <v>439</v>
      </c>
      <c r="AN16" s="59">
        <f>SUMPRODUCT(IFERROR(INDEX($M$3:$M$7,MATCH(H16,$L$3:$L$7,0)),0)+SUMPRODUCT(IFERROR(INDEX($M$3:$M$7,MATCH(J16,$L$3:$L$7,0)),0)+SUMPRODUCT(IFERROR(INDEX($M$3:$M$7,MATCH(L16,$L$3:$L$7,0)),0)+SUMPRODUCT(IFERROR(INDEX($M$3:$M$7,MATCH(P16,$L$3:$L$7,0)),0)+SUMPRODUCT(IFERROR(INDEX($M$3:$M$7,MATCH(R16,$L$3:$L$7,0)),0))))))</f>
        <v>17</v>
      </c>
      <c r="AO16" s="62">
        <f>'Scoring logic &amp; methodology'!$C$9</f>
        <v>0.2</v>
      </c>
      <c r="AP16" s="59">
        <f>SUMPRODUCT(IFERROR(INDEX($M$3:$M$7,MATCH(T16,$L$3:$L$7,0)),0)+SUMPRODUCT(IFERROR(INDEX($M$3:$M$7,MATCH(V16,$L$3:$L$7,0)),0)))</f>
        <v>4</v>
      </c>
      <c r="AQ16" s="62">
        <f>'Scoring logic &amp; methodology'!$C$16</f>
        <v>0.2</v>
      </c>
      <c r="AR16" s="59">
        <f>SUMPRODUCT(IFERROR(INDEX($M$3:$M$7,MATCH(X16,$L$3:$L$7,0)),0)+SUMPRODUCT(IFERROR(INDEX($M$3:$M$7,MATCH(Z16,$L$3:$L$7,0)),0)+SUMPRODUCT(IFERROR(INDEX($M$3:$M$7,MATCH(AB16,$L$3:$L$7,0)),0))))</f>
        <v>15</v>
      </c>
      <c r="AS16" s="62">
        <f>'Scoring logic &amp; methodology'!$C$19</f>
        <v>0.2</v>
      </c>
      <c r="AT16" s="59">
        <f>SUMPRODUCT(IFERROR(INDEX($M$3:$M$7,MATCH(AD16,$L$3:$L$7,0)),0)+SUMPRODUCT(IFERROR(INDEX($M$3:$M$7,MATCH(AF16,$L$3:$L$7,0)),0)+SUMPRODUCT(IFERROR(INDEX($M$3:$M$7,MATCH(AH16,$L$3:$L$7,0)),0))))</f>
        <v>13</v>
      </c>
      <c r="AU16" s="62">
        <f>'Scoring logic &amp; methodology'!$C$23</f>
        <v>0.2</v>
      </c>
      <c r="AV16" s="59">
        <f>SUMPRODUCT(IFERROR(INDEX($M$3:$M$7,MATCH(AJ16,$L$3:$L$7,0)),0)+SUMPRODUCT(IFERROR(INDEX($M$3:$M$7,MATCH(AL16,$L$3:$L$7,0)),0)))</f>
        <v>10</v>
      </c>
      <c r="AW16" s="62">
        <f>'Scoring logic &amp; methodology'!$C$27</f>
        <v>0.2</v>
      </c>
      <c r="AX16" s="129">
        <f>SUM(AN16*AO16,AP16*AQ16,AR16*AS16,AT16*AU16,AV16*AW16)</f>
        <v>11.8</v>
      </c>
      <c r="AY16" s="59" t="str" cm="1">
        <f t="array" ref="AY16">_xlfn.IFS(AX16&lt;=('Scoring logic &amp; methodology'!$H$62),'Scoring logic &amp; methodology'!$E$62,AX16&lt;'Scoring logic &amp; methodology'!$G$60,'Scoring logic &amp; methodology'!$E$61,AX16&gt;'Scoring logic &amp; methodology'!$G$60,'Scoring logic &amp; methodology'!$E$60)</f>
        <v>Mid priority</v>
      </c>
      <c r="AZ16" s="59">
        <f>IF(ISNUMBER(AX16),_xlfn.RANK.EQ(AX16,AX:AX),"")</f>
        <v>3</v>
      </c>
    </row>
    <row r="17" spans="4:52" ht="80.45">
      <c r="D17" s="128" t="s">
        <v>440</v>
      </c>
      <c r="E17" s="147" t="s">
        <v>441</v>
      </c>
      <c r="F17" s="34" t="s">
        <v>355</v>
      </c>
      <c r="G17" s="34" t="s">
        <v>266</v>
      </c>
      <c r="H17" s="149" t="s">
        <v>164</v>
      </c>
      <c r="I17" s="40" t="s">
        <v>442</v>
      </c>
      <c r="J17" s="149" t="s">
        <v>166</v>
      </c>
      <c r="K17" s="49" t="s">
        <v>443</v>
      </c>
      <c r="L17" s="149" t="s">
        <v>164</v>
      </c>
      <c r="M17" s="40" t="s">
        <v>444</v>
      </c>
      <c r="N17" s="35" t="s">
        <v>170</v>
      </c>
      <c r="O17" s="40" t="s">
        <v>445</v>
      </c>
      <c r="P17" s="149" t="s">
        <v>164</v>
      </c>
      <c r="Q17" s="40" t="s">
        <v>446</v>
      </c>
      <c r="R17" s="149" t="s">
        <v>168</v>
      </c>
      <c r="S17" s="49" t="s">
        <v>447</v>
      </c>
      <c r="T17" s="149" t="s">
        <v>166</v>
      </c>
      <c r="U17" s="49" t="s">
        <v>448</v>
      </c>
      <c r="V17" s="149" t="s">
        <v>164</v>
      </c>
      <c r="W17" s="40" t="s">
        <v>449</v>
      </c>
      <c r="X17" s="149" t="s">
        <v>164</v>
      </c>
      <c r="Y17" s="104" t="s">
        <v>450</v>
      </c>
      <c r="Z17" s="149" t="s">
        <v>166</v>
      </c>
      <c r="AA17" s="49" t="s">
        <v>451</v>
      </c>
      <c r="AB17" s="149" t="s">
        <v>168</v>
      </c>
      <c r="AC17" s="152" t="s">
        <v>452</v>
      </c>
      <c r="AD17" s="149" t="s">
        <v>166</v>
      </c>
      <c r="AE17" s="38" t="s">
        <v>407</v>
      </c>
      <c r="AF17" s="149" t="s">
        <v>164</v>
      </c>
      <c r="AG17" s="38" t="s">
        <v>408</v>
      </c>
      <c r="AH17" s="35" t="s">
        <v>170</v>
      </c>
      <c r="AI17" s="38" t="s">
        <v>409</v>
      </c>
      <c r="AJ17" s="35" t="s">
        <v>172</v>
      </c>
      <c r="AK17" s="40" t="s">
        <v>453</v>
      </c>
      <c r="AL17" s="36" t="s">
        <v>170</v>
      </c>
      <c r="AM17" s="40" t="s">
        <v>454</v>
      </c>
      <c r="AN17" s="59">
        <f>SUMPRODUCT(IFERROR(INDEX($M$3:$M$7,MATCH(H17,$L$3:$L$7,0)),0)+SUMPRODUCT(IFERROR(INDEX($M$3:$M$7,MATCH(J17,$L$3:$L$7,0)),0)+SUMPRODUCT(IFERROR(INDEX($M$3:$M$7,MATCH(L17,$L$3:$L$7,0)),0)+SUMPRODUCT(IFERROR(INDEX($M$3:$M$7,MATCH(P17,$L$3:$L$7,0)),0)+SUMPRODUCT(IFERROR(INDEX($M$3:$M$7,MATCH(R17,$L$3:$L$7,0)),0))))))</f>
        <v>19</v>
      </c>
      <c r="AO17" s="62">
        <f>'Scoring logic &amp; methodology'!$C$9</f>
        <v>0.2</v>
      </c>
      <c r="AP17" s="59">
        <f t="shared" ref="AP17:AP18" si="0">SUMPRODUCT(IFERROR(INDEX($M$3:$M$7,MATCH(T17,$L$3:$L$7,0)),0)+SUMPRODUCT(IFERROR(INDEX($M$3:$M$7,MATCH(V17,$L$3:$L$7,0)),0)))</f>
        <v>8</v>
      </c>
      <c r="AQ17" s="62">
        <f>'Scoring logic &amp; methodology'!$C$16</f>
        <v>0.2</v>
      </c>
      <c r="AR17" s="59">
        <f t="shared" ref="AR17:AR18" si="1">SUMPRODUCT(IFERROR(INDEX($M$3:$M$7,MATCH(X17,$L$3:$L$7,0)),0)+SUMPRODUCT(IFERROR(INDEX($M$3:$M$7,MATCH(Z17,$L$3:$L$7,0)),0)+SUMPRODUCT(IFERROR(INDEX($M$3:$M$7,MATCH(AB17,$L$3:$L$7,0)),0))))</f>
        <v>9</v>
      </c>
      <c r="AS17" s="62">
        <f>'Scoring logic &amp; methodology'!$C$19</f>
        <v>0.2</v>
      </c>
      <c r="AT17" s="59">
        <f t="shared" ref="AT17:AT18" si="2">SUMPRODUCT(IFERROR(INDEX($M$3:$M$7,MATCH(AD17,$L$3:$L$7,0)),0)+SUMPRODUCT(IFERROR(INDEX($M$3:$M$7,MATCH(AF17,$L$3:$L$7,0)),0)+SUMPRODUCT(IFERROR(INDEX($M$3:$M$7,MATCH(AH17,$L$3:$L$7,0)),0))))</f>
        <v>13</v>
      </c>
      <c r="AU17" s="62">
        <f>'Scoring logic &amp; methodology'!$C$23</f>
        <v>0.2</v>
      </c>
      <c r="AV17" s="59">
        <f t="shared" ref="AV17:AV18" si="3">SUMPRODUCT(IFERROR(INDEX($M$3:$M$7,MATCH(AJ17,$L$3:$L$7,0)),0)+SUMPRODUCT(IFERROR(INDEX($M$3:$M$7,MATCH(AL17,$L$3:$L$7,0)),0)))</f>
        <v>5</v>
      </c>
      <c r="AW17" s="62">
        <f>'Scoring logic &amp; methodology'!$C$27</f>
        <v>0.2</v>
      </c>
      <c r="AX17" s="129">
        <f t="shared" ref="AX17:AX18" si="4">SUM(AN17*AO17,AP17*AQ17,AR17*AS17,AT17*AU17,AV17*AW17)</f>
        <v>10.8</v>
      </c>
      <c r="AY17" s="59" t="str" cm="1">
        <f t="array" ref="AY17">_xlfn.IFS(AX17&lt;=('Scoring logic &amp; methodology'!$H$62),'Scoring logic &amp; methodology'!$E$62,AX17&lt;'Scoring logic &amp; methodology'!$G$60,'Scoring logic &amp; methodology'!$E$61,AX17&gt;'Scoring logic &amp; methodology'!$G$60,'Scoring logic &amp; methodology'!$E$60)</f>
        <v>Mid priority</v>
      </c>
      <c r="AZ17" s="59">
        <f t="shared" ref="AZ17:AZ18" si="5">IF(ISNUMBER(AX17),_xlfn.RANK.EQ(AX17,AX:AX),"")</f>
        <v>5</v>
      </c>
    </row>
    <row r="18" spans="4:52" ht="57.6">
      <c r="D18" s="148" t="s">
        <v>455</v>
      </c>
      <c r="E18" s="147" t="s">
        <v>441</v>
      </c>
      <c r="F18" s="34" t="s">
        <v>355</v>
      </c>
      <c r="G18" s="34" t="s">
        <v>297</v>
      </c>
      <c r="H18" s="149" t="s">
        <v>164</v>
      </c>
      <c r="I18" s="40" t="s">
        <v>456</v>
      </c>
      <c r="J18" s="149" t="s">
        <v>166</v>
      </c>
      <c r="K18" s="40" t="s">
        <v>457</v>
      </c>
      <c r="L18" s="149" t="s">
        <v>164</v>
      </c>
      <c r="M18" s="40" t="s">
        <v>458</v>
      </c>
      <c r="N18" s="35" t="s">
        <v>170</v>
      </c>
      <c r="O18" s="40" t="s">
        <v>459</v>
      </c>
      <c r="P18" s="149" t="s">
        <v>166</v>
      </c>
      <c r="Q18" s="49" t="s">
        <v>460</v>
      </c>
      <c r="R18" s="149" t="s">
        <v>168</v>
      </c>
      <c r="S18" s="49" t="s">
        <v>461</v>
      </c>
      <c r="T18" s="149" t="s">
        <v>164</v>
      </c>
      <c r="U18" s="49" t="s">
        <v>462</v>
      </c>
      <c r="V18" s="149" t="s">
        <v>164</v>
      </c>
      <c r="W18" s="40" t="s">
        <v>463</v>
      </c>
      <c r="X18" s="149" t="s">
        <v>164</v>
      </c>
      <c r="Y18" s="104" t="s">
        <v>464</v>
      </c>
      <c r="Z18" s="149" t="s">
        <v>166</v>
      </c>
      <c r="AA18" s="49" t="s">
        <v>465</v>
      </c>
      <c r="AB18" s="149" t="s">
        <v>166</v>
      </c>
      <c r="AC18" s="152" t="s">
        <v>466</v>
      </c>
      <c r="AD18" s="149" t="s">
        <v>166</v>
      </c>
      <c r="AE18" s="38" t="s">
        <v>407</v>
      </c>
      <c r="AF18" s="149" t="s">
        <v>164</v>
      </c>
      <c r="AG18" s="38" t="s">
        <v>408</v>
      </c>
      <c r="AH18" s="35" t="s">
        <v>170</v>
      </c>
      <c r="AI18" s="38" t="s">
        <v>409</v>
      </c>
      <c r="AJ18" s="35" t="s">
        <v>170</v>
      </c>
      <c r="AK18" s="49" t="s">
        <v>467</v>
      </c>
      <c r="AL18" s="36" t="s">
        <v>170</v>
      </c>
      <c r="AM18" s="40" t="s">
        <v>468</v>
      </c>
      <c r="AN18" s="59">
        <f>SUMPRODUCT(IFERROR(INDEX($M$3:$M$7,MATCH(H18,$L$3:$L$7,0)),0)+SUMPRODUCT(IFERROR(INDEX($M$3:$M$7,MATCH(J18,$L$3:$L$7,0)),0)+SUMPRODUCT(IFERROR(INDEX($M$3:$M$7,MATCH(L18,$L$3:$L$7,0)),0)+SUMPRODUCT(IFERROR(INDEX($M$3:$M$7,MATCH(P18,$L$3:$L$7,0)),0)+SUMPRODUCT(IFERROR(INDEX($M$3:$M$7,MATCH(R18,$L$3:$L$7,0)),0))))))</f>
        <v>17</v>
      </c>
      <c r="AO18" s="62">
        <f>'Scoring logic &amp; methodology'!$C$9</f>
        <v>0.2</v>
      </c>
      <c r="AP18" s="59">
        <f t="shared" si="0"/>
        <v>10</v>
      </c>
      <c r="AQ18" s="62">
        <f>'Scoring logic &amp; methodology'!$C$16</f>
        <v>0.2</v>
      </c>
      <c r="AR18" s="59">
        <f t="shared" si="1"/>
        <v>11</v>
      </c>
      <c r="AS18" s="62">
        <f>'Scoring logic &amp; methodology'!$C$19</f>
        <v>0.2</v>
      </c>
      <c r="AT18" s="59">
        <f t="shared" si="2"/>
        <v>13</v>
      </c>
      <c r="AU18" s="62">
        <f>'Scoring logic &amp; methodology'!$C$23</f>
        <v>0.2</v>
      </c>
      <c r="AV18" s="59">
        <f t="shared" si="3"/>
        <v>10</v>
      </c>
      <c r="AW18" s="62">
        <f>'Scoring logic &amp; methodology'!$C$27</f>
        <v>0.2</v>
      </c>
      <c r="AX18" s="129">
        <f t="shared" si="4"/>
        <v>12.200000000000001</v>
      </c>
      <c r="AY18" s="59" t="str" cm="1">
        <f t="array" ref="AY18">_xlfn.IFS(AX18&lt;=('Scoring logic &amp; methodology'!$H$62),'Scoring logic &amp; methodology'!$E$62,AX18&lt;'Scoring logic &amp; methodology'!$G$60,'Scoring logic &amp; methodology'!$E$61,AX18&gt;'Scoring logic &amp; methodology'!$G$60,'Scoring logic &amp; methodology'!$E$60)</f>
        <v>Mid priority</v>
      </c>
      <c r="AZ18" s="59">
        <f t="shared" si="5"/>
        <v>2</v>
      </c>
    </row>
    <row r="19" spans="4:52">
      <c r="N19" s="36"/>
      <c r="P19" s="36"/>
      <c r="R19" s="36"/>
      <c r="T19" s="36"/>
      <c r="V19" s="36"/>
      <c r="X19" s="36"/>
      <c r="Z19" s="36"/>
      <c r="AB19" s="36"/>
      <c r="AD19" s="36"/>
      <c r="AF19" s="36"/>
      <c r="AH19" s="36"/>
    </row>
    <row r="20" spans="4:52">
      <c r="N20" s="36"/>
      <c r="P20" s="36"/>
      <c r="R20" s="36"/>
      <c r="T20" s="36"/>
      <c r="V20" s="36"/>
      <c r="X20" s="36"/>
      <c r="Z20" s="36"/>
      <c r="AB20" s="36"/>
      <c r="AD20" s="36"/>
      <c r="AF20" s="36"/>
      <c r="AH20" s="36"/>
    </row>
    <row r="70" ht="14.1" customHeight="1"/>
  </sheetData>
  <autoFilter ref="D12:G13" xr:uid="{62B40B52-27DB-4493-A988-8608893F478F}"/>
  <mergeCells count="33">
    <mergeCell ref="AT11:AU12"/>
    <mergeCell ref="Z12:AA12"/>
    <mergeCell ref="N12:O12"/>
    <mergeCell ref="AV11:AW12"/>
    <mergeCell ref="AN11:AO12"/>
    <mergeCell ref="AP11:AQ12"/>
    <mergeCell ref="AR11:AS12"/>
    <mergeCell ref="AD11:AI11"/>
    <mergeCell ref="AD12:AE12"/>
    <mergeCell ref="AF12:AG12"/>
    <mergeCell ref="AH12:AI12"/>
    <mergeCell ref="AJ11:AM11"/>
    <mergeCell ref="R12:S12"/>
    <mergeCell ref="T12:U12"/>
    <mergeCell ref="AJ12:AK12"/>
    <mergeCell ref="AL12:AM12"/>
    <mergeCell ref="D12:D13"/>
    <mergeCell ref="E12:E13"/>
    <mergeCell ref="J12:K12"/>
    <mergeCell ref="L12:M12"/>
    <mergeCell ref="AB12:AC12"/>
    <mergeCell ref="P12:Q12"/>
    <mergeCell ref="X12:Y12"/>
    <mergeCell ref="X11:AC11"/>
    <mergeCell ref="F12:F13"/>
    <mergeCell ref="G12:G13"/>
    <mergeCell ref="V12:W12"/>
    <mergeCell ref="H12:I12"/>
    <mergeCell ref="D4:J7"/>
    <mergeCell ref="H11:S11"/>
    <mergeCell ref="D11:G11"/>
    <mergeCell ref="T11:W11"/>
    <mergeCell ref="D3:J3"/>
  </mergeCells>
  <phoneticPr fontId="8" type="noConversion"/>
  <conditionalFormatting sqref="H14:H1048576 L14:L1048576 AD14:AD18 AF14:AF18 P14:P17 R14:R17 T14:T17 V14:V17 X14:X17 Z14:Z17 AB14:AB17 J14:J1048576">
    <cfRule type="cellIs" dxfId="144" priority="254" operator="equal">
      <formula>"Low"</formula>
    </cfRule>
    <cfRule type="containsText" dxfId="143" priority="255" operator="containsText" text="Medium">
      <formula>NOT(ISERROR(SEARCH("Medium",H14)))</formula>
    </cfRule>
    <cfRule type="containsText" dxfId="142" priority="256" operator="containsText" text="High">
      <formula>NOT(ISERROR(SEARCH("High",H14)))</formula>
    </cfRule>
  </conditionalFormatting>
  <conditionalFormatting sqref="H14:H1048576 L14:L1048576 AD14:AD18 AF14:AF18 P14:P17 R14:R17 T14:T17 V14:V17 X14:X17 Z14:Z17 AB14:AB17 J14:J1048576">
    <cfRule type="cellIs" dxfId="141" priority="211" operator="equal">
      <formula>"No data"</formula>
    </cfRule>
  </conditionalFormatting>
  <conditionalFormatting sqref="AL14:AL1048576 AJ15:AJ18">
    <cfRule type="cellIs" dxfId="140" priority="203" operator="equal">
      <formula>"No"</formula>
    </cfRule>
    <cfRule type="cellIs" dxfId="139" priority="204" operator="equal">
      <formula>"Yes"</formula>
    </cfRule>
  </conditionalFormatting>
  <conditionalFormatting sqref="AJ14">
    <cfRule type="cellIs" dxfId="138" priority="151" operator="equal">
      <formula>"No"</formula>
    </cfRule>
    <cfRule type="cellIs" dxfId="137" priority="152" operator="equal">
      <formula>"Yes"</formula>
    </cfRule>
  </conditionalFormatting>
  <conditionalFormatting sqref="N19">
    <cfRule type="cellIs" dxfId="136" priority="122" operator="equal">
      <formula>"Low"</formula>
    </cfRule>
    <cfRule type="containsText" dxfId="135" priority="123" operator="containsText" text="Medium">
      <formula>NOT(ISERROR(SEARCH("Medium",N19)))</formula>
    </cfRule>
    <cfRule type="containsText" dxfId="134" priority="124" operator="containsText" text="High">
      <formula>NOT(ISERROR(SEARCH("High",N19)))</formula>
    </cfRule>
  </conditionalFormatting>
  <conditionalFormatting sqref="N19">
    <cfRule type="cellIs" dxfId="133" priority="121" operator="equal">
      <formula>"No data"</formula>
    </cfRule>
  </conditionalFormatting>
  <conditionalFormatting sqref="N20">
    <cfRule type="cellIs" dxfId="132" priority="118" operator="equal">
      <formula>"Low"</formula>
    </cfRule>
    <cfRule type="containsText" dxfId="131" priority="119" operator="containsText" text="Medium">
      <formula>NOT(ISERROR(SEARCH("Medium",N20)))</formula>
    </cfRule>
    <cfRule type="containsText" dxfId="130" priority="120" operator="containsText" text="High">
      <formula>NOT(ISERROR(SEARCH("High",N20)))</formula>
    </cfRule>
  </conditionalFormatting>
  <conditionalFormatting sqref="N20">
    <cfRule type="cellIs" dxfId="129" priority="117" operator="equal">
      <formula>"No data"</formula>
    </cfRule>
  </conditionalFormatting>
  <conditionalFormatting sqref="P18">
    <cfRule type="cellIs" dxfId="128" priority="110" operator="equal">
      <formula>"Low"</formula>
    </cfRule>
    <cfRule type="containsText" dxfId="127" priority="111" operator="containsText" text="Medium">
      <formula>NOT(ISERROR(SEARCH("Medium",P18)))</formula>
    </cfRule>
    <cfRule type="containsText" dxfId="126" priority="112" operator="containsText" text="High">
      <formula>NOT(ISERROR(SEARCH("High",P18)))</formula>
    </cfRule>
  </conditionalFormatting>
  <conditionalFormatting sqref="P18">
    <cfRule type="cellIs" dxfId="125" priority="109" operator="equal">
      <formula>"No data"</formula>
    </cfRule>
  </conditionalFormatting>
  <conditionalFormatting sqref="P19">
    <cfRule type="cellIs" dxfId="124" priority="106" operator="equal">
      <formula>"Low"</formula>
    </cfRule>
    <cfRule type="containsText" dxfId="123" priority="107" operator="containsText" text="Medium">
      <formula>NOT(ISERROR(SEARCH("Medium",P19)))</formula>
    </cfRule>
    <cfRule type="containsText" dxfId="122" priority="108" operator="containsText" text="High">
      <formula>NOT(ISERROR(SEARCH("High",P19)))</formula>
    </cfRule>
  </conditionalFormatting>
  <conditionalFormatting sqref="P19">
    <cfRule type="cellIs" dxfId="121" priority="105" operator="equal">
      <formula>"No data"</formula>
    </cfRule>
  </conditionalFormatting>
  <conditionalFormatting sqref="P20">
    <cfRule type="cellIs" dxfId="120" priority="102" operator="equal">
      <formula>"Low"</formula>
    </cfRule>
    <cfRule type="containsText" dxfId="119" priority="103" operator="containsText" text="Medium">
      <formula>NOT(ISERROR(SEARCH("Medium",P20)))</formula>
    </cfRule>
    <cfRule type="containsText" dxfId="118" priority="104" operator="containsText" text="High">
      <formula>NOT(ISERROR(SEARCH("High",P20)))</formula>
    </cfRule>
  </conditionalFormatting>
  <conditionalFormatting sqref="P20">
    <cfRule type="cellIs" dxfId="117" priority="101" operator="equal">
      <formula>"No data"</formula>
    </cfRule>
  </conditionalFormatting>
  <conditionalFormatting sqref="R18">
    <cfRule type="cellIs" dxfId="116" priority="98" operator="equal">
      <formula>"Low"</formula>
    </cfRule>
    <cfRule type="containsText" dxfId="115" priority="99" operator="containsText" text="Medium">
      <formula>NOT(ISERROR(SEARCH("Medium",R18)))</formula>
    </cfRule>
    <cfRule type="containsText" dxfId="114" priority="100" operator="containsText" text="High">
      <formula>NOT(ISERROR(SEARCH("High",R18)))</formula>
    </cfRule>
  </conditionalFormatting>
  <conditionalFormatting sqref="R18">
    <cfRule type="cellIs" dxfId="113" priority="97" operator="equal">
      <formula>"No data"</formula>
    </cfRule>
  </conditionalFormatting>
  <conditionalFormatting sqref="R19">
    <cfRule type="cellIs" dxfId="112" priority="94" operator="equal">
      <formula>"Low"</formula>
    </cfRule>
    <cfRule type="containsText" dxfId="111" priority="95" operator="containsText" text="Medium">
      <formula>NOT(ISERROR(SEARCH("Medium",R19)))</formula>
    </cfRule>
    <cfRule type="containsText" dxfId="110" priority="96" operator="containsText" text="High">
      <formula>NOT(ISERROR(SEARCH("High",R19)))</formula>
    </cfRule>
  </conditionalFormatting>
  <conditionalFormatting sqref="R19">
    <cfRule type="cellIs" dxfId="109" priority="93" operator="equal">
      <formula>"No data"</formula>
    </cfRule>
  </conditionalFormatting>
  <conditionalFormatting sqref="R20">
    <cfRule type="cellIs" dxfId="108" priority="90" operator="equal">
      <formula>"Low"</formula>
    </cfRule>
    <cfRule type="containsText" dxfId="107" priority="91" operator="containsText" text="Medium">
      <formula>NOT(ISERROR(SEARCH("Medium",R20)))</formula>
    </cfRule>
    <cfRule type="containsText" dxfId="106" priority="92" operator="containsText" text="High">
      <formula>NOT(ISERROR(SEARCH("High",R20)))</formula>
    </cfRule>
  </conditionalFormatting>
  <conditionalFormatting sqref="R20">
    <cfRule type="cellIs" dxfId="105" priority="89" operator="equal">
      <formula>"No data"</formula>
    </cfRule>
  </conditionalFormatting>
  <conditionalFormatting sqref="T18">
    <cfRule type="cellIs" dxfId="104" priority="86" operator="equal">
      <formula>"Low"</formula>
    </cfRule>
    <cfRule type="containsText" dxfId="103" priority="87" operator="containsText" text="Medium">
      <formula>NOT(ISERROR(SEARCH("Medium",T18)))</formula>
    </cfRule>
    <cfRule type="containsText" dxfId="102" priority="88" operator="containsText" text="High">
      <formula>NOT(ISERROR(SEARCH("High",T18)))</formula>
    </cfRule>
  </conditionalFormatting>
  <conditionalFormatting sqref="T18">
    <cfRule type="cellIs" dxfId="101" priority="85" operator="equal">
      <formula>"No data"</formula>
    </cfRule>
  </conditionalFormatting>
  <conditionalFormatting sqref="T19">
    <cfRule type="cellIs" dxfId="100" priority="82" operator="equal">
      <formula>"Low"</formula>
    </cfRule>
    <cfRule type="containsText" dxfId="99" priority="83" operator="containsText" text="Medium">
      <formula>NOT(ISERROR(SEARCH("Medium",T19)))</formula>
    </cfRule>
    <cfRule type="containsText" dxfId="98" priority="84" operator="containsText" text="High">
      <formula>NOT(ISERROR(SEARCH("High",T19)))</formula>
    </cfRule>
  </conditionalFormatting>
  <conditionalFormatting sqref="T19">
    <cfRule type="cellIs" dxfId="97" priority="81" operator="equal">
      <formula>"No data"</formula>
    </cfRule>
  </conditionalFormatting>
  <conditionalFormatting sqref="T20">
    <cfRule type="cellIs" dxfId="96" priority="78" operator="equal">
      <formula>"Low"</formula>
    </cfRule>
    <cfRule type="containsText" dxfId="95" priority="79" operator="containsText" text="Medium">
      <formula>NOT(ISERROR(SEARCH("Medium",T20)))</formula>
    </cfRule>
    <cfRule type="containsText" dxfId="94" priority="80" operator="containsText" text="High">
      <formula>NOT(ISERROR(SEARCH("High",T20)))</formula>
    </cfRule>
  </conditionalFormatting>
  <conditionalFormatting sqref="T20">
    <cfRule type="cellIs" dxfId="93" priority="77" operator="equal">
      <formula>"No data"</formula>
    </cfRule>
  </conditionalFormatting>
  <conditionalFormatting sqref="V18">
    <cfRule type="cellIs" dxfId="92" priority="74" operator="equal">
      <formula>"Low"</formula>
    </cfRule>
    <cfRule type="containsText" dxfId="91" priority="75" operator="containsText" text="Medium">
      <formula>NOT(ISERROR(SEARCH("Medium",V18)))</formula>
    </cfRule>
    <cfRule type="containsText" dxfId="90" priority="76" operator="containsText" text="High">
      <formula>NOT(ISERROR(SEARCH("High",V18)))</formula>
    </cfRule>
  </conditionalFormatting>
  <conditionalFormatting sqref="V18">
    <cfRule type="cellIs" dxfId="89" priority="73" operator="equal">
      <formula>"No data"</formula>
    </cfRule>
  </conditionalFormatting>
  <conditionalFormatting sqref="V19">
    <cfRule type="cellIs" dxfId="88" priority="70" operator="equal">
      <formula>"Low"</formula>
    </cfRule>
    <cfRule type="containsText" dxfId="87" priority="71" operator="containsText" text="Medium">
      <formula>NOT(ISERROR(SEARCH("Medium",V19)))</formula>
    </cfRule>
    <cfRule type="containsText" dxfId="86" priority="72" operator="containsText" text="High">
      <formula>NOT(ISERROR(SEARCH("High",V19)))</formula>
    </cfRule>
  </conditionalFormatting>
  <conditionalFormatting sqref="V19">
    <cfRule type="cellIs" dxfId="85" priority="69" operator="equal">
      <formula>"No data"</formula>
    </cfRule>
  </conditionalFormatting>
  <conditionalFormatting sqref="V20">
    <cfRule type="cellIs" dxfId="84" priority="66" operator="equal">
      <formula>"Low"</formula>
    </cfRule>
    <cfRule type="containsText" dxfId="83" priority="67" operator="containsText" text="Medium">
      <formula>NOT(ISERROR(SEARCH("Medium",V20)))</formula>
    </cfRule>
    <cfRule type="containsText" dxfId="82" priority="68" operator="containsText" text="High">
      <formula>NOT(ISERROR(SEARCH("High",V20)))</formula>
    </cfRule>
  </conditionalFormatting>
  <conditionalFormatting sqref="V20">
    <cfRule type="cellIs" dxfId="81" priority="65" operator="equal">
      <formula>"No data"</formula>
    </cfRule>
  </conditionalFormatting>
  <conditionalFormatting sqref="X18">
    <cfRule type="cellIs" dxfId="80" priority="62" operator="equal">
      <formula>"Low"</formula>
    </cfRule>
    <cfRule type="containsText" dxfId="79" priority="63" operator="containsText" text="Medium">
      <formula>NOT(ISERROR(SEARCH("Medium",X18)))</formula>
    </cfRule>
    <cfRule type="containsText" dxfId="78" priority="64" operator="containsText" text="High">
      <formula>NOT(ISERROR(SEARCH("High",X18)))</formula>
    </cfRule>
  </conditionalFormatting>
  <conditionalFormatting sqref="X18">
    <cfRule type="cellIs" dxfId="77" priority="61" operator="equal">
      <formula>"No data"</formula>
    </cfRule>
  </conditionalFormatting>
  <conditionalFormatting sqref="X19">
    <cfRule type="cellIs" dxfId="76" priority="58" operator="equal">
      <formula>"Low"</formula>
    </cfRule>
    <cfRule type="containsText" dxfId="75" priority="59" operator="containsText" text="Medium">
      <formula>NOT(ISERROR(SEARCH("Medium",X19)))</formula>
    </cfRule>
    <cfRule type="containsText" dxfId="74" priority="60" operator="containsText" text="High">
      <formula>NOT(ISERROR(SEARCH("High",X19)))</formula>
    </cfRule>
  </conditionalFormatting>
  <conditionalFormatting sqref="X19">
    <cfRule type="cellIs" dxfId="73" priority="57" operator="equal">
      <formula>"No data"</formula>
    </cfRule>
  </conditionalFormatting>
  <conditionalFormatting sqref="X20">
    <cfRule type="cellIs" dxfId="72" priority="54" operator="equal">
      <formula>"Low"</formula>
    </cfRule>
    <cfRule type="containsText" dxfId="71" priority="55" operator="containsText" text="Medium">
      <formula>NOT(ISERROR(SEARCH("Medium",X20)))</formula>
    </cfRule>
    <cfRule type="containsText" dxfId="70" priority="56" operator="containsText" text="High">
      <formula>NOT(ISERROR(SEARCH("High",X20)))</formula>
    </cfRule>
  </conditionalFormatting>
  <conditionalFormatting sqref="X20">
    <cfRule type="cellIs" dxfId="69" priority="53" operator="equal">
      <formula>"No data"</formula>
    </cfRule>
  </conditionalFormatting>
  <conditionalFormatting sqref="Z18">
    <cfRule type="cellIs" dxfId="68" priority="50" operator="equal">
      <formula>"Low"</formula>
    </cfRule>
    <cfRule type="containsText" dxfId="67" priority="51" operator="containsText" text="Medium">
      <formula>NOT(ISERROR(SEARCH("Medium",Z18)))</formula>
    </cfRule>
    <cfRule type="containsText" dxfId="66" priority="52" operator="containsText" text="High">
      <formula>NOT(ISERROR(SEARCH("High",Z18)))</formula>
    </cfRule>
  </conditionalFormatting>
  <conditionalFormatting sqref="Z18">
    <cfRule type="cellIs" dxfId="65" priority="49" operator="equal">
      <formula>"No data"</formula>
    </cfRule>
  </conditionalFormatting>
  <conditionalFormatting sqref="Z19">
    <cfRule type="cellIs" dxfId="64" priority="46" operator="equal">
      <formula>"Low"</formula>
    </cfRule>
    <cfRule type="containsText" dxfId="63" priority="47" operator="containsText" text="Medium">
      <formula>NOT(ISERROR(SEARCH("Medium",Z19)))</formula>
    </cfRule>
    <cfRule type="containsText" dxfId="62" priority="48" operator="containsText" text="High">
      <formula>NOT(ISERROR(SEARCH("High",Z19)))</formula>
    </cfRule>
  </conditionalFormatting>
  <conditionalFormatting sqref="Z19">
    <cfRule type="cellIs" dxfId="61" priority="45" operator="equal">
      <formula>"No data"</formula>
    </cfRule>
  </conditionalFormatting>
  <conditionalFormatting sqref="Z20">
    <cfRule type="cellIs" dxfId="60" priority="42" operator="equal">
      <formula>"Low"</formula>
    </cfRule>
    <cfRule type="containsText" dxfId="59" priority="43" operator="containsText" text="Medium">
      <formula>NOT(ISERROR(SEARCH("Medium",Z20)))</formula>
    </cfRule>
    <cfRule type="containsText" dxfId="58" priority="44" operator="containsText" text="High">
      <formula>NOT(ISERROR(SEARCH("High",Z20)))</formula>
    </cfRule>
  </conditionalFormatting>
  <conditionalFormatting sqref="Z20">
    <cfRule type="cellIs" dxfId="57" priority="41" operator="equal">
      <formula>"No data"</formula>
    </cfRule>
  </conditionalFormatting>
  <conditionalFormatting sqref="AB18">
    <cfRule type="cellIs" dxfId="56" priority="38" operator="equal">
      <formula>"Low"</formula>
    </cfRule>
    <cfRule type="containsText" dxfId="55" priority="39" operator="containsText" text="Medium">
      <formula>NOT(ISERROR(SEARCH("Medium",AB18)))</formula>
    </cfRule>
    <cfRule type="containsText" dxfId="54" priority="40" operator="containsText" text="High">
      <formula>NOT(ISERROR(SEARCH("High",AB18)))</formula>
    </cfRule>
  </conditionalFormatting>
  <conditionalFormatting sqref="AB18">
    <cfRule type="cellIs" dxfId="53" priority="37" operator="equal">
      <formula>"No data"</formula>
    </cfRule>
  </conditionalFormatting>
  <conditionalFormatting sqref="AB19">
    <cfRule type="cellIs" dxfId="52" priority="34" operator="equal">
      <formula>"Low"</formula>
    </cfRule>
    <cfRule type="containsText" dxfId="51" priority="35" operator="containsText" text="Medium">
      <formula>NOT(ISERROR(SEARCH("Medium",AB19)))</formula>
    </cfRule>
    <cfRule type="containsText" dxfId="50" priority="36" operator="containsText" text="High">
      <formula>NOT(ISERROR(SEARCH("High",AB19)))</formula>
    </cfRule>
  </conditionalFormatting>
  <conditionalFormatting sqref="AB19">
    <cfRule type="cellIs" dxfId="49" priority="33" operator="equal">
      <formula>"No data"</formula>
    </cfRule>
  </conditionalFormatting>
  <conditionalFormatting sqref="AB20">
    <cfRule type="cellIs" dxfId="48" priority="30" operator="equal">
      <formula>"Low"</formula>
    </cfRule>
    <cfRule type="containsText" dxfId="47" priority="31" operator="containsText" text="Medium">
      <formula>NOT(ISERROR(SEARCH("Medium",AB20)))</formula>
    </cfRule>
    <cfRule type="containsText" dxfId="46" priority="32" operator="containsText" text="High">
      <formula>NOT(ISERROR(SEARCH("High",AB20)))</formula>
    </cfRule>
  </conditionalFormatting>
  <conditionalFormatting sqref="AB20">
    <cfRule type="cellIs" dxfId="45" priority="29" operator="equal">
      <formula>"No data"</formula>
    </cfRule>
  </conditionalFormatting>
  <conditionalFormatting sqref="AD19">
    <cfRule type="cellIs" dxfId="44" priority="26" operator="equal">
      <formula>"Low"</formula>
    </cfRule>
    <cfRule type="containsText" dxfId="43" priority="27" operator="containsText" text="Medium">
      <formula>NOT(ISERROR(SEARCH("Medium",AD19)))</formula>
    </cfRule>
    <cfRule type="containsText" dxfId="42" priority="28" operator="containsText" text="High">
      <formula>NOT(ISERROR(SEARCH("High",AD19)))</formula>
    </cfRule>
  </conditionalFormatting>
  <conditionalFormatting sqref="AD19">
    <cfRule type="cellIs" dxfId="41" priority="25" operator="equal">
      <formula>"No data"</formula>
    </cfRule>
  </conditionalFormatting>
  <conditionalFormatting sqref="AD20">
    <cfRule type="cellIs" dxfId="40" priority="22" operator="equal">
      <formula>"Low"</formula>
    </cfRule>
    <cfRule type="containsText" dxfId="39" priority="23" operator="containsText" text="Medium">
      <formula>NOT(ISERROR(SEARCH("Medium",AD20)))</formula>
    </cfRule>
    <cfRule type="containsText" dxfId="38" priority="24" operator="containsText" text="High">
      <formula>NOT(ISERROR(SEARCH("High",AD20)))</formula>
    </cfRule>
  </conditionalFormatting>
  <conditionalFormatting sqref="AD20">
    <cfRule type="cellIs" dxfId="37" priority="21" operator="equal">
      <formula>"No data"</formula>
    </cfRule>
  </conditionalFormatting>
  <conditionalFormatting sqref="AF19">
    <cfRule type="cellIs" dxfId="36" priority="18" operator="equal">
      <formula>"Low"</formula>
    </cfRule>
    <cfRule type="containsText" dxfId="35" priority="19" operator="containsText" text="Medium">
      <formula>NOT(ISERROR(SEARCH("Medium",AF19)))</formula>
    </cfRule>
    <cfRule type="containsText" dxfId="34" priority="20" operator="containsText" text="High">
      <formula>NOT(ISERROR(SEARCH("High",AF19)))</formula>
    </cfRule>
  </conditionalFormatting>
  <conditionalFormatting sqref="AF19">
    <cfRule type="cellIs" dxfId="33" priority="17" operator="equal">
      <formula>"No data"</formula>
    </cfRule>
  </conditionalFormatting>
  <conditionalFormatting sqref="AF20">
    <cfRule type="cellIs" dxfId="32" priority="14" operator="equal">
      <formula>"Low"</formula>
    </cfRule>
    <cfRule type="containsText" dxfId="31" priority="15" operator="containsText" text="Medium">
      <formula>NOT(ISERROR(SEARCH("Medium",AF20)))</formula>
    </cfRule>
    <cfRule type="containsText" dxfId="30" priority="16" operator="containsText" text="High">
      <formula>NOT(ISERROR(SEARCH("High",AF20)))</formula>
    </cfRule>
  </conditionalFormatting>
  <conditionalFormatting sqref="AF20">
    <cfRule type="cellIs" dxfId="29" priority="13" operator="equal">
      <formula>"No data"</formula>
    </cfRule>
  </conditionalFormatting>
  <conditionalFormatting sqref="AH19">
    <cfRule type="cellIs" dxfId="28" priority="10" operator="equal">
      <formula>"Low"</formula>
    </cfRule>
    <cfRule type="containsText" dxfId="27" priority="11" operator="containsText" text="Medium">
      <formula>NOT(ISERROR(SEARCH("Medium",AH19)))</formula>
    </cfRule>
    <cfRule type="containsText" dxfId="26" priority="12" operator="containsText" text="High">
      <formula>NOT(ISERROR(SEARCH("High",AH19)))</formula>
    </cfRule>
  </conditionalFormatting>
  <conditionalFormatting sqref="AH19">
    <cfRule type="cellIs" dxfId="25" priority="9" operator="equal">
      <formula>"No data"</formula>
    </cfRule>
  </conditionalFormatting>
  <conditionalFormatting sqref="AH20">
    <cfRule type="cellIs" dxfId="24" priority="6" operator="equal">
      <formula>"Low"</formula>
    </cfRule>
    <cfRule type="containsText" dxfId="23" priority="7" operator="containsText" text="Medium">
      <formula>NOT(ISERROR(SEARCH("Medium",AH20)))</formula>
    </cfRule>
    <cfRule type="containsText" dxfId="22" priority="8" operator="containsText" text="High">
      <formula>NOT(ISERROR(SEARCH("High",AH20)))</formula>
    </cfRule>
  </conditionalFormatting>
  <conditionalFormatting sqref="AH20">
    <cfRule type="cellIs" dxfId="21" priority="5" operator="equal">
      <formula>"No data"</formula>
    </cfRule>
  </conditionalFormatting>
  <conditionalFormatting sqref="N14:N18">
    <cfRule type="cellIs" dxfId="20" priority="3" operator="equal">
      <formula>"No"</formula>
    </cfRule>
    <cfRule type="cellIs" dxfId="19" priority="4" operator="equal">
      <formula>"Yes"</formula>
    </cfRule>
  </conditionalFormatting>
  <conditionalFormatting sqref="AH14:AH18">
    <cfRule type="cellIs" dxfId="18" priority="1" operator="equal">
      <formula>"No"</formula>
    </cfRule>
    <cfRule type="cellIs" dxfId="17" priority="2" operator="equal">
      <formula>"Yes"</formula>
    </cfRule>
  </conditionalFormatting>
  <dataValidations count="4">
    <dataValidation type="list" allowBlank="1" showInputMessage="1" showErrorMessage="1" sqref="L14:L1048576 N19:N20 H14:H1048576 AF14:AF20 R14:R20 Z14:Z20 T14:T20 X14:X20 AB14:AB20 J14:J1048576 AD14:AD20 P14:P20 V14:V20 AH19:AH20" xr:uid="{949E4F6F-8362-48E9-9FD9-29CF939177B7}">
      <formula1>"High, Medium, Low, No data"</formula1>
    </dataValidation>
    <dataValidation type="list" allowBlank="1" showInputMessage="1" showErrorMessage="1" sqref="AL14:AL1048576 AJ14:AJ1048576 N14:N18 AH14:AH18" xr:uid="{B4A919EE-5FA2-427B-BDD5-45C511207D7C}">
      <formula1>"Yes, No"</formula1>
    </dataValidation>
    <dataValidation type="list" allowBlank="1" showInputMessage="1" showErrorMessage="1" sqref="E14:E1048576" xr:uid="{751971A4-B7CF-443D-99BF-5B1926B8124C}">
      <formula1>"Tier 1, Tier 2, Tier 3"</formula1>
    </dataValidation>
    <dataValidation type="list" allowBlank="1" showInputMessage="1" showErrorMessage="1" sqref="N21:N1048576 P21:P1048576 R21:R1048576 T21:T1048576 V21:V1048576 X21:X1048576 Z21:Z1048576 AB21:AB1048576 AD21:AD1048576 AF21:AF1048576 AH21:AH1048576" xr:uid="{FE23FB7F-16CE-4779-903F-92058854E33F}">
      <formula1>"High, Medium, Low"</formula1>
    </dataValidation>
  </dataValidations>
  <hyperlinks>
    <hyperlink ref="D14" r:id="rId1" xr:uid="{1B8C2DE3-9B61-4189-878C-BC8B9F06EA89}"/>
    <hyperlink ref="I14" r:id="rId2" xr:uid="{B0906E5A-26DB-42B6-9E07-78B5FB901E89}"/>
    <hyperlink ref="AM16" r:id="rId3" display="Banrural has an explicit and public system on ethics and transparency, including policies, codes of conduct, and relevant information." xr:uid="{D4AB080C-9F34-4AA0-84C0-6F80D115EE40}"/>
    <hyperlink ref="AM14" r:id="rId4" xr:uid="{95A9190C-6656-4772-B435-BDF6EFEC3A7E}"/>
    <hyperlink ref="D15" r:id="rId5" xr:uid="{DF4F3DA2-81CA-4448-888E-AFFACBE1C8ED}"/>
    <hyperlink ref="D16" r:id="rId6" xr:uid="{9815F8E3-8A7E-4CBA-A738-5F224D19C7FF}"/>
    <hyperlink ref="AK16" r:id="rId7" display="Banrural presents a history of fraud investigations involving employees and managers (2013, 2016, 2024). There have also been media coverage on money laundering related scandals." xr:uid="{7080B487-CD23-4A8B-9DAD-486D3A0B51B8}"/>
    <hyperlink ref="W14" r:id="rId8" xr:uid="{AE47F8A7-E8BC-4952-B4B6-9404C3B99EBC}"/>
    <hyperlink ref="AC14" r:id="rId9" xr:uid="{9E1A1F51-78DD-4D78-B870-0E41B5788C9B}"/>
    <hyperlink ref="Y14" r:id="rId10" xr:uid="{8C7EA017-1D7B-4087-A03F-396B4A83A798}"/>
    <hyperlink ref="AA14" r:id="rId11" location=":~:text=CRDB%20has%20been%20supporting%20various,intermediaries%20to%20widen%20its%20reach." display="Even though the date is not completely evident, its clear that CRDB has been supporting SMEs since before 2008" xr:uid="{C27D752B-A723-4AA8-A081-F54F93BA2A8F}"/>
    <hyperlink ref="M14" r:id="rId12" display="CRDB's CEO has publicly emphasized the strategic importance of SME finance within the bank's strategy in their letter to shareholders. Also, the Director of Retail Banking and the Director of Treasury and Capital Markets mention the importance of SME segments within their units" xr:uid="{B89B59B4-EBE7-4A70-9254-C7E987D0608C}"/>
    <hyperlink ref="W16" r:id="rId13" display="Banrural has collaborated with international cooperation actors, such as UNHCR. However, this seems to be the most significant engagement with TA funders" xr:uid="{37A6E03F-51C2-47EB-B454-805D6CD6B2CC}"/>
    <hyperlink ref="M16" r:id="rId14" display="Banco Promerica El Salvador has demonstrated commitment to SMEs and financial inclusion through  SME banking initiatives and related recognitions. However, there is limited public information on how its leadership supports this" xr:uid="{D627C864-CE88-4AF3-B0E6-402A51E32E55}"/>
    <hyperlink ref="S16" r:id="rId15" display="Azania is  aligned on gender, as both its internal coorporate sustainability strategies and external offerings target women. The bank launched Mwanamke Hodari (“Strong Woman”)—a tailored banking account for modern women entrepreneurs. However, the bank shows minimal alignment on climate, as there is no notable green finance program" xr:uid="{ECC5E6E6-123D-45F9-9C28-CC7E4EB39EE4}"/>
    <hyperlink ref="I15" r:id="rId16" location=":~:text=Stanbic%20Bank%20Tanzania%20was%20one,commitment%20to%20fostering%20economic" display="MSME banking is defined as a priority focus area both on Stanbic's website and is reported on its Annual Report" xr:uid="{3E379450-F939-4F7A-9174-4C7E8AD38F04}"/>
    <hyperlink ref="AM15" r:id="rId17" xr:uid="{830DB45E-EB74-47CF-BDFF-98EE7BE0CF2F}"/>
    <hyperlink ref="AK15" r:id="rId18" xr:uid="{599B8D39-BAD9-4752-A152-C2568F1CB2F2}"/>
    <hyperlink ref="W15" r:id="rId19" display="Stanbic has worked with international development actors, such as the ALCB Fund. However, these engagements seem updated or more relevant in other countries of operation (e.g., Zambia)" xr:uid="{0C04FF77-3DCF-4839-B22D-2FBA5EACBCA5}"/>
    <hyperlink ref="M15" r:id="rId20" location=":~:text=Stanbic%20Bank%20Tanzania%20is%20part,Africa%E2%80%99s%20largest%20bank%20by%20assets" xr:uid="{9C6C0644-04AC-43E2-892E-B4399A4C95C4}"/>
    <hyperlink ref="Q15" r:id="rId21" location=":~:text=Stanbic%20Bank%20Tanzania%20was%20one,commitment%20to%20fostering%20economic" xr:uid="{2815F706-C994-407C-9EA3-4447A605D801}"/>
    <hyperlink ref="S15" r:id="rId22" display="Stanbic Bank Tanzania actively advances efforts to strengthen women-led bussinesses. It also has efforts promoting healthcare results and energy infrastructure. It's not clear it the Bank tracks or measures these results" xr:uid="{560058D3-7789-4697-B4BF-1E6BFA12C21C}"/>
    <hyperlink ref="Y15" r:id="rId23" display="Provides a range of SME-focused products, such as working capital loans, insights for businesses, SME trader accounts, and business support programs, designed to meet the specific needs of SMEs" xr:uid="{AF44E415-D67A-4370-9811-88B1D086C769}"/>
    <hyperlink ref="Q14" r:id="rId24" xr:uid="{4601D4E2-0A23-459D-B73B-ABEBA2D5C61F}"/>
    <hyperlink ref="K14" r:id="rId25" xr:uid="{5F7752CA-1BA2-4C9C-933D-FDA5E83182D5}"/>
    <hyperlink ref="S14" r:id="rId26" xr:uid="{78087B1C-3501-442D-AB0D-87CA372F2453}"/>
    <hyperlink ref="U14" r:id="rId27" xr:uid="{AD6A0497-DEFC-4945-A1BB-BF05E60049D4}"/>
    <hyperlink ref="K15" r:id="rId28" location=":~:text=Stanbic%20Bank%20Tanzania%20was%20one,commitment%20to%20fostering%20economic" xr:uid="{B957F065-B5E3-4345-B7C1-556C3AC7610A}"/>
    <hyperlink ref="AC15" r:id="rId29" location=":~:text=The%20bond%20issuance%20marks%20a,drive%20job%20creation%20and%20innovation" xr:uid="{B87999CF-8E5D-4C6E-83FB-EC7006A89C1F}"/>
    <hyperlink ref="Q16" r:id="rId30" xr:uid="{3CF52B5A-4BCD-4C77-B515-CB1257555429}"/>
    <hyperlink ref="AC16" r:id="rId31" xr:uid="{E3D71C83-15C1-499C-B34A-8009B3BBACFC}"/>
    <hyperlink ref="D17" r:id="rId32" xr:uid="{AA3BF26D-2618-4B33-9CDB-3314DC365D64}"/>
    <hyperlink ref="I17" r:id="rId33" xr:uid="{B49B36C2-134D-471A-84B2-52C21D77E77B}"/>
    <hyperlink ref="AK17" r:id="rId34" location=":~:text=I%26M%20Bank%20was%20slapped%20with,145%20million%20shillings" xr:uid="{5126370E-076F-4B6D-98C4-C989B9650E4E}"/>
    <hyperlink ref="AM17" r:id="rId35" xr:uid="{49C02C93-60F6-44F4-831F-07D886202D1A}"/>
    <hyperlink ref="M17" r:id="rId36" xr:uid="{D5D6C4EF-4C01-4CA5-B97F-0F9A221C899B}"/>
    <hyperlink ref="Q17" r:id="rId37" xr:uid="{A1567C2E-A908-409C-9F92-26F3A8B480B4}"/>
    <hyperlink ref="W17" r:id="rId38" location=":~:text=What%20is%20the%20Environmental%20and,Social%20categorization%20rationale" xr:uid="{4BAE1B4F-C4AE-4BD6-9484-6B43DB5CB730}"/>
    <hyperlink ref="Y17" r:id="rId39" display="I&amp;M offers tailored solutions to SMEs. For example, it recently launched “Ni Bure Kabisa” campaign, offering free bank-to-mobile transfers for SME accounts to reduce costs for small businesses. It offers business loans, asset financing, trade services, and is enhancing digital banking for SMEs" xr:uid="{E1E0B186-0456-4FBF-B764-FD378CC1010C}"/>
    <hyperlink ref="D18" r:id="rId40" xr:uid="{2F2A56A3-D2D0-409B-9724-CAE2A1294CCD}"/>
    <hyperlink ref="I18" r:id="rId41" xr:uid="{8D6911CD-A7DD-4E1F-B4E0-44FAC18641C3}"/>
    <hyperlink ref="K18" r:id="rId42" xr:uid="{AB991291-049F-49F9-9327-9FB2D177C79C}"/>
    <hyperlink ref="M18" r:id="rId43" xr:uid="{AA8DF842-17BA-492A-9A62-545131CF5274}"/>
    <hyperlink ref="AM18" r:id="rId44" location=":~:text=We%20seek%20to%20attain%20high,beneficial%20relationships%20with%20our%20customers.&amp;text=We%20strive%20to%20attain%20and,honesty%2C%20fairness%2C%20and%20openness." xr:uid="{01D18D1E-3534-4604-9F0B-104628338ABC}"/>
    <hyperlink ref="Y18" r:id="rId45" xr:uid="{A9699940-F4B6-4E5C-990A-B1A43F795285}"/>
    <hyperlink ref="W18" r:id="rId46" xr:uid="{B6345FB0-5F3A-4C4A-BE87-0D04CCA6EEB9}"/>
    <hyperlink ref="O14" r:id="rId47" display="CRDB serves MSMEs but based on the 2024 annual report seems to do so through its retail banking, and treasury &amp; capital markets divisions (p.11 of the report). Would require further clarification with senior leadership to understand if there are plans to establish an SME banking unit." xr:uid="{0B004987-53DA-4BFC-A97F-DCB8C979CED7}"/>
    <hyperlink ref="O17" r:id="rId48" xr:uid="{0DCAAAF3-F1C6-4C64-B33F-62C66C11DB7B}"/>
    <hyperlink ref="O18" r:id="rId49" xr:uid="{1693619D-E139-4FA6-83BD-9A0DD3A77354}"/>
  </hyperlinks>
  <pageMargins left="0.7" right="0.7" top="0.75" bottom="0.75" header="0.3" footer="0.3"/>
  <pageSetup scale="10" orientation="portrait" r:id="rId50"/>
  <drawing r:id="rId51"/>
  <legacyDrawing r:id="rId52"/>
  <extLst>
    <ext xmlns:x14="http://schemas.microsoft.com/office/spreadsheetml/2009/9/main" uri="{CCE6A557-97BC-4b89-ADB6-D9C93CAAB3DF}">
      <x14:dataValidations xmlns:xm="http://schemas.microsoft.com/office/excel/2006/main" count="1">
        <x14:dataValidation type="list" allowBlank="1" showInputMessage="1" showErrorMessage="1" xr:uid="{6A1D5ED8-6F1D-448F-BFB4-11530630F8BC}">
          <x14:formula1>
            <xm:f>'Scoring logic &amp; methodology'!$T$9:$T$231</xm:f>
          </x14:formula1>
          <xm:sqref>F14:G1048576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0C29D-197F-4C2A-86D8-C4FF57FD7ACD}">
  <sheetPr>
    <tabColor theme="5" tint="0.79998168889431442"/>
    <pageSetUpPr fitToPage="1"/>
  </sheetPr>
  <dimension ref="B3:N41"/>
  <sheetViews>
    <sheetView zoomScale="39" workbookViewId="0"/>
  </sheetViews>
  <sheetFormatPr defaultColWidth="9.21875" defaultRowHeight="14.1"/>
  <cols>
    <col min="1" max="1" width="9.21875" style="1"/>
    <col min="2" max="2" width="31.5546875" style="1" customWidth="1"/>
    <col min="3" max="3" width="18.44140625" style="1" customWidth="1"/>
    <col min="4" max="4" width="32.88671875" style="1" customWidth="1"/>
    <col min="5" max="5" width="23.33203125" style="1" customWidth="1"/>
    <col min="6" max="6" width="32.5546875" style="1" customWidth="1"/>
    <col min="7" max="8" width="17.88671875" style="1" customWidth="1"/>
    <col min="9" max="9" width="14.109375" style="1" customWidth="1"/>
    <col min="10" max="10" width="16.109375" style="1" customWidth="1"/>
    <col min="11" max="11" width="49.44140625" style="1" customWidth="1"/>
    <col min="12" max="12" width="9.21875" style="1"/>
    <col min="13" max="13" width="11.88671875" style="1" bestFit="1" customWidth="1"/>
    <col min="14" max="16384" width="9.21875" style="1"/>
  </cols>
  <sheetData>
    <row r="3" spans="2:11" ht="15">
      <c r="B3" s="76"/>
      <c r="C3" s="76"/>
      <c r="D3" s="76"/>
      <c r="E3" s="76"/>
      <c r="F3" s="76"/>
      <c r="G3" s="161"/>
      <c r="H3" s="161"/>
      <c r="I3" s="161"/>
      <c r="J3" s="76"/>
      <c r="K3" s="162"/>
    </row>
    <row r="4" spans="2:11" ht="15">
      <c r="B4" s="76"/>
      <c r="C4" s="76"/>
      <c r="D4" s="76"/>
      <c r="E4" s="76"/>
      <c r="F4" s="76"/>
      <c r="G4" s="161"/>
      <c r="H4" s="161"/>
      <c r="I4" s="161"/>
      <c r="J4" s="76"/>
      <c r="K4" s="162"/>
    </row>
    <row r="5" spans="2:11" ht="22.5">
      <c r="B5" s="265" t="s">
        <v>469</v>
      </c>
      <c r="C5" s="265"/>
      <c r="D5" s="265"/>
      <c r="E5" s="265"/>
      <c r="F5" s="265"/>
      <c r="G5" s="265"/>
      <c r="H5" s="265"/>
      <c r="I5" s="265"/>
      <c r="J5" s="265"/>
      <c r="K5" s="265"/>
    </row>
    <row r="6" spans="2:11" ht="15">
      <c r="B6" s="76"/>
      <c r="C6" s="76"/>
      <c r="D6" s="76"/>
      <c r="E6" s="76"/>
      <c r="F6" s="76"/>
      <c r="G6" s="161"/>
      <c r="H6" s="161"/>
      <c r="I6" s="161"/>
      <c r="J6" s="76"/>
      <c r="K6" s="162"/>
    </row>
    <row r="7" spans="2:11" ht="15">
      <c r="B7" s="76"/>
      <c r="C7" s="76"/>
      <c r="D7" s="76"/>
      <c r="E7" s="76"/>
      <c r="F7" s="76"/>
      <c r="G7" s="161"/>
      <c r="H7" s="161"/>
      <c r="I7" s="161"/>
      <c r="J7" s="76"/>
      <c r="K7" s="162"/>
    </row>
    <row r="9" spans="2:11" ht="14.45" thickBot="1"/>
    <row r="10" spans="2:11" ht="44.45" customHeight="1">
      <c r="B10" s="262" t="s">
        <v>470</v>
      </c>
      <c r="C10" s="264"/>
      <c r="E10" s="266" t="s">
        <v>471</v>
      </c>
      <c r="F10" s="267"/>
      <c r="G10" s="166" t="s">
        <v>472</v>
      </c>
      <c r="I10" s="262" t="s">
        <v>473</v>
      </c>
      <c r="J10" s="263"/>
      <c r="K10" s="264"/>
    </row>
    <row r="11" spans="2:11" ht="22.5" customHeight="1">
      <c r="B11" s="119" t="s">
        <v>474</v>
      </c>
      <c r="C11" s="125">
        <f>COUNTIFS('Partner Screening Framework'!$AX$14:$AX$1048576,"&lt;&gt;")</f>
        <v>5</v>
      </c>
      <c r="E11" s="167">
        <v>1</v>
      </c>
      <c r="F11" s="114" t="str">
        <f>INDEX('Partner Screening Framework'!D:D,MATCH(E11,'Partner Screening Framework'!AZ:AZ,0))</f>
        <v>CRDB Bank</v>
      </c>
      <c r="G11" s="171" t="str">
        <f>INDEX('Partner Screening Framework'!AY:AY, MATCH(E11, 'Partner Screening Framework'!AZ:AZ, 0))</f>
        <v>High priority</v>
      </c>
      <c r="I11" s="50" t="s">
        <v>472</v>
      </c>
      <c r="J11" s="67" t="s">
        <v>475</v>
      </c>
      <c r="K11" s="51" t="s">
        <v>476</v>
      </c>
    </row>
    <row r="12" spans="2:11" ht="17.45">
      <c r="B12" s="119" t="s">
        <v>477</v>
      </c>
      <c r="C12" s="120">
        <f>AVERAGEIFS('Partner Screening Framework'!$AX$14:$AX$1048576,'Partner Screening Framework'!$AX$14:$AX$1048576,"&lt;&gt;")</f>
        <v>12.12</v>
      </c>
      <c r="E12" s="167">
        <v>2</v>
      </c>
      <c r="F12" s="114" t="str">
        <f>INDEX('Partner Screening Framework'!D:D,MATCH(E12,'Partner Screening Framework'!AZ:AZ,0))</f>
        <v>Bank of Africa (BOA) Tanzania</v>
      </c>
      <c r="G12" s="171" t="str">
        <f>INDEX('Partner Screening Framework'!AY:AY, MATCH(E12, 'Partner Screening Framework'!AZ:AZ, 0))</f>
        <v>Mid priority</v>
      </c>
      <c r="I12" s="63" t="str">
        <f>'Scoring logic &amp; methodology'!E60</f>
        <v>High priority</v>
      </c>
      <c r="J12" s="118" t="str">
        <f>_xlfn.CONCAT('Scoring logic &amp; methodology'!G60,"-",'Scoring logic &amp; methodology'!H60)</f>
        <v>12.8-16</v>
      </c>
      <c r="K12" s="115" t="s">
        <v>478</v>
      </c>
    </row>
    <row r="13" spans="2:11" ht="17.45">
      <c r="B13" s="119" t="s">
        <v>479</v>
      </c>
      <c r="C13" s="120" cm="1">
        <f t="array" ref="C13">MEDIAN(IF('Partner Screening Framework'!$AX$14:$AX$1048576&lt;&gt;"",'Partner Screening Framework'!$AX$14:$AX$1048576))</f>
        <v>11.8</v>
      </c>
      <c r="E13" s="167">
        <v>3</v>
      </c>
      <c r="F13" s="114" t="str">
        <f>INDEX('Partner Screening Framework'!D:D,MATCH(E13,'Partner Screening Framework'!AZ:AZ,0))</f>
        <v>Azania Bank</v>
      </c>
      <c r="G13" s="171" t="str">
        <f>INDEX('Partner Screening Framework'!AY:AY, MATCH(E13, 'Partner Screening Framework'!AZ:AZ, 0))</f>
        <v>Mid priority</v>
      </c>
      <c r="I13" s="64" t="str">
        <f>'Scoring logic &amp; methodology'!E61</f>
        <v>Mid priority</v>
      </c>
      <c r="J13" s="118" t="str">
        <f>_xlfn.CONCAT('Scoring logic &amp; methodology'!G61,"-",'Scoring logic &amp; methodology'!H61)</f>
        <v>9.6-12.7</v>
      </c>
      <c r="K13" s="115" t="s">
        <v>480</v>
      </c>
    </row>
    <row r="14" spans="2:11" ht="18" thickBot="1">
      <c r="B14" s="119" t="s">
        <v>481</v>
      </c>
      <c r="C14" s="120">
        <f>_xlfn.MAXIFS('Partner Screening Framework'!$AX$14:$AX$1048576,'Partner Screening Framework'!$AX$14:$AX$1048576,"&lt;&gt;")</f>
        <v>14.2</v>
      </c>
      <c r="E14" s="168">
        <v>4</v>
      </c>
      <c r="F14" s="114" t="str">
        <f>INDEX('Partner Screening Framework'!D:D,MATCH(E14,'Partner Screening Framework'!AZ:AZ,0))</f>
        <v>Stanbic Tanzania</v>
      </c>
      <c r="G14" s="171" t="str">
        <f>INDEX('Partner Screening Framework'!AY:AY, MATCH(E14, 'Partner Screening Framework'!AZ:AZ, 0))</f>
        <v>Mid priority</v>
      </c>
      <c r="I14" s="66" t="str">
        <f>'Scoring logic &amp; methodology'!E62</f>
        <v>Low priority</v>
      </c>
      <c r="J14" s="122" t="str">
        <f>_xlfn.CONCAT('Scoring logic &amp; methodology'!G62,"-",'Scoring logic &amp; methodology'!H62)</f>
        <v>2.8-9.5</v>
      </c>
      <c r="K14" s="121" t="s">
        <v>482</v>
      </c>
    </row>
    <row r="15" spans="2:11" ht="18" thickBot="1">
      <c r="B15" s="119" t="s">
        <v>483</v>
      </c>
      <c r="C15" s="120">
        <f>COUNTIFS('Partner Screening Framework'!$AY$14:$AY$1048576,"High priority",'Partner Screening Framework'!$AY$14:$AY$1048576,"&lt;&gt;")</f>
        <v>1</v>
      </c>
      <c r="D15" s="114"/>
      <c r="E15" s="169">
        <v>5</v>
      </c>
      <c r="F15" s="170" t="str">
        <f>INDEX('Partner Screening Framework'!D:D,MATCH(E15,'Partner Screening Framework'!AZ:AZ,0))</f>
        <v>I&amp;M Bank</v>
      </c>
      <c r="G15" s="172" t="str">
        <f>INDEX('Partner Screening Framework'!AY:AY, MATCH(E15, 'Partner Screening Framework'!AZ:AZ, 0))</f>
        <v>Mid priority</v>
      </c>
      <c r="I15" s="114"/>
      <c r="J15" s="114"/>
      <c r="K15" s="114"/>
    </row>
    <row r="16" spans="2:11" ht="17.45">
      <c r="B16" s="119" t="s">
        <v>484</v>
      </c>
      <c r="C16" s="120">
        <f>COUNTIFS('Partner Screening Framework'!$AY$14:$AY$1048576,"Mid priority",'Partner Screening Framework'!$AY$14:$AY$1048576,"&lt;&gt;")</f>
        <v>4</v>
      </c>
      <c r="D16" s="114"/>
      <c r="E16" s="114"/>
      <c r="G16" s="114"/>
      <c r="I16" s="114"/>
      <c r="J16" s="114"/>
      <c r="K16" s="114"/>
    </row>
    <row r="17" spans="2:14" ht="18" thickBot="1">
      <c r="B17" s="123" t="s">
        <v>485</v>
      </c>
      <c r="C17" s="124">
        <f>COUNTIFS('Partner Screening Framework'!$AY$14:$AY$1048576,"Low priority",'Partner Screening Framework'!$AY$14:$AY$1048576,"&lt;&gt;")</f>
        <v>0</v>
      </c>
      <c r="D17" s="114"/>
      <c r="E17" s="114"/>
      <c r="I17" s="114"/>
      <c r="J17" s="114"/>
      <c r="K17" s="114"/>
      <c r="M17" s="61"/>
    </row>
    <row r="18" spans="2:14">
      <c r="M18" s="106"/>
    </row>
    <row r="19" spans="2:14">
      <c r="M19" s="106"/>
    </row>
    <row r="20" spans="2:14" ht="15">
      <c r="B20" s="76"/>
      <c r="C20" s="76"/>
      <c r="D20" s="76"/>
      <c r="E20" s="76"/>
      <c r="F20" s="76"/>
      <c r="G20" s="161"/>
      <c r="H20" s="161"/>
      <c r="I20" s="161"/>
      <c r="J20" s="76"/>
      <c r="K20" s="162"/>
      <c r="M20" s="106"/>
    </row>
    <row r="21" spans="2:14" ht="15">
      <c r="B21" s="76"/>
      <c r="C21" s="76"/>
      <c r="D21" s="76"/>
      <c r="E21" s="76"/>
      <c r="F21" s="76"/>
      <c r="G21" s="161"/>
      <c r="H21" s="161"/>
      <c r="I21" s="161"/>
      <c r="J21" s="76"/>
      <c r="K21" s="162"/>
      <c r="M21" s="106"/>
    </row>
    <row r="22" spans="2:14" ht="22.5">
      <c r="B22" s="265" t="s">
        <v>486</v>
      </c>
      <c r="C22" s="265"/>
      <c r="D22" s="265"/>
      <c r="E22" s="265"/>
      <c r="F22" s="265"/>
      <c r="G22" s="265"/>
      <c r="H22" s="265"/>
      <c r="I22" s="265"/>
      <c r="J22" s="265"/>
      <c r="K22" s="265"/>
      <c r="M22" s="106"/>
    </row>
    <row r="23" spans="2:14" ht="15">
      <c r="B23" s="76"/>
      <c r="C23" s="76"/>
      <c r="D23" s="76"/>
      <c r="E23" s="76"/>
      <c r="F23" s="76"/>
      <c r="G23" s="161"/>
      <c r="H23" s="161"/>
      <c r="I23" s="161"/>
      <c r="J23" s="76"/>
      <c r="K23" s="162"/>
      <c r="M23" s="106"/>
    </row>
    <row r="24" spans="2:14" ht="15">
      <c r="B24" s="76"/>
      <c r="C24" s="76"/>
      <c r="D24" s="76"/>
      <c r="E24" s="76"/>
      <c r="F24" s="76"/>
      <c r="G24" s="161"/>
      <c r="H24" s="161"/>
      <c r="I24" s="161"/>
      <c r="J24" s="76"/>
      <c r="K24" s="162"/>
      <c r="M24" s="106"/>
    </row>
    <row r="25" spans="2:14">
      <c r="M25" s="106"/>
    </row>
    <row r="26" spans="2:14" ht="14.45" thickBot="1">
      <c r="M26" s="105"/>
      <c r="N26" s="107"/>
    </row>
    <row r="27" spans="2:14" ht="35.1" customHeight="1">
      <c r="B27" s="262" t="s">
        <v>487</v>
      </c>
      <c r="C27" s="263"/>
      <c r="D27" s="263"/>
      <c r="E27" s="263"/>
      <c r="F27" s="263"/>
      <c r="G27" s="263"/>
      <c r="H27" s="263"/>
      <c r="I27" s="263"/>
      <c r="J27" s="263"/>
      <c r="K27" s="264"/>
      <c r="N27" s="106"/>
    </row>
    <row r="28" spans="2:14" ht="17.45">
      <c r="B28" s="165" t="s">
        <v>488</v>
      </c>
      <c r="C28" s="164" t="s">
        <v>412</v>
      </c>
      <c r="D28" s="163"/>
      <c r="E28" s="131" t="s">
        <v>489</v>
      </c>
      <c r="F28" s="114" t="str" cm="1">
        <f t="array" ref="F28">INDEX('Partner Screening Framework'!$F$10:$F$1048576,MATCH(C$28,'Partner Screening Framework'!$D$10:$D$1048576,0),)</f>
        <v>Tanzania</v>
      </c>
      <c r="G28" s="114"/>
      <c r="H28" s="114"/>
      <c r="I28" s="114"/>
      <c r="J28" s="114"/>
      <c r="K28" s="115"/>
      <c r="N28" s="68"/>
    </row>
    <row r="29" spans="2:14" ht="17.45">
      <c r="B29" s="130" t="s">
        <v>490</v>
      </c>
      <c r="C29" s="164" t="str" cm="1">
        <f t="array" ref="C29">INDEX('Partner Screening Framework'!$E$10:$E$1048576,MATCH(C$28,'Partner Screening Framework'!$D$10:$D$1048576,0),)</f>
        <v>Tier 1</v>
      </c>
      <c r="D29" s="114"/>
      <c r="E29" s="131" t="s">
        <v>491</v>
      </c>
      <c r="F29" s="114" t="str" cm="1">
        <f t="array" ref="F29">INDEX('Partner Screening Framework'!$G$10:$G$1048576,MATCH(C$28,'Partner Screening Framework'!$D$10:$D$1048576,0),)</f>
        <v>South Africa</v>
      </c>
      <c r="G29" s="114"/>
      <c r="H29" s="114"/>
      <c r="I29" s="114"/>
      <c r="J29" s="114"/>
      <c r="K29" s="115"/>
      <c r="N29" s="68"/>
    </row>
    <row r="30" spans="2:14" ht="17.45">
      <c r="B30" s="130"/>
      <c r="C30" s="114"/>
      <c r="D30" s="114"/>
      <c r="E30" s="131"/>
      <c r="F30" s="114"/>
      <c r="G30" s="114"/>
      <c r="H30" s="114"/>
      <c r="I30" s="114"/>
      <c r="J30" s="114"/>
      <c r="K30" s="115"/>
      <c r="N30" s="68"/>
    </row>
    <row r="31" spans="2:14" ht="17.100000000000001" customHeight="1">
      <c r="B31" s="116"/>
      <c r="C31" s="91" t="str">
        <f>'Scoring logic &amp; methodology'!E8</f>
        <v>Assessment area</v>
      </c>
      <c r="D31" s="114"/>
      <c r="E31" s="117" t="s">
        <v>389</v>
      </c>
      <c r="F31" s="91" cm="1">
        <f t="array" ref="F31">INDEX('Partner Screening Framework'!$AX$10:$AX$1048576,MATCH(C$28,'Partner Screening Framework'!$D$10:$D$1048576,0),)</f>
        <v>11.6</v>
      </c>
      <c r="G31" s="91" t="s">
        <v>492</v>
      </c>
      <c r="H31" s="91"/>
      <c r="I31" s="114"/>
      <c r="J31" s="114"/>
      <c r="K31" s="115"/>
    </row>
    <row r="32" spans="2:14" ht="86.45" customHeight="1">
      <c r="B32" s="110"/>
      <c r="C32" s="258" t="str">
        <f>'Scoring logic &amp; methodology'!E43</f>
        <v>1. Strategic alignment and institutional commitment</v>
      </c>
      <c r="D32" s="258"/>
      <c r="E32" s="111" cm="1">
        <f t="array" ref="E32">INDEX('Partner Screening Framework'!$AN$10:$AN$1048576,MATCH(C$28,'Partner Screening Framework'!$D$10:$D$1048576,0),)</f>
        <v>21</v>
      </c>
      <c r="F32" s="134" t="str" cm="1">
        <f t="array" ref="F32">_xlfn.IFS(E32&lt;=('Scoring logic &amp; methodology'!H43*'Scoring logic &amp; methodology'!$F$61),"Low maturity",E32&lt;'Scoring logic &amp; methodology'!I43*'Scoring logic &amp; methodology'!$F$60,"Mid maturity",E32&gt;='Scoring logic &amp; methodology'!H43*'Scoring logic &amp; methodology'!$F$60,"High maturity")</f>
        <v>Mid maturity</v>
      </c>
      <c r="G32" s="256" t="str" cm="1">
        <f t="array" ref="G32">_xlfn.LET(
  _xlpm.bank, $C$28,
  _xlpm.names, 'Partner Screening Framework'!D14:D100,
  _xlpm.rowNum, MATCH(_xlpm.bank, _xlpm.names, 0),
  _xlpm.scoresRange, 'Partner Screening Framework'!H14:R100,
  _xlpm.rationaleRange, 'Partner Screening Framework'!I14:S100,
  _xlpm.scores, INDEX(_xlpm.scoresRange, _xlpm.rowNum, {1,3,5,7,9,11}),
  _xlpm.rationales, INDEX(_xlpm.rationaleRange, _xlpm.rowNum, {1,3,5,7,9,11}),
  _xlpm.result, IF((_xlpm.scores="Low")+(_xlpm.scores="Medium"), "• "&amp;_xlpm.rationales, ""),
  _xlfn.TEXTJOIN(CHAR(10), TRUE, _xlpm.result)
)</f>
        <v>• Even though its clear that the Stanbic Group prioritizes the SME segments and has clear goals to track these, Stanbic Bank Tanzania seems to have very high-level metrics and targets in its public reports
• Stanbic Bank Tanzania actively advances efforts to strengthen women-led businesses. It also has efforts promoting healthcare results and energy infrastructure. It's not clear whether the Bank tracks or measures these results</v>
      </c>
      <c r="H32" s="256"/>
      <c r="I32" s="256"/>
      <c r="J32" s="256"/>
      <c r="K32" s="257"/>
    </row>
    <row r="33" spans="2:11" ht="86.45" customHeight="1">
      <c r="B33" s="8"/>
      <c r="C33" s="258" t="str">
        <f>'Scoring logic &amp; methodology'!E44</f>
        <v>2. Institutional capacity</v>
      </c>
      <c r="D33" s="258"/>
      <c r="E33" s="109" cm="1">
        <f t="array" ref="E33">INDEX('Partner Screening Framework'!$AP$10:$AP$1048576,MATCH(C$28,'Partner Screening Framework'!$D$10:$D$1048576,0),)</f>
        <v>8</v>
      </c>
      <c r="F33" s="134" t="str" cm="1">
        <f t="array" ref="F33">_xlfn.IFS(E33&lt;=('Scoring logic &amp; methodology'!H44*'Scoring logic &amp; methodology'!$F$61),"Low maturity",E33&lt;'Scoring logic &amp; methodology'!I44*'Scoring logic &amp; methodology'!$F$60,"Mid maturity",E33&gt;='Scoring logic &amp; methodology'!H44*'Scoring logic &amp; methodology'!$F$60,"High maturity")</f>
        <v>High maturity</v>
      </c>
      <c r="G33" s="260" t="str" cm="1">
        <f t="array" ref="G33">_xlfn.LET(
  _xlpm.bank, $C$28,
  _xlpm.names, 'Partner Screening Framework'!D14:D100,
  _xlpm.rowNum, MATCH(_xlpm.bank, _xlpm.names, 0),
  _xlpm.scoresRange, 'Partner Screening Framework'!T14:V100,
  _xlpm.rationaleRange, 'Partner Screening Framework'!U14:W100,
  _xlpm.scores, INDEX(_xlpm.scoresRange, _xlpm.rowNum, {1,3}),
  _xlpm.rationales, INDEX(_xlpm.rationaleRange, _xlpm.rowNum, {1,3}),
  _xlpm.result, IF((_xlpm.scores="Low")+(_xlpm.scores="Medium"), "• "&amp;_xlpm.rationales, ""),
  _xlfn.TEXTJOIN(CHAR(10), TRUE, _xlpm.result)
)</f>
        <v xml:space="preserve">• Stanbic has some SME related roles, including Head Business Incubator. However, it's not clear that there is a full unit of multiple staff across departments with responsibilities related to SMEs </v>
      </c>
      <c r="H33" s="260"/>
      <c r="I33" s="260"/>
      <c r="J33" s="260"/>
      <c r="K33" s="261"/>
    </row>
    <row r="34" spans="2:11" ht="86.45" customHeight="1">
      <c r="B34" s="112"/>
      <c r="C34" s="258" t="str">
        <f>'Scoring logic &amp; methodology'!E45</f>
        <v>3. Track record</v>
      </c>
      <c r="D34" s="258"/>
      <c r="E34" s="113" cm="1">
        <f t="array" ref="E34">INDEX('Partner Screening Framework'!$AR$10:$AR$1048576,MATCH(C$28,'Partner Screening Framework'!$D$10:$D$1048576,0),)</f>
        <v>11</v>
      </c>
      <c r="F34" s="134" t="str" cm="1">
        <f t="array" ref="F34">_xlfn.IFS(E34&lt;=('Scoring logic &amp; methodology'!H45*'Scoring logic &amp; methodology'!$F$61),"Low maturity",E34&lt;'Scoring logic &amp; methodology'!I45*'Scoring logic &amp; methodology'!$F$60,"Mid maturity",E34&gt;='Scoring logic &amp; methodology'!H45*'Scoring logic &amp; methodology'!$F$60,"High maturity")</f>
        <v>Mid maturity</v>
      </c>
      <c r="G34" s="254" t="str" cm="1">
        <f t="array" ref="G34">_xlfn.LET(
  _xlpm.bank, $C$28,
  _xlpm.names, 'Partner Screening Framework'!D14:D100,
  _xlpm.rowNum, MATCH(_xlpm.bank, _xlpm.names, 0),
  _xlpm.scoresRange, 'Partner Screening Framework'!X14:AB100,
  _xlpm.rationaleRange, 'Partner Screening Framework'!Y14:AC100,
  _xlpm.scores, INDEX(_xlpm.scoresRange, _xlpm.rowNum, {1,3,5}),
  _xlpm.rationales, INDEX(_xlpm.rationaleRange, _xlpm.rowNum, {1,3,5}),
  _xlpm.result, IF((_xlpm.scores="Low")+(_xlpm.scores="Medium"), "• "&amp;_xlpm.rationales, ""),
  _xlfn.TEXTJOIN(CHAR(10), TRUE, _xlpm.result)
)</f>
        <v xml:space="preserve">• Even though there is no specific data about the share of SMEs in Stanbic's lending portfolio, it's reasonable to assume that their portfolio is currently small (&lt;10%) given their current efforts to expand it </v>
      </c>
      <c r="H34" s="254"/>
      <c r="I34" s="254"/>
      <c r="J34" s="254"/>
      <c r="K34" s="255"/>
    </row>
    <row r="35" spans="2:11" ht="86.45" customHeight="1">
      <c r="B35" s="110"/>
      <c r="C35" s="258" t="str">
        <f>'Scoring logic &amp; methodology'!E46</f>
        <v>4. Market opportunity and accessibility</v>
      </c>
      <c r="D35" s="258"/>
      <c r="E35" s="111" cm="1">
        <f t="array" ref="E35">INDEX('Partner Screening Framework'!$AT$10:$AT$1048576,MATCH(C$28,'Partner Screening Framework'!$D$10:$D$1048576,0),)</f>
        <v>13</v>
      </c>
      <c r="F35" s="134" t="str" cm="1">
        <f t="array" ref="F35">_xlfn.IFS(E35&lt;=('Scoring logic &amp; methodology'!H46*'Scoring logic &amp; methodology'!$F$61),"Low maturity",E35&lt;'Scoring logic &amp; methodology'!I46*'Scoring logic &amp; methodology'!$F$60,"Mid maturity",E35&gt;='Scoring logic &amp; methodology'!H46*'Scoring logic &amp; methodology'!$F$60,"High maturity")</f>
        <v>High maturity</v>
      </c>
      <c r="G35" s="256" t="str" cm="1">
        <f t="array" ref="G35">_xlfn.LET(
  _xlpm.bank, $C$28,
  _xlpm.names, 'Partner Screening Framework'!D14:D100,
  _xlpm.rowNum, MATCH(_xlpm.bank, _xlpm.names, 0),
  _xlpm.scoresRange, 'Partner Screening Framework'!AD14:AH100,
  _xlpm.rationaleRange, 'Partner Screening Framework'!AE14:AI100,
  _xlpm.scores, INDEX(_xlpm.scoresRange, _xlpm.rowNum, {1,3,5}),
  _xlpm.rationales, INDEX(_xlpm.rationaleRange, _xlpm.rowNum, {1,3,5}),
  _xlpm.result, IF((_xlpm.scores="Low")+(_xlpm.scores="Medium"), "• "&amp;_xlpm.rationales, ""),
  _xlfn.TEXTJOIN(CHAR(10), TRUE, _xlpm.result)
)</f>
        <v>• The Market Assessment ranks Tanzania as having a "Strong Foundation", making it a "medium" level in terms of attractiveness</v>
      </c>
      <c r="H35" s="256"/>
      <c r="I35" s="256"/>
      <c r="J35" s="256"/>
      <c r="K35" s="257"/>
    </row>
    <row r="36" spans="2:11" ht="86.45" customHeight="1" thickBot="1">
      <c r="B36" s="9"/>
      <c r="C36" s="259" t="str">
        <f>'Scoring logic &amp; methodology'!E47</f>
        <v>5. Risk and reputation</v>
      </c>
      <c r="D36" s="259"/>
      <c r="E36" s="98" cm="1">
        <f t="array" ref="E36">INDEX('Partner Screening Framework'!$AV$10:$AV$1048576,MATCH(C$28,'Partner Screening Framework'!$D$10:$D$1048576,0),)</f>
        <v>5</v>
      </c>
      <c r="F36" s="135" t="str" cm="1">
        <f t="array" ref="F36">_xlfn.IFS(E36&lt;=('Scoring logic &amp; methodology'!H47*'Scoring logic &amp; methodology'!$F$61),"Low maturity",E36&lt;'Scoring logic &amp; methodology'!I47*'Scoring logic &amp; methodology'!$F$60,"Mid maturity",E36&gt;='Scoring logic &amp; methodology'!H47*'Scoring logic &amp; methodology'!$F$60,"High maturity")</f>
        <v>Mid maturity</v>
      </c>
      <c r="G36" s="252" t="str" cm="1">
        <f t="array" ref="G36">_xlfn.LET(
  _xlpm.bank, $C$28,
  _xlpm.names, 'Partner Screening Framework'!D14:D100,
  _xlpm.rowNum, MATCH(_xlpm.bank, _xlpm.names, 0),
  _xlpm.scoresRange, 'Partner Screening Framework'!AJ14:AL100,
  _xlpm.rationaleRange, 'Partner Screening Framework'!AK14:AM100,
  _xlpm.scores, INDEX(_xlpm.scoresRange, _xlpm.rowNum, {1,3}),
  _xlpm.rationales, INDEX(_xlpm.rationaleRange, _xlpm.rowNum, {1,3}),
  _xlpm.result, IF((_xlpm.scores="No"), "• "&amp;_xlpm.rationales, ""),
  _xlfn.TEXTJOIN(CHAR(10), TRUE, _xlpm.result)
)</f>
        <v>• Stanbic presents incidents of bribing government officials and has had to pay fines because of this crime</v>
      </c>
      <c r="H36" s="252"/>
      <c r="I36" s="252"/>
      <c r="J36" s="252"/>
      <c r="K36" s="253"/>
    </row>
    <row r="38" spans="2:11">
      <c r="G38" s="68"/>
      <c r="H38" s="68"/>
    </row>
    <row r="39" spans="2:11">
      <c r="G39" s="68"/>
      <c r="H39" s="68"/>
    </row>
    <row r="41" spans="2:11">
      <c r="C41" s="68"/>
    </row>
  </sheetData>
  <mergeCells count="16">
    <mergeCell ref="B5:K5"/>
    <mergeCell ref="B22:K22"/>
    <mergeCell ref="I10:K10"/>
    <mergeCell ref="B10:C10"/>
    <mergeCell ref="E10:F10"/>
    <mergeCell ref="G32:K32"/>
    <mergeCell ref="G33:K33"/>
    <mergeCell ref="C32:D32"/>
    <mergeCell ref="C33:D33"/>
    <mergeCell ref="B27:K27"/>
    <mergeCell ref="G36:K36"/>
    <mergeCell ref="G34:K34"/>
    <mergeCell ref="G35:K35"/>
    <mergeCell ref="C34:D34"/>
    <mergeCell ref="C35:D35"/>
    <mergeCell ref="C36:D36"/>
  </mergeCells>
  <conditionalFormatting sqref="F31">
    <cfRule type="cellIs" dxfId="16" priority="15" operator="between">
      <formula>8</formula>
      <formula>11.9</formula>
    </cfRule>
    <cfRule type="cellIs" dxfId="15" priority="16" operator="greaterThan">
      <formula>12</formula>
    </cfRule>
    <cfRule type="cellIs" dxfId="14" priority="17" operator="lessThan">
      <formula>7.9</formula>
    </cfRule>
  </conditionalFormatting>
  <conditionalFormatting sqref="F32:F36">
    <cfRule type="cellIs" dxfId="13" priority="12" operator="equal">
      <formula>"Low maturity"</formula>
    </cfRule>
    <cfRule type="cellIs" dxfId="12" priority="13" operator="equal">
      <formula>"Mid maturity"</formula>
    </cfRule>
    <cfRule type="cellIs" dxfId="11" priority="14" operator="equal">
      <formula>"High Maturity"</formula>
    </cfRule>
  </conditionalFormatting>
  <conditionalFormatting sqref="D3:D4 D6:D7">
    <cfRule type="cellIs" dxfId="10" priority="9" operator="equal">
      <formula>"Needs Attention"</formula>
    </cfRule>
    <cfRule type="cellIs" dxfId="9" priority="10" operator="equal">
      <formula>"Making Progress"</formula>
    </cfRule>
    <cfRule type="cellIs" dxfId="8" priority="11" operator="equal">
      <formula>"On Track"</formula>
    </cfRule>
  </conditionalFormatting>
  <conditionalFormatting sqref="J3:J4 J6:J7">
    <cfRule type="cellIs" dxfId="7" priority="8" operator="equal">
      <formula>"Not Applicable"</formula>
    </cfRule>
  </conditionalFormatting>
  <conditionalFormatting sqref="D20:D21 D23:D24">
    <cfRule type="cellIs" dxfId="6" priority="5" operator="equal">
      <formula>"Needs Attention"</formula>
    </cfRule>
    <cfRule type="cellIs" dxfId="5" priority="6" operator="equal">
      <formula>"Making Progress"</formula>
    </cfRule>
    <cfRule type="cellIs" dxfId="4" priority="7" operator="equal">
      <formula>"On Track"</formula>
    </cfRule>
  </conditionalFormatting>
  <conditionalFormatting sqref="J20:J21 J23:J24">
    <cfRule type="cellIs" dxfId="3" priority="4" operator="equal">
      <formula>"Not Applicable"</formula>
    </cfRule>
  </conditionalFormatting>
  <conditionalFormatting sqref="G11:G15">
    <cfRule type="cellIs" dxfId="2" priority="1" operator="equal">
      <formula>"Mid priority"</formula>
    </cfRule>
    <cfRule type="cellIs" dxfId="1" priority="2" operator="equal">
      <formula>"High priority"</formula>
    </cfRule>
    <cfRule type="cellIs" dxfId="0" priority="3" operator="equal">
      <formula>"Low priority"</formula>
    </cfRule>
  </conditionalFormatting>
  <dataValidations count="1">
    <dataValidation type="list" allowBlank="1" showInputMessage="1" showErrorMessage="1" sqref="C28" xr:uid="{66767654-1BBD-478B-98B3-71E668DF9694}">
      <formula1>DynamicList</formula1>
    </dataValidation>
  </dataValidations>
  <pageMargins left="0.7" right="0.7" top="0.75" bottom="0.75" header="0.3" footer="0.3"/>
  <pageSetup scale="27"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174a7a9-ded1-4ed9-9dea-0405b5d9bc79" xsi:nil="true"/>
    <lcf76f155ced4ddcb4097134ff3c332f xmlns="b688f9cd-cb5e-40a9-8411-cf8ab9e70a5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E93DD5364AA554BAA8A24D3063EAB64" ma:contentTypeVersion="10" ma:contentTypeDescription="Create a new document." ma:contentTypeScope="" ma:versionID="698f4d90b5181e6263e94cca8a4d9ce7">
  <xsd:schema xmlns:xsd="http://www.w3.org/2001/XMLSchema" xmlns:xs="http://www.w3.org/2001/XMLSchema" xmlns:p="http://schemas.microsoft.com/office/2006/metadata/properties" xmlns:ns2="b688f9cd-cb5e-40a9-8411-cf8ab9e70a57" xmlns:ns3="4174a7a9-ded1-4ed9-9dea-0405b5d9bc79" targetNamespace="http://schemas.microsoft.com/office/2006/metadata/properties" ma:root="true" ma:fieldsID="d2f77493388ef8e0636b206854ee4bd8" ns2:_="" ns3:_="">
    <xsd:import namespace="b688f9cd-cb5e-40a9-8411-cf8ab9e70a57"/>
    <xsd:import namespace="4174a7a9-ded1-4ed9-9dea-0405b5d9bc7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88f9cd-cb5e-40a9-8411-cf8ab9e70a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4ad3672e-4f06-4624-8734-b96e843e8259"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74a7a9-ded1-4ed9-9dea-0405b5d9bc79"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438a618b-6122-4290-aa92-bb77e06aed91}" ma:internalName="TaxCatchAll" ma:showField="CatchAllData" ma:web="4174a7a9-ded1-4ed9-9dea-0405b5d9bc7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F2A53-7E36-4C56-9D3D-753B6D9100A3}"/>
</file>

<file path=customXml/itemProps2.xml><?xml version="1.0" encoding="utf-8"?>
<ds:datastoreItem xmlns:ds="http://schemas.openxmlformats.org/officeDocument/2006/customXml" ds:itemID="{538D6A41-027A-4231-9CF0-7EA2A8EFE35A}"/>
</file>

<file path=customXml/itemProps3.xml><?xml version="1.0" encoding="utf-8"?>
<ds:datastoreItem xmlns:ds="http://schemas.openxmlformats.org/officeDocument/2006/customXml" ds:itemID="{10E11E0B-866E-4F50-81DD-852469D18B43}"/>
</file>

<file path=docMetadata/LabelInfo.xml><?xml version="1.0" encoding="utf-8"?>
<clbl:labelList xmlns:clbl="http://schemas.microsoft.com/office/2020/mipLabelMetadata">
  <clbl:label id="{b4db6a6d-cf3b-450d-9483-e5c853d931d2}" enabled="1" method="Standard" siteId="{ecabf4f5-0dbc-4f2c-b80e-99d3aa5f44b6}"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Mariana Noguera</dc:creator>
  <cp:keywords/>
  <dc:description/>
  <cp:lastModifiedBy>Amina Naidjate</cp:lastModifiedBy>
  <cp:revision/>
  <dcterms:created xsi:type="dcterms:W3CDTF">2025-05-12T16:06:30Z</dcterms:created>
  <dcterms:modified xsi:type="dcterms:W3CDTF">2025-11-26T09:11:26Z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0x010100EE93DD5364AA554BAA8A24D3063EAB64</vt:lpwstr>
  </property>
  <property fmtid="{D5CDD505-2E9C-101B-9397-08002B2CF9AE}" pid="3" name="MediaServiceImageTags">
    <vt:lpwstr/>
  </property>
</Properties>
</file>